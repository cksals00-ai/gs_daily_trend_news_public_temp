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O\Desktop\"/>
    </mc:Choice>
  </mc:AlternateContent>
  <bookViews>
    <workbookView xWindow="0" yWindow="0" windowWidth="28800" windowHeight="12312"/>
  </bookViews>
  <sheets>
    <sheet name="⑴-4 WRHⅠ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xlnm._FilterDatabase" hidden="1">#REF!</definedName>
    <definedName name="_Order1" hidden="1">255</definedName>
    <definedName name="_Order2" hidden="1">255</definedName>
    <definedName name="_Regression_Int" hidden="1">1</definedName>
    <definedName name="_Sort" hidden="1">[2]업무분장!$A$1:$IV$4072</definedName>
    <definedName name="AAAAAAA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BC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nscount" hidden="1">1</definedName>
    <definedName name="ANSRL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bbb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" hidden="1">#REF!</definedName>
    <definedName name="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GD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F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FHKLDSFJKLDSFHLKDSJFSDFDSFSDF" hidden="1">#REF!</definedName>
    <definedName name="DK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LSFUR" hidden="1">#REF!</definedName>
    <definedName name="DSDFSFDSFDSFSDFSD" hidden="1">#REF!</definedName>
    <definedName name="FD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" hidden="1">#REF!</definedName>
    <definedName name="F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GF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HJ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FF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H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" hidden="1">#REF!</definedName>
    <definedName name="GF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F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" hidden="1">#REF!</definedName>
    <definedName name="GG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G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HHH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m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hhhhhhhh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C손익현황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III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HJHJ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J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k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IJJJ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ll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n" hidden="1">[3]실행철강하도!$A$1:$A$4</definedName>
    <definedName name="NH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ns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oooooo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ppp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pppppp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KQ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or" hidden="1">[4]실행철강하도!$A$1:$A$4</definedName>
    <definedName name="qqq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RGGR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sdfsd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SS" hidden="1">#REF!</definedName>
    <definedName name="tttt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T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uuu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vvv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rn.99경영계획._.및._.예산안.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ww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a" hidden="1">[3]실행철강하도!$A$1:$A$4</definedName>
    <definedName name="zz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zz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ㄱㄱ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가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개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객실" hidden="1">#REF!</definedName>
    <definedName name="객실분석2" hidden="1">#REF!</definedName>
    <definedName name="객실최종" hidden="1">#REF!</definedName>
    <definedName name="경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공사성수선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관리미수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교육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계소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준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김효정" hidden="1">#REF!</definedName>
    <definedName name="ㄴ" hidden="1">#REF!</definedName>
    <definedName name="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ㄴ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" hidden="1">#REF!</definedName>
    <definedName name="ㄴㅇㄴ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라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내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네트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네트웍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노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노준석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늠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ㄶ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ㄷ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지내조경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대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디엠에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ㄴㅇㄴㅇ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ㄹ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ㅇ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ㅇ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혻ㅎ" hidden="1">#REF!</definedName>
    <definedName name="리ㅣ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ㄴㅇ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느오ㅓ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ㄻㄹㅇㅎ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ㅇㅎㅁ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옿ㅇㅅ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ㅎ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ㅎ몰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만" hidden="1">#REF!</definedName>
    <definedName name="매출목표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매출현황" hidden="1">#REF!</definedName>
    <definedName name="몰라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문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미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민" hidden="1">#REF!</definedName>
    <definedName name="민윤기" hidden="1">#REF!</definedName>
    <definedName name="ㅂ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ㅂㅂㅂ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은정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창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별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보드방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보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부대업장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부대업장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분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비발디증감" hidden="1">#REF!</definedName>
    <definedName name="비용" hidden="1">#REF!</definedName>
    <definedName name="비용총계" hidden="1">#REF!</definedName>
    <definedName name="ㅅ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랑\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업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산출인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새이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비스계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비스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세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설악증감" hidden="1">#REF!</definedName>
    <definedName name="성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세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세부비용" hidden="1">#REF!</definedName>
    <definedName name="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노펠리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손익분석" hidden="1">#REF!</definedName>
    <definedName name="수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수선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스위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시" hidden="1">#REF!</definedName>
    <definedName name="식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식음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심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ㄴㅁ" hidden="1">[5]실행철강하도!$A$1:$A$4</definedName>
    <definedName name="ㅇㄴㅇㄴㅇ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ㅇ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니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띠" hidden="1">#REF!</definedName>
    <definedName name="아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쿠아2월" hidden="1">#REF!</definedName>
    <definedName name="안대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약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분장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조직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추진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추진향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영선하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영업분석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BI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법인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용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우짜라공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원남내역" hidden="1">[6]실행철강하도!$A$1:$A$4</definedName>
    <definedName name="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4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5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법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애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정산내역3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유유" hidden="1">#REF!</definedName>
    <definedName name="유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윤희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은경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교산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교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교육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산출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일" hidden="1">[4]실행철강하도!$A$1:$A$4</definedName>
    <definedName name="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ㅈㅁ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ㅈ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자본" hidden="1">#REF!</definedName>
    <definedName name="작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장" hidden="1">#REF!</definedName>
    <definedName name="장비" hidden="1">#REF!</definedName>
    <definedName name="전기소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전체" hidden="1">#REF!</definedName>
    <definedName name="정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정정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정중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젤라떼리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경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경자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직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증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지울것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직원식당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ㅊ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창훈" hidden="1">#REF!</definedName>
    <definedName name="총괄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추진전략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ㅋㅋㅋ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ㅌㅋㅋ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ㅌㅍㅊ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통신소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파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편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형총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형총괄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표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ㅀ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ㅁ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ㅎㅎ" hidden="1">#REF!</definedName>
    <definedName name="ㅎㅎㅎㅎㅎ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ㅣ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ㅐㅣ" hidden="1">#REF!</definedName>
    <definedName name="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ㄴㄱ" hidden="1">[5]실행철강하도!$A$1:$A$4</definedName>
    <definedName name="ㅓㅏ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ㅕ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ㅗㅓㅗㅗㅗ" hidden="1">#REF!</definedName>
    <definedName name="ㅓㅡㅎ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ㅔㅔ" hidden="1">#REF!</definedName>
    <definedName name="ㅔㅔㅔ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ㅕㅑ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ㅕㅕ" hidden="1">#REF!</definedName>
    <definedName name="ㅕㅛ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ㅑㅣ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ㅓㅗ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ㅗ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ㅛ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ㅛ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ㅜ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ㅠㅜ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ㅠㅠ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ㅡ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ㅣ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ㅣㅣ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124" i="1" l="1"/>
  <c r="AE1123" i="1"/>
  <c r="AE1122" i="1"/>
  <c r="AE1121" i="1"/>
  <c r="AO1120" i="1"/>
  <c r="AN1120" i="1"/>
  <c r="AM1120" i="1"/>
  <c r="AQ1119" i="1"/>
  <c r="AP1119" i="1"/>
  <c r="AO1119" i="1"/>
  <c r="AN1119" i="1"/>
  <c r="AM1119" i="1"/>
  <c r="AL1119" i="1"/>
  <c r="AL1120" i="1" s="1"/>
  <c r="AK1119" i="1"/>
  <c r="AK1120" i="1" s="1"/>
  <c r="AJ1119" i="1"/>
  <c r="AJ1120" i="1" s="1"/>
  <c r="AI1119" i="1"/>
  <c r="AE1119" i="1" s="1"/>
  <c r="AH1119" i="1"/>
  <c r="AG1119" i="1"/>
  <c r="AF1119" i="1"/>
  <c r="AQ1118" i="1"/>
  <c r="AQ1120" i="1" s="1"/>
  <c r="AP1118" i="1"/>
  <c r="AP1120" i="1" s="1"/>
  <c r="AO1118" i="1"/>
  <c r="AN1118" i="1"/>
  <c r="AM1118" i="1"/>
  <c r="AL1118" i="1"/>
  <c r="AK1118" i="1"/>
  <c r="AJ1118" i="1"/>
  <c r="AI1118" i="1"/>
  <c r="AI1120" i="1" s="1"/>
  <c r="AH1118" i="1"/>
  <c r="AH1120" i="1" s="1"/>
  <c r="AG1118" i="1"/>
  <c r="AG1120" i="1" s="1"/>
  <c r="AF1118" i="1"/>
  <c r="AF1120" i="1" s="1"/>
  <c r="AQ1117" i="1"/>
  <c r="AP1117" i="1"/>
  <c r="AO1117" i="1"/>
  <c r="AF1117" i="1"/>
  <c r="AQ1116" i="1"/>
  <c r="AP1116" i="1"/>
  <c r="AO1116" i="1"/>
  <c r="AN1116" i="1"/>
  <c r="AN1117" i="1" s="1"/>
  <c r="AM1116" i="1"/>
  <c r="AM1117" i="1" s="1"/>
  <c r="AL1116" i="1"/>
  <c r="AK1116" i="1"/>
  <c r="AJ1116" i="1"/>
  <c r="AE1116" i="1" s="1"/>
  <c r="AI1116" i="1"/>
  <c r="AH1116" i="1"/>
  <c r="AG1116" i="1"/>
  <c r="AF1116" i="1"/>
  <c r="AQ1115" i="1"/>
  <c r="AP1115" i="1"/>
  <c r="AO1115" i="1"/>
  <c r="AN1115" i="1"/>
  <c r="AM1115" i="1"/>
  <c r="AL1115" i="1"/>
  <c r="AK1115" i="1"/>
  <c r="AJ1115" i="1"/>
  <c r="AI1115" i="1"/>
  <c r="AI1117" i="1" s="1"/>
  <c r="AH1115" i="1"/>
  <c r="AH1117" i="1" s="1"/>
  <c r="AG1115" i="1"/>
  <c r="AF1115" i="1"/>
  <c r="AO1114" i="1"/>
  <c r="AN1114" i="1"/>
  <c r="AM1114" i="1"/>
  <c r="AQ1113" i="1"/>
  <c r="AP1113" i="1"/>
  <c r="AO1113" i="1"/>
  <c r="AN1113" i="1"/>
  <c r="AM1113" i="1"/>
  <c r="AL1113" i="1"/>
  <c r="AL1114" i="1" s="1"/>
  <c r="AK1113" i="1"/>
  <c r="AJ1113" i="1"/>
  <c r="AI1113" i="1"/>
  <c r="AH1113" i="1"/>
  <c r="AG1113" i="1"/>
  <c r="AF1113" i="1"/>
  <c r="AF1114" i="1" s="1"/>
  <c r="AQ1112" i="1"/>
  <c r="AQ1114" i="1" s="1"/>
  <c r="AP1112" i="1"/>
  <c r="AP1114" i="1" s="1"/>
  <c r="AO1112" i="1"/>
  <c r="AN1112" i="1"/>
  <c r="AM1112" i="1"/>
  <c r="AL1112" i="1"/>
  <c r="AK1112" i="1"/>
  <c r="AJ1112" i="1"/>
  <c r="AI1112" i="1"/>
  <c r="AI1114" i="1" s="1"/>
  <c r="AH1112" i="1"/>
  <c r="AH1114" i="1" s="1"/>
  <c r="AG1112" i="1"/>
  <c r="AF1112" i="1"/>
  <c r="AP1111" i="1"/>
  <c r="AO1111" i="1"/>
  <c r="AL1111" i="1"/>
  <c r="AQ1110" i="1"/>
  <c r="AQ1111" i="1" s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Q1109" i="1"/>
  <c r="AP1109" i="1"/>
  <c r="AO1109" i="1"/>
  <c r="AN1109" i="1"/>
  <c r="AN1111" i="1" s="1"/>
  <c r="AM1109" i="1"/>
  <c r="AM1111" i="1" s="1"/>
  <c r="AL1109" i="1"/>
  <c r="AK1109" i="1"/>
  <c r="AK1111" i="1" s="1"/>
  <c r="AJ1109" i="1"/>
  <c r="AI1109" i="1"/>
  <c r="AH1109" i="1"/>
  <c r="AG1109" i="1"/>
  <c r="AG1111" i="1" s="1"/>
  <c r="AF1109" i="1"/>
  <c r="AF1111" i="1" s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7" i="1"/>
  <c r="AE1106" i="1"/>
  <c r="AE1108" i="1" s="1"/>
  <c r="AQ1105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4" i="1"/>
  <c r="AE1103" i="1"/>
  <c r="AE1105" i="1" s="1"/>
  <c r="AQ1102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1" i="1"/>
  <c r="AE1100" i="1"/>
  <c r="AE1102" i="1" s="1"/>
  <c r="AQ1099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E1098" i="1"/>
  <c r="AE1097" i="1"/>
  <c r="AP1083" i="1"/>
  <c r="AO1083" i="1"/>
  <c r="AM1082" i="1"/>
  <c r="AL1082" i="1"/>
  <c r="AK1082" i="1"/>
  <c r="AJ1082" i="1"/>
  <c r="AH1082" i="1"/>
  <c r="AG1082" i="1"/>
  <c r="AF1082" i="1"/>
  <c r="AP1080" i="1"/>
  <c r="AO1080" i="1"/>
  <c r="AN1080" i="1"/>
  <c r="AK1080" i="1"/>
  <c r="AP1079" i="1"/>
  <c r="AO1079" i="1"/>
  <c r="AL1079" i="1"/>
  <c r="AK1079" i="1"/>
  <c r="AH1079" i="1"/>
  <c r="AQ1078" i="1"/>
  <c r="AK1078" i="1"/>
  <c r="AJ1078" i="1"/>
  <c r="AH1078" i="1"/>
  <c r="AQ1077" i="1"/>
  <c r="AP1077" i="1"/>
  <c r="AP1078" i="1" s="1"/>
  <c r="AO1077" i="1"/>
  <c r="AN1077" i="1"/>
  <c r="AN1078" i="1" s="1"/>
  <c r="AM1077" i="1"/>
  <c r="AL1077" i="1"/>
  <c r="AK1077" i="1"/>
  <c r="AK1083" i="1" s="1"/>
  <c r="AJ1077" i="1"/>
  <c r="AJ1080" i="1" s="1"/>
  <c r="AI1077" i="1"/>
  <c r="AH1077" i="1"/>
  <c r="AH1080" i="1" s="1"/>
  <c r="AG1077" i="1"/>
  <c r="AF1077" i="1"/>
  <c r="AQ1076" i="1"/>
  <c r="AP1076" i="1"/>
  <c r="AO1076" i="1"/>
  <c r="AO1082" i="1" s="1"/>
  <c r="AN1076" i="1"/>
  <c r="AM1076" i="1"/>
  <c r="AL1076" i="1"/>
  <c r="AK1076" i="1"/>
  <c r="AJ1076" i="1"/>
  <c r="AJ1079" i="1" s="1"/>
  <c r="AI1076" i="1"/>
  <c r="AH1076" i="1"/>
  <c r="AG1076" i="1"/>
  <c r="AG1079" i="1" s="1"/>
  <c r="AF1076" i="1"/>
  <c r="AP1075" i="1"/>
  <c r="AO1075" i="1"/>
  <c r="AL1075" i="1"/>
  <c r="AJ1075" i="1"/>
  <c r="AI1075" i="1"/>
  <c r="AH1075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G1075" i="1" s="1"/>
  <c r="AF1074" i="1"/>
  <c r="AF1075" i="1" s="1"/>
  <c r="AQ1073" i="1"/>
  <c r="AP1073" i="1"/>
  <c r="AP1082" i="1" s="1"/>
  <c r="AO1073" i="1"/>
  <c r="AN1073" i="1"/>
  <c r="AM1073" i="1"/>
  <c r="AM1037" i="1" s="1"/>
  <c r="AL1073" i="1"/>
  <c r="AK1073" i="1"/>
  <c r="AK1075" i="1" s="1"/>
  <c r="AJ1073" i="1"/>
  <c r="AI1073" i="1"/>
  <c r="AH1073" i="1"/>
  <c r="AG1073" i="1"/>
  <c r="AF1073" i="1"/>
  <c r="AQ1072" i="1"/>
  <c r="AP1072" i="1"/>
  <c r="AO1072" i="1"/>
  <c r="AN1072" i="1"/>
  <c r="AM1072" i="1"/>
  <c r="AJ1072" i="1"/>
  <c r="AI1072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G1072" i="1" s="1"/>
  <c r="AF1071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Q1069" i="1"/>
  <c r="AG1069" i="1"/>
  <c r="AF1069" i="1"/>
  <c r="AQ1068" i="1"/>
  <c r="AP1068" i="1"/>
  <c r="AP1069" i="1" s="1"/>
  <c r="AO1068" i="1"/>
  <c r="AN1068" i="1"/>
  <c r="AM1068" i="1"/>
  <c r="AM1069" i="1" s="1"/>
  <c r="AL1068" i="1"/>
  <c r="AK1068" i="1"/>
  <c r="AJ1068" i="1"/>
  <c r="AI1068" i="1"/>
  <c r="AH1068" i="1"/>
  <c r="AG1068" i="1"/>
  <c r="AF1068" i="1"/>
  <c r="AQ1067" i="1"/>
  <c r="AP1067" i="1"/>
  <c r="AO1067" i="1"/>
  <c r="AN1067" i="1"/>
  <c r="AM1067" i="1"/>
  <c r="AL1067" i="1"/>
  <c r="AK1067" i="1"/>
  <c r="AK1031" i="1" s="1"/>
  <c r="AJ1067" i="1"/>
  <c r="AI1067" i="1"/>
  <c r="AI1069" i="1" s="1"/>
  <c r="AH1067" i="1"/>
  <c r="AH1069" i="1" s="1"/>
  <c r="AG1067" i="1"/>
  <c r="AF1067" i="1"/>
  <c r="AQ1065" i="1"/>
  <c r="AN1065" i="1"/>
  <c r="AL1065" i="1"/>
  <c r="AK1065" i="1"/>
  <c r="AG1065" i="1"/>
  <c r="AF1065" i="1"/>
  <c r="AP1064" i="1"/>
  <c r="AK1064" i="1"/>
  <c r="AG1064" i="1"/>
  <c r="AK1063" i="1"/>
  <c r="AQ1062" i="1"/>
  <c r="AO1062" i="1"/>
  <c r="AN1062" i="1"/>
  <c r="AK1061" i="1"/>
  <c r="AH1061" i="1"/>
  <c r="AG1061" i="1"/>
  <c r="AK1060" i="1"/>
  <c r="AK1066" i="1" s="1"/>
  <c r="AJ1060" i="1"/>
  <c r="AH1060" i="1"/>
  <c r="AG1060" i="1"/>
  <c r="AQ1059" i="1"/>
  <c r="AP1059" i="1"/>
  <c r="AO1059" i="1"/>
  <c r="AN1059" i="1"/>
  <c r="AM1059" i="1"/>
  <c r="AL1059" i="1"/>
  <c r="AK1059" i="1"/>
  <c r="AJ1059" i="1"/>
  <c r="AJ1065" i="1" s="1"/>
  <c r="AI1059" i="1"/>
  <c r="AH1059" i="1"/>
  <c r="AG1059" i="1"/>
  <c r="AF1059" i="1"/>
  <c r="AQ1058" i="1"/>
  <c r="AP1058" i="1"/>
  <c r="AP1040" i="1" s="1"/>
  <c r="AO1058" i="1"/>
  <c r="AO1061" i="1" s="1"/>
  <c r="AN1058" i="1"/>
  <c r="AN1060" i="1" s="1"/>
  <c r="AM1058" i="1"/>
  <c r="AL1058" i="1"/>
  <c r="AK1058" i="1"/>
  <c r="AJ1058" i="1"/>
  <c r="AI1058" i="1"/>
  <c r="AH1058" i="1"/>
  <c r="AG1058" i="1"/>
  <c r="AF1058" i="1"/>
  <c r="AQ1057" i="1"/>
  <c r="AL1057" i="1"/>
  <c r="AK1057" i="1"/>
  <c r="AF1057" i="1"/>
  <c r="AQ1056" i="1"/>
  <c r="AP1056" i="1"/>
  <c r="AO1056" i="1"/>
  <c r="AO1038" i="1" s="1"/>
  <c r="AN1056" i="1"/>
  <c r="AM1056" i="1"/>
  <c r="AL1056" i="1"/>
  <c r="AK1056" i="1"/>
  <c r="AJ1056" i="1"/>
  <c r="AJ1057" i="1" s="1"/>
  <c r="AJ1066" i="1" s="1"/>
  <c r="AI1056" i="1"/>
  <c r="AH1056" i="1"/>
  <c r="AG1056" i="1"/>
  <c r="AG1057" i="1" s="1"/>
  <c r="AF1056" i="1"/>
  <c r="AQ1055" i="1"/>
  <c r="AP1055" i="1"/>
  <c r="AP1057" i="1" s="1"/>
  <c r="AO1055" i="1"/>
  <c r="AN1055" i="1"/>
  <c r="AM1055" i="1"/>
  <c r="AL1055" i="1"/>
  <c r="AL1037" i="1" s="1"/>
  <c r="AK1055" i="1"/>
  <c r="AJ1055" i="1"/>
  <c r="AI1055" i="1"/>
  <c r="AH1055" i="1"/>
  <c r="AH1037" i="1" s="1"/>
  <c r="AG1055" i="1"/>
  <c r="AG1037" i="1" s="1"/>
  <c r="AF1055" i="1"/>
  <c r="AF1037" i="1" s="1"/>
  <c r="AK1054" i="1"/>
  <c r="AQ1053" i="1"/>
  <c r="AP1053" i="1"/>
  <c r="AO1053" i="1"/>
  <c r="AN1053" i="1"/>
  <c r="AM1053" i="1"/>
  <c r="AL1053" i="1"/>
  <c r="AK1053" i="1"/>
  <c r="AJ1053" i="1"/>
  <c r="AI1053" i="1"/>
  <c r="AH1053" i="1"/>
  <c r="AH1054" i="1" s="1"/>
  <c r="AG1053" i="1"/>
  <c r="AF1053" i="1"/>
  <c r="AQ1052" i="1"/>
  <c r="AP1052" i="1"/>
  <c r="AO1052" i="1"/>
  <c r="AN1052" i="1"/>
  <c r="AN1034" i="1" s="1"/>
  <c r="AM1052" i="1"/>
  <c r="AL1052" i="1"/>
  <c r="AK1052" i="1"/>
  <c r="AJ1052" i="1"/>
  <c r="AI1052" i="1"/>
  <c r="AH1052" i="1"/>
  <c r="AG1052" i="1"/>
  <c r="AG1034" i="1" s="1"/>
  <c r="AF1052" i="1"/>
  <c r="AF1034" i="1" s="1"/>
  <c r="AE1052" i="1"/>
  <c r="AJ1051" i="1"/>
  <c r="AI1051" i="1"/>
  <c r="AG1051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Q1049" i="1"/>
  <c r="AQ1031" i="1" s="1"/>
  <c r="AP1049" i="1"/>
  <c r="AO1049" i="1"/>
  <c r="AO1031" i="1" s="1"/>
  <c r="AN1049" i="1"/>
  <c r="AN1031" i="1" s="1"/>
  <c r="AM1049" i="1"/>
  <c r="AL1049" i="1"/>
  <c r="AK1049" i="1"/>
  <c r="AJ1049" i="1"/>
  <c r="AI1049" i="1"/>
  <c r="AH1049" i="1"/>
  <c r="AG1049" i="1"/>
  <c r="AF1049" i="1"/>
  <c r="AM1046" i="1"/>
  <c r="AH1046" i="1"/>
  <c r="AM1043" i="1"/>
  <c r="AQ1041" i="1"/>
  <c r="AN1041" i="1"/>
  <c r="AK1041" i="1"/>
  <c r="AJ1041" i="1"/>
  <c r="AO1040" i="1"/>
  <c r="AN1040" i="1"/>
  <c r="AM1040" i="1"/>
  <c r="AK1040" i="1"/>
  <c r="AH1040" i="1"/>
  <c r="AH1043" i="1" s="1"/>
  <c r="AG1040" i="1"/>
  <c r="AP1038" i="1"/>
  <c r="AP1039" i="1" s="1"/>
  <c r="AN1038" i="1"/>
  <c r="AJ1038" i="1"/>
  <c r="AI1038" i="1"/>
  <c r="AG1038" i="1"/>
  <c r="AG1039" i="1" s="1"/>
  <c r="AF1038" i="1"/>
  <c r="AP1037" i="1"/>
  <c r="AP1046" i="1" s="1"/>
  <c r="AK1037" i="1"/>
  <c r="AK1036" i="1"/>
  <c r="AM1035" i="1"/>
  <c r="AK1035" i="1"/>
  <c r="AQ1034" i="1"/>
  <c r="AP1034" i="1"/>
  <c r="AO1034" i="1"/>
  <c r="AK1034" i="1"/>
  <c r="AJ1034" i="1"/>
  <c r="AI1034" i="1"/>
  <c r="AH1034" i="1"/>
  <c r="AL1032" i="1"/>
  <c r="AI1032" i="1"/>
  <c r="AH1032" i="1"/>
  <c r="AG1032" i="1"/>
  <c r="AG1033" i="1" s="1"/>
  <c r="AP1031" i="1"/>
  <c r="AG1031" i="1"/>
  <c r="AF1031" i="1"/>
  <c r="AQ1029" i="1"/>
  <c r="AO1029" i="1"/>
  <c r="AN1029" i="1"/>
  <c r="AO1028" i="1"/>
  <c r="AL1028" i="1"/>
  <c r="AK1028" i="1"/>
  <c r="AQ1026" i="1"/>
  <c r="AI1026" i="1"/>
  <c r="AO1025" i="1"/>
  <c r="AQ1024" i="1"/>
  <c r="AO1024" i="1"/>
  <c r="AN1024" i="1"/>
  <c r="AL1024" i="1"/>
  <c r="AK1024" i="1"/>
  <c r="AJ1024" i="1"/>
  <c r="AI1024" i="1"/>
  <c r="AQ1023" i="1"/>
  <c r="AP1023" i="1"/>
  <c r="AO1023" i="1"/>
  <c r="AN1023" i="1"/>
  <c r="AM1023" i="1"/>
  <c r="AL1023" i="1"/>
  <c r="AK1023" i="1"/>
  <c r="AJ1023" i="1"/>
  <c r="AI1023" i="1"/>
  <c r="AI1029" i="1" s="1"/>
  <c r="AH1023" i="1"/>
  <c r="AG1023" i="1"/>
  <c r="AF1023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P1021" i="1"/>
  <c r="AO1021" i="1"/>
  <c r="AO1027" i="1" s="1"/>
  <c r="AJ1021" i="1"/>
  <c r="AH1021" i="1"/>
  <c r="AF1021" i="1"/>
  <c r="AQ1020" i="1"/>
  <c r="AP1020" i="1"/>
  <c r="AO1020" i="1"/>
  <c r="AN1020" i="1"/>
  <c r="AN1021" i="1" s="1"/>
  <c r="AM1020" i="1"/>
  <c r="AM1021" i="1" s="1"/>
  <c r="AL1020" i="1"/>
  <c r="AK1020" i="1"/>
  <c r="AJ1020" i="1"/>
  <c r="AI1020" i="1"/>
  <c r="AH1020" i="1"/>
  <c r="AG1020" i="1"/>
  <c r="AF1020" i="1"/>
  <c r="AQ1019" i="1"/>
  <c r="AP1019" i="1"/>
  <c r="AO1019" i="1"/>
  <c r="AN1019" i="1"/>
  <c r="AM1019" i="1"/>
  <c r="AL1019" i="1"/>
  <c r="AK1019" i="1"/>
  <c r="AJ1019" i="1"/>
  <c r="AJ1028" i="1" s="1"/>
  <c r="AI1019" i="1"/>
  <c r="AH1019" i="1"/>
  <c r="AG1019" i="1"/>
  <c r="AF1019" i="1"/>
  <c r="AP1018" i="1"/>
  <c r="AO1018" i="1"/>
  <c r="AN1018" i="1"/>
  <c r="AQ1017" i="1"/>
  <c r="AP1017" i="1"/>
  <c r="AO1017" i="1"/>
  <c r="AN1017" i="1"/>
  <c r="AM1017" i="1"/>
  <c r="AM801" i="1" s="1"/>
  <c r="AL1017" i="1"/>
  <c r="AL1018" i="1" s="1"/>
  <c r="AK1017" i="1"/>
  <c r="AK1018" i="1" s="1"/>
  <c r="AJ1017" i="1"/>
  <c r="AI1017" i="1"/>
  <c r="AH1017" i="1"/>
  <c r="AG1017" i="1"/>
  <c r="AF1017" i="1"/>
  <c r="AQ1016" i="1"/>
  <c r="AQ1018" i="1" s="1"/>
  <c r="AP1016" i="1"/>
  <c r="AO1016" i="1"/>
  <c r="AN1016" i="1"/>
  <c r="AM1016" i="1"/>
  <c r="AL1016" i="1"/>
  <c r="AK1016" i="1"/>
  <c r="AJ1016" i="1"/>
  <c r="AJ980" i="1" s="1"/>
  <c r="AI1016" i="1"/>
  <c r="AH1016" i="1"/>
  <c r="AG1016" i="1"/>
  <c r="AF1016" i="1"/>
  <c r="AF1018" i="1" s="1"/>
  <c r="AN1015" i="1"/>
  <c r="AM1015" i="1"/>
  <c r="AF1015" i="1"/>
  <c r="AQ1014" i="1"/>
  <c r="AP1014" i="1"/>
  <c r="AO1014" i="1"/>
  <c r="AO1015" i="1" s="1"/>
  <c r="AN1014" i="1"/>
  <c r="AM1014" i="1"/>
  <c r="AL1014" i="1"/>
  <c r="AL1015" i="1" s="1"/>
  <c r="AK1014" i="1"/>
  <c r="AK1015" i="1" s="1"/>
  <c r="AJ1014" i="1"/>
  <c r="AI1014" i="1"/>
  <c r="AH1014" i="1"/>
  <c r="AG1014" i="1"/>
  <c r="AF1014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Q1011" i="1"/>
  <c r="AP1010" i="1"/>
  <c r="AO1010" i="1"/>
  <c r="AN1010" i="1"/>
  <c r="AL1010" i="1"/>
  <c r="AJ1010" i="1"/>
  <c r="AI1010" i="1"/>
  <c r="AL1008" i="1"/>
  <c r="AK1008" i="1"/>
  <c r="AP1007" i="1"/>
  <c r="AI1007" i="1"/>
  <c r="AH1007" i="1"/>
  <c r="AG1007" i="1"/>
  <c r="AF1007" i="1"/>
  <c r="AQ1006" i="1"/>
  <c r="AP1006" i="1"/>
  <c r="AN1006" i="1"/>
  <c r="AQ1005" i="1"/>
  <c r="AP1005" i="1"/>
  <c r="AO1005" i="1"/>
  <c r="AN1005" i="1"/>
  <c r="AM1005" i="1"/>
  <c r="AL1005" i="1"/>
  <c r="AK1005" i="1"/>
  <c r="AJ1005" i="1"/>
  <c r="AI1005" i="1"/>
  <c r="AI1011" i="1" s="1"/>
  <c r="AH1005" i="1"/>
  <c r="AG1005" i="1"/>
  <c r="AF1005" i="1"/>
  <c r="AQ1004" i="1"/>
  <c r="AP1004" i="1"/>
  <c r="AP986" i="1" s="1"/>
  <c r="AO1004" i="1"/>
  <c r="AO1007" i="1" s="1"/>
  <c r="AN1004" i="1"/>
  <c r="AN1007" i="1" s="1"/>
  <c r="AM1004" i="1"/>
  <c r="AL1004" i="1"/>
  <c r="AK1004" i="1"/>
  <c r="AJ1004" i="1"/>
  <c r="AI1004" i="1"/>
  <c r="AH1004" i="1"/>
  <c r="AG1004" i="1"/>
  <c r="AG1010" i="1" s="1"/>
  <c r="AF1004" i="1"/>
  <c r="AE1004" i="1"/>
  <c r="AJ1003" i="1"/>
  <c r="AH1003" i="1"/>
  <c r="AQ1002" i="1"/>
  <c r="AQ984" i="1" s="1"/>
  <c r="AP1002" i="1"/>
  <c r="AO1002" i="1"/>
  <c r="AN1002" i="1"/>
  <c r="AM1002" i="1"/>
  <c r="AL1002" i="1"/>
  <c r="AL1011" i="1" s="1"/>
  <c r="AK1002" i="1"/>
  <c r="AJ1002" i="1"/>
  <c r="AI1002" i="1"/>
  <c r="AI1003" i="1" s="1"/>
  <c r="AH1002" i="1"/>
  <c r="AG1002" i="1"/>
  <c r="AF1002" i="1"/>
  <c r="AQ1001" i="1"/>
  <c r="AP1001" i="1"/>
  <c r="AO1001" i="1"/>
  <c r="AN1001" i="1"/>
  <c r="AM1001" i="1"/>
  <c r="AL1001" i="1"/>
  <c r="AL1003" i="1" s="1"/>
  <c r="AK1001" i="1"/>
  <c r="AJ1001" i="1"/>
  <c r="AI1001" i="1"/>
  <c r="AH1001" i="1"/>
  <c r="AG1001" i="1"/>
  <c r="AF1001" i="1"/>
  <c r="AQ1000" i="1"/>
  <c r="AP1000" i="1"/>
  <c r="AJ1000" i="1"/>
  <c r="AG1000" i="1"/>
  <c r="AQ999" i="1"/>
  <c r="AP999" i="1"/>
  <c r="AO999" i="1"/>
  <c r="AN999" i="1"/>
  <c r="AM999" i="1"/>
  <c r="AM1000" i="1" s="1"/>
  <c r="AL999" i="1"/>
  <c r="AK999" i="1"/>
  <c r="AJ999" i="1"/>
  <c r="AI999" i="1"/>
  <c r="AH999" i="1"/>
  <c r="AG999" i="1"/>
  <c r="AF999" i="1"/>
  <c r="AQ998" i="1"/>
  <c r="AP998" i="1"/>
  <c r="AO998" i="1"/>
  <c r="AN998" i="1"/>
  <c r="AM998" i="1"/>
  <c r="AM980" i="1" s="1"/>
  <c r="AL998" i="1"/>
  <c r="AK998" i="1"/>
  <c r="AK980" i="1" s="1"/>
  <c r="AJ998" i="1"/>
  <c r="AI998" i="1"/>
  <c r="AH998" i="1"/>
  <c r="AG998" i="1"/>
  <c r="AF998" i="1"/>
  <c r="AQ997" i="1"/>
  <c r="AG997" i="1"/>
  <c r="AF997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Q995" i="1"/>
  <c r="AP995" i="1"/>
  <c r="AO995" i="1"/>
  <c r="AO977" i="1" s="1"/>
  <c r="AN995" i="1"/>
  <c r="AM995" i="1"/>
  <c r="AL995" i="1"/>
  <c r="AK995" i="1"/>
  <c r="AJ995" i="1"/>
  <c r="AI995" i="1"/>
  <c r="AI997" i="1" s="1"/>
  <c r="AH995" i="1"/>
  <c r="AG995" i="1"/>
  <c r="AF995" i="1"/>
  <c r="AG992" i="1"/>
  <c r="AQ987" i="1"/>
  <c r="AN987" i="1"/>
  <c r="AM987" i="1"/>
  <c r="AL987" i="1"/>
  <c r="AK987" i="1"/>
  <c r="AQ986" i="1"/>
  <c r="AO986" i="1"/>
  <c r="AJ986" i="1"/>
  <c r="AI986" i="1"/>
  <c r="AG986" i="1"/>
  <c r="AG989" i="1" s="1"/>
  <c r="AF986" i="1"/>
  <c r="AJ984" i="1"/>
  <c r="AI984" i="1"/>
  <c r="AH984" i="1"/>
  <c r="AP983" i="1"/>
  <c r="AO983" i="1"/>
  <c r="AN983" i="1"/>
  <c r="AL983" i="1"/>
  <c r="AG983" i="1"/>
  <c r="AP982" i="1"/>
  <c r="AQ981" i="1"/>
  <c r="AP981" i="1"/>
  <c r="AI981" i="1"/>
  <c r="AH981" i="1"/>
  <c r="AG981" i="1"/>
  <c r="AF981" i="1"/>
  <c r="AP980" i="1"/>
  <c r="AO980" i="1"/>
  <c r="AN980" i="1"/>
  <c r="AG980" i="1"/>
  <c r="AJ979" i="1"/>
  <c r="AQ978" i="1"/>
  <c r="AJ978" i="1"/>
  <c r="AI978" i="1"/>
  <c r="AH978" i="1"/>
  <c r="AG978" i="1"/>
  <c r="AF978" i="1"/>
  <c r="AN977" i="1"/>
  <c r="AM977" i="1"/>
  <c r="AL977" i="1"/>
  <c r="AK977" i="1"/>
  <c r="AJ977" i="1"/>
  <c r="AI977" i="1"/>
  <c r="AF977" i="1"/>
  <c r="AF979" i="1" s="1"/>
  <c r="AQ975" i="1"/>
  <c r="AP975" i="1"/>
  <c r="AO975" i="1"/>
  <c r="AN975" i="1"/>
  <c r="AM975" i="1"/>
  <c r="AK975" i="1"/>
  <c r="AF975" i="1"/>
  <c r="AQ974" i="1"/>
  <c r="AN974" i="1"/>
  <c r="AM974" i="1"/>
  <c r="AQ972" i="1"/>
  <c r="AP972" i="1"/>
  <c r="AH972" i="1"/>
  <c r="AG972" i="1"/>
  <c r="AN971" i="1"/>
  <c r="AM971" i="1"/>
  <c r="AH971" i="1"/>
  <c r="AG971" i="1"/>
  <c r="AQ970" i="1"/>
  <c r="AP970" i="1"/>
  <c r="AL970" i="1"/>
  <c r="AQ969" i="1"/>
  <c r="AP969" i="1"/>
  <c r="AO969" i="1"/>
  <c r="AN969" i="1"/>
  <c r="AM969" i="1"/>
  <c r="AL969" i="1"/>
  <c r="AK969" i="1"/>
  <c r="AJ969" i="1"/>
  <c r="AI969" i="1"/>
  <c r="AH969" i="1"/>
  <c r="AH975" i="1" s="1"/>
  <c r="AG969" i="1"/>
  <c r="AF969" i="1"/>
  <c r="AQ968" i="1"/>
  <c r="AP968" i="1"/>
  <c r="AO968" i="1"/>
  <c r="AN968" i="1"/>
  <c r="AN970" i="1" s="1"/>
  <c r="AM968" i="1"/>
  <c r="AL968" i="1"/>
  <c r="AL971" i="1" s="1"/>
  <c r="AK968" i="1"/>
  <c r="AJ968" i="1"/>
  <c r="AI968" i="1"/>
  <c r="AH968" i="1"/>
  <c r="AG968" i="1"/>
  <c r="AF968" i="1"/>
  <c r="AE968" i="1"/>
  <c r="AH967" i="1"/>
  <c r="AG967" i="1"/>
  <c r="AF967" i="1"/>
  <c r="AQ966" i="1"/>
  <c r="AP966" i="1"/>
  <c r="AO966" i="1"/>
  <c r="AN966" i="1"/>
  <c r="AM966" i="1"/>
  <c r="AL966" i="1"/>
  <c r="AK966" i="1"/>
  <c r="AK967" i="1" s="1"/>
  <c r="AJ966" i="1"/>
  <c r="AI966" i="1"/>
  <c r="AH966" i="1"/>
  <c r="AG966" i="1"/>
  <c r="AF966" i="1"/>
  <c r="AQ965" i="1"/>
  <c r="AQ971" i="1" s="1"/>
  <c r="AP965" i="1"/>
  <c r="AO965" i="1"/>
  <c r="AO971" i="1" s="1"/>
  <c r="AN965" i="1"/>
  <c r="AM965" i="1"/>
  <c r="AL965" i="1"/>
  <c r="AK965" i="1"/>
  <c r="AK929" i="1" s="1"/>
  <c r="AJ965" i="1"/>
  <c r="AJ974" i="1" s="1"/>
  <c r="AI965" i="1"/>
  <c r="AH965" i="1"/>
  <c r="AG965" i="1"/>
  <c r="AF965" i="1"/>
  <c r="AM964" i="1"/>
  <c r="AL964" i="1"/>
  <c r="AK964" i="1"/>
  <c r="AJ964" i="1"/>
  <c r="AI964" i="1"/>
  <c r="AH964" i="1"/>
  <c r="AQ963" i="1"/>
  <c r="AP963" i="1"/>
  <c r="AO963" i="1"/>
  <c r="AN963" i="1"/>
  <c r="AM963" i="1"/>
  <c r="AL963" i="1"/>
  <c r="AK963" i="1"/>
  <c r="AJ963" i="1"/>
  <c r="AI963" i="1"/>
  <c r="AH963" i="1"/>
  <c r="AG963" i="1"/>
  <c r="AG964" i="1" s="1"/>
  <c r="AF963" i="1"/>
  <c r="AE963" i="1"/>
  <c r="AQ962" i="1"/>
  <c r="AP962" i="1"/>
  <c r="AP964" i="1" s="1"/>
  <c r="AO962" i="1"/>
  <c r="AN962" i="1"/>
  <c r="AM962" i="1"/>
  <c r="AL962" i="1"/>
  <c r="AK962" i="1"/>
  <c r="AJ962" i="1"/>
  <c r="AI962" i="1"/>
  <c r="AH962" i="1"/>
  <c r="AG962" i="1"/>
  <c r="AF962" i="1"/>
  <c r="AF926" i="1" s="1"/>
  <c r="AQ961" i="1"/>
  <c r="AP961" i="1"/>
  <c r="AN961" i="1"/>
  <c r="AL961" i="1"/>
  <c r="AQ960" i="1"/>
  <c r="AP960" i="1"/>
  <c r="AO960" i="1"/>
  <c r="AN960" i="1"/>
  <c r="AM960" i="1"/>
  <c r="AL960" i="1"/>
  <c r="AK960" i="1"/>
  <c r="AK961" i="1" s="1"/>
  <c r="AJ960" i="1"/>
  <c r="AI960" i="1"/>
  <c r="AH960" i="1"/>
  <c r="AG960" i="1"/>
  <c r="AF960" i="1"/>
  <c r="AQ959" i="1"/>
  <c r="AP959" i="1"/>
  <c r="AO959" i="1"/>
  <c r="AN959" i="1"/>
  <c r="AM959" i="1"/>
  <c r="AL959" i="1"/>
  <c r="AK959" i="1"/>
  <c r="AK923" i="1" s="1"/>
  <c r="AJ959" i="1"/>
  <c r="AI959" i="1"/>
  <c r="AH959" i="1"/>
  <c r="AG959" i="1"/>
  <c r="AG923" i="1" s="1"/>
  <c r="AF959" i="1"/>
  <c r="AP957" i="1"/>
  <c r="AF957" i="1"/>
  <c r="AP956" i="1"/>
  <c r="AO956" i="1"/>
  <c r="AL956" i="1"/>
  <c r="AK956" i="1"/>
  <c r="AG956" i="1"/>
  <c r="AF956" i="1"/>
  <c r="AO954" i="1"/>
  <c r="AN954" i="1"/>
  <c r="AL954" i="1"/>
  <c r="AK954" i="1"/>
  <c r="AP953" i="1"/>
  <c r="AL953" i="1"/>
  <c r="AJ953" i="1"/>
  <c r="AM952" i="1"/>
  <c r="AK952" i="1"/>
  <c r="AK955" i="1" s="1"/>
  <c r="AI952" i="1"/>
  <c r="AH952" i="1"/>
  <c r="AG952" i="1"/>
  <c r="AQ951" i="1"/>
  <c r="AP951" i="1"/>
  <c r="AO951" i="1"/>
  <c r="AN951" i="1"/>
  <c r="AM951" i="1"/>
  <c r="AL951" i="1"/>
  <c r="AK951" i="1"/>
  <c r="AJ951" i="1"/>
  <c r="AI951" i="1"/>
  <c r="AI954" i="1" s="1"/>
  <c r="AH951" i="1"/>
  <c r="AG951" i="1"/>
  <c r="AF951" i="1"/>
  <c r="AE951" i="1"/>
  <c r="AQ950" i="1"/>
  <c r="AP950" i="1"/>
  <c r="AO950" i="1"/>
  <c r="AO953" i="1" s="1"/>
  <c r="AN950" i="1"/>
  <c r="AM950" i="1"/>
  <c r="AL950" i="1"/>
  <c r="AK950" i="1"/>
  <c r="AJ950" i="1"/>
  <c r="AI950" i="1"/>
  <c r="AH950" i="1"/>
  <c r="AG950" i="1"/>
  <c r="AF950" i="1"/>
  <c r="AO949" i="1"/>
  <c r="AN949" i="1"/>
  <c r="AM949" i="1"/>
  <c r="AL949" i="1"/>
  <c r="AK949" i="1"/>
  <c r="AF949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Q947" i="1"/>
  <c r="AP947" i="1"/>
  <c r="AO947" i="1"/>
  <c r="AN947" i="1"/>
  <c r="AM947" i="1"/>
  <c r="AM929" i="1" s="1"/>
  <c r="AL947" i="1"/>
  <c r="AL929" i="1" s="1"/>
  <c r="AL935" i="1" s="1"/>
  <c r="AK947" i="1"/>
  <c r="AJ947" i="1"/>
  <c r="AI947" i="1"/>
  <c r="AH947" i="1"/>
  <c r="AH956" i="1" s="1"/>
  <c r="AG947" i="1"/>
  <c r="AG953" i="1" s="1"/>
  <c r="AF947" i="1"/>
  <c r="AF953" i="1" s="1"/>
  <c r="AE947" i="1"/>
  <c r="AN946" i="1"/>
  <c r="AK946" i="1"/>
  <c r="AI946" i="1"/>
  <c r="AQ945" i="1"/>
  <c r="AP945" i="1"/>
  <c r="AO945" i="1"/>
  <c r="AN945" i="1"/>
  <c r="AN927" i="1" s="1"/>
  <c r="AM945" i="1"/>
  <c r="AM927" i="1" s="1"/>
  <c r="AL945" i="1"/>
  <c r="AK945" i="1"/>
  <c r="AK927" i="1" s="1"/>
  <c r="AJ945" i="1"/>
  <c r="AI945" i="1"/>
  <c r="AH945" i="1"/>
  <c r="AG945" i="1"/>
  <c r="AF945" i="1"/>
  <c r="AQ944" i="1"/>
  <c r="AQ926" i="1" s="1"/>
  <c r="AP944" i="1"/>
  <c r="AO944" i="1"/>
  <c r="AN944" i="1"/>
  <c r="AM944" i="1"/>
  <c r="AL944" i="1"/>
  <c r="AK944" i="1"/>
  <c r="AK926" i="1" s="1"/>
  <c r="AJ944" i="1"/>
  <c r="AJ946" i="1" s="1"/>
  <c r="AI944" i="1"/>
  <c r="AH944" i="1"/>
  <c r="AH926" i="1" s="1"/>
  <c r="AG944" i="1"/>
  <c r="AF944" i="1"/>
  <c r="AG943" i="1"/>
  <c r="AF943" i="1"/>
  <c r="AQ942" i="1"/>
  <c r="AQ943" i="1" s="1"/>
  <c r="AP942" i="1"/>
  <c r="AO942" i="1"/>
  <c r="AN942" i="1"/>
  <c r="AM942" i="1"/>
  <c r="AL942" i="1"/>
  <c r="AK942" i="1"/>
  <c r="AJ942" i="1"/>
  <c r="AI942" i="1"/>
  <c r="AH942" i="1"/>
  <c r="AG942" i="1"/>
  <c r="AF942" i="1"/>
  <c r="AF924" i="1" s="1"/>
  <c r="AQ941" i="1"/>
  <c r="AQ923" i="1" s="1"/>
  <c r="AP941" i="1"/>
  <c r="AO941" i="1"/>
  <c r="AO923" i="1" s="1"/>
  <c r="AN941" i="1"/>
  <c r="AM941" i="1"/>
  <c r="AL941" i="1"/>
  <c r="AL923" i="1" s="1"/>
  <c r="AK941" i="1"/>
  <c r="AJ941" i="1"/>
  <c r="AJ943" i="1" s="1"/>
  <c r="AI941" i="1"/>
  <c r="AH941" i="1"/>
  <c r="AG941" i="1"/>
  <c r="AF941" i="1"/>
  <c r="AO938" i="1"/>
  <c r="AQ933" i="1"/>
  <c r="AK933" i="1"/>
  <c r="AJ933" i="1"/>
  <c r="AI933" i="1"/>
  <c r="AH933" i="1"/>
  <c r="AG933" i="1"/>
  <c r="AQ932" i="1"/>
  <c r="AO932" i="1"/>
  <c r="AN932" i="1"/>
  <c r="AL932" i="1"/>
  <c r="AO931" i="1"/>
  <c r="AM931" i="1"/>
  <c r="AO930" i="1"/>
  <c r="AN930" i="1"/>
  <c r="AM930" i="1"/>
  <c r="AO929" i="1"/>
  <c r="AJ929" i="1"/>
  <c r="AH929" i="1"/>
  <c r="AG929" i="1"/>
  <c r="AQ928" i="1"/>
  <c r="AM928" i="1"/>
  <c r="AK928" i="1"/>
  <c r="AQ927" i="1"/>
  <c r="AJ927" i="1"/>
  <c r="AI927" i="1"/>
  <c r="AI928" i="1" s="1"/>
  <c r="AH927" i="1"/>
  <c r="AP926" i="1"/>
  <c r="AM926" i="1"/>
  <c r="AI926" i="1"/>
  <c r="AG926" i="1"/>
  <c r="AQ924" i="1"/>
  <c r="AQ925" i="1" s="1"/>
  <c r="AP924" i="1"/>
  <c r="AN924" i="1"/>
  <c r="AM923" i="1"/>
  <c r="AJ923" i="1"/>
  <c r="AQ922" i="1"/>
  <c r="AO921" i="1"/>
  <c r="AN921" i="1"/>
  <c r="AM921" i="1"/>
  <c r="AG921" i="1"/>
  <c r="AF921" i="1"/>
  <c r="AQ920" i="1"/>
  <c r="AO920" i="1"/>
  <c r="AJ920" i="1"/>
  <c r="AQ918" i="1"/>
  <c r="AL918" i="1"/>
  <c r="AK918" i="1"/>
  <c r="AI918" i="1"/>
  <c r="AH918" i="1"/>
  <c r="AQ917" i="1"/>
  <c r="AN917" i="1"/>
  <c r="AM917" i="1"/>
  <c r="AH917" i="1"/>
  <c r="AG917" i="1"/>
  <c r="AQ916" i="1"/>
  <c r="AQ919" i="1" s="1"/>
  <c r="AO916" i="1"/>
  <c r="AN916" i="1"/>
  <c r="AK916" i="1"/>
  <c r="AQ915" i="1"/>
  <c r="AQ921" i="1" s="1"/>
  <c r="AP915" i="1"/>
  <c r="AO915" i="1"/>
  <c r="AO918" i="1" s="1"/>
  <c r="AN915" i="1"/>
  <c r="AM915" i="1"/>
  <c r="AL915" i="1"/>
  <c r="AK915" i="1"/>
  <c r="AK921" i="1" s="1"/>
  <c r="AJ915" i="1"/>
  <c r="AI915" i="1"/>
  <c r="AH915" i="1"/>
  <c r="AH916" i="1" s="1"/>
  <c r="AG915" i="1"/>
  <c r="AF915" i="1"/>
  <c r="AQ914" i="1"/>
  <c r="AP914" i="1"/>
  <c r="AO914" i="1"/>
  <c r="AO917" i="1" s="1"/>
  <c r="AN914" i="1"/>
  <c r="AN920" i="1" s="1"/>
  <c r="AM914" i="1"/>
  <c r="AM920" i="1" s="1"/>
  <c r="AL914" i="1"/>
  <c r="AK914" i="1"/>
  <c r="AJ914" i="1"/>
  <c r="AI914" i="1"/>
  <c r="AH914" i="1"/>
  <c r="AH920" i="1" s="1"/>
  <c r="AG914" i="1"/>
  <c r="AG920" i="1" s="1"/>
  <c r="AF914" i="1"/>
  <c r="AQ913" i="1"/>
  <c r="AL913" i="1"/>
  <c r="AG913" i="1"/>
  <c r="AF913" i="1"/>
  <c r="AQ912" i="1"/>
  <c r="AP912" i="1"/>
  <c r="AO912" i="1"/>
  <c r="AN912" i="1"/>
  <c r="AN913" i="1" s="1"/>
  <c r="AM912" i="1"/>
  <c r="AL912" i="1"/>
  <c r="AL876" i="1" s="1"/>
  <c r="AK912" i="1"/>
  <c r="AJ912" i="1"/>
  <c r="AI912" i="1"/>
  <c r="AH912" i="1"/>
  <c r="AG912" i="1"/>
  <c r="AF912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Q910" i="1"/>
  <c r="AQ909" i="1"/>
  <c r="AP909" i="1"/>
  <c r="AO909" i="1"/>
  <c r="AN909" i="1"/>
  <c r="AN910" i="1" s="1"/>
  <c r="AM909" i="1"/>
  <c r="AL909" i="1"/>
  <c r="AL910" i="1" s="1"/>
  <c r="AK909" i="1"/>
  <c r="AJ909" i="1"/>
  <c r="AI909" i="1"/>
  <c r="AH909" i="1"/>
  <c r="AG909" i="1"/>
  <c r="AF909" i="1"/>
  <c r="AQ908" i="1"/>
  <c r="AP908" i="1"/>
  <c r="AP910" i="1" s="1"/>
  <c r="AO908" i="1"/>
  <c r="AN908" i="1"/>
  <c r="AM908" i="1"/>
  <c r="AL908" i="1"/>
  <c r="AL800" i="1" s="1"/>
  <c r="AK908" i="1"/>
  <c r="AJ908" i="1"/>
  <c r="AI908" i="1"/>
  <c r="AH908" i="1"/>
  <c r="AG908" i="1"/>
  <c r="AF908" i="1"/>
  <c r="AH907" i="1"/>
  <c r="AG907" i="1"/>
  <c r="AF907" i="1"/>
  <c r="AQ906" i="1"/>
  <c r="AP906" i="1"/>
  <c r="AO906" i="1"/>
  <c r="AO907" i="1" s="1"/>
  <c r="AN906" i="1"/>
  <c r="AM906" i="1"/>
  <c r="AM907" i="1" s="1"/>
  <c r="AL906" i="1"/>
  <c r="AK906" i="1"/>
  <c r="AK907" i="1" s="1"/>
  <c r="AJ906" i="1"/>
  <c r="AI906" i="1"/>
  <c r="AH906" i="1"/>
  <c r="AG906" i="1"/>
  <c r="AF906" i="1"/>
  <c r="AQ905" i="1"/>
  <c r="AP905" i="1"/>
  <c r="AP797" i="1" s="1"/>
  <c r="AO905" i="1"/>
  <c r="AN905" i="1"/>
  <c r="AN907" i="1" s="1"/>
  <c r="AM905" i="1"/>
  <c r="AL905" i="1"/>
  <c r="AL869" i="1" s="1"/>
  <c r="AK905" i="1"/>
  <c r="AJ905" i="1"/>
  <c r="AI905" i="1"/>
  <c r="AI869" i="1" s="1"/>
  <c r="AH905" i="1"/>
  <c r="AG905" i="1"/>
  <c r="AF905" i="1"/>
  <c r="AQ903" i="1"/>
  <c r="AO903" i="1"/>
  <c r="AH903" i="1"/>
  <c r="AF903" i="1"/>
  <c r="AK902" i="1"/>
  <c r="AF902" i="1"/>
  <c r="AJ900" i="1"/>
  <c r="AF900" i="1"/>
  <c r="AQ899" i="1"/>
  <c r="AK899" i="1"/>
  <c r="AH899" i="1"/>
  <c r="AF899" i="1"/>
  <c r="AO898" i="1"/>
  <c r="AL898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Q896" i="1"/>
  <c r="AP896" i="1"/>
  <c r="AO896" i="1"/>
  <c r="AN896" i="1"/>
  <c r="AM896" i="1"/>
  <c r="AL896" i="1"/>
  <c r="AK896" i="1"/>
  <c r="AK878" i="1" s="1"/>
  <c r="AJ896" i="1"/>
  <c r="AI896" i="1"/>
  <c r="AH896" i="1"/>
  <c r="AH902" i="1" s="1"/>
  <c r="AG896" i="1"/>
  <c r="AF896" i="1"/>
  <c r="AF878" i="1" s="1"/>
  <c r="AJ895" i="1"/>
  <c r="AH895" i="1"/>
  <c r="AG895" i="1"/>
  <c r="AF895" i="1"/>
  <c r="AQ894" i="1"/>
  <c r="AP894" i="1"/>
  <c r="AO894" i="1"/>
  <c r="AN894" i="1"/>
  <c r="AM894" i="1"/>
  <c r="AL894" i="1"/>
  <c r="AK894" i="1"/>
  <c r="AJ894" i="1"/>
  <c r="AI894" i="1"/>
  <c r="AI895" i="1" s="1"/>
  <c r="AH894" i="1"/>
  <c r="AG894" i="1"/>
  <c r="AF894" i="1"/>
  <c r="AQ893" i="1"/>
  <c r="AQ875" i="1" s="1"/>
  <c r="AP893" i="1"/>
  <c r="AO893" i="1"/>
  <c r="AN893" i="1"/>
  <c r="AN875" i="1" s="1"/>
  <c r="AM893" i="1"/>
  <c r="AM875" i="1" s="1"/>
  <c r="AM881" i="1" s="1"/>
  <c r="AL893" i="1"/>
  <c r="AK893" i="1"/>
  <c r="AK895" i="1" s="1"/>
  <c r="AJ893" i="1"/>
  <c r="AI893" i="1"/>
  <c r="AH893" i="1"/>
  <c r="AH875" i="1" s="1"/>
  <c r="AH884" i="1" s="1"/>
  <c r="AG893" i="1"/>
  <c r="AF893" i="1"/>
  <c r="AQ892" i="1"/>
  <c r="AL892" i="1"/>
  <c r="AJ892" i="1"/>
  <c r="AH892" i="1"/>
  <c r="AQ891" i="1"/>
  <c r="AP891" i="1"/>
  <c r="AO891" i="1"/>
  <c r="AO892" i="1" s="1"/>
  <c r="AN891" i="1"/>
  <c r="AM891" i="1"/>
  <c r="AL891" i="1"/>
  <c r="AK891" i="1"/>
  <c r="AJ891" i="1"/>
  <c r="AI891" i="1"/>
  <c r="AH891" i="1"/>
  <c r="AG891" i="1"/>
  <c r="AF891" i="1"/>
  <c r="AQ890" i="1"/>
  <c r="AP890" i="1"/>
  <c r="AO890" i="1"/>
  <c r="AN890" i="1"/>
  <c r="AM890" i="1"/>
  <c r="AL890" i="1"/>
  <c r="AK890" i="1"/>
  <c r="AJ890" i="1"/>
  <c r="AI890" i="1"/>
  <c r="AH890" i="1"/>
  <c r="AH872" i="1" s="1"/>
  <c r="AH874" i="1" s="1"/>
  <c r="AG890" i="1"/>
  <c r="AF890" i="1"/>
  <c r="AO889" i="1"/>
  <c r="AJ889" i="1"/>
  <c r="AI889" i="1"/>
  <c r="AH889" i="1"/>
  <c r="AG889" i="1"/>
  <c r="AQ888" i="1"/>
  <c r="AP888" i="1"/>
  <c r="AO888" i="1"/>
  <c r="AN888" i="1"/>
  <c r="AM888" i="1"/>
  <c r="AL888" i="1"/>
  <c r="AK888" i="1"/>
  <c r="AJ888" i="1"/>
  <c r="AI888" i="1"/>
  <c r="AH888" i="1"/>
  <c r="AG888" i="1"/>
  <c r="AG870" i="1" s="1"/>
  <c r="AF888" i="1"/>
  <c r="AQ887" i="1"/>
  <c r="AP887" i="1"/>
  <c r="AO887" i="1"/>
  <c r="AO869" i="1" s="1"/>
  <c r="AN887" i="1"/>
  <c r="AM887" i="1"/>
  <c r="AL887" i="1"/>
  <c r="AK887" i="1"/>
  <c r="AK869" i="1" s="1"/>
  <c r="AJ887" i="1"/>
  <c r="AI887" i="1"/>
  <c r="AH887" i="1"/>
  <c r="AG887" i="1"/>
  <c r="AF887" i="1"/>
  <c r="AQ879" i="1"/>
  <c r="AP879" i="1"/>
  <c r="AO879" i="1"/>
  <c r="AN879" i="1"/>
  <c r="AL879" i="1"/>
  <c r="AJ879" i="1"/>
  <c r="AI879" i="1"/>
  <c r="AQ878" i="1"/>
  <c r="AP878" i="1"/>
  <c r="AM878" i="1"/>
  <c r="AH878" i="1"/>
  <c r="AI877" i="1"/>
  <c r="AQ876" i="1"/>
  <c r="AQ877" i="1" s="1"/>
  <c r="AK876" i="1"/>
  <c r="AJ876" i="1"/>
  <c r="AJ877" i="1" s="1"/>
  <c r="AI876" i="1"/>
  <c r="AG876" i="1"/>
  <c r="AF876" i="1"/>
  <c r="AJ875" i="1"/>
  <c r="AI875" i="1"/>
  <c r="AG875" i="1"/>
  <c r="AQ873" i="1"/>
  <c r="AH873" i="1"/>
  <c r="AG873" i="1"/>
  <c r="AQ872" i="1"/>
  <c r="AQ874" i="1" s="1"/>
  <c r="AP872" i="1"/>
  <c r="AO872" i="1"/>
  <c r="AN872" i="1"/>
  <c r="AK872" i="1"/>
  <c r="AP870" i="1"/>
  <c r="AM870" i="1"/>
  <c r="AM871" i="1" s="1"/>
  <c r="AJ870" i="1"/>
  <c r="AI870" i="1"/>
  <c r="AH870" i="1"/>
  <c r="AN869" i="1"/>
  <c r="AM869" i="1"/>
  <c r="AJ869" i="1"/>
  <c r="AH869" i="1"/>
  <c r="AG869" i="1"/>
  <c r="AF869" i="1"/>
  <c r="AO867" i="1"/>
  <c r="AN867" i="1"/>
  <c r="AL867" i="1"/>
  <c r="AF867" i="1"/>
  <c r="AL866" i="1"/>
  <c r="AK866" i="1"/>
  <c r="AI866" i="1"/>
  <c r="AH866" i="1"/>
  <c r="AL864" i="1"/>
  <c r="AK864" i="1"/>
  <c r="AJ864" i="1"/>
  <c r="AI864" i="1"/>
  <c r="AH864" i="1"/>
  <c r="AG864" i="1"/>
  <c r="AQ863" i="1"/>
  <c r="AL863" i="1"/>
  <c r="AF863" i="1"/>
  <c r="AO862" i="1"/>
  <c r="AL862" i="1"/>
  <c r="AI862" i="1"/>
  <c r="AQ861" i="1"/>
  <c r="AP861" i="1"/>
  <c r="AO861" i="1"/>
  <c r="AN861" i="1"/>
  <c r="AN864" i="1" s="1"/>
  <c r="AM861" i="1"/>
  <c r="AL861" i="1"/>
  <c r="AK861" i="1"/>
  <c r="AJ861" i="1"/>
  <c r="AI861" i="1"/>
  <c r="AI867" i="1" s="1"/>
  <c r="AH861" i="1"/>
  <c r="AG861" i="1"/>
  <c r="AF861" i="1"/>
  <c r="AF862" i="1" s="1"/>
  <c r="AQ860" i="1"/>
  <c r="AQ824" i="1" s="1"/>
  <c r="AP860" i="1"/>
  <c r="AO860" i="1"/>
  <c r="AN860" i="1"/>
  <c r="AM860" i="1"/>
  <c r="AL860" i="1"/>
  <c r="AK860" i="1"/>
  <c r="AK863" i="1" s="1"/>
  <c r="AJ860" i="1"/>
  <c r="AI860" i="1"/>
  <c r="AH860" i="1"/>
  <c r="AG860" i="1"/>
  <c r="AF860" i="1"/>
  <c r="AF866" i="1" s="1"/>
  <c r="AN859" i="1"/>
  <c r="AI859" i="1"/>
  <c r="AG859" i="1"/>
  <c r="AF859" i="1"/>
  <c r="AQ858" i="1"/>
  <c r="AP858" i="1"/>
  <c r="AO858" i="1"/>
  <c r="AN858" i="1"/>
  <c r="AM858" i="1"/>
  <c r="AL858" i="1"/>
  <c r="AK858" i="1"/>
  <c r="AK859" i="1" s="1"/>
  <c r="AJ858" i="1"/>
  <c r="AI858" i="1"/>
  <c r="AH858" i="1"/>
  <c r="AG858" i="1"/>
  <c r="AG867" i="1" s="1"/>
  <c r="AF858" i="1"/>
  <c r="AQ857" i="1"/>
  <c r="AP857" i="1"/>
  <c r="AO857" i="1"/>
  <c r="AN857" i="1"/>
  <c r="AM857" i="1"/>
  <c r="AL857" i="1"/>
  <c r="AK857" i="1"/>
  <c r="AJ857" i="1"/>
  <c r="AI857" i="1"/>
  <c r="AH857" i="1"/>
  <c r="AH859" i="1" s="1"/>
  <c r="AG857" i="1"/>
  <c r="AF857" i="1"/>
  <c r="AP856" i="1"/>
  <c r="AL856" i="1"/>
  <c r="AF856" i="1"/>
  <c r="AQ855" i="1"/>
  <c r="AP855" i="1"/>
  <c r="AO855" i="1"/>
  <c r="AN855" i="1"/>
  <c r="AM855" i="1"/>
  <c r="AL855" i="1"/>
  <c r="AK855" i="1"/>
  <c r="AJ855" i="1"/>
  <c r="AJ856" i="1" s="1"/>
  <c r="AI855" i="1"/>
  <c r="AH855" i="1"/>
  <c r="AH856" i="1" s="1"/>
  <c r="AG855" i="1"/>
  <c r="AF855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Q853" i="1"/>
  <c r="AP853" i="1"/>
  <c r="AJ853" i="1"/>
  <c r="AI853" i="1"/>
  <c r="AQ852" i="1"/>
  <c r="AQ816" i="1" s="1"/>
  <c r="AP852" i="1"/>
  <c r="AO852" i="1"/>
  <c r="AN852" i="1"/>
  <c r="AM852" i="1"/>
  <c r="AL852" i="1"/>
  <c r="AK852" i="1"/>
  <c r="AJ852" i="1"/>
  <c r="AI852" i="1"/>
  <c r="AH852" i="1"/>
  <c r="AH798" i="1" s="1"/>
  <c r="AG852" i="1"/>
  <c r="AF852" i="1"/>
  <c r="AQ851" i="1"/>
  <c r="AP851" i="1"/>
  <c r="AO851" i="1"/>
  <c r="AO797" i="1" s="1"/>
  <c r="AN851" i="1"/>
  <c r="AN797" i="1" s="1"/>
  <c r="AM851" i="1"/>
  <c r="AM797" i="1" s="1"/>
  <c r="AL851" i="1"/>
  <c r="AL853" i="1" s="1"/>
  <c r="AK851" i="1"/>
  <c r="AJ851" i="1"/>
  <c r="AI851" i="1"/>
  <c r="AH851" i="1"/>
  <c r="AG851" i="1"/>
  <c r="AF851" i="1"/>
  <c r="AQ849" i="1"/>
  <c r="AP849" i="1"/>
  <c r="AF849" i="1"/>
  <c r="AO848" i="1"/>
  <c r="AN848" i="1"/>
  <c r="AJ848" i="1"/>
  <c r="AH848" i="1"/>
  <c r="AQ846" i="1"/>
  <c r="AP846" i="1"/>
  <c r="AM846" i="1"/>
  <c r="AP845" i="1"/>
  <c r="AN845" i="1"/>
  <c r="AM845" i="1"/>
  <c r="AH845" i="1"/>
  <c r="AF845" i="1"/>
  <c r="AQ844" i="1"/>
  <c r="AN844" i="1"/>
  <c r="AM844" i="1"/>
  <c r="AK844" i="1"/>
  <c r="AJ844" i="1"/>
  <c r="AH844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P841" i="1"/>
  <c r="AO841" i="1"/>
  <c r="AJ841" i="1"/>
  <c r="AI841" i="1"/>
  <c r="AH841" i="1"/>
  <c r="AG841" i="1"/>
  <c r="AQ840" i="1"/>
  <c r="AP840" i="1"/>
  <c r="AO840" i="1"/>
  <c r="AN840" i="1"/>
  <c r="AN841" i="1" s="1"/>
  <c r="AM840" i="1"/>
  <c r="AM841" i="1" s="1"/>
  <c r="AL840" i="1"/>
  <c r="AK840" i="1"/>
  <c r="AJ840" i="1"/>
  <c r="AI840" i="1"/>
  <c r="AI822" i="1" s="1"/>
  <c r="AH840" i="1"/>
  <c r="AG840" i="1"/>
  <c r="AF840" i="1"/>
  <c r="AE840" i="1"/>
  <c r="AQ839" i="1"/>
  <c r="AP839" i="1"/>
  <c r="AO839" i="1"/>
  <c r="AN839" i="1"/>
  <c r="AM839" i="1"/>
  <c r="AL839" i="1"/>
  <c r="AK839" i="1"/>
  <c r="AK821" i="1" s="1"/>
  <c r="AJ839" i="1"/>
  <c r="AI839" i="1"/>
  <c r="AH839" i="1"/>
  <c r="AG839" i="1"/>
  <c r="AF839" i="1"/>
  <c r="AP838" i="1"/>
  <c r="AN838" i="1"/>
  <c r="AM838" i="1"/>
  <c r="AL838" i="1"/>
  <c r="AK838" i="1"/>
  <c r="AG838" i="1"/>
  <c r="AF838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 s="1"/>
  <c r="AQ836" i="1"/>
  <c r="AP836" i="1"/>
  <c r="AO836" i="1"/>
  <c r="AN836" i="1"/>
  <c r="AM836" i="1"/>
  <c r="AL836" i="1"/>
  <c r="AK836" i="1"/>
  <c r="AJ836" i="1"/>
  <c r="AJ818" i="1" s="1"/>
  <c r="AI836" i="1"/>
  <c r="AI782" i="1" s="1"/>
  <c r="AH836" i="1"/>
  <c r="AG836" i="1"/>
  <c r="AF836" i="1"/>
  <c r="AL835" i="1"/>
  <c r="AG835" i="1"/>
  <c r="AQ834" i="1"/>
  <c r="AP834" i="1"/>
  <c r="AO834" i="1"/>
  <c r="AN834" i="1"/>
  <c r="AM834" i="1"/>
  <c r="AL834" i="1"/>
  <c r="AK834" i="1"/>
  <c r="AJ834" i="1"/>
  <c r="AI834" i="1"/>
  <c r="AH834" i="1"/>
  <c r="AH835" i="1" s="1"/>
  <c r="AG834" i="1"/>
  <c r="AF834" i="1"/>
  <c r="AQ833" i="1"/>
  <c r="AP833" i="1"/>
  <c r="AO833" i="1"/>
  <c r="AN833" i="1"/>
  <c r="AM833" i="1"/>
  <c r="AL833" i="1"/>
  <c r="AK833" i="1"/>
  <c r="AK835" i="1" s="1"/>
  <c r="AJ833" i="1"/>
  <c r="AI833" i="1"/>
  <c r="AH833" i="1"/>
  <c r="AG833" i="1"/>
  <c r="AF833" i="1"/>
  <c r="AG827" i="1"/>
  <c r="AO825" i="1"/>
  <c r="AN825" i="1"/>
  <c r="AM825" i="1"/>
  <c r="AL825" i="1"/>
  <c r="AG825" i="1"/>
  <c r="AP824" i="1"/>
  <c r="AL824" i="1"/>
  <c r="AJ824" i="1"/>
  <c r="AI824" i="1"/>
  <c r="AG824" i="1"/>
  <c r="AF824" i="1"/>
  <c r="AQ822" i="1"/>
  <c r="AP822" i="1"/>
  <c r="AO822" i="1"/>
  <c r="AN822" i="1"/>
  <c r="AN823" i="1" s="1"/>
  <c r="AK822" i="1"/>
  <c r="AK823" i="1" s="1"/>
  <c r="AJ822" i="1"/>
  <c r="AH822" i="1"/>
  <c r="AH823" i="1" s="1"/>
  <c r="AG822" i="1"/>
  <c r="AP821" i="1"/>
  <c r="AN821" i="1"/>
  <c r="AM821" i="1"/>
  <c r="AL821" i="1"/>
  <c r="AH821" i="1"/>
  <c r="AG821" i="1"/>
  <c r="AF821" i="1"/>
  <c r="AQ819" i="1"/>
  <c r="AP819" i="1"/>
  <c r="AO819" i="1"/>
  <c r="AL819" i="1"/>
  <c r="AL820" i="1" s="1"/>
  <c r="AJ819" i="1"/>
  <c r="AJ820" i="1" s="1"/>
  <c r="AF819" i="1"/>
  <c r="AL818" i="1"/>
  <c r="AK818" i="1"/>
  <c r="AI818" i="1"/>
  <c r="AL816" i="1"/>
  <c r="AH816" i="1"/>
  <c r="AF816" i="1"/>
  <c r="AQ815" i="1"/>
  <c r="AP815" i="1"/>
  <c r="AN815" i="1"/>
  <c r="AL815" i="1"/>
  <c r="AL817" i="1" s="1"/>
  <c r="AK815" i="1"/>
  <c r="AI815" i="1"/>
  <c r="AG810" i="1"/>
  <c r="AO807" i="1"/>
  <c r="AN807" i="1"/>
  <c r="AH807" i="1"/>
  <c r="AG807" i="1"/>
  <c r="AF807" i="1"/>
  <c r="AQ806" i="1"/>
  <c r="AP806" i="1"/>
  <c r="AO806" i="1"/>
  <c r="AK806" i="1"/>
  <c r="AJ806" i="1"/>
  <c r="AH806" i="1"/>
  <c r="AF806" i="1"/>
  <c r="AP804" i="1"/>
  <c r="AO804" i="1"/>
  <c r="AN804" i="1"/>
  <c r="AJ804" i="1"/>
  <c r="AI804" i="1"/>
  <c r="AG804" i="1"/>
  <c r="AG805" i="1" s="1"/>
  <c r="AM803" i="1"/>
  <c r="AL803" i="1"/>
  <c r="AH803" i="1"/>
  <c r="AG803" i="1"/>
  <c r="AP801" i="1"/>
  <c r="AN801" i="1"/>
  <c r="AN802" i="1" s="1"/>
  <c r="AJ801" i="1"/>
  <c r="AH801" i="1"/>
  <c r="AN800" i="1"/>
  <c r="AK800" i="1"/>
  <c r="AQ798" i="1"/>
  <c r="AP798" i="1"/>
  <c r="AP799" i="1" s="1"/>
  <c r="AM798" i="1"/>
  <c r="AM799" i="1" s="1"/>
  <c r="AI798" i="1"/>
  <c r="AL797" i="1"/>
  <c r="AI797" i="1"/>
  <c r="AH797" i="1"/>
  <c r="AQ789" i="1"/>
  <c r="AN789" i="1"/>
  <c r="AL789" i="1"/>
  <c r="AI789" i="1"/>
  <c r="AG789" i="1"/>
  <c r="AH788" i="1"/>
  <c r="AO786" i="1"/>
  <c r="AN786" i="1"/>
  <c r="AK786" i="1"/>
  <c r="AJ786" i="1"/>
  <c r="AN785" i="1"/>
  <c r="AM785" i="1"/>
  <c r="AM767" i="1" s="1"/>
  <c r="AL785" i="1"/>
  <c r="AK785" i="1"/>
  <c r="AJ785" i="1"/>
  <c r="AI785" i="1"/>
  <c r="AH785" i="1"/>
  <c r="AG785" i="1"/>
  <c r="AH783" i="1"/>
  <c r="AO782" i="1"/>
  <c r="AN782" i="1"/>
  <c r="AN764" i="1" s="1"/>
  <c r="AJ782" i="1"/>
  <c r="AO780" i="1"/>
  <c r="AJ780" i="1"/>
  <c r="AG779" i="1"/>
  <c r="AF779" i="1"/>
  <c r="AG771" i="1"/>
  <c r="AO768" i="1"/>
  <c r="AN768" i="1"/>
  <c r="AL767" i="1"/>
  <c r="AQ760" i="1"/>
  <c r="AI760" i="1"/>
  <c r="AO759" i="1"/>
  <c r="AI759" i="1"/>
  <c r="AH759" i="1"/>
  <c r="AG759" i="1"/>
  <c r="AQ758" i="1"/>
  <c r="AN758" i="1"/>
  <c r="AL758" i="1"/>
  <c r="AK758" i="1"/>
  <c r="AI757" i="1"/>
  <c r="AO756" i="1"/>
  <c r="AL756" i="1"/>
  <c r="AQ755" i="1"/>
  <c r="AM755" i="1"/>
  <c r="AL755" i="1"/>
  <c r="AK755" i="1"/>
  <c r="AJ755" i="1"/>
  <c r="AI755" i="1"/>
  <c r="AG755" i="1"/>
  <c r="AQ754" i="1"/>
  <c r="AQ757" i="1" s="1"/>
  <c r="AP754" i="1"/>
  <c r="AI754" i="1"/>
  <c r="AG754" i="1"/>
  <c r="AF754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Q752" i="1"/>
  <c r="AP752" i="1"/>
  <c r="AO752" i="1"/>
  <c r="AN752" i="1"/>
  <c r="AN755" i="1" s="1"/>
  <c r="AM752" i="1"/>
  <c r="AM758" i="1" s="1"/>
  <c r="AL752" i="1"/>
  <c r="AK752" i="1"/>
  <c r="AJ752" i="1"/>
  <c r="AI752" i="1"/>
  <c r="AH752" i="1"/>
  <c r="AG752" i="1"/>
  <c r="AF752" i="1"/>
  <c r="AO751" i="1"/>
  <c r="AM751" i="1"/>
  <c r="AL751" i="1"/>
  <c r="AK751" i="1"/>
  <c r="AI751" i="1"/>
  <c r="AG751" i="1"/>
  <c r="AQ750" i="1"/>
  <c r="AP750" i="1"/>
  <c r="AO750" i="1"/>
  <c r="AN750" i="1"/>
  <c r="AM750" i="1"/>
  <c r="AL750" i="1"/>
  <c r="AK750" i="1"/>
  <c r="AJ750" i="1"/>
  <c r="AJ714" i="1" s="1"/>
  <c r="AI750" i="1"/>
  <c r="AH750" i="1"/>
  <c r="AG750" i="1"/>
  <c r="AG756" i="1" s="1"/>
  <c r="AF750" i="1"/>
  <c r="AQ749" i="1"/>
  <c r="AQ751" i="1" s="1"/>
  <c r="AP749" i="1"/>
  <c r="AP751" i="1" s="1"/>
  <c r="AO749" i="1"/>
  <c r="AN749" i="1"/>
  <c r="AM749" i="1"/>
  <c r="AL749" i="1"/>
  <c r="AK749" i="1"/>
  <c r="AK713" i="1" s="1"/>
  <c r="AJ749" i="1"/>
  <c r="AI749" i="1"/>
  <c r="AH749" i="1"/>
  <c r="AG749" i="1"/>
  <c r="AG758" i="1" s="1"/>
  <c r="AF749" i="1"/>
  <c r="AH748" i="1"/>
  <c r="AG748" i="1"/>
  <c r="AF748" i="1"/>
  <c r="AQ747" i="1"/>
  <c r="AP747" i="1"/>
  <c r="AO747" i="1"/>
  <c r="AN747" i="1"/>
  <c r="AM747" i="1"/>
  <c r="AL747" i="1"/>
  <c r="AK747" i="1"/>
  <c r="AK748" i="1" s="1"/>
  <c r="AJ747" i="1"/>
  <c r="AJ748" i="1" s="1"/>
  <c r="AI747" i="1"/>
  <c r="AH747" i="1"/>
  <c r="AG747" i="1"/>
  <c r="AF747" i="1"/>
  <c r="AQ746" i="1"/>
  <c r="AP746" i="1"/>
  <c r="AP710" i="1" s="1"/>
  <c r="AO746" i="1"/>
  <c r="AO710" i="1" s="1"/>
  <c r="AN746" i="1"/>
  <c r="AM746" i="1"/>
  <c r="AM748" i="1" s="1"/>
  <c r="AL746" i="1"/>
  <c r="AL710" i="1" s="1"/>
  <c r="AL712" i="1" s="1"/>
  <c r="AK746" i="1"/>
  <c r="AJ746" i="1"/>
  <c r="AI746" i="1"/>
  <c r="AH746" i="1"/>
  <c r="AG746" i="1"/>
  <c r="AF746" i="1"/>
  <c r="AN745" i="1"/>
  <c r="AL745" i="1"/>
  <c r="AK745" i="1"/>
  <c r="AJ745" i="1"/>
  <c r="AI745" i="1"/>
  <c r="AH745" i="1"/>
  <c r="AQ744" i="1"/>
  <c r="AP744" i="1"/>
  <c r="AO744" i="1"/>
  <c r="AN744" i="1"/>
  <c r="AM744" i="1"/>
  <c r="AL744" i="1"/>
  <c r="AK744" i="1"/>
  <c r="AJ744" i="1"/>
  <c r="AI744" i="1"/>
  <c r="AI708" i="1" s="1"/>
  <c r="AH744" i="1"/>
  <c r="AH708" i="1" s="1"/>
  <c r="AG744" i="1"/>
  <c r="AF744" i="1"/>
  <c r="AF474" i="1" s="1"/>
  <c r="AQ743" i="1"/>
  <c r="AP743" i="1"/>
  <c r="AO743" i="1"/>
  <c r="AN743" i="1"/>
  <c r="AM743" i="1"/>
  <c r="AM745" i="1" s="1"/>
  <c r="AL743" i="1"/>
  <c r="AK743" i="1"/>
  <c r="AJ743" i="1"/>
  <c r="AI743" i="1"/>
  <c r="AH743" i="1"/>
  <c r="AH707" i="1" s="1"/>
  <c r="AG743" i="1"/>
  <c r="AF743" i="1"/>
  <c r="AP741" i="1"/>
  <c r="AO741" i="1"/>
  <c r="AM741" i="1"/>
  <c r="AK741" i="1"/>
  <c r="AJ741" i="1"/>
  <c r="AN740" i="1"/>
  <c r="AG740" i="1"/>
  <c r="AP738" i="1"/>
  <c r="AJ738" i="1"/>
  <c r="AG738" i="1"/>
  <c r="AF738" i="1"/>
  <c r="AO737" i="1"/>
  <c r="AN737" i="1"/>
  <c r="AG737" i="1"/>
  <c r="AP736" i="1"/>
  <c r="AK736" i="1"/>
  <c r="AJ736" i="1"/>
  <c r="AQ735" i="1"/>
  <c r="AP735" i="1"/>
  <c r="AO735" i="1"/>
  <c r="AN735" i="1"/>
  <c r="AM735" i="1"/>
  <c r="AL735" i="1"/>
  <c r="AK735" i="1"/>
  <c r="AK738" i="1" s="1"/>
  <c r="AJ735" i="1"/>
  <c r="AI735" i="1"/>
  <c r="AH735" i="1"/>
  <c r="AG735" i="1"/>
  <c r="AF735" i="1"/>
  <c r="AE735" i="1" s="1"/>
  <c r="AQ734" i="1"/>
  <c r="AP734" i="1"/>
  <c r="AO734" i="1"/>
  <c r="AN734" i="1"/>
  <c r="AN716" i="1" s="1"/>
  <c r="AN719" i="1" s="1"/>
  <c r="AM734" i="1"/>
  <c r="AL734" i="1"/>
  <c r="AK734" i="1"/>
  <c r="AJ734" i="1"/>
  <c r="AI734" i="1"/>
  <c r="AH734" i="1"/>
  <c r="AG734" i="1"/>
  <c r="AF734" i="1"/>
  <c r="AE734" i="1"/>
  <c r="AK733" i="1"/>
  <c r="AH733" i="1"/>
  <c r="AG733" i="1"/>
  <c r="AQ732" i="1"/>
  <c r="AP732" i="1"/>
  <c r="AO732" i="1"/>
  <c r="AN732" i="1"/>
  <c r="AN733" i="1" s="1"/>
  <c r="AM732" i="1"/>
  <c r="AL732" i="1"/>
  <c r="AK732" i="1"/>
  <c r="AJ732" i="1"/>
  <c r="AI732" i="1"/>
  <c r="AH732" i="1"/>
  <c r="AH714" i="1" s="1"/>
  <c r="AG732" i="1"/>
  <c r="AG714" i="1" s="1"/>
  <c r="AF732" i="1"/>
  <c r="AF733" i="1" s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Q730" i="1"/>
  <c r="AP730" i="1"/>
  <c r="AO730" i="1"/>
  <c r="AN730" i="1"/>
  <c r="AM730" i="1"/>
  <c r="AL730" i="1"/>
  <c r="AQ729" i="1"/>
  <c r="AP729" i="1"/>
  <c r="AO729" i="1"/>
  <c r="AN729" i="1"/>
  <c r="AM729" i="1"/>
  <c r="AL729" i="1"/>
  <c r="AL711" i="1" s="1"/>
  <c r="AK729" i="1"/>
  <c r="AJ729" i="1"/>
  <c r="AI729" i="1"/>
  <c r="AH729" i="1"/>
  <c r="AG729" i="1"/>
  <c r="AF729" i="1"/>
  <c r="AQ728" i="1"/>
  <c r="AP728" i="1"/>
  <c r="AO728" i="1"/>
  <c r="AN728" i="1"/>
  <c r="AM728" i="1"/>
  <c r="AL728" i="1"/>
  <c r="AK728" i="1"/>
  <c r="AJ728" i="1"/>
  <c r="AI728" i="1"/>
  <c r="AI710" i="1" s="1"/>
  <c r="AH728" i="1"/>
  <c r="AG728" i="1"/>
  <c r="AF728" i="1"/>
  <c r="AO727" i="1"/>
  <c r="AH727" i="1"/>
  <c r="AG727" i="1"/>
  <c r="AF727" i="1"/>
  <c r="AQ726" i="1"/>
  <c r="AP726" i="1"/>
  <c r="AP727" i="1" s="1"/>
  <c r="AO726" i="1"/>
  <c r="AN726" i="1"/>
  <c r="AM726" i="1"/>
  <c r="AL726" i="1"/>
  <c r="AL727" i="1" s="1"/>
  <c r="AK726" i="1"/>
  <c r="AJ726" i="1"/>
  <c r="AI726" i="1"/>
  <c r="AH726" i="1"/>
  <c r="AG726" i="1"/>
  <c r="AF726" i="1"/>
  <c r="AQ725" i="1"/>
  <c r="AQ707" i="1" s="1"/>
  <c r="AP725" i="1"/>
  <c r="AO725" i="1"/>
  <c r="AN725" i="1"/>
  <c r="AN707" i="1" s="1"/>
  <c r="AM725" i="1"/>
  <c r="AM707" i="1" s="1"/>
  <c r="AL725" i="1"/>
  <c r="AK725" i="1"/>
  <c r="AK707" i="1" s="1"/>
  <c r="AJ725" i="1"/>
  <c r="AJ707" i="1" s="1"/>
  <c r="AI725" i="1"/>
  <c r="AH725" i="1"/>
  <c r="AG725" i="1"/>
  <c r="AF725" i="1"/>
  <c r="AO722" i="1"/>
  <c r="AN722" i="1"/>
  <c r="AG719" i="1"/>
  <c r="AQ717" i="1"/>
  <c r="AQ720" i="1" s="1"/>
  <c r="AP717" i="1"/>
  <c r="AO717" i="1"/>
  <c r="AM717" i="1"/>
  <c r="AJ717" i="1"/>
  <c r="AI717" i="1"/>
  <c r="AQ716" i="1"/>
  <c r="AP716" i="1"/>
  <c r="AO716" i="1"/>
  <c r="AG716" i="1"/>
  <c r="AK715" i="1"/>
  <c r="AQ714" i="1"/>
  <c r="AP714" i="1"/>
  <c r="AO714" i="1"/>
  <c r="AK714" i="1"/>
  <c r="AF714" i="1"/>
  <c r="AO713" i="1"/>
  <c r="AN713" i="1"/>
  <c r="AM713" i="1"/>
  <c r="AL713" i="1"/>
  <c r="AH713" i="1"/>
  <c r="AG713" i="1"/>
  <c r="AP711" i="1"/>
  <c r="AP712" i="1" s="1"/>
  <c r="AN711" i="1"/>
  <c r="AM711" i="1"/>
  <c r="AM712" i="1" s="1"/>
  <c r="AG711" i="1"/>
  <c r="AM710" i="1"/>
  <c r="AK710" i="1"/>
  <c r="AJ710" i="1"/>
  <c r="AH710" i="1"/>
  <c r="AP708" i="1"/>
  <c r="AO708" i="1"/>
  <c r="AM708" i="1"/>
  <c r="AM709" i="1" s="1"/>
  <c r="AK708" i="1"/>
  <c r="AO707" i="1"/>
  <c r="AL707" i="1"/>
  <c r="AG707" i="1"/>
  <c r="AF707" i="1"/>
  <c r="Y706" i="1"/>
  <c r="X706" i="1"/>
  <c r="W706" i="1"/>
  <c r="L706" i="1"/>
  <c r="J706" i="1"/>
  <c r="I706" i="1"/>
  <c r="G706" i="1"/>
  <c r="F706" i="1"/>
  <c r="Y705" i="1"/>
  <c r="X705" i="1"/>
  <c r="W705" i="1"/>
  <c r="V705" i="1"/>
  <c r="U705" i="1"/>
  <c r="T705" i="1"/>
  <c r="S705" i="1"/>
  <c r="R705" i="1"/>
  <c r="Q705" i="1"/>
  <c r="P705" i="1"/>
  <c r="O705" i="1"/>
  <c r="M705" i="1"/>
  <c r="L705" i="1"/>
  <c r="K705" i="1"/>
  <c r="J705" i="1"/>
  <c r="I705" i="1"/>
  <c r="H705" i="1"/>
  <c r="G705" i="1"/>
  <c r="F705" i="1"/>
  <c r="AM704" i="1"/>
  <c r="Y704" i="1"/>
  <c r="X704" i="1"/>
  <c r="W704" i="1"/>
  <c r="V704" i="1"/>
  <c r="U704" i="1"/>
  <c r="S704" i="1"/>
  <c r="R704" i="1"/>
  <c r="Q704" i="1"/>
  <c r="P704" i="1"/>
  <c r="O704" i="1"/>
  <c r="M704" i="1"/>
  <c r="L704" i="1"/>
  <c r="K704" i="1"/>
  <c r="J704" i="1"/>
  <c r="I704" i="1"/>
  <c r="H704" i="1"/>
  <c r="G704" i="1"/>
  <c r="AM703" i="1"/>
  <c r="Y703" i="1"/>
  <c r="X703" i="1"/>
  <c r="W703" i="1"/>
  <c r="L703" i="1"/>
  <c r="I703" i="1"/>
  <c r="G703" i="1"/>
  <c r="F703" i="1"/>
  <c r="AN702" i="1"/>
  <c r="AM702" i="1"/>
  <c r="AL702" i="1"/>
  <c r="AG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G702" i="1"/>
  <c r="AM701" i="1"/>
  <c r="AI701" i="1"/>
  <c r="AH701" i="1"/>
  <c r="AG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G701" i="1"/>
  <c r="F701" i="1"/>
  <c r="AM700" i="1"/>
  <c r="AL700" i="1"/>
  <c r="AJ700" i="1"/>
  <c r="AH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AQ699" i="1"/>
  <c r="AP699" i="1"/>
  <c r="AO699" i="1"/>
  <c r="AN699" i="1"/>
  <c r="AM699" i="1"/>
  <c r="AM705" i="1" s="1"/>
  <c r="AL699" i="1"/>
  <c r="AL705" i="1" s="1"/>
  <c r="AK699" i="1"/>
  <c r="AJ699" i="1"/>
  <c r="AI699" i="1"/>
  <c r="AH699" i="1"/>
  <c r="AG699" i="1"/>
  <c r="AF699" i="1"/>
  <c r="T699" i="1"/>
  <c r="N699" i="1"/>
  <c r="N705" i="1" s="1"/>
  <c r="F699" i="1"/>
  <c r="AQ698" i="1"/>
  <c r="AP698" i="1"/>
  <c r="AO698" i="1"/>
  <c r="AN698" i="1"/>
  <c r="AM698" i="1"/>
  <c r="AL698" i="1"/>
  <c r="AK698" i="1"/>
  <c r="AJ698" i="1"/>
  <c r="AI698" i="1"/>
  <c r="AI704" i="1" s="1"/>
  <c r="AH698" i="1"/>
  <c r="AH704" i="1" s="1"/>
  <c r="AG698" i="1"/>
  <c r="AF698" i="1"/>
  <c r="T698" i="1"/>
  <c r="N698" i="1"/>
  <c r="N704" i="1" s="1"/>
  <c r="F698" i="1"/>
  <c r="F704" i="1" s="1"/>
  <c r="AP697" i="1"/>
  <c r="AO697" i="1"/>
  <c r="AN697" i="1"/>
  <c r="AM697" i="1"/>
  <c r="AI697" i="1"/>
  <c r="AH697" i="1"/>
  <c r="AG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M706" i="1" s="1"/>
  <c r="L697" i="1"/>
  <c r="K697" i="1"/>
  <c r="J697" i="1"/>
  <c r="I697" i="1"/>
  <c r="G697" i="1"/>
  <c r="AQ696" i="1"/>
  <c r="AP696" i="1"/>
  <c r="AO696" i="1"/>
  <c r="AN696" i="1"/>
  <c r="AM696" i="1"/>
  <c r="AL696" i="1"/>
  <c r="AK696" i="1"/>
  <c r="AJ696" i="1"/>
  <c r="AI696" i="1"/>
  <c r="AH696" i="1"/>
  <c r="AG696" i="1"/>
  <c r="AG660" i="1" s="1"/>
  <c r="AF696" i="1"/>
  <c r="T696" i="1"/>
  <c r="N696" i="1"/>
  <c r="H696" i="1"/>
  <c r="F696" i="1"/>
  <c r="F697" i="1" s="1"/>
  <c r="AQ695" i="1"/>
  <c r="AP695" i="1"/>
  <c r="AO695" i="1"/>
  <c r="AO659" i="1" s="1"/>
  <c r="AN695" i="1"/>
  <c r="AM695" i="1"/>
  <c r="AL695" i="1"/>
  <c r="AK695" i="1"/>
  <c r="AJ695" i="1"/>
  <c r="AI695" i="1"/>
  <c r="AH695" i="1"/>
  <c r="AH659" i="1" s="1"/>
  <c r="AG695" i="1"/>
  <c r="AF695" i="1"/>
  <c r="T695" i="1"/>
  <c r="N695" i="1"/>
  <c r="H695" i="1"/>
  <c r="H701" i="1" s="1"/>
  <c r="F695" i="1"/>
  <c r="AQ694" i="1"/>
  <c r="AK694" i="1"/>
  <c r="AJ694" i="1"/>
  <c r="AI694" i="1"/>
  <c r="AH694" i="1"/>
  <c r="Y694" i="1"/>
  <c r="X694" i="1"/>
  <c r="W694" i="1"/>
  <c r="V694" i="1"/>
  <c r="U694" i="1"/>
  <c r="T694" i="1"/>
  <c r="S694" i="1"/>
  <c r="R694" i="1"/>
  <c r="Q694" i="1"/>
  <c r="P694" i="1"/>
  <c r="O694" i="1"/>
  <c r="M694" i="1"/>
  <c r="L694" i="1"/>
  <c r="K694" i="1"/>
  <c r="J694" i="1"/>
  <c r="I694" i="1"/>
  <c r="G694" i="1"/>
  <c r="AQ693" i="1"/>
  <c r="AP693" i="1"/>
  <c r="AP694" i="1" s="1"/>
  <c r="AO693" i="1"/>
  <c r="AO694" i="1" s="1"/>
  <c r="AN693" i="1"/>
  <c r="AM693" i="1"/>
  <c r="AL693" i="1"/>
  <c r="AK693" i="1"/>
  <c r="AJ693" i="1"/>
  <c r="AI693" i="1"/>
  <c r="AH693" i="1"/>
  <c r="AG693" i="1"/>
  <c r="AF693" i="1"/>
  <c r="T693" i="1"/>
  <c r="N693" i="1"/>
  <c r="H693" i="1"/>
  <c r="F693" i="1"/>
  <c r="F694" i="1" s="1"/>
  <c r="AQ692" i="1"/>
  <c r="AP692" i="1"/>
  <c r="AO692" i="1"/>
  <c r="AN692" i="1"/>
  <c r="AM692" i="1"/>
  <c r="AM656" i="1" s="1"/>
  <c r="AL692" i="1"/>
  <c r="AL656" i="1" s="1"/>
  <c r="AK692" i="1"/>
  <c r="AJ692" i="1"/>
  <c r="AI692" i="1"/>
  <c r="AH692" i="1"/>
  <c r="AG692" i="1"/>
  <c r="AF692" i="1"/>
  <c r="T692" i="1"/>
  <c r="N692" i="1"/>
  <c r="N694" i="1" s="1"/>
  <c r="H692" i="1"/>
  <c r="F692" i="1"/>
  <c r="AN691" i="1"/>
  <c r="AM691" i="1"/>
  <c r="AL691" i="1"/>
  <c r="AH691" i="1"/>
  <c r="Y691" i="1"/>
  <c r="X691" i="1"/>
  <c r="W691" i="1"/>
  <c r="V691" i="1"/>
  <c r="U691" i="1"/>
  <c r="S691" i="1"/>
  <c r="R691" i="1"/>
  <c r="Q691" i="1"/>
  <c r="P691" i="1"/>
  <c r="O691" i="1"/>
  <c r="N691" i="1"/>
  <c r="M691" i="1"/>
  <c r="L691" i="1"/>
  <c r="K691" i="1"/>
  <c r="J691" i="1"/>
  <c r="I691" i="1"/>
  <c r="G691" i="1"/>
  <c r="AQ690" i="1"/>
  <c r="AQ691" i="1" s="1"/>
  <c r="AP690" i="1"/>
  <c r="AO690" i="1"/>
  <c r="AN690" i="1"/>
  <c r="AN654" i="1" s="1"/>
  <c r="AM690" i="1"/>
  <c r="AL690" i="1"/>
  <c r="AK690" i="1"/>
  <c r="AJ690" i="1"/>
  <c r="AI690" i="1"/>
  <c r="AI691" i="1" s="1"/>
  <c r="AH690" i="1"/>
  <c r="AG690" i="1"/>
  <c r="AF690" i="1"/>
  <c r="T690" i="1"/>
  <c r="N690" i="1"/>
  <c r="H690" i="1"/>
  <c r="AQ689" i="1"/>
  <c r="AP689" i="1"/>
  <c r="AO689" i="1"/>
  <c r="AN689" i="1"/>
  <c r="AN653" i="1" s="1"/>
  <c r="AM689" i="1"/>
  <c r="AL689" i="1"/>
  <c r="AK689" i="1"/>
  <c r="AK691" i="1" s="1"/>
  <c r="AJ689" i="1"/>
  <c r="AI689" i="1"/>
  <c r="AH689" i="1"/>
  <c r="AG689" i="1"/>
  <c r="AF689" i="1"/>
  <c r="T689" i="1"/>
  <c r="N689" i="1"/>
  <c r="H689" i="1"/>
  <c r="F689" i="1" s="1"/>
  <c r="W688" i="1"/>
  <c r="U688" i="1"/>
  <c r="M688" i="1"/>
  <c r="G688" i="1"/>
  <c r="AQ687" i="1"/>
  <c r="AK687" i="1"/>
  <c r="AJ687" i="1"/>
  <c r="AI687" i="1"/>
  <c r="AH687" i="1"/>
  <c r="AG687" i="1"/>
  <c r="AF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G687" i="1"/>
  <c r="AI686" i="1"/>
  <c r="AH686" i="1"/>
  <c r="AG686" i="1"/>
  <c r="AF686" i="1"/>
  <c r="Y686" i="1"/>
  <c r="X686" i="1"/>
  <c r="W686" i="1"/>
  <c r="V686" i="1"/>
  <c r="U686" i="1"/>
  <c r="S686" i="1"/>
  <c r="R686" i="1"/>
  <c r="Q686" i="1"/>
  <c r="P686" i="1"/>
  <c r="O686" i="1"/>
  <c r="N686" i="1"/>
  <c r="M686" i="1"/>
  <c r="L686" i="1"/>
  <c r="K686" i="1"/>
  <c r="J686" i="1"/>
  <c r="I686" i="1"/>
  <c r="G686" i="1"/>
  <c r="AI685" i="1"/>
  <c r="AH685" i="1"/>
  <c r="W685" i="1"/>
  <c r="O685" i="1"/>
  <c r="L685" i="1"/>
  <c r="K685" i="1"/>
  <c r="J685" i="1"/>
  <c r="G685" i="1"/>
  <c r="AQ684" i="1"/>
  <c r="AP684" i="1"/>
  <c r="AI684" i="1"/>
  <c r="AH684" i="1"/>
  <c r="AG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G684" i="1"/>
  <c r="AP683" i="1"/>
  <c r="AI683" i="1"/>
  <c r="AH683" i="1"/>
  <c r="AG683" i="1"/>
  <c r="Y683" i="1"/>
  <c r="X683" i="1"/>
  <c r="W683" i="1"/>
  <c r="V683" i="1"/>
  <c r="U683" i="1"/>
  <c r="S683" i="1"/>
  <c r="R683" i="1"/>
  <c r="Q683" i="1"/>
  <c r="P683" i="1"/>
  <c r="O683" i="1"/>
  <c r="N683" i="1"/>
  <c r="M683" i="1"/>
  <c r="L683" i="1"/>
  <c r="K683" i="1"/>
  <c r="J683" i="1"/>
  <c r="I683" i="1"/>
  <c r="G683" i="1"/>
  <c r="AH682" i="1"/>
  <c r="AH688" i="1" s="1"/>
  <c r="AF682" i="1"/>
  <c r="Y682" i="1"/>
  <c r="X682" i="1"/>
  <c r="W682" i="1"/>
  <c r="V682" i="1"/>
  <c r="U682" i="1"/>
  <c r="U685" i="1" s="1"/>
  <c r="S682" i="1"/>
  <c r="R682" i="1"/>
  <c r="Q682" i="1"/>
  <c r="P682" i="1"/>
  <c r="O682" i="1"/>
  <c r="N682" i="1"/>
  <c r="L682" i="1"/>
  <c r="L688" i="1" s="1"/>
  <c r="K682" i="1"/>
  <c r="J682" i="1"/>
  <c r="J688" i="1" s="1"/>
  <c r="I682" i="1"/>
  <c r="H682" i="1"/>
  <c r="G682" i="1"/>
  <c r="AQ681" i="1"/>
  <c r="AP681" i="1"/>
  <c r="AO681" i="1"/>
  <c r="AN681" i="1"/>
  <c r="AM681" i="1"/>
  <c r="AL681" i="1"/>
  <c r="AK681" i="1"/>
  <c r="AJ681" i="1"/>
  <c r="AI681" i="1"/>
  <c r="AI682" i="1" s="1"/>
  <c r="AH681" i="1"/>
  <c r="AG681" i="1"/>
  <c r="AG682" i="1" s="1"/>
  <c r="AF681" i="1"/>
  <c r="AF684" i="1" s="1"/>
  <c r="T681" i="1"/>
  <c r="F681" i="1" s="1"/>
  <c r="N681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T680" i="1"/>
  <c r="N680" i="1"/>
  <c r="AQ679" i="1"/>
  <c r="AP679" i="1"/>
  <c r="AI679" i="1"/>
  <c r="AI688" i="1" s="1"/>
  <c r="Y679" i="1"/>
  <c r="X679" i="1"/>
  <c r="W679" i="1"/>
  <c r="V679" i="1"/>
  <c r="U679" i="1"/>
  <c r="T679" i="1"/>
  <c r="S679" i="1"/>
  <c r="S688" i="1" s="1"/>
  <c r="R679" i="1"/>
  <c r="Q679" i="1"/>
  <c r="P679" i="1"/>
  <c r="O679" i="1"/>
  <c r="O688" i="1" s="1"/>
  <c r="N679" i="1"/>
  <c r="N688" i="1" s="1"/>
  <c r="M679" i="1"/>
  <c r="M685" i="1" s="1"/>
  <c r="L679" i="1"/>
  <c r="K679" i="1"/>
  <c r="K688" i="1" s="1"/>
  <c r="J679" i="1"/>
  <c r="I679" i="1"/>
  <c r="G679" i="1"/>
  <c r="AQ678" i="1"/>
  <c r="AP678" i="1"/>
  <c r="AP660" i="1" s="1"/>
  <c r="AP661" i="1" s="1"/>
  <c r="AO678" i="1"/>
  <c r="AO679" i="1" s="1"/>
  <c r="AN678" i="1"/>
  <c r="AM678" i="1"/>
  <c r="AL678" i="1"/>
  <c r="AK678" i="1"/>
  <c r="AJ678" i="1"/>
  <c r="AI678" i="1"/>
  <c r="AI660" i="1" s="1"/>
  <c r="AH678" i="1"/>
  <c r="AG678" i="1"/>
  <c r="AF678" i="1"/>
  <c r="AF679" i="1" s="1"/>
  <c r="T678" i="1"/>
  <c r="N678" i="1"/>
  <c r="H678" i="1"/>
  <c r="H684" i="1" s="1"/>
  <c r="F678" i="1"/>
  <c r="AQ677" i="1"/>
  <c r="AP677" i="1"/>
  <c r="AP659" i="1" s="1"/>
  <c r="AO677" i="1"/>
  <c r="AN677" i="1"/>
  <c r="AM677" i="1"/>
  <c r="AL677" i="1"/>
  <c r="AK677" i="1"/>
  <c r="AJ677" i="1"/>
  <c r="AI677" i="1"/>
  <c r="AH677" i="1"/>
  <c r="AH679" i="1" s="1"/>
  <c r="AG677" i="1"/>
  <c r="AF677" i="1"/>
  <c r="T677" i="1"/>
  <c r="N677" i="1"/>
  <c r="H677" i="1"/>
  <c r="AQ676" i="1"/>
  <c r="AP676" i="1"/>
  <c r="AN676" i="1"/>
  <c r="AM676" i="1"/>
  <c r="AK676" i="1"/>
  <c r="AI676" i="1"/>
  <c r="AF676" i="1"/>
  <c r="Y676" i="1"/>
  <c r="X676" i="1"/>
  <c r="W676" i="1"/>
  <c r="V676" i="1"/>
  <c r="U676" i="1"/>
  <c r="T676" i="1"/>
  <c r="S676" i="1"/>
  <c r="R676" i="1"/>
  <c r="Q676" i="1"/>
  <c r="P676" i="1"/>
  <c r="O676" i="1"/>
  <c r="M676" i="1"/>
  <c r="L676" i="1"/>
  <c r="K676" i="1"/>
  <c r="J676" i="1"/>
  <c r="I676" i="1"/>
  <c r="G676" i="1"/>
  <c r="AQ675" i="1"/>
  <c r="AP675" i="1"/>
  <c r="AP657" i="1" s="1"/>
  <c r="AO675" i="1"/>
  <c r="AN675" i="1"/>
  <c r="AN657" i="1" s="1"/>
  <c r="AM675" i="1"/>
  <c r="AL675" i="1"/>
  <c r="AL676" i="1" s="1"/>
  <c r="AK675" i="1"/>
  <c r="AJ675" i="1"/>
  <c r="AI675" i="1"/>
  <c r="AH675" i="1"/>
  <c r="AH676" i="1" s="1"/>
  <c r="AG675" i="1"/>
  <c r="AG676" i="1" s="1"/>
  <c r="AF675" i="1"/>
  <c r="T675" i="1"/>
  <c r="N675" i="1"/>
  <c r="F675" i="1" s="1"/>
  <c r="F676" i="1" s="1"/>
  <c r="H675" i="1"/>
  <c r="AQ674" i="1"/>
  <c r="AQ656" i="1" s="1"/>
  <c r="AP674" i="1"/>
  <c r="AO674" i="1"/>
  <c r="AO656" i="1" s="1"/>
  <c r="AN674" i="1"/>
  <c r="AN656" i="1" s="1"/>
  <c r="AN658" i="1" s="1"/>
  <c r="AM674" i="1"/>
  <c r="AL674" i="1"/>
  <c r="AK674" i="1"/>
  <c r="AJ674" i="1"/>
  <c r="AI674" i="1"/>
  <c r="AI656" i="1" s="1"/>
  <c r="AH674" i="1"/>
  <c r="AG674" i="1"/>
  <c r="AF674" i="1"/>
  <c r="T674" i="1"/>
  <c r="N674" i="1"/>
  <c r="F674" i="1" s="1"/>
  <c r="H674" i="1"/>
  <c r="AO673" i="1"/>
  <c r="AN673" i="1"/>
  <c r="AL673" i="1"/>
  <c r="AJ673" i="1"/>
  <c r="AG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G673" i="1"/>
  <c r="AQ672" i="1"/>
  <c r="AP672" i="1"/>
  <c r="AO672" i="1"/>
  <c r="AN672" i="1"/>
  <c r="AM672" i="1"/>
  <c r="AL672" i="1"/>
  <c r="AL654" i="1" s="1"/>
  <c r="AK672" i="1"/>
  <c r="AJ672" i="1"/>
  <c r="AI672" i="1"/>
  <c r="AH672" i="1"/>
  <c r="AG672" i="1"/>
  <c r="AF672" i="1"/>
  <c r="T672" i="1"/>
  <c r="N672" i="1"/>
  <c r="H672" i="1"/>
  <c r="F672" i="1"/>
  <c r="F673" i="1" s="1"/>
  <c r="AQ671" i="1"/>
  <c r="AQ653" i="1" s="1"/>
  <c r="AP671" i="1"/>
  <c r="AO671" i="1"/>
  <c r="AN671" i="1"/>
  <c r="AM671" i="1"/>
  <c r="AM653" i="1" s="1"/>
  <c r="AL671" i="1"/>
  <c r="AL653" i="1" s="1"/>
  <c r="AK671" i="1"/>
  <c r="AK653" i="1" s="1"/>
  <c r="AJ671" i="1"/>
  <c r="AJ653" i="1" s="1"/>
  <c r="AI671" i="1"/>
  <c r="AH671" i="1"/>
  <c r="AG671" i="1"/>
  <c r="AF671" i="1"/>
  <c r="T671" i="1"/>
  <c r="N671" i="1"/>
  <c r="H671" i="1"/>
  <c r="F671" i="1"/>
  <c r="I670" i="1"/>
  <c r="X669" i="1"/>
  <c r="M669" i="1"/>
  <c r="L669" i="1"/>
  <c r="I669" i="1"/>
  <c r="G669" i="1"/>
  <c r="V668" i="1"/>
  <c r="R668" i="1"/>
  <c r="AN666" i="1"/>
  <c r="K666" i="1"/>
  <c r="X665" i="1"/>
  <c r="S665" i="1"/>
  <c r="Q665" i="1"/>
  <c r="L665" i="1"/>
  <c r="K665" i="1"/>
  <c r="G665" i="1"/>
  <c r="X664" i="1"/>
  <c r="U664" i="1"/>
  <c r="P664" i="1"/>
  <c r="O664" i="1"/>
  <c r="I664" i="1"/>
  <c r="I667" i="1" s="1"/>
  <c r="G664" i="1"/>
  <c r="AO663" i="1"/>
  <c r="AN663" i="1"/>
  <c r="AF663" i="1"/>
  <c r="Y663" i="1"/>
  <c r="X663" i="1"/>
  <c r="W663" i="1"/>
  <c r="V663" i="1"/>
  <c r="U663" i="1"/>
  <c r="S663" i="1"/>
  <c r="R663" i="1"/>
  <c r="Q663" i="1"/>
  <c r="P663" i="1"/>
  <c r="O663" i="1"/>
  <c r="M663" i="1"/>
  <c r="M666" i="1" s="1"/>
  <c r="L663" i="1"/>
  <c r="K663" i="1"/>
  <c r="J663" i="1"/>
  <c r="I663" i="1"/>
  <c r="G663" i="1"/>
  <c r="AI662" i="1"/>
  <c r="AG662" i="1"/>
  <c r="AF662" i="1"/>
  <c r="Y662" i="1"/>
  <c r="X662" i="1"/>
  <c r="W662" i="1"/>
  <c r="V662" i="1"/>
  <c r="U662" i="1"/>
  <c r="S662" i="1"/>
  <c r="R662" i="1"/>
  <c r="Q662" i="1"/>
  <c r="Q668" i="1" s="1"/>
  <c r="P662" i="1"/>
  <c r="O662" i="1"/>
  <c r="M662" i="1"/>
  <c r="L662" i="1"/>
  <c r="K662" i="1"/>
  <c r="K668" i="1" s="1"/>
  <c r="J662" i="1"/>
  <c r="I662" i="1"/>
  <c r="H662" i="1"/>
  <c r="G662" i="1"/>
  <c r="X661" i="1"/>
  <c r="W661" i="1"/>
  <c r="S661" i="1"/>
  <c r="K661" i="1"/>
  <c r="G661" i="1"/>
  <c r="AO660" i="1"/>
  <c r="AO661" i="1" s="1"/>
  <c r="AN660" i="1"/>
  <c r="AH660" i="1"/>
  <c r="AH661" i="1" s="1"/>
  <c r="Y660" i="1"/>
  <c r="Y669" i="1" s="1"/>
  <c r="X660" i="1"/>
  <c r="W660" i="1"/>
  <c r="V660" i="1"/>
  <c r="U660" i="1"/>
  <c r="S660" i="1"/>
  <c r="R660" i="1"/>
  <c r="R661" i="1" s="1"/>
  <c r="Q660" i="1"/>
  <c r="Q661" i="1" s="1"/>
  <c r="P660" i="1"/>
  <c r="O660" i="1"/>
  <c r="M660" i="1"/>
  <c r="L660" i="1"/>
  <c r="K660" i="1"/>
  <c r="J660" i="1"/>
  <c r="I660" i="1"/>
  <c r="I661" i="1" s="1"/>
  <c r="H660" i="1"/>
  <c r="G660" i="1"/>
  <c r="AN659" i="1"/>
  <c r="AM659" i="1"/>
  <c r="AJ659" i="1"/>
  <c r="AI659" i="1"/>
  <c r="AF659" i="1"/>
  <c r="Y659" i="1"/>
  <c r="X659" i="1"/>
  <c r="X668" i="1" s="1"/>
  <c r="W659" i="1"/>
  <c r="V659" i="1"/>
  <c r="U659" i="1"/>
  <c r="S659" i="1"/>
  <c r="R659" i="1"/>
  <c r="Q659" i="1"/>
  <c r="P659" i="1"/>
  <c r="O659" i="1"/>
  <c r="O661" i="1" s="1"/>
  <c r="M659" i="1"/>
  <c r="L659" i="1"/>
  <c r="K659" i="1"/>
  <c r="J659" i="1"/>
  <c r="I659" i="1"/>
  <c r="G659" i="1"/>
  <c r="Y658" i="1"/>
  <c r="W658" i="1"/>
  <c r="R658" i="1"/>
  <c r="Q658" i="1"/>
  <c r="P658" i="1"/>
  <c r="AQ657" i="1"/>
  <c r="AQ658" i="1" s="1"/>
  <c r="AL657" i="1"/>
  <c r="AL658" i="1" s="1"/>
  <c r="AK657" i="1"/>
  <c r="AJ657" i="1"/>
  <c r="AJ658" i="1" s="1"/>
  <c r="AI657" i="1"/>
  <c r="AI658" i="1" s="1"/>
  <c r="AH657" i="1"/>
  <c r="AH658" i="1" s="1"/>
  <c r="AG657" i="1"/>
  <c r="Y657" i="1"/>
  <c r="X657" i="1"/>
  <c r="W657" i="1"/>
  <c r="V657" i="1"/>
  <c r="V658" i="1" s="1"/>
  <c r="U657" i="1"/>
  <c r="T657" i="1"/>
  <c r="S657" i="1"/>
  <c r="N657" i="1" s="1"/>
  <c r="R657" i="1"/>
  <c r="Q657" i="1"/>
  <c r="P657" i="1"/>
  <c r="O657" i="1"/>
  <c r="M657" i="1"/>
  <c r="M658" i="1" s="1"/>
  <c r="L657" i="1"/>
  <c r="L658" i="1" s="1"/>
  <c r="K657" i="1"/>
  <c r="J657" i="1"/>
  <c r="J658" i="1" s="1"/>
  <c r="I657" i="1"/>
  <c r="I658" i="1" s="1"/>
  <c r="G657" i="1"/>
  <c r="G658" i="1" s="1"/>
  <c r="AP656" i="1"/>
  <c r="AK656" i="1"/>
  <c r="AJ656" i="1"/>
  <c r="AH656" i="1"/>
  <c r="AF656" i="1"/>
  <c r="Y656" i="1"/>
  <c r="X656" i="1"/>
  <c r="W656" i="1"/>
  <c r="V656" i="1"/>
  <c r="U656" i="1"/>
  <c r="S656" i="1"/>
  <c r="R656" i="1"/>
  <c r="Q656" i="1"/>
  <c r="P656" i="1"/>
  <c r="O656" i="1"/>
  <c r="M656" i="1"/>
  <c r="L656" i="1"/>
  <c r="K656" i="1"/>
  <c r="H656" i="1" s="1"/>
  <c r="J656" i="1"/>
  <c r="I656" i="1"/>
  <c r="G656" i="1"/>
  <c r="AO655" i="1"/>
  <c r="AF655" i="1"/>
  <c r="Y655" i="1"/>
  <c r="X655" i="1"/>
  <c r="U655" i="1"/>
  <c r="R655" i="1"/>
  <c r="Q655" i="1"/>
  <c r="P655" i="1"/>
  <c r="AO654" i="1"/>
  <c r="AJ654" i="1"/>
  <c r="AJ655" i="1" s="1"/>
  <c r="AF654" i="1"/>
  <c r="Y654" i="1"/>
  <c r="X654" i="1"/>
  <c r="W654" i="1"/>
  <c r="V654" i="1"/>
  <c r="V655" i="1" s="1"/>
  <c r="U654" i="1"/>
  <c r="S654" i="1"/>
  <c r="R654" i="1"/>
  <c r="Q654" i="1"/>
  <c r="P654" i="1"/>
  <c r="O654" i="1"/>
  <c r="N654" i="1" s="1"/>
  <c r="M654" i="1"/>
  <c r="L654" i="1"/>
  <c r="K654" i="1"/>
  <c r="J654" i="1"/>
  <c r="J655" i="1" s="1"/>
  <c r="I654" i="1"/>
  <c r="G654" i="1"/>
  <c r="AP653" i="1"/>
  <c r="AO653" i="1"/>
  <c r="AH653" i="1"/>
  <c r="AG653" i="1"/>
  <c r="AF653" i="1"/>
  <c r="Y653" i="1"/>
  <c r="X653" i="1"/>
  <c r="W653" i="1"/>
  <c r="V653" i="1"/>
  <c r="U653" i="1"/>
  <c r="T653" i="1"/>
  <c r="S653" i="1"/>
  <c r="R653" i="1"/>
  <c r="Q653" i="1"/>
  <c r="N653" i="1" s="1"/>
  <c r="P653" i="1"/>
  <c r="O653" i="1"/>
  <c r="M653" i="1"/>
  <c r="L653" i="1"/>
  <c r="K653" i="1"/>
  <c r="J653" i="1"/>
  <c r="I653" i="1"/>
  <c r="G653" i="1"/>
  <c r="U652" i="1"/>
  <c r="S652" i="1"/>
  <c r="R652" i="1"/>
  <c r="Q652" i="1"/>
  <c r="P652" i="1"/>
  <c r="O652" i="1"/>
  <c r="AO651" i="1"/>
  <c r="AM651" i="1"/>
  <c r="AL651" i="1"/>
  <c r="AG651" i="1"/>
  <c r="Y651" i="1"/>
  <c r="X651" i="1"/>
  <c r="W651" i="1"/>
  <c r="V651" i="1"/>
  <c r="U651" i="1"/>
  <c r="S651" i="1"/>
  <c r="R651" i="1"/>
  <c r="Q651" i="1"/>
  <c r="P651" i="1"/>
  <c r="O651" i="1"/>
  <c r="M651" i="1"/>
  <c r="L651" i="1"/>
  <c r="K651" i="1"/>
  <c r="J651" i="1"/>
  <c r="I651" i="1"/>
  <c r="G651" i="1"/>
  <c r="AO650" i="1"/>
  <c r="AN650" i="1"/>
  <c r="AL650" i="1"/>
  <c r="AK650" i="1"/>
  <c r="AI650" i="1"/>
  <c r="Y650" i="1"/>
  <c r="X650" i="1"/>
  <c r="W650" i="1"/>
  <c r="V650" i="1"/>
  <c r="U650" i="1"/>
  <c r="S650" i="1"/>
  <c r="R650" i="1"/>
  <c r="Q650" i="1"/>
  <c r="P650" i="1"/>
  <c r="O650" i="1"/>
  <c r="N650" i="1"/>
  <c r="M650" i="1"/>
  <c r="L650" i="1"/>
  <c r="K650" i="1"/>
  <c r="J650" i="1"/>
  <c r="I650" i="1"/>
  <c r="G650" i="1"/>
  <c r="V649" i="1"/>
  <c r="S649" i="1"/>
  <c r="R649" i="1"/>
  <c r="Q649" i="1"/>
  <c r="AQ648" i="1"/>
  <c r="AO648" i="1"/>
  <c r="AM648" i="1"/>
  <c r="AK648" i="1"/>
  <c r="AJ648" i="1"/>
  <c r="Y648" i="1"/>
  <c r="X648" i="1"/>
  <c r="W648" i="1"/>
  <c r="V648" i="1"/>
  <c r="U648" i="1"/>
  <c r="S648" i="1"/>
  <c r="R648" i="1"/>
  <c r="Q648" i="1"/>
  <c r="P648" i="1"/>
  <c r="O648" i="1"/>
  <c r="M648" i="1"/>
  <c r="L648" i="1"/>
  <c r="K648" i="1"/>
  <c r="J648" i="1"/>
  <c r="I648" i="1"/>
  <c r="H648" i="1"/>
  <c r="G648" i="1"/>
  <c r="AP647" i="1"/>
  <c r="AN647" i="1"/>
  <c r="AL647" i="1"/>
  <c r="AI647" i="1"/>
  <c r="Y647" i="1"/>
  <c r="X647" i="1"/>
  <c r="W647" i="1"/>
  <c r="V647" i="1"/>
  <c r="U647" i="1"/>
  <c r="S647" i="1"/>
  <c r="R647" i="1"/>
  <c r="Q647" i="1"/>
  <c r="P647" i="1"/>
  <c r="O647" i="1"/>
  <c r="M647" i="1"/>
  <c r="L647" i="1"/>
  <c r="K647" i="1"/>
  <c r="J647" i="1"/>
  <c r="I647" i="1"/>
  <c r="H647" i="1"/>
  <c r="G647" i="1"/>
  <c r="AN646" i="1"/>
  <c r="AM646" i="1"/>
  <c r="AL646" i="1"/>
  <c r="AI646" i="1"/>
  <c r="AH646" i="1"/>
  <c r="Y646" i="1"/>
  <c r="X646" i="1"/>
  <c r="W646" i="1"/>
  <c r="V646" i="1"/>
  <c r="V652" i="1" s="1"/>
  <c r="U646" i="1"/>
  <c r="U649" i="1" s="1"/>
  <c r="S646" i="1"/>
  <c r="R646" i="1"/>
  <c r="Q646" i="1"/>
  <c r="P646" i="1"/>
  <c r="O646" i="1"/>
  <c r="O649" i="1" s="1"/>
  <c r="M646" i="1"/>
  <c r="L646" i="1"/>
  <c r="L649" i="1" s="1"/>
  <c r="K646" i="1"/>
  <c r="J646" i="1"/>
  <c r="J649" i="1" s="1"/>
  <c r="I646" i="1"/>
  <c r="H646" i="1"/>
  <c r="H652" i="1" s="1"/>
  <c r="G646" i="1"/>
  <c r="AQ645" i="1"/>
  <c r="AQ646" i="1" s="1"/>
  <c r="AP645" i="1"/>
  <c r="AO645" i="1"/>
  <c r="AO646" i="1" s="1"/>
  <c r="AN645" i="1"/>
  <c r="AM645" i="1"/>
  <c r="AL645" i="1"/>
  <c r="AK645" i="1"/>
  <c r="AJ645" i="1"/>
  <c r="AI645" i="1"/>
  <c r="AH645" i="1"/>
  <c r="AG645" i="1"/>
  <c r="AF645" i="1"/>
  <c r="T645" i="1"/>
  <c r="N645" i="1"/>
  <c r="AQ644" i="1"/>
  <c r="AP644" i="1"/>
  <c r="AO644" i="1"/>
  <c r="AO647" i="1" s="1"/>
  <c r="AN644" i="1"/>
  <c r="AM644" i="1"/>
  <c r="AL644" i="1"/>
  <c r="AK644" i="1"/>
  <c r="AK647" i="1" s="1"/>
  <c r="AJ644" i="1"/>
  <c r="AI644" i="1"/>
  <c r="AH644" i="1"/>
  <c r="AG644" i="1"/>
  <c r="AF644" i="1"/>
  <c r="T644" i="1"/>
  <c r="N644" i="1"/>
  <c r="AP643" i="1"/>
  <c r="AM643" i="1"/>
  <c r="AM652" i="1" s="1"/>
  <c r="AK643" i="1"/>
  <c r="AG643" i="1"/>
  <c r="Y643" i="1"/>
  <c r="X643" i="1"/>
  <c r="W643" i="1"/>
  <c r="V643" i="1"/>
  <c r="U643" i="1"/>
  <c r="S643" i="1"/>
  <c r="R643" i="1"/>
  <c r="Q643" i="1"/>
  <c r="P643" i="1"/>
  <c r="P649" i="1" s="1"/>
  <c r="O643" i="1"/>
  <c r="M643" i="1"/>
  <c r="L643" i="1"/>
  <c r="K643" i="1"/>
  <c r="K649" i="1" s="1"/>
  <c r="J643" i="1"/>
  <c r="I643" i="1"/>
  <c r="I649" i="1" s="1"/>
  <c r="H643" i="1"/>
  <c r="G643" i="1"/>
  <c r="AQ642" i="1"/>
  <c r="AP642" i="1"/>
  <c r="AP606" i="1" s="1"/>
  <c r="AP607" i="1" s="1"/>
  <c r="AO642" i="1"/>
  <c r="AN642" i="1"/>
  <c r="AM642" i="1"/>
  <c r="AL642" i="1"/>
  <c r="AK642" i="1"/>
  <c r="AJ642" i="1"/>
  <c r="AJ643" i="1" s="1"/>
  <c r="AI642" i="1"/>
  <c r="AI643" i="1" s="1"/>
  <c r="AH642" i="1"/>
  <c r="AG642" i="1"/>
  <c r="AF642" i="1"/>
  <c r="T642" i="1"/>
  <c r="N642" i="1"/>
  <c r="H642" i="1"/>
  <c r="H651" i="1" s="1"/>
  <c r="AQ641" i="1"/>
  <c r="AP641" i="1"/>
  <c r="AO641" i="1"/>
  <c r="AN641" i="1"/>
  <c r="AM641" i="1"/>
  <c r="AL641" i="1"/>
  <c r="AK641" i="1"/>
  <c r="AJ641" i="1"/>
  <c r="AI641" i="1"/>
  <c r="AH641" i="1"/>
  <c r="AH650" i="1" s="1"/>
  <c r="AG641" i="1"/>
  <c r="AF641" i="1"/>
  <c r="AE641" i="1" s="1"/>
  <c r="T641" i="1"/>
  <c r="N641" i="1"/>
  <c r="H641" i="1"/>
  <c r="H650" i="1" s="1"/>
  <c r="AP640" i="1"/>
  <c r="Y640" i="1"/>
  <c r="X640" i="1"/>
  <c r="W640" i="1"/>
  <c r="V640" i="1"/>
  <c r="U640" i="1"/>
  <c r="S640" i="1"/>
  <c r="R640" i="1"/>
  <c r="Q640" i="1"/>
  <c r="P640" i="1"/>
  <c r="O640" i="1"/>
  <c r="N640" i="1"/>
  <c r="M640" i="1"/>
  <c r="L640" i="1"/>
  <c r="K640" i="1"/>
  <c r="J640" i="1"/>
  <c r="I640" i="1"/>
  <c r="G640" i="1"/>
  <c r="AQ639" i="1"/>
  <c r="AQ640" i="1" s="1"/>
  <c r="AP639" i="1"/>
  <c r="AO639" i="1"/>
  <c r="AN639" i="1"/>
  <c r="AM639" i="1"/>
  <c r="AM640" i="1" s="1"/>
  <c r="AL639" i="1"/>
  <c r="AK639" i="1"/>
  <c r="AJ639" i="1"/>
  <c r="AJ640" i="1" s="1"/>
  <c r="AI639" i="1"/>
  <c r="AH639" i="1"/>
  <c r="AG639" i="1"/>
  <c r="AF639" i="1"/>
  <c r="T639" i="1"/>
  <c r="T640" i="1" s="1"/>
  <c r="N639" i="1"/>
  <c r="H639" i="1"/>
  <c r="F639" i="1"/>
  <c r="AQ638" i="1"/>
  <c r="AP638" i="1"/>
  <c r="AO638" i="1"/>
  <c r="AN638" i="1"/>
  <c r="AM638" i="1"/>
  <c r="AL638" i="1"/>
  <c r="AL476" i="1" s="1"/>
  <c r="AK638" i="1"/>
  <c r="AK476" i="1" s="1"/>
  <c r="AJ638" i="1"/>
  <c r="AI638" i="1"/>
  <c r="AH638" i="1"/>
  <c r="AH640" i="1" s="1"/>
  <c r="AG638" i="1"/>
  <c r="AG640" i="1" s="1"/>
  <c r="AF638" i="1"/>
  <c r="AF640" i="1" s="1"/>
  <c r="T638" i="1"/>
  <c r="N638" i="1"/>
  <c r="H638" i="1"/>
  <c r="AM637" i="1"/>
  <c r="AL637" i="1"/>
  <c r="AK637" i="1"/>
  <c r="AJ637" i="1"/>
  <c r="AI637" i="1"/>
  <c r="AG637" i="1"/>
  <c r="AF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G637" i="1"/>
  <c r="AQ636" i="1"/>
  <c r="AP636" i="1"/>
  <c r="AO636" i="1"/>
  <c r="AN636" i="1"/>
  <c r="AM636" i="1"/>
  <c r="AL636" i="1"/>
  <c r="AL474" i="1" s="1"/>
  <c r="AK636" i="1"/>
  <c r="AJ636" i="1"/>
  <c r="AI636" i="1"/>
  <c r="AH636" i="1"/>
  <c r="AG636" i="1"/>
  <c r="AF636" i="1"/>
  <c r="T636" i="1"/>
  <c r="N636" i="1"/>
  <c r="H636" i="1"/>
  <c r="F636" i="1"/>
  <c r="AQ635" i="1"/>
  <c r="AP635" i="1"/>
  <c r="AP599" i="1" s="1"/>
  <c r="AO635" i="1"/>
  <c r="AO473" i="1" s="1"/>
  <c r="AN635" i="1"/>
  <c r="AM635" i="1"/>
  <c r="AL635" i="1"/>
  <c r="AL473" i="1" s="1"/>
  <c r="AK635" i="1"/>
  <c r="AJ635" i="1"/>
  <c r="AI635" i="1"/>
  <c r="AH635" i="1"/>
  <c r="AG635" i="1"/>
  <c r="AF635" i="1"/>
  <c r="T635" i="1"/>
  <c r="N635" i="1"/>
  <c r="H635" i="1"/>
  <c r="H637" i="1" s="1"/>
  <c r="F635" i="1"/>
  <c r="W634" i="1"/>
  <c r="V634" i="1"/>
  <c r="U634" i="1"/>
  <c r="S634" i="1"/>
  <c r="R634" i="1"/>
  <c r="P634" i="1"/>
  <c r="L634" i="1"/>
  <c r="AQ633" i="1"/>
  <c r="AP633" i="1"/>
  <c r="AN633" i="1"/>
  <c r="AM633" i="1"/>
  <c r="AL633" i="1"/>
  <c r="AK633" i="1"/>
  <c r="AI633" i="1"/>
  <c r="Y633" i="1"/>
  <c r="X633" i="1"/>
  <c r="W633" i="1"/>
  <c r="V633" i="1"/>
  <c r="U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AQ632" i="1"/>
  <c r="AP632" i="1"/>
  <c r="AK632" i="1"/>
  <c r="AJ632" i="1"/>
  <c r="AI632" i="1"/>
  <c r="AF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G632" i="1"/>
  <c r="AF631" i="1"/>
  <c r="V631" i="1"/>
  <c r="U631" i="1"/>
  <c r="P631" i="1"/>
  <c r="G631" i="1"/>
  <c r="AP630" i="1"/>
  <c r="AO630" i="1"/>
  <c r="AK630" i="1"/>
  <c r="AJ630" i="1"/>
  <c r="Y630" i="1"/>
  <c r="X630" i="1"/>
  <c r="W630" i="1"/>
  <c r="V630" i="1"/>
  <c r="U630" i="1"/>
  <c r="S630" i="1"/>
  <c r="R630" i="1"/>
  <c r="Q630" i="1"/>
  <c r="P630" i="1"/>
  <c r="O630" i="1"/>
  <c r="M630" i="1"/>
  <c r="L630" i="1"/>
  <c r="K630" i="1"/>
  <c r="J630" i="1"/>
  <c r="I630" i="1"/>
  <c r="G630" i="1"/>
  <c r="AP629" i="1"/>
  <c r="AO629" i="1"/>
  <c r="AN629" i="1"/>
  <c r="AK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G629" i="1"/>
  <c r="AP628" i="1"/>
  <c r="AO628" i="1"/>
  <c r="AI628" i="1"/>
  <c r="AI634" i="1" s="1"/>
  <c r="Y628" i="1"/>
  <c r="X628" i="1"/>
  <c r="W628" i="1"/>
  <c r="W631" i="1" s="1"/>
  <c r="V628" i="1"/>
  <c r="U628" i="1"/>
  <c r="S628" i="1"/>
  <c r="S631" i="1" s="1"/>
  <c r="R628" i="1"/>
  <c r="R631" i="1" s="1"/>
  <c r="Q628" i="1"/>
  <c r="Q634" i="1" s="1"/>
  <c r="P628" i="1"/>
  <c r="O628" i="1"/>
  <c r="N628" i="1"/>
  <c r="L628" i="1"/>
  <c r="K628" i="1"/>
  <c r="J628" i="1"/>
  <c r="I628" i="1"/>
  <c r="H628" i="1"/>
  <c r="G628" i="1"/>
  <c r="G634" i="1" s="1"/>
  <c r="AQ627" i="1"/>
  <c r="AQ630" i="1" s="1"/>
  <c r="AP627" i="1"/>
  <c r="AO627" i="1"/>
  <c r="AN627" i="1"/>
  <c r="AM627" i="1"/>
  <c r="AL627" i="1"/>
  <c r="AK627" i="1"/>
  <c r="AK628" i="1" s="1"/>
  <c r="AJ627" i="1"/>
  <c r="AI627" i="1"/>
  <c r="AH627" i="1"/>
  <c r="AG627" i="1"/>
  <c r="AF627" i="1"/>
  <c r="AF628" i="1" s="1"/>
  <c r="T627" i="1"/>
  <c r="N627" i="1"/>
  <c r="AQ626" i="1"/>
  <c r="AP626" i="1"/>
  <c r="AO626" i="1"/>
  <c r="AO632" i="1" s="1"/>
  <c r="AN626" i="1"/>
  <c r="AN608" i="1" s="1"/>
  <c r="AM626" i="1"/>
  <c r="AL626" i="1"/>
  <c r="AK626" i="1"/>
  <c r="AJ626" i="1"/>
  <c r="AJ629" i="1" s="1"/>
  <c r="AI626" i="1"/>
  <c r="AI464" i="1" s="1"/>
  <c r="AH626" i="1"/>
  <c r="AG626" i="1"/>
  <c r="AF626" i="1"/>
  <c r="T626" i="1"/>
  <c r="F626" i="1" s="1"/>
  <c r="N626" i="1"/>
  <c r="AQ625" i="1"/>
  <c r="AN625" i="1"/>
  <c r="AL625" i="1"/>
  <c r="AI625" i="1"/>
  <c r="AH625" i="1"/>
  <c r="AG625" i="1"/>
  <c r="AF625" i="1"/>
  <c r="AE625" i="1"/>
  <c r="Y625" i="1"/>
  <c r="X625" i="1"/>
  <c r="X631" i="1" s="1"/>
  <c r="W625" i="1"/>
  <c r="V625" i="1"/>
  <c r="U625" i="1"/>
  <c r="S625" i="1"/>
  <c r="R625" i="1"/>
  <c r="Q625" i="1"/>
  <c r="P625" i="1"/>
  <c r="O625" i="1"/>
  <c r="N625" i="1"/>
  <c r="M625" i="1"/>
  <c r="L625" i="1"/>
  <c r="L631" i="1" s="1"/>
  <c r="K625" i="1"/>
  <c r="J625" i="1"/>
  <c r="J631" i="1" s="1"/>
  <c r="I625" i="1"/>
  <c r="G625" i="1"/>
  <c r="AQ624" i="1"/>
  <c r="AQ462" i="1" s="1"/>
  <c r="AP624" i="1"/>
  <c r="AP625" i="1" s="1"/>
  <c r="AO624" i="1"/>
  <c r="AN624" i="1"/>
  <c r="AM624" i="1"/>
  <c r="AM625" i="1" s="1"/>
  <c r="AL624" i="1"/>
  <c r="AK624" i="1"/>
  <c r="AJ624" i="1"/>
  <c r="AI624" i="1"/>
  <c r="AH624" i="1"/>
  <c r="AG624" i="1"/>
  <c r="AF624" i="1"/>
  <c r="AE624" i="1"/>
  <c r="T624" i="1"/>
  <c r="N624" i="1"/>
  <c r="H624" i="1"/>
  <c r="H630" i="1" s="1"/>
  <c r="AQ623" i="1"/>
  <c r="AP623" i="1"/>
  <c r="AP605" i="1" s="1"/>
  <c r="AO623" i="1"/>
  <c r="AN623" i="1"/>
  <c r="AN605" i="1" s="1"/>
  <c r="AN611" i="1" s="1"/>
  <c r="AM623" i="1"/>
  <c r="AL623" i="1"/>
  <c r="AK623" i="1"/>
  <c r="AJ623" i="1"/>
  <c r="AJ625" i="1" s="1"/>
  <c r="AI623" i="1"/>
  <c r="AI605" i="1" s="1"/>
  <c r="AH623" i="1"/>
  <c r="AG623" i="1"/>
  <c r="AF623" i="1"/>
  <c r="AE623" i="1"/>
  <c r="T623" i="1"/>
  <c r="N623" i="1"/>
  <c r="H623" i="1"/>
  <c r="AJ622" i="1"/>
  <c r="AI622" i="1"/>
  <c r="AG622" i="1"/>
  <c r="AF622" i="1"/>
  <c r="Y622" i="1"/>
  <c r="X622" i="1"/>
  <c r="W622" i="1"/>
  <c r="V622" i="1"/>
  <c r="U622" i="1"/>
  <c r="T622" i="1"/>
  <c r="S622" i="1"/>
  <c r="R622" i="1"/>
  <c r="Q622" i="1"/>
  <c r="P622" i="1"/>
  <c r="O622" i="1"/>
  <c r="M622" i="1"/>
  <c r="L622" i="1"/>
  <c r="K622" i="1"/>
  <c r="J622" i="1"/>
  <c r="I622" i="1"/>
  <c r="G622" i="1"/>
  <c r="AQ621" i="1"/>
  <c r="AP621" i="1"/>
  <c r="AO621" i="1"/>
  <c r="AN621" i="1"/>
  <c r="AM621" i="1"/>
  <c r="AL621" i="1"/>
  <c r="AK621" i="1"/>
  <c r="AJ621" i="1"/>
  <c r="AI621" i="1"/>
  <c r="AH621" i="1"/>
  <c r="AG621" i="1"/>
  <c r="AG603" i="1" s="1"/>
  <c r="AF621" i="1"/>
  <c r="T621" i="1"/>
  <c r="N621" i="1"/>
  <c r="N622" i="1" s="1"/>
  <c r="H621" i="1"/>
  <c r="F621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T620" i="1"/>
  <c r="N620" i="1"/>
  <c r="H620" i="1"/>
  <c r="H622" i="1" s="1"/>
  <c r="AP619" i="1"/>
  <c r="AO619" i="1"/>
  <c r="AN619" i="1"/>
  <c r="AM619" i="1"/>
  <c r="AL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G619" i="1"/>
  <c r="AQ618" i="1"/>
  <c r="AP618" i="1"/>
  <c r="AO618" i="1"/>
  <c r="AN618" i="1"/>
  <c r="AM618" i="1"/>
  <c r="AM600" i="1" s="1"/>
  <c r="AL618" i="1"/>
  <c r="AL600" i="1" s="1"/>
  <c r="AK618" i="1"/>
  <c r="AJ618" i="1"/>
  <c r="AI618" i="1"/>
  <c r="AH618" i="1"/>
  <c r="AG618" i="1"/>
  <c r="AF618" i="1"/>
  <c r="AF619" i="1" s="1"/>
  <c r="T618" i="1"/>
  <c r="N618" i="1"/>
  <c r="H618" i="1"/>
  <c r="F618" i="1"/>
  <c r="AQ617" i="1"/>
  <c r="AP617" i="1"/>
  <c r="AO617" i="1"/>
  <c r="AN617" i="1"/>
  <c r="AM617" i="1"/>
  <c r="AM599" i="1" s="1"/>
  <c r="AL617" i="1"/>
  <c r="AK617" i="1"/>
  <c r="AK599" i="1" s="1"/>
  <c r="AJ617" i="1"/>
  <c r="AJ599" i="1" s="1"/>
  <c r="AI617" i="1"/>
  <c r="AI599" i="1" s="1"/>
  <c r="AH617" i="1"/>
  <c r="AG617" i="1"/>
  <c r="AF617" i="1"/>
  <c r="T617" i="1"/>
  <c r="N617" i="1"/>
  <c r="H617" i="1"/>
  <c r="H619" i="1" s="1"/>
  <c r="O615" i="1"/>
  <c r="AN614" i="1"/>
  <c r="U614" i="1"/>
  <c r="R614" i="1"/>
  <c r="N614" i="1"/>
  <c r="M614" i="1"/>
  <c r="J614" i="1"/>
  <c r="Y612" i="1"/>
  <c r="P612" i="1"/>
  <c r="O612" i="1"/>
  <c r="AJ611" i="1"/>
  <c r="Y611" i="1"/>
  <c r="S611" i="1"/>
  <c r="R611" i="1"/>
  <c r="K611" i="1"/>
  <c r="Y610" i="1"/>
  <c r="U610" i="1"/>
  <c r="R610" i="1"/>
  <c r="Q610" i="1"/>
  <c r="P610" i="1"/>
  <c r="L610" i="1"/>
  <c r="K610" i="1"/>
  <c r="J610" i="1"/>
  <c r="J613" i="1" s="1"/>
  <c r="I610" i="1"/>
  <c r="AO609" i="1"/>
  <c r="Y609" i="1"/>
  <c r="Y615" i="1" s="1"/>
  <c r="X609" i="1"/>
  <c r="W609" i="1"/>
  <c r="V609" i="1"/>
  <c r="U609" i="1"/>
  <c r="S609" i="1"/>
  <c r="R609" i="1"/>
  <c r="Q609" i="1"/>
  <c r="P609" i="1"/>
  <c r="O609" i="1"/>
  <c r="N609" i="1"/>
  <c r="M609" i="1"/>
  <c r="L609" i="1"/>
  <c r="K609" i="1"/>
  <c r="J609" i="1"/>
  <c r="I609" i="1"/>
  <c r="G609" i="1"/>
  <c r="AO608" i="1"/>
  <c r="AK608" i="1"/>
  <c r="AJ608" i="1"/>
  <c r="AI608" i="1"/>
  <c r="AH608" i="1"/>
  <c r="AF608" i="1"/>
  <c r="Y608" i="1"/>
  <c r="X608" i="1"/>
  <c r="W608" i="1"/>
  <c r="V608" i="1"/>
  <c r="U608" i="1"/>
  <c r="S608" i="1"/>
  <c r="S614" i="1" s="1"/>
  <c r="R608" i="1"/>
  <c r="Q608" i="1"/>
  <c r="P608" i="1"/>
  <c r="O608" i="1"/>
  <c r="N608" i="1"/>
  <c r="M608" i="1"/>
  <c r="M611" i="1" s="1"/>
  <c r="L608" i="1"/>
  <c r="K608" i="1"/>
  <c r="J608" i="1"/>
  <c r="J611" i="1" s="1"/>
  <c r="I608" i="1"/>
  <c r="G608" i="1"/>
  <c r="X607" i="1"/>
  <c r="W607" i="1"/>
  <c r="S607" i="1"/>
  <c r="P607" i="1"/>
  <c r="P613" i="1" s="1"/>
  <c r="L607" i="1"/>
  <c r="K607" i="1"/>
  <c r="G607" i="1"/>
  <c r="AQ606" i="1"/>
  <c r="AM606" i="1"/>
  <c r="AK606" i="1"/>
  <c r="AJ606" i="1"/>
  <c r="AI606" i="1"/>
  <c r="Y606" i="1"/>
  <c r="Y607" i="1" s="1"/>
  <c r="X606" i="1"/>
  <c r="W606" i="1"/>
  <c r="V606" i="1"/>
  <c r="V607" i="1" s="1"/>
  <c r="U606" i="1"/>
  <c r="S606" i="1"/>
  <c r="R606" i="1"/>
  <c r="Q606" i="1"/>
  <c r="P606" i="1"/>
  <c r="P615" i="1" s="1"/>
  <c r="O606" i="1"/>
  <c r="M606" i="1"/>
  <c r="M607" i="1" s="1"/>
  <c r="L606" i="1"/>
  <c r="K606" i="1"/>
  <c r="J606" i="1"/>
  <c r="J612" i="1" s="1"/>
  <c r="I606" i="1"/>
  <c r="I612" i="1" s="1"/>
  <c r="G606" i="1"/>
  <c r="AQ605" i="1"/>
  <c r="AM605" i="1"/>
  <c r="AK605" i="1"/>
  <c r="AK614" i="1" s="1"/>
  <c r="AJ605" i="1"/>
  <c r="AJ614" i="1" s="1"/>
  <c r="Y605" i="1"/>
  <c r="X605" i="1"/>
  <c r="W605" i="1"/>
  <c r="V605" i="1"/>
  <c r="V614" i="1" s="1"/>
  <c r="U605" i="1"/>
  <c r="S605" i="1"/>
  <c r="R605" i="1"/>
  <c r="Q605" i="1"/>
  <c r="Q611" i="1" s="1"/>
  <c r="P605" i="1"/>
  <c r="O605" i="1"/>
  <c r="N605" i="1"/>
  <c r="M605" i="1"/>
  <c r="L605" i="1"/>
  <c r="K605" i="1"/>
  <c r="J605" i="1"/>
  <c r="J607" i="1" s="1"/>
  <c r="I605" i="1"/>
  <c r="H605" i="1" s="1"/>
  <c r="G605" i="1"/>
  <c r="AG604" i="1"/>
  <c r="Y604" i="1"/>
  <c r="W604" i="1"/>
  <c r="J604" i="1"/>
  <c r="G604" i="1"/>
  <c r="AF603" i="1"/>
  <c r="Y603" i="1"/>
  <c r="X603" i="1"/>
  <c r="W603" i="1"/>
  <c r="V603" i="1"/>
  <c r="U603" i="1"/>
  <c r="S603" i="1"/>
  <c r="S604" i="1" s="1"/>
  <c r="R603" i="1"/>
  <c r="R604" i="1" s="1"/>
  <c r="Q603" i="1"/>
  <c r="Q604" i="1" s="1"/>
  <c r="P603" i="1"/>
  <c r="O603" i="1"/>
  <c r="O604" i="1" s="1"/>
  <c r="M603" i="1"/>
  <c r="L603" i="1"/>
  <c r="K603" i="1"/>
  <c r="J603" i="1"/>
  <c r="I603" i="1"/>
  <c r="I604" i="1" s="1"/>
  <c r="G603" i="1"/>
  <c r="AP602" i="1"/>
  <c r="AI602" i="1"/>
  <c r="AH602" i="1"/>
  <c r="AG602" i="1"/>
  <c r="AF602" i="1"/>
  <c r="Y602" i="1"/>
  <c r="X602" i="1"/>
  <c r="X604" i="1" s="1"/>
  <c r="W602" i="1"/>
  <c r="V602" i="1"/>
  <c r="V604" i="1" s="1"/>
  <c r="U602" i="1"/>
  <c r="S602" i="1"/>
  <c r="R602" i="1"/>
  <c r="Q602" i="1"/>
  <c r="P602" i="1"/>
  <c r="O602" i="1"/>
  <c r="N602" i="1"/>
  <c r="M602" i="1"/>
  <c r="M604" i="1" s="1"/>
  <c r="L602" i="1"/>
  <c r="L604" i="1" s="1"/>
  <c r="K602" i="1"/>
  <c r="J602" i="1"/>
  <c r="I602" i="1"/>
  <c r="G602" i="1"/>
  <c r="AQ601" i="1"/>
  <c r="Y601" i="1"/>
  <c r="AQ600" i="1"/>
  <c r="AG600" i="1"/>
  <c r="AG601" i="1" s="1"/>
  <c r="AF600" i="1"/>
  <c r="AF601" i="1" s="1"/>
  <c r="Y600" i="1"/>
  <c r="X600" i="1"/>
  <c r="W600" i="1"/>
  <c r="V600" i="1"/>
  <c r="U600" i="1"/>
  <c r="S600" i="1"/>
  <c r="R600" i="1"/>
  <c r="R601" i="1" s="1"/>
  <c r="Q600" i="1"/>
  <c r="Q601" i="1" s="1"/>
  <c r="P600" i="1"/>
  <c r="O600" i="1"/>
  <c r="O601" i="1" s="1"/>
  <c r="N600" i="1"/>
  <c r="M600" i="1"/>
  <c r="M601" i="1" s="1"/>
  <c r="L600" i="1"/>
  <c r="L601" i="1" s="1"/>
  <c r="K600" i="1"/>
  <c r="K601" i="1" s="1"/>
  <c r="J600" i="1"/>
  <c r="J601" i="1" s="1"/>
  <c r="I600" i="1"/>
  <c r="G600" i="1"/>
  <c r="AQ599" i="1"/>
  <c r="AL599" i="1"/>
  <c r="AG599" i="1"/>
  <c r="AF599" i="1"/>
  <c r="Y599" i="1"/>
  <c r="X599" i="1"/>
  <c r="W599" i="1"/>
  <c r="V599" i="1"/>
  <c r="U599" i="1"/>
  <c r="T599" i="1"/>
  <c r="S599" i="1"/>
  <c r="S601" i="1" s="1"/>
  <c r="R599" i="1"/>
  <c r="Q599" i="1"/>
  <c r="P599" i="1"/>
  <c r="O599" i="1"/>
  <c r="M599" i="1"/>
  <c r="L599" i="1"/>
  <c r="K599" i="1"/>
  <c r="J599" i="1"/>
  <c r="I599" i="1"/>
  <c r="I601" i="1" s="1"/>
  <c r="H599" i="1"/>
  <c r="G599" i="1"/>
  <c r="Y598" i="1"/>
  <c r="P598" i="1"/>
  <c r="M598" i="1"/>
  <c r="L598" i="1"/>
  <c r="I598" i="1"/>
  <c r="AL597" i="1"/>
  <c r="AK597" i="1"/>
  <c r="AI597" i="1"/>
  <c r="Y597" i="1"/>
  <c r="X597" i="1"/>
  <c r="W597" i="1"/>
  <c r="V597" i="1"/>
  <c r="U597" i="1"/>
  <c r="S597" i="1"/>
  <c r="R597" i="1"/>
  <c r="Q597" i="1"/>
  <c r="P597" i="1"/>
  <c r="O597" i="1"/>
  <c r="M597" i="1"/>
  <c r="L597" i="1"/>
  <c r="K597" i="1"/>
  <c r="J597" i="1"/>
  <c r="I597" i="1"/>
  <c r="G597" i="1"/>
  <c r="AK596" i="1"/>
  <c r="AI596" i="1"/>
  <c r="Y596" i="1"/>
  <c r="X596" i="1"/>
  <c r="W596" i="1"/>
  <c r="V596" i="1"/>
  <c r="U596" i="1"/>
  <c r="S596" i="1"/>
  <c r="R596" i="1"/>
  <c r="Q596" i="1"/>
  <c r="P596" i="1"/>
  <c r="O596" i="1"/>
  <c r="M596" i="1"/>
  <c r="L596" i="1"/>
  <c r="K596" i="1"/>
  <c r="J596" i="1"/>
  <c r="I596" i="1"/>
  <c r="G596" i="1"/>
  <c r="AK595" i="1"/>
  <c r="W595" i="1"/>
  <c r="R595" i="1"/>
  <c r="P595" i="1"/>
  <c r="O595" i="1"/>
  <c r="AQ594" i="1"/>
  <c r="AI594" i="1"/>
  <c r="Y594" i="1"/>
  <c r="X594" i="1"/>
  <c r="W594" i="1"/>
  <c r="V594" i="1"/>
  <c r="U594" i="1"/>
  <c r="S594" i="1"/>
  <c r="R594" i="1"/>
  <c r="Q594" i="1"/>
  <c r="P594" i="1"/>
  <c r="O594" i="1"/>
  <c r="M594" i="1"/>
  <c r="L594" i="1"/>
  <c r="K594" i="1"/>
  <c r="J594" i="1"/>
  <c r="I594" i="1"/>
  <c r="H594" i="1"/>
  <c r="G594" i="1"/>
  <c r="AM593" i="1"/>
  <c r="AI593" i="1"/>
  <c r="Y593" i="1"/>
  <c r="X593" i="1"/>
  <c r="W593" i="1"/>
  <c r="V593" i="1"/>
  <c r="U593" i="1"/>
  <c r="S593" i="1"/>
  <c r="R593" i="1"/>
  <c r="Q593" i="1"/>
  <c r="P593" i="1"/>
  <c r="O593" i="1"/>
  <c r="M593" i="1"/>
  <c r="L593" i="1"/>
  <c r="K593" i="1"/>
  <c r="J593" i="1"/>
  <c r="I593" i="1"/>
  <c r="G593" i="1"/>
  <c r="AN592" i="1"/>
  <c r="AM592" i="1"/>
  <c r="AI592" i="1"/>
  <c r="AG592" i="1"/>
  <c r="AF592" i="1"/>
  <c r="AE592" i="1"/>
  <c r="Y592" i="1"/>
  <c r="Y595" i="1" s="1"/>
  <c r="X592" i="1"/>
  <c r="W592" i="1"/>
  <c r="W598" i="1" s="1"/>
  <c r="V592" i="1"/>
  <c r="U592" i="1"/>
  <c r="S592" i="1"/>
  <c r="R592" i="1"/>
  <c r="R598" i="1" s="1"/>
  <c r="Q592" i="1"/>
  <c r="P592" i="1"/>
  <c r="O592" i="1"/>
  <c r="O598" i="1" s="1"/>
  <c r="M592" i="1"/>
  <c r="M595" i="1" s="1"/>
  <c r="L592" i="1"/>
  <c r="L595" i="1" s="1"/>
  <c r="K592" i="1"/>
  <c r="J592" i="1"/>
  <c r="I592" i="1"/>
  <c r="I595" i="1" s="1"/>
  <c r="H592" i="1"/>
  <c r="G592" i="1"/>
  <c r="G598" i="1" s="1"/>
  <c r="AQ591" i="1"/>
  <c r="AP591" i="1"/>
  <c r="AO591" i="1"/>
  <c r="AN591" i="1"/>
  <c r="AM591" i="1"/>
  <c r="AL591" i="1"/>
  <c r="AK591" i="1"/>
  <c r="AK592" i="1" s="1"/>
  <c r="AK598" i="1" s="1"/>
  <c r="AJ591" i="1"/>
  <c r="AI591" i="1"/>
  <c r="AH591" i="1"/>
  <c r="AG591" i="1"/>
  <c r="AF591" i="1"/>
  <c r="AE591" i="1"/>
  <c r="T591" i="1"/>
  <c r="N591" i="1"/>
  <c r="AQ590" i="1"/>
  <c r="AP590" i="1"/>
  <c r="AO590" i="1"/>
  <c r="AO596" i="1" s="1"/>
  <c r="AN590" i="1"/>
  <c r="AM590" i="1"/>
  <c r="AL590" i="1"/>
  <c r="AL593" i="1" s="1"/>
  <c r="AK590" i="1"/>
  <c r="AJ590" i="1"/>
  <c r="AJ482" i="1" s="1"/>
  <c r="AI590" i="1"/>
  <c r="AH590" i="1"/>
  <c r="AG590" i="1"/>
  <c r="AF590" i="1"/>
  <c r="AE590" i="1"/>
  <c r="T590" i="1"/>
  <c r="N590" i="1"/>
  <c r="N592" i="1" s="1"/>
  <c r="AL589" i="1"/>
  <c r="Y589" i="1"/>
  <c r="X589" i="1"/>
  <c r="W589" i="1"/>
  <c r="V589" i="1"/>
  <c r="U589" i="1"/>
  <c r="U595" i="1" s="1"/>
  <c r="T589" i="1"/>
  <c r="S589" i="1"/>
  <c r="R589" i="1"/>
  <c r="Q589" i="1"/>
  <c r="P589" i="1"/>
  <c r="O589" i="1"/>
  <c r="M589" i="1"/>
  <c r="L589" i="1"/>
  <c r="K589" i="1"/>
  <c r="J589" i="1"/>
  <c r="I589" i="1"/>
  <c r="G589" i="1"/>
  <c r="AQ588" i="1"/>
  <c r="AQ589" i="1" s="1"/>
  <c r="AP588" i="1"/>
  <c r="AO588" i="1"/>
  <c r="AO589" i="1" s="1"/>
  <c r="AN588" i="1"/>
  <c r="AM588" i="1"/>
  <c r="AL588" i="1"/>
  <c r="AK588" i="1"/>
  <c r="AK589" i="1" s="1"/>
  <c r="AJ588" i="1"/>
  <c r="AJ589" i="1" s="1"/>
  <c r="AI588" i="1"/>
  <c r="AH588" i="1"/>
  <c r="AG588" i="1"/>
  <c r="AG589" i="1" s="1"/>
  <c r="AF588" i="1"/>
  <c r="AF589" i="1" s="1"/>
  <c r="T588" i="1"/>
  <c r="N588" i="1"/>
  <c r="N589" i="1" s="1"/>
  <c r="H588" i="1"/>
  <c r="H597" i="1" s="1"/>
  <c r="F588" i="1"/>
  <c r="F589" i="1" s="1"/>
  <c r="AQ587" i="1"/>
  <c r="AQ479" i="1" s="1"/>
  <c r="AP587" i="1"/>
  <c r="AO587" i="1"/>
  <c r="AN587" i="1"/>
  <c r="AM587" i="1"/>
  <c r="AM596" i="1" s="1"/>
  <c r="AL587" i="1"/>
  <c r="AL596" i="1" s="1"/>
  <c r="AK587" i="1"/>
  <c r="AJ587" i="1"/>
  <c r="AI587" i="1"/>
  <c r="AI589" i="1" s="1"/>
  <c r="AH587" i="1"/>
  <c r="AG587" i="1"/>
  <c r="AF587" i="1"/>
  <c r="T587" i="1"/>
  <c r="N587" i="1"/>
  <c r="H587" i="1"/>
  <c r="F587" i="1"/>
  <c r="AQ586" i="1"/>
  <c r="AN586" i="1"/>
  <c r="AK586" i="1"/>
  <c r="AI586" i="1"/>
  <c r="AF586" i="1"/>
  <c r="Y586" i="1"/>
  <c r="X586" i="1"/>
  <c r="W586" i="1"/>
  <c r="V586" i="1"/>
  <c r="U586" i="1"/>
  <c r="S586" i="1"/>
  <c r="R586" i="1"/>
  <c r="Q586" i="1"/>
  <c r="P586" i="1"/>
  <c r="O586" i="1"/>
  <c r="M586" i="1"/>
  <c r="L586" i="1"/>
  <c r="K586" i="1"/>
  <c r="J586" i="1"/>
  <c r="I586" i="1"/>
  <c r="G586" i="1"/>
  <c r="AQ585" i="1"/>
  <c r="AP585" i="1"/>
  <c r="AO585" i="1"/>
  <c r="AN585" i="1"/>
  <c r="AM585" i="1"/>
  <c r="AM586" i="1" s="1"/>
  <c r="AL585" i="1"/>
  <c r="AL586" i="1" s="1"/>
  <c r="AK585" i="1"/>
  <c r="AJ585" i="1"/>
  <c r="AI585" i="1"/>
  <c r="AH585" i="1"/>
  <c r="AH586" i="1" s="1"/>
  <c r="AG585" i="1"/>
  <c r="AG586" i="1" s="1"/>
  <c r="AF585" i="1"/>
  <c r="T585" i="1"/>
  <c r="T586" i="1" s="1"/>
  <c r="N585" i="1"/>
  <c r="H585" i="1"/>
  <c r="AQ584" i="1"/>
  <c r="AP584" i="1"/>
  <c r="AO584" i="1"/>
  <c r="AN584" i="1"/>
  <c r="AM584" i="1"/>
  <c r="AL584" i="1"/>
  <c r="AL548" i="1" s="1"/>
  <c r="AK584" i="1"/>
  <c r="AJ584" i="1"/>
  <c r="AI584" i="1"/>
  <c r="AH584" i="1"/>
  <c r="AG584" i="1"/>
  <c r="AF584" i="1"/>
  <c r="T584" i="1"/>
  <c r="N584" i="1"/>
  <c r="F584" i="1" s="1"/>
  <c r="H584" i="1"/>
  <c r="AP583" i="1"/>
  <c r="AM583" i="1"/>
  <c r="AK583" i="1"/>
  <c r="AJ583" i="1"/>
  <c r="Y583" i="1"/>
  <c r="X583" i="1"/>
  <c r="W583" i="1"/>
  <c r="V583" i="1"/>
  <c r="U583" i="1"/>
  <c r="S583" i="1"/>
  <c r="R583" i="1"/>
  <c r="Q583" i="1"/>
  <c r="P583" i="1"/>
  <c r="O583" i="1"/>
  <c r="N583" i="1"/>
  <c r="M583" i="1"/>
  <c r="L583" i="1"/>
  <c r="K583" i="1"/>
  <c r="J583" i="1"/>
  <c r="I583" i="1"/>
  <c r="G583" i="1"/>
  <c r="AQ582" i="1"/>
  <c r="AP582" i="1"/>
  <c r="AO582" i="1"/>
  <c r="AO583" i="1" s="1"/>
  <c r="AN582" i="1"/>
  <c r="AM582" i="1"/>
  <c r="AM546" i="1" s="1"/>
  <c r="AL582" i="1"/>
  <c r="AK582" i="1"/>
  <c r="AJ582" i="1"/>
  <c r="AI582" i="1"/>
  <c r="AH582" i="1"/>
  <c r="AG582" i="1"/>
  <c r="AF582" i="1"/>
  <c r="T582" i="1"/>
  <c r="N582" i="1"/>
  <c r="H582" i="1"/>
  <c r="F582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T581" i="1"/>
  <c r="N581" i="1"/>
  <c r="H581" i="1"/>
  <c r="AK580" i="1"/>
  <c r="U580" i="1"/>
  <c r="R580" i="1"/>
  <c r="Q580" i="1"/>
  <c r="P580" i="1"/>
  <c r="AM579" i="1"/>
  <c r="AK579" i="1"/>
  <c r="AJ579" i="1"/>
  <c r="AI579" i="1"/>
  <c r="AH579" i="1"/>
  <c r="Y579" i="1"/>
  <c r="X579" i="1"/>
  <c r="W579" i="1"/>
  <c r="V579" i="1"/>
  <c r="U579" i="1"/>
  <c r="T579" i="1"/>
  <c r="S579" i="1"/>
  <c r="R579" i="1"/>
  <c r="Q579" i="1"/>
  <c r="P579" i="1"/>
  <c r="O579" i="1"/>
  <c r="M579" i="1"/>
  <c r="L579" i="1"/>
  <c r="K579" i="1"/>
  <c r="J579" i="1"/>
  <c r="I579" i="1"/>
  <c r="H579" i="1"/>
  <c r="G579" i="1"/>
  <c r="AP578" i="1"/>
  <c r="AM578" i="1"/>
  <c r="AI578" i="1"/>
  <c r="Y578" i="1"/>
  <c r="X578" i="1"/>
  <c r="W578" i="1"/>
  <c r="V578" i="1"/>
  <c r="U578" i="1"/>
  <c r="S578" i="1"/>
  <c r="R578" i="1"/>
  <c r="Q578" i="1"/>
  <c r="P578" i="1"/>
  <c r="O578" i="1"/>
  <c r="M578" i="1"/>
  <c r="L578" i="1"/>
  <c r="K578" i="1"/>
  <c r="J578" i="1"/>
  <c r="I578" i="1"/>
  <c r="H578" i="1"/>
  <c r="G578" i="1"/>
  <c r="AM577" i="1"/>
  <c r="AK577" i="1"/>
  <c r="X577" i="1"/>
  <c r="Q577" i="1"/>
  <c r="L577" i="1"/>
  <c r="K577" i="1"/>
  <c r="I577" i="1"/>
  <c r="AM576" i="1"/>
  <c r="AL576" i="1"/>
  <c r="AI576" i="1"/>
  <c r="AH576" i="1"/>
  <c r="AG576" i="1"/>
  <c r="Y576" i="1"/>
  <c r="X576" i="1"/>
  <c r="W576" i="1"/>
  <c r="V576" i="1"/>
  <c r="U576" i="1"/>
  <c r="S576" i="1"/>
  <c r="R576" i="1"/>
  <c r="Q576" i="1"/>
  <c r="P576" i="1"/>
  <c r="O576" i="1"/>
  <c r="M576" i="1"/>
  <c r="L576" i="1"/>
  <c r="K576" i="1"/>
  <c r="J576" i="1"/>
  <c r="I576" i="1"/>
  <c r="G576" i="1"/>
  <c r="AI575" i="1"/>
  <c r="AH575" i="1"/>
  <c r="Y575" i="1"/>
  <c r="X575" i="1"/>
  <c r="W575" i="1"/>
  <c r="V575" i="1"/>
  <c r="U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AM574" i="1"/>
  <c r="AK574" i="1"/>
  <c r="AI574" i="1"/>
  <c r="AH574" i="1"/>
  <c r="AF574" i="1"/>
  <c r="Y574" i="1"/>
  <c r="X574" i="1"/>
  <c r="X580" i="1" s="1"/>
  <c r="W574" i="1"/>
  <c r="V574" i="1"/>
  <c r="V577" i="1" s="1"/>
  <c r="U574" i="1"/>
  <c r="U577" i="1" s="1"/>
  <c r="T574" i="1"/>
  <c r="S574" i="1"/>
  <c r="R574" i="1"/>
  <c r="Q574" i="1"/>
  <c r="P574" i="1"/>
  <c r="P577" i="1" s="1"/>
  <c r="O574" i="1"/>
  <c r="L574" i="1"/>
  <c r="L580" i="1" s="1"/>
  <c r="K574" i="1"/>
  <c r="K580" i="1" s="1"/>
  <c r="J574" i="1"/>
  <c r="I574" i="1"/>
  <c r="I580" i="1" s="1"/>
  <c r="H574" i="1"/>
  <c r="G574" i="1"/>
  <c r="AQ573" i="1"/>
  <c r="AP573" i="1"/>
  <c r="AO573" i="1"/>
  <c r="AN573" i="1"/>
  <c r="AM573" i="1"/>
  <c r="AL573" i="1"/>
  <c r="AL574" i="1" s="1"/>
  <c r="AK573" i="1"/>
  <c r="AJ573" i="1"/>
  <c r="AI573" i="1"/>
  <c r="AI555" i="1" s="1"/>
  <c r="AH573" i="1"/>
  <c r="AG573" i="1"/>
  <c r="AF573" i="1"/>
  <c r="T573" i="1"/>
  <c r="T576" i="1" s="1"/>
  <c r="N573" i="1"/>
  <c r="AQ572" i="1"/>
  <c r="AP572" i="1"/>
  <c r="AO572" i="1"/>
  <c r="AN572" i="1"/>
  <c r="AM572" i="1"/>
  <c r="AM554" i="1" s="1"/>
  <c r="AL572" i="1"/>
  <c r="AK572" i="1"/>
  <c r="AK575" i="1" s="1"/>
  <c r="AJ572" i="1"/>
  <c r="AI572" i="1"/>
  <c r="AI554" i="1" s="1"/>
  <c r="AH572" i="1"/>
  <c r="AH578" i="1" s="1"/>
  <c r="AG572" i="1"/>
  <c r="AF572" i="1"/>
  <c r="T572" i="1"/>
  <c r="N572" i="1"/>
  <c r="AQ571" i="1"/>
  <c r="AP571" i="1"/>
  <c r="AO571" i="1"/>
  <c r="AN571" i="1"/>
  <c r="AJ571" i="1"/>
  <c r="AF571" i="1"/>
  <c r="Y571" i="1"/>
  <c r="X571" i="1"/>
  <c r="W571" i="1"/>
  <c r="V571" i="1"/>
  <c r="U571" i="1"/>
  <c r="S571" i="1"/>
  <c r="R571" i="1"/>
  <c r="R577" i="1" s="1"/>
  <c r="Q571" i="1"/>
  <c r="P571" i="1"/>
  <c r="O571" i="1"/>
  <c r="M571" i="1"/>
  <c r="L571" i="1"/>
  <c r="K571" i="1"/>
  <c r="J571" i="1"/>
  <c r="J577" i="1" s="1"/>
  <c r="I571" i="1"/>
  <c r="G571" i="1"/>
  <c r="AQ570" i="1"/>
  <c r="AP570" i="1"/>
  <c r="AO570" i="1"/>
  <c r="AN570" i="1"/>
  <c r="AN462" i="1" s="1"/>
  <c r="AM570" i="1"/>
  <c r="AL570" i="1"/>
  <c r="AL579" i="1" s="1"/>
  <c r="AK570" i="1"/>
  <c r="AK571" i="1" s="1"/>
  <c r="AJ570" i="1"/>
  <c r="AI570" i="1"/>
  <c r="AH570" i="1"/>
  <c r="AG570" i="1"/>
  <c r="AF570" i="1"/>
  <c r="AE570" i="1"/>
  <c r="T570" i="1"/>
  <c r="N570" i="1"/>
  <c r="N571" i="1" s="1"/>
  <c r="H570" i="1"/>
  <c r="AQ569" i="1"/>
  <c r="AP569" i="1"/>
  <c r="AO569" i="1"/>
  <c r="AO551" i="1" s="1"/>
  <c r="AN569" i="1"/>
  <c r="AM569" i="1"/>
  <c r="AM571" i="1" s="1"/>
  <c r="AL569" i="1"/>
  <c r="AK569" i="1"/>
  <c r="AJ569" i="1"/>
  <c r="AJ578" i="1" s="1"/>
  <c r="AI569" i="1"/>
  <c r="AH569" i="1"/>
  <c r="AG569" i="1"/>
  <c r="AF569" i="1"/>
  <c r="AF551" i="1" s="1"/>
  <c r="T569" i="1"/>
  <c r="N569" i="1"/>
  <c r="H569" i="1"/>
  <c r="AQ568" i="1"/>
  <c r="AP568" i="1"/>
  <c r="AL568" i="1"/>
  <c r="Y568" i="1"/>
  <c r="X568" i="1"/>
  <c r="W568" i="1"/>
  <c r="V568" i="1"/>
  <c r="U568" i="1"/>
  <c r="S568" i="1"/>
  <c r="R568" i="1"/>
  <c r="Q568" i="1"/>
  <c r="P568" i="1"/>
  <c r="O568" i="1"/>
  <c r="N568" i="1"/>
  <c r="M568" i="1"/>
  <c r="L568" i="1"/>
  <c r="K568" i="1"/>
  <c r="J568" i="1"/>
  <c r="I568" i="1"/>
  <c r="G568" i="1"/>
  <c r="AQ567" i="1"/>
  <c r="AQ549" i="1" s="1"/>
  <c r="AQ550" i="1" s="1"/>
  <c r="AP567" i="1"/>
  <c r="AO567" i="1"/>
  <c r="AN567" i="1"/>
  <c r="AN568" i="1" s="1"/>
  <c r="AM567" i="1"/>
  <c r="AL567" i="1"/>
  <c r="AK567" i="1"/>
  <c r="AK568" i="1" s="1"/>
  <c r="AJ567" i="1"/>
  <c r="AJ568" i="1" s="1"/>
  <c r="AI567" i="1"/>
  <c r="AI568" i="1" s="1"/>
  <c r="AH567" i="1"/>
  <c r="AG567" i="1"/>
  <c r="AF567" i="1"/>
  <c r="T567" i="1"/>
  <c r="T568" i="1" s="1"/>
  <c r="N567" i="1"/>
  <c r="H567" i="1"/>
  <c r="AQ566" i="1"/>
  <c r="AP566" i="1"/>
  <c r="AO566" i="1"/>
  <c r="AN566" i="1"/>
  <c r="AM566" i="1"/>
  <c r="AL566" i="1"/>
  <c r="AK566" i="1"/>
  <c r="AK548" i="1" s="1"/>
  <c r="AJ566" i="1"/>
  <c r="AI566" i="1"/>
  <c r="AI548" i="1" s="1"/>
  <c r="AH566" i="1"/>
  <c r="AH548" i="1" s="1"/>
  <c r="AG566" i="1"/>
  <c r="AF566" i="1"/>
  <c r="AE566" i="1"/>
  <c r="T566" i="1"/>
  <c r="N566" i="1"/>
  <c r="H566" i="1"/>
  <c r="AP565" i="1"/>
  <c r="AM565" i="1"/>
  <c r="AI565" i="1"/>
  <c r="AG565" i="1"/>
  <c r="AF565" i="1"/>
  <c r="Y565" i="1"/>
  <c r="X565" i="1"/>
  <c r="W565" i="1"/>
  <c r="V565" i="1"/>
  <c r="U565" i="1"/>
  <c r="S565" i="1"/>
  <c r="R565" i="1"/>
  <c r="Q565" i="1"/>
  <c r="P565" i="1"/>
  <c r="O565" i="1"/>
  <c r="M565" i="1"/>
  <c r="L565" i="1"/>
  <c r="K565" i="1"/>
  <c r="J565" i="1"/>
  <c r="I565" i="1"/>
  <c r="G565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F546" i="1" s="1"/>
  <c r="T564" i="1"/>
  <c r="T565" i="1" s="1"/>
  <c r="N564" i="1"/>
  <c r="H564" i="1"/>
  <c r="F564" i="1"/>
  <c r="F565" i="1" s="1"/>
  <c r="AQ563" i="1"/>
  <c r="AP563" i="1"/>
  <c r="AO563" i="1"/>
  <c r="AN563" i="1"/>
  <c r="AM563" i="1"/>
  <c r="AL563" i="1"/>
  <c r="AL545" i="1" s="1"/>
  <c r="AK563" i="1"/>
  <c r="AJ563" i="1"/>
  <c r="AI563" i="1"/>
  <c r="AH563" i="1"/>
  <c r="AH565" i="1" s="1"/>
  <c r="AG563" i="1"/>
  <c r="AG545" i="1" s="1"/>
  <c r="AF563" i="1"/>
  <c r="T563" i="1"/>
  <c r="N563" i="1"/>
  <c r="N565" i="1" s="1"/>
  <c r="H563" i="1"/>
  <c r="F563" i="1" s="1"/>
  <c r="L562" i="1"/>
  <c r="X561" i="1"/>
  <c r="V561" i="1"/>
  <c r="L561" i="1"/>
  <c r="J561" i="1"/>
  <c r="I561" i="1"/>
  <c r="G561" i="1"/>
  <c r="U560" i="1"/>
  <c r="R560" i="1"/>
  <c r="K560" i="1"/>
  <c r="G560" i="1"/>
  <c r="X558" i="1"/>
  <c r="W558" i="1"/>
  <c r="V558" i="1"/>
  <c r="M558" i="1"/>
  <c r="L558" i="1"/>
  <c r="K558" i="1"/>
  <c r="J558" i="1"/>
  <c r="I558" i="1"/>
  <c r="R557" i="1"/>
  <c r="L557" i="1"/>
  <c r="J557" i="1"/>
  <c r="X556" i="1"/>
  <c r="V556" i="1"/>
  <c r="U556" i="1"/>
  <c r="S556" i="1"/>
  <c r="R556" i="1"/>
  <c r="Q556" i="1"/>
  <c r="AN555" i="1"/>
  <c r="AM555" i="1"/>
  <c r="AK555" i="1"/>
  <c r="Y555" i="1"/>
  <c r="X555" i="1"/>
  <c r="W555" i="1"/>
  <c r="V555" i="1"/>
  <c r="U555" i="1"/>
  <c r="T555" i="1"/>
  <c r="S555" i="1"/>
  <c r="R555" i="1"/>
  <c r="Q555" i="1"/>
  <c r="P555" i="1"/>
  <c r="O555" i="1"/>
  <c r="O556" i="1" s="1"/>
  <c r="M555" i="1"/>
  <c r="L555" i="1"/>
  <c r="L556" i="1" s="1"/>
  <c r="L559" i="1" s="1"/>
  <c r="K555" i="1"/>
  <c r="J555" i="1"/>
  <c r="J556" i="1" s="1"/>
  <c r="I555" i="1"/>
  <c r="I556" i="1" s="1"/>
  <c r="G555" i="1"/>
  <c r="G558" i="1" s="1"/>
  <c r="AL554" i="1"/>
  <c r="AK554" i="1"/>
  <c r="Y554" i="1"/>
  <c r="X554" i="1"/>
  <c r="W554" i="1"/>
  <c r="W560" i="1" s="1"/>
  <c r="V554" i="1"/>
  <c r="V560" i="1" s="1"/>
  <c r="U554" i="1"/>
  <c r="U557" i="1" s="1"/>
  <c r="S554" i="1"/>
  <c r="R554" i="1"/>
  <c r="Q554" i="1"/>
  <c r="P554" i="1"/>
  <c r="O554" i="1"/>
  <c r="M554" i="1"/>
  <c r="L554" i="1"/>
  <c r="K554" i="1"/>
  <c r="K556" i="1" s="1"/>
  <c r="J554" i="1"/>
  <c r="J560" i="1" s="1"/>
  <c r="I554" i="1"/>
  <c r="G554" i="1"/>
  <c r="V553" i="1"/>
  <c r="O553" i="1"/>
  <c r="M553" i="1"/>
  <c r="L553" i="1"/>
  <c r="J553" i="1"/>
  <c r="G553" i="1"/>
  <c r="AQ552" i="1"/>
  <c r="AP552" i="1"/>
  <c r="AN552" i="1"/>
  <c r="AL552" i="1"/>
  <c r="AK552" i="1"/>
  <c r="AJ552" i="1"/>
  <c r="AG552" i="1"/>
  <c r="Y552" i="1"/>
  <c r="X552" i="1"/>
  <c r="W552" i="1"/>
  <c r="V552" i="1"/>
  <c r="U552" i="1"/>
  <c r="S552" i="1"/>
  <c r="R552" i="1"/>
  <c r="Q552" i="1"/>
  <c r="P552" i="1"/>
  <c r="P553" i="1" s="1"/>
  <c r="O552" i="1"/>
  <c r="M552" i="1"/>
  <c r="L552" i="1"/>
  <c r="K552" i="1"/>
  <c r="J552" i="1"/>
  <c r="I552" i="1"/>
  <c r="H552" i="1" s="1"/>
  <c r="G552" i="1"/>
  <c r="AM551" i="1"/>
  <c r="AK551" i="1"/>
  <c r="AK560" i="1" s="1"/>
  <c r="AJ551" i="1"/>
  <c r="AI551" i="1"/>
  <c r="AI560" i="1" s="1"/>
  <c r="Y551" i="1"/>
  <c r="X551" i="1"/>
  <c r="X553" i="1" s="1"/>
  <c r="W551" i="1"/>
  <c r="W553" i="1" s="1"/>
  <c r="V551" i="1"/>
  <c r="U551" i="1"/>
  <c r="S551" i="1"/>
  <c r="R551" i="1"/>
  <c r="R553" i="1" s="1"/>
  <c r="Q551" i="1"/>
  <c r="P551" i="1"/>
  <c r="O551" i="1"/>
  <c r="O560" i="1" s="1"/>
  <c r="N551" i="1"/>
  <c r="M551" i="1"/>
  <c r="L551" i="1"/>
  <c r="K551" i="1"/>
  <c r="J551" i="1"/>
  <c r="I551" i="1"/>
  <c r="I557" i="1" s="1"/>
  <c r="H551" i="1"/>
  <c r="G551" i="1"/>
  <c r="AM550" i="1"/>
  <c r="Y550" i="1"/>
  <c r="W550" i="1"/>
  <c r="Q550" i="1"/>
  <c r="M550" i="1"/>
  <c r="J550" i="1"/>
  <c r="G550" i="1"/>
  <c r="AN549" i="1"/>
  <c r="AM549" i="1"/>
  <c r="AL549" i="1"/>
  <c r="AL550" i="1" s="1"/>
  <c r="AK549" i="1"/>
  <c r="Y549" i="1"/>
  <c r="X549" i="1"/>
  <c r="X550" i="1" s="1"/>
  <c r="W549" i="1"/>
  <c r="V549" i="1"/>
  <c r="U549" i="1"/>
  <c r="U550" i="1" s="1"/>
  <c r="S549" i="1"/>
  <c r="R549" i="1"/>
  <c r="R550" i="1" s="1"/>
  <c r="Q549" i="1"/>
  <c r="P549" i="1"/>
  <c r="O549" i="1"/>
  <c r="M549" i="1"/>
  <c r="L549" i="1"/>
  <c r="L550" i="1" s="1"/>
  <c r="K549" i="1"/>
  <c r="J549" i="1"/>
  <c r="I549" i="1"/>
  <c r="I550" i="1" s="1"/>
  <c r="H549" i="1"/>
  <c r="G549" i="1"/>
  <c r="AQ548" i="1"/>
  <c r="AN548" i="1"/>
  <c r="AM548" i="1"/>
  <c r="Y548" i="1"/>
  <c r="X548" i="1"/>
  <c r="W548" i="1"/>
  <c r="V548" i="1"/>
  <c r="U548" i="1"/>
  <c r="T548" i="1"/>
  <c r="S548" i="1"/>
  <c r="N548" i="1" s="1"/>
  <c r="R548" i="1"/>
  <c r="Q548" i="1"/>
  <c r="P548" i="1"/>
  <c r="O548" i="1"/>
  <c r="M548" i="1"/>
  <c r="L548" i="1"/>
  <c r="K548" i="1"/>
  <c r="J548" i="1"/>
  <c r="I548" i="1"/>
  <c r="G548" i="1"/>
  <c r="AM547" i="1"/>
  <c r="AL547" i="1"/>
  <c r="X547" i="1"/>
  <c r="R547" i="1"/>
  <c r="Q547" i="1"/>
  <c r="P547" i="1"/>
  <c r="O547" i="1"/>
  <c r="M547" i="1"/>
  <c r="K547" i="1"/>
  <c r="J547" i="1"/>
  <c r="G547" i="1"/>
  <c r="AP546" i="1"/>
  <c r="AO546" i="1"/>
  <c r="AL546" i="1"/>
  <c r="Y546" i="1"/>
  <c r="X546" i="1"/>
  <c r="W546" i="1"/>
  <c r="W547" i="1" s="1"/>
  <c r="V546" i="1"/>
  <c r="V547" i="1" s="1"/>
  <c r="U546" i="1"/>
  <c r="S546" i="1"/>
  <c r="S547" i="1" s="1"/>
  <c r="R546" i="1"/>
  <c r="Q546" i="1"/>
  <c r="P546" i="1"/>
  <c r="O546" i="1"/>
  <c r="M546" i="1"/>
  <c r="L546" i="1"/>
  <c r="L547" i="1" s="1"/>
  <c r="K546" i="1"/>
  <c r="J546" i="1"/>
  <c r="I546" i="1"/>
  <c r="G546" i="1"/>
  <c r="AQ545" i="1"/>
  <c r="AP545" i="1"/>
  <c r="AO545" i="1"/>
  <c r="AO547" i="1" s="1"/>
  <c r="AM545" i="1"/>
  <c r="AI545" i="1"/>
  <c r="Y545" i="1"/>
  <c r="T545" i="1" s="1"/>
  <c r="X545" i="1"/>
  <c r="W545" i="1"/>
  <c r="V545" i="1"/>
  <c r="U545" i="1"/>
  <c r="S545" i="1"/>
  <c r="R545" i="1"/>
  <c r="Q545" i="1"/>
  <c r="P545" i="1"/>
  <c r="O545" i="1"/>
  <c r="N545" i="1"/>
  <c r="M545" i="1"/>
  <c r="L545" i="1"/>
  <c r="K545" i="1"/>
  <c r="J545" i="1"/>
  <c r="I545" i="1"/>
  <c r="H545" i="1" s="1"/>
  <c r="G545" i="1"/>
  <c r="X544" i="1"/>
  <c r="W544" i="1"/>
  <c r="U544" i="1"/>
  <c r="M544" i="1"/>
  <c r="K544" i="1"/>
  <c r="AQ543" i="1"/>
  <c r="AP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AO542" i="1"/>
  <c r="AN542" i="1"/>
  <c r="AF542" i="1"/>
  <c r="Y542" i="1"/>
  <c r="X542" i="1"/>
  <c r="W542" i="1"/>
  <c r="V542" i="1"/>
  <c r="U542" i="1"/>
  <c r="T542" i="1"/>
  <c r="S542" i="1"/>
  <c r="R542" i="1"/>
  <c r="Q542" i="1"/>
  <c r="P542" i="1"/>
  <c r="O542" i="1"/>
  <c r="M542" i="1"/>
  <c r="L542" i="1"/>
  <c r="K542" i="1"/>
  <c r="J542" i="1"/>
  <c r="I542" i="1"/>
  <c r="H542" i="1"/>
  <c r="G542" i="1"/>
  <c r="X541" i="1"/>
  <c r="W541" i="1"/>
  <c r="U541" i="1"/>
  <c r="M541" i="1"/>
  <c r="I541" i="1"/>
  <c r="AP540" i="1"/>
  <c r="AN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G540" i="1"/>
  <c r="Y539" i="1"/>
  <c r="X539" i="1"/>
  <c r="W539" i="1"/>
  <c r="V539" i="1"/>
  <c r="U539" i="1"/>
  <c r="T539" i="1"/>
  <c r="S539" i="1"/>
  <c r="R539" i="1"/>
  <c r="Q539" i="1"/>
  <c r="P539" i="1"/>
  <c r="O539" i="1"/>
  <c r="M539" i="1"/>
  <c r="L539" i="1"/>
  <c r="K539" i="1"/>
  <c r="J539" i="1"/>
  <c r="I539" i="1"/>
  <c r="G539" i="1"/>
  <c r="AN538" i="1"/>
  <c r="AH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K541" i="1" s="1"/>
  <c r="J538" i="1"/>
  <c r="I538" i="1"/>
  <c r="H538" i="1"/>
  <c r="G538" i="1"/>
  <c r="G541" i="1" s="1"/>
  <c r="F538" i="1"/>
  <c r="AQ537" i="1"/>
  <c r="AQ540" i="1" s="1"/>
  <c r="AP537" i="1"/>
  <c r="AO537" i="1"/>
  <c r="AN537" i="1"/>
  <c r="AM537" i="1"/>
  <c r="AL537" i="1"/>
  <c r="AK537" i="1"/>
  <c r="AJ537" i="1"/>
  <c r="AI537" i="1"/>
  <c r="AH537" i="1"/>
  <c r="AG537" i="1"/>
  <c r="AF537" i="1"/>
  <c r="T537" i="1"/>
  <c r="N537" i="1"/>
  <c r="F537" i="1"/>
  <c r="AQ536" i="1"/>
  <c r="AQ539" i="1" s="1"/>
  <c r="AP536" i="1"/>
  <c r="AO536" i="1"/>
  <c r="AN536" i="1"/>
  <c r="AM536" i="1"/>
  <c r="AL536" i="1"/>
  <c r="AK536" i="1"/>
  <c r="AJ536" i="1"/>
  <c r="AI536" i="1"/>
  <c r="AH536" i="1"/>
  <c r="AG536" i="1"/>
  <c r="AF536" i="1"/>
  <c r="T536" i="1"/>
  <c r="N536" i="1"/>
  <c r="F536" i="1"/>
  <c r="AP535" i="1"/>
  <c r="AO535" i="1"/>
  <c r="AM535" i="1"/>
  <c r="AL535" i="1"/>
  <c r="Y535" i="1"/>
  <c r="X535" i="1"/>
  <c r="W535" i="1"/>
  <c r="V535" i="1"/>
  <c r="U535" i="1"/>
  <c r="T535" i="1"/>
  <c r="S535" i="1"/>
  <c r="R535" i="1"/>
  <c r="Q535" i="1"/>
  <c r="Q541" i="1" s="1"/>
  <c r="P535" i="1"/>
  <c r="P544" i="1" s="1"/>
  <c r="O535" i="1"/>
  <c r="O544" i="1" s="1"/>
  <c r="N535" i="1"/>
  <c r="N544" i="1" s="1"/>
  <c r="M535" i="1"/>
  <c r="L535" i="1"/>
  <c r="L541" i="1" s="1"/>
  <c r="K535" i="1"/>
  <c r="J535" i="1"/>
  <c r="I535" i="1"/>
  <c r="G535" i="1"/>
  <c r="AQ534" i="1"/>
  <c r="AP534" i="1"/>
  <c r="AO534" i="1"/>
  <c r="AN534" i="1"/>
  <c r="AM534" i="1"/>
  <c r="AM480" i="1" s="1"/>
  <c r="AM481" i="1" s="1"/>
  <c r="AL534" i="1"/>
  <c r="AK534" i="1"/>
  <c r="AJ534" i="1"/>
  <c r="AI534" i="1"/>
  <c r="AH534" i="1"/>
  <c r="AG534" i="1"/>
  <c r="AF534" i="1"/>
  <c r="T534" i="1"/>
  <c r="N534" i="1"/>
  <c r="H534" i="1"/>
  <c r="AQ533" i="1"/>
  <c r="AQ542" i="1" s="1"/>
  <c r="AP533" i="1"/>
  <c r="AO533" i="1"/>
  <c r="AN533" i="1"/>
  <c r="AM533" i="1"/>
  <c r="AM479" i="1" s="1"/>
  <c r="AL533" i="1"/>
  <c r="AL479" i="1" s="1"/>
  <c r="AK533" i="1"/>
  <c r="AK542" i="1" s="1"/>
  <c r="AJ533" i="1"/>
  <c r="AI533" i="1"/>
  <c r="AI479" i="1" s="1"/>
  <c r="AH533" i="1"/>
  <c r="AG533" i="1"/>
  <c r="AF533" i="1"/>
  <c r="AF539" i="1" s="1"/>
  <c r="T533" i="1"/>
  <c r="N533" i="1"/>
  <c r="H533" i="1"/>
  <c r="H539" i="1" s="1"/>
  <c r="AP532" i="1"/>
  <c r="AO532" i="1"/>
  <c r="AN532" i="1"/>
  <c r="AM532" i="1"/>
  <c r="AL532" i="1"/>
  <c r="AK532" i="1"/>
  <c r="AJ532" i="1"/>
  <c r="AI532" i="1"/>
  <c r="AH532" i="1"/>
  <c r="AG532" i="1"/>
  <c r="AF532" i="1"/>
  <c r="Y532" i="1"/>
  <c r="X532" i="1"/>
  <c r="W532" i="1"/>
  <c r="V532" i="1"/>
  <c r="U532" i="1"/>
  <c r="S532" i="1"/>
  <c r="R532" i="1"/>
  <c r="Q532" i="1"/>
  <c r="P532" i="1"/>
  <c r="O532" i="1"/>
  <c r="M532" i="1"/>
  <c r="L532" i="1"/>
  <c r="K532" i="1"/>
  <c r="J532" i="1"/>
  <c r="I532" i="1"/>
  <c r="H532" i="1"/>
  <c r="G532" i="1"/>
  <c r="AQ531" i="1"/>
  <c r="AP531" i="1"/>
  <c r="AO531" i="1"/>
  <c r="AN531" i="1"/>
  <c r="AM531" i="1"/>
  <c r="AL531" i="1"/>
  <c r="AK531" i="1"/>
  <c r="AJ531" i="1"/>
  <c r="AI531" i="1"/>
  <c r="AH531" i="1"/>
  <c r="AH477" i="1" s="1"/>
  <c r="AH478" i="1" s="1"/>
  <c r="AG531" i="1"/>
  <c r="AG477" i="1" s="1"/>
  <c r="AF531" i="1"/>
  <c r="T531" i="1"/>
  <c r="N531" i="1"/>
  <c r="H531" i="1"/>
  <c r="AQ530" i="1"/>
  <c r="AP530" i="1"/>
  <c r="AO530" i="1"/>
  <c r="AN530" i="1"/>
  <c r="AM530" i="1"/>
  <c r="AL530" i="1"/>
  <c r="AK530" i="1"/>
  <c r="AJ530" i="1"/>
  <c r="AI530" i="1"/>
  <c r="AI476" i="1" s="1"/>
  <c r="AH530" i="1"/>
  <c r="AH476" i="1" s="1"/>
  <c r="AG530" i="1"/>
  <c r="AF530" i="1"/>
  <c r="T530" i="1"/>
  <c r="T532" i="1" s="1"/>
  <c r="N530" i="1"/>
  <c r="H530" i="1"/>
  <c r="F530" i="1" s="1"/>
  <c r="AO529" i="1"/>
  <c r="AN529" i="1"/>
  <c r="AL529" i="1"/>
  <c r="AK529" i="1"/>
  <c r="AI529" i="1"/>
  <c r="AH529" i="1"/>
  <c r="Y529" i="1"/>
  <c r="X529" i="1"/>
  <c r="W529" i="1"/>
  <c r="V529" i="1"/>
  <c r="U529" i="1"/>
  <c r="T529" i="1"/>
  <c r="S529" i="1"/>
  <c r="R529" i="1"/>
  <c r="Q529" i="1"/>
  <c r="P529" i="1"/>
  <c r="O529" i="1"/>
  <c r="M529" i="1"/>
  <c r="L529" i="1"/>
  <c r="K529" i="1"/>
  <c r="J529" i="1"/>
  <c r="I529" i="1"/>
  <c r="G529" i="1"/>
  <c r="AQ528" i="1"/>
  <c r="AP528" i="1"/>
  <c r="AO528" i="1"/>
  <c r="AN528" i="1"/>
  <c r="AM528" i="1"/>
  <c r="AL528" i="1"/>
  <c r="AK528" i="1"/>
  <c r="AJ528" i="1"/>
  <c r="AI528" i="1"/>
  <c r="AH528" i="1"/>
  <c r="AG528" i="1"/>
  <c r="AG529" i="1" s="1"/>
  <c r="AF528" i="1"/>
  <c r="T528" i="1"/>
  <c r="N528" i="1"/>
  <c r="H528" i="1"/>
  <c r="H529" i="1" s="1"/>
  <c r="F528" i="1"/>
  <c r="F529" i="1" s="1"/>
  <c r="AQ527" i="1"/>
  <c r="AQ473" i="1" s="1"/>
  <c r="AP527" i="1"/>
  <c r="AO527" i="1"/>
  <c r="AN527" i="1"/>
  <c r="AM527" i="1"/>
  <c r="AM473" i="1" s="1"/>
  <c r="AL527" i="1"/>
  <c r="AK527" i="1"/>
  <c r="AJ527" i="1"/>
  <c r="AI527" i="1"/>
  <c r="AI491" i="1" s="1"/>
  <c r="AH527" i="1"/>
  <c r="AG527" i="1"/>
  <c r="AF527" i="1"/>
  <c r="T527" i="1"/>
  <c r="N527" i="1"/>
  <c r="H527" i="1"/>
  <c r="F527" i="1"/>
  <c r="R526" i="1"/>
  <c r="Q526" i="1"/>
  <c r="K526" i="1"/>
  <c r="I526" i="1"/>
  <c r="AQ525" i="1"/>
  <c r="AN525" i="1"/>
  <c r="AM525" i="1"/>
  <c r="AF525" i="1"/>
  <c r="Y525" i="1"/>
  <c r="X525" i="1"/>
  <c r="W525" i="1"/>
  <c r="V525" i="1"/>
  <c r="U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AM524" i="1"/>
  <c r="AJ524" i="1"/>
  <c r="Y524" i="1"/>
  <c r="X524" i="1"/>
  <c r="W524" i="1"/>
  <c r="V524" i="1"/>
  <c r="U524" i="1"/>
  <c r="S524" i="1"/>
  <c r="R524" i="1"/>
  <c r="Q524" i="1"/>
  <c r="P524" i="1"/>
  <c r="O524" i="1"/>
  <c r="M524" i="1"/>
  <c r="L524" i="1"/>
  <c r="K524" i="1"/>
  <c r="J524" i="1"/>
  <c r="I524" i="1"/>
  <c r="G524" i="1"/>
  <c r="AL523" i="1"/>
  <c r="T523" i="1"/>
  <c r="S523" i="1"/>
  <c r="R523" i="1"/>
  <c r="K523" i="1"/>
  <c r="I523" i="1"/>
  <c r="AN522" i="1"/>
  <c r="AM522" i="1"/>
  <c r="AL522" i="1"/>
  <c r="AI522" i="1"/>
  <c r="AH522" i="1"/>
  <c r="AG522" i="1"/>
  <c r="AF522" i="1"/>
  <c r="Y522" i="1"/>
  <c r="X522" i="1"/>
  <c r="W522" i="1"/>
  <c r="V522" i="1"/>
  <c r="U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AM521" i="1"/>
  <c r="AG521" i="1"/>
  <c r="AF521" i="1"/>
  <c r="Y521" i="1"/>
  <c r="X521" i="1"/>
  <c r="W521" i="1"/>
  <c r="V521" i="1"/>
  <c r="U521" i="1"/>
  <c r="S521" i="1"/>
  <c r="R521" i="1"/>
  <c r="Q521" i="1"/>
  <c r="P521" i="1"/>
  <c r="O521" i="1"/>
  <c r="N521" i="1"/>
  <c r="M521" i="1"/>
  <c r="L521" i="1"/>
  <c r="K521" i="1"/>
  <c r="J521" i="1"/>
  <c r="I521" i="1"/>
  <c r="G521" i="1"/>
  <c r="AL520" i="1"/>
  <c r="AK520" i="1"/>
  <c r="AF520" i="1"/>
  <c r="Y520" i="1"/>
  <c r="X520" i="1"/>
  <c r="W520" i="1"/>
  <c r="V520" i="1"/>
  <c r="V526" i="1" s="1"/>
  <c r="U520" i="1"/>
  <c r="T520" i="1"/>
  <c r="T526" i="1" s="1"/>
  <c r="S520" i="1"/>
  <c r="S526" i="1" s="1"/>
  <c r="R520" i="1"/>
  <c r="Q520" i="1"/>
  <c r="P520" i="1"/>
  <c r="O520" i="1"/>
  <c r="L520" i="1"/>
  <c r="K520" i="1"/>
  <c r="J520" i="1"/>
  <c r="I520" i="1"/>
  <c r="H520" i="1"/>
  <c r="G520" i="1"/>
  <c r="AQ519" i="1"/>
  <c r="AP519" i="1"/>
  <c r="AO519" i="1"/>
  <c r="AN519" i="1"/>
  <c r="AM519" i="1"/>
  <c r="AM520" i="1" s="1"/>
  <c r="AL519" i="1"/>
  <c r="AK519" i="1"/>
  <c r="AJ519" i="1"/>
  <c r="AI519" i="1"/>
  <c r="AH519" i="1"/>
  <c r="AG519" i="1"/>
  <c r="AF519" i="1"/>
  <c r="T519" i="1"/>
  <c r="N519" i="1"/>
  <c r="AQ518" i="1"/>
  <c r="AP518" i="1"/>
  <c r="AO518" i="1"/>
  <c r="AN518" i="1"/>
  <c r="AM518" i="1"/>
  <c r="AL518" i="1"/>
  <c r="AK518" i="1"/>
  <c r="AJ518" i="1"/>
  <c r="AI518" i="1"/>
  <c r="AH518" i="1"/>
  <c r="AG518" i="1"/>
  <c r="AG524" i="1" s="1"/>
  <c r="AF518" i="1"/>
  <c r="T518" i="1"/>
  <c r="N518" i="1"/>
  <c r="AQ517" i="1"/>
  <c r="AO517" i="1"/>
  <c r="AN517" i="1"/>
  <c r="AL517" i="1"/>
  <c r="AL526" i="1" s="1"/>
  <c r="AK517" i="1"/>
  <c r="AK526" i="1" s="1"/>
  <c r="AJ517" i="1"/>
  <c r="AI517" i="1"/>
  <c r="Y517" i="1"/>
  <c r="X517" i="1"/>
  <c r="W517" i="1"/>
  <c r="V517" i="1"/>
  <c r="U517" i="1"/>
  <c r="U523" i="1" s="1"/>
  <c r="S517" i="1"/>
  <c r="R517" i="1"/>
  <c r="Q517" i="1"/>
  <c r="Q523" i="1" s="1"/>
  <c r="P517" i="1"/>
  <c r="P523" i="1" s="1"/>
  <c r="O517" i="1"/>
  <c r="N517" i="1"/>
  <c r="M517" i="1"/>
  <c r="L517" i="1"/>
  <c r="K517" i="1"/>
  <c r="J517" i="1"/>
  <c r="I517" i="1"/>
  <c r="G517" i="1"/>
  <c r="AQ516" i="1"/>
  <c r="AQ498" i="1" s="1"/>
  <c r="AP516" i="1"/>
  <c r="AO516" i="1"/>
  <c r="AN516" i="1"/>
  <c r="AM516" i="1"/>
  <c r="AL516" i="1"/>
  <c r="AK516" i="1"/>
  <c r="AJ516" i="1"/>
  <c r="AI516" i="1"/>
  <c r="AH516" i="1"/>
  <c r="AG516" i="1"/>
  <c r="AG517" i="1" s="1"/>
  <c r="AF516" i="1"/>
  <c r="T516" i="1"/>
  <c r="T517" i="1" s="1"/>
  <c r="N516" i="1"/>
  <c r="H516" i="1"/>
  <c r="F516" i="1"/>
  <c r="AQ515" i="1"/>
  <c r="AQ497" i="1" s="1"/>
  <c r="AP515" i="1"/>
  <c r="AP497" i="1" s="1"/>
  <c r="AO515" i="1"/>
  <c r="AN515" i="1"/>
  <c r="AM515" i="1"/>
  <c r="AL515" i="1"/>
  <c r="AK515" i="1"/>
  <c r="AJ515" i="1"/>
  <c r="AI515" i="1"/>
  <c r="AH515" i="1"/>
  <c r="AG515" i="1"/>
  <c r="AF515" i="1"/>
  <c r="T515" i="1"/>
  <c r="N515" i="1"/>
  <c r="H515" i="1"/>
  <c r="H517" i="1" s="1"/>
  <c r="AQ514" i="1"/>
  <c r="AK514" i="1"/>
  <c r="AJ514" i="1"/>
  <c r="AI514" i="1"/>
  <c r="AH514" i="1"/>
  <c r="AG514" i="1"/>
  <c r="Y514" i="1"/>
  <c r="X514" i="1"/>
  <c r="W514" i="1"/>
  <c r="V514" i="1"/>
  <c r="U514" i="1"/>
  <c r="T514" i="1"/>
  <c r="S514" i="1"/>
  <c r="R514" i="1"/>
  <c r="Q514" i="1"/>
  <c r="P514" i="1"/>
  <c r="O514" i="1"/>
  <c r="M514" i="1"/>
  <c r="L514" i="1"/>
  <c r="K514" i="1"/>
  <c r="J514" i="1"/>
  <c r="I514" i="1"/>
  <c r="G514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T513" i="1"/>
  <c r="N513" i="1"/>
  <c r="H513" i="1"/>
  <c r="AQ512" i="1"/>
  <c r="AQ494" i="1" s="1"/>
  <c r="AP512" i="1"/>
  <c r="AO512" i="1"/>
  <c r="AN512" i="1"/>
  <c r="AN494" i="1" s="1"/>
  <c r="AM512" i="1"/>
  <c r="AL512" i="1"/>
  <c r="AK512" i="1"/>
  <c r="AJ512" i="1"/>
  <c r="AI512" i="1"/>
  <c r="AH512" i="1"/>
  <c r="AG512" i="1"/>
  <c r="AF512" i="1"/>
  <c r="T512" i="1"/>
  <c r="N512" i="1"/>
  <c r="F512" i="1" s="1"/>
  <c r="H512" i="1"/>
  <c r="AP511" i="1"/>
  <c r="AK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G511" i="1"/>
  <c r="AQ510" i="1"/>
  <c r="AP510" i="1"/>
  <c r="AO510" i="1"/>
  <c r="AN510" i="1"/>
  <c r="AN511" i="1" s="1"/>
  <c r="AM510" i="1"/>
  <c r="AM511" i="1" s="1"/>
  <c r="AL510" i="1"/>
  <c r="AK510" i="1"/>
  <c r="AJ510" i="1"/>
  <c r="AI510" i="1"/>
  <c r="AI511" i="1" s="1"/>
  <c r="AH510" i="1"/>
  <c r="AG510" i="1"/>
  <c r="AF510" i="1"/>
  <c r="T510" i="1"/>
  <c r="N510" i="1"/>
  <c r="H510" i="1"/>
  <c r="F510" i="1"/>
  <c r="F511" i="1" s="1"/>
  <c r="AQ509" i="1"/>
  <c r="AP509" i="1"/>
  <c r="AO509" i="1"/>
  <c r="AN509" i="1"/>
  <c r="AM509" i="1"/>
  <c r="AL509" i="1"/>
  <c r="AK509" i="1"/>
  <c r="AJ509" i="1"/>
  <c r="AI509" i="1"/>
  <c r="AH509" i="1"/>
  <c r="AH491" i="1" s="1"/>
  <c r="AG509" i="1"/>
  <c r="AF509" i="1"/>
  <c r="T509" i="1"/>
  <c r="N509" i="1"/>
  <c r="H509" i="1"/>
  <c r="F509" i="1"/>
  <c r="AL507" i="1"/>
  <c r="V507" i="1"/>
  <c r="U507" i="1"/>
  <c r="S507" i="1"/>
  <c r="R507" i="1"/>
  <c r="P507" i="1"/>
  <c r="O507" i="1"/>
  <c r="W506" i="1"/>
  <c r="V506" i="1"/>
  <c r="U506" i="1"/>
  <c r="S506" i="1"/>
  <c r="R506" i="1"/>
  <c r="Q506" i="1"/>
  <c r="U505" i="1"/>
  <c r="K505" i="1"/>
  <c r="AF504" i="1"/>
  <c r="U504" i="1"/>
  <c r="R504" i="1"/>
  <c r="Q504" i="1"/>
  <c r="K504" i="1"/>
  <c r="W503" i="1"/>
  <c r="V503" i="1"/>
  <c r="S503" i="1"/>
  <c r="R503" i="1"/>
  <c r="Q503" i="1"/>
  <c r="O503" i="1"/>
  <c r="Y502" i="1"/>
  <c r="Y505" i="1" s="1"/>
  <c r="V502" i="1"/>
  <c r="U502" i="1"/>
  <c r="S502" i="1"/>
  <c r="R502" i="1"/>
  <c r="L502" i="1"/>
  <c r="K502" i="1"/>
  <c r="K508" i="1" s="1"/>
  <c r="AN501" i="1"/>
  <c r="AL501" i="1"/>
  <c r="AK501" i="1"/>
  <c r="AI501" i="1"/>
  <c r="AH501" i="1"/>
  <c r="AF501" i="1"/>
  <c r="Y501" i="1"/>
  <c r="X501" i="1"/>
  <c r="W501" i="1"/>
  <c r="V501" i="1"/>
  <c r="U501" i="1"/>
  <c r="S501" i="1"/>
  <c r="R501" i="1"/>
  <c r="Q501" i="1"/>
  <c r="P501" i="1"/>
  <c r="O501" i="1"/>
  <c r="N501" i="1"/>
  <c r="M501" i="1"/>
  <c r="L501" i="1"/>
  <c r="L507" i="1" s="1"/>
  <c r="K501" i="1"/>
  <c r="J501" i="1"/>
  <c r="I501" i="1"/>
  <c r="G501" i="1"/>
  <c r="AL500" i="1"/>
  <c r="AK500" i="1"/>
  <c r="AJ500" i="1"/>
  <c r="AI500" i="1"/>
  <c r="AG500" i="1"/>
  <c r="AF500" i="1"/>
  <c r="Y500" i="1"/>
  <c r="X500" i="1"/>
  <c r="W500" i="1"/>
  <c r="V500" i="1"/>
  <c r="U500" i="1"/>
  <c r="S500" i="1"/>
  <c r="R500" i="1"/>
  <c r="Q500" i="1"/>
  <c r="P500" i="1"/>
  <c r="O500" i="1"/>
  <c r="N500" i="1"/>
  <c r="N506" i="1" s="1"/>
  <c r="M500" i="1"/>
  <c r="L500" i="1"/>
  <c r="K500" i="1"/>
  <c r="K506" i="1" s="1"/>
  <c r="J500" i="1"/>
  <c r="J506" i="1" s="1"/>
  <c r="I500" i="1"/>
  <c r="G500" i="1"/>
  <c r="AQ499" i="1"/>
  <c r="W499" i="1"/>
  <c r="U499" i="1"/>
  <c r="U508" i="1" s="1"/>
  <c r="P499" i="1"/>
  <c r="M499" i="1"/>
  <c r="L499" i="1"/>
  <c r="AO498" i="1"/>
  <c r="AN498" i="1"/>
  <c r="AL498" i="1"/>
  <c r="AJ498" i="1"/>
  <c r="AF498" i="1"/>
  <c r="Y498" i="1"/>
  <c r="Y499" i="1" s="1"/>
  <c r="X498" i="1"/>
  <c r="W498" i="1"/>
  <c r="V498" i="1"/>
  <c r="U498" i="1"/>
  <c r="S498" i="1"/>
  <c r="R498" i="1"/>
  <c r="R499" i="1" s="1"/>
  <c r="Q498" i="1"/>
  <c r="P498" i="1"/>
  <c r="O498" i="1"/>
  <c r="M498" i="1"/>
  <c r="L498" i="1"/>
  <c r="K498" i="1"/>
  <c r="K499" i="1" s="1"/>
  <c r="J498" i="1"/>
  <c r="I498" i="1"/>
  <c r="G498" i="1"/>
  <c r="AO497" i="1"/>
  <c r="Y497" i="1"/>
  <c r="X497" i="1"/>
  <c r="W497" i="1"/>
  <c r="V497" i="1"/>
  <c r="U497" i="1"/>
  <c r="T497" i="1"/>
  <c r="S497" i="1"/>
  <c r="R497" i="1"/>
  <c r="Q497" i="1"/>
  <c r="Q499" i="1" s="1"/>
  <c r="P497" i="1"/>
  <c r="O497" i="1"/>
  <c r="N497" i="1" s="1"/>
  <c r="M497" i="1"/>
  <c r="L497" i="1"/>
  <c r="K497" i="1"/>
  <c r="J497" i="1"/>
  <c r="I497" i="1"/>
  <c r="H497" i="1"/>
  <c r="G497" i="1"/>
  <c r="V496" i="1"/>
  <c r="U496" i="1"/>
  <c r="AO495" i="1"/>
  <c r="AL495" i="1"/>
  <c r="AK495" i="1"/>
  <c r="Y495" i="1"/>
  <c r="X495" i="1"/>
  <c r="X496" i="1" s="1"/>
  <c r="W495" i="1"/>
  <c r="W496" i="1" s="1"/>
  <c r="V495" i="1"/>
  <c r="U495" i="1"/>
  <c r="S495" i="1"/>
  <c r="S496" i="1" s="1"/>
  <c r="R495" i="1"/>
  <c r="Q495" i="1"/>
  <c r="Q496" i="1" s="1"/>
  <c r="P495" i="1"/>
  <c r="O495" i="1"/>
  <c r="M495" i="1"/>
  <c r="L495" i="1"/>
  <c r="K495" i="1"/>
  <c r="K496" i="1" s="1"/>
  <c r="J495" i="1"/>
  <c r="I495" i="1"/>
  <c r="G495" i="1"/>
  <c r="G496" i="1" s="1"/>
  <c r="AL494" i="1"/>
  <c r="AK494" i="1"/>
  <c r="AJ494" i="1"/>
  <c r="AI494" i="1"/>
  <c r="AH494" i="1"/>
  <c r="AF494" i="1"/>
  <c r="Y494" i="1"/>
  <c r="X494" i="1"/>
  <c r="W494" i="1"/>
  <c r="V494" i="1"/>
  <c r="U494" i="1"/>
  <c r="S494" i="1"/>
  <c r="R494" i="1"/>
  <c r="R496" i="1" s="1"/>
  <c r="Q494" i="1"/>
  <c r="P494" i="1"/>
  <c r="P496" i="1" s="1"/>
  <c r="O494" i="1"/>
  <c r="O496" i="1" s="1"/>
  <c r="N494" i="1"/>
  <c r="M494" i="1"/>
  <c r="M496" i="1" s="1"/>
  <c r="L494" i="1"/>
  <c r="K494" i="1"/>
  <c r="J494" i="1"/>
  <c r="I494" i="1"/>
  <c r="G494" i="1"/>
  <c r="AH493" i="1"/>
  <c r="Y493" i="1"/>
  <c r="V493" i="1"/>
  <c r="U493" i="1"/>
  <c r="S493" i="1"/>
  <c r="O493" i="1"/>
  <c r="I493" i="1"/>
  <c r="AN492" i="1"/>
  <c r="AN493" i="1" s="1"/>
  <c r="AH492" i="1"/>
  <c r="AG492" i="1"/>
  <c r="AF492" i="1"/>
  <c r="Y492" i="1"/>
  <c r="X492" i="1"/>
  <c r="W492" i="1"/>
  <c r="V492" i="1"/>
  <c r="U492" i="1"/>
  <c r="T492" i="1"/>
  <c r="S492" i="1"/>
  <c r="R492" i="1"/>
  <c r="R493" i="1" s="1"/>
  <c r="Q492" i="1"/>
  <c r="P492" i="1"/>
  <c r="O492" i="1"/>
  <c r="N492" i="1"/>
  <c r="M492" i="1"/>
  <c r="M493" i="1" s="1"/>
  <c r="L492" i="1"/>
  <c r="L493" i="1" s="1"/>
  <c r="K492" i="1"/>
  <c r="K493" i="1" s="1"/>
  <c r="J492" i="1"/>
  <c r="J493" i="1" s="1"/>
  <c r="I492" i="1"/>
  <c r="G492" i="1"/>
  <c r="AN491" i="1"/>
  <c r="AK491" i="1"/>
  <c r="AF491" i="1"/>
  <c r="AF493" i="1" s="1"/>
  <c r="Y491" i="1"/>
  <c r="X491" i="1"/>
  <c r="X493" i="1" s="1"/>
  <c r="W491" i="1"/>
  <c r="V491" i="1"/>
  <c r="U491" i="1"/>
  <c r="S491" i="1"/>
  <c r="R491" i="1"/>
  <c r="Q491" i="1"/>
  <c r="P491" i="1"/>
  <c r="O491" i="1"/>
  <c r="M491" i="1"/>
  <c r="L491" i="1"/>
  <c r="K491" i="1"/>
  <c r="J491" i="1"/>
  <c r="I491" i="1"/>
  <c r="H491" i="1"/>
  <c r="G491" i="1"/>
  <c r="Y490" i="1"/>
  <c r="U490" i="1"/>
  <c r="K490" i="1"/>
  <c r="I490" i="1"/>
  <c r="Y489" i="1"/>
  <c r="X489" i="1"/>
  <c r="W489" i="1"/>
  <c r="V489" i="1"/>
  <c r="U489" i="1"/>
  <c r="S489" i="1"/>
  <c r="R489" i="1"/>
  <c r="Q489" i="1"/>
  <c r="P489" i="1"/>
  <c r="O489" i="1"/>
  <c r="N489" i="1"/>
  <c r="M489" i="1"/>
  <c r="L489" i="1"/>
  <c r="K489" i="1"/>
  <c r="J489" i="1"/>
  <c r="I489" i="1"/>
  <c r="G489" i="1"/>
  <c r="Y488" i="1"/>
  <c r="X488" i="1"/>
  <c r="W488" i="1"/>
  <c r="V488" i="1"/>
  <c r="U488" i="1"/>
  <c r="T488" i="1"/>
  <c r="S488" i="1"/>
  <c r="R488" i="1"/>
  <c r="Q488" i="1"/>
  <c r="P488" i="1"/>
  <c r="O488" i="1"/>
  <c r="M488" i="1"/>
  <c r="L488" i="1"/>
  <c r="K488" i="1"/>
  <c r="J488" i="1"/>
  <c r="I488" i="1"/>
  <c r="G488" i="1"/>
  <c r="P487" i="1"/>
  <c r="O487" i="1"/>
  <c r="Y486" i="1"/>
  <c r="X486" i="1"/>
  <c r="W486" i="1"/>
  <c r="V486" i="1"/>
  <c r="U486" i="1"/>
  <c r="S486" i="1"/>
  <c r="R486" i="1"/>
  <c r="Q486" i="1"/>
  <c r="P486" i="1"/>
  <c r="O486" i="1"/>
  <c r="M486" i="1"/>
  <c r="L486" i="1"/>
  <c r="K486" i="1"/>
  <c r="J486" i="1"/>
  <c r="I486" i="1"/>
  <c r="H486" i="1"/>
  <c r="G486" i="1"/>
  <c r="Y485" i="1"/>
  <c r="X485" i="1"/>
  <c r="W485" i="1"/>
  <c r="V485" i="1"/>
  <c r="U485" i="1"/>
  <c r="S485" i="1"/>
  <c r="R485" i="1"/>
  <c r="Q485" i="1"/>
  <c r="P485" i="1"/>
  <c r="O485" i="1"/>
  <c r="M485" i="1"/>
  <c r="L485" i="1"/>
  <c r="K485" i="1"/>
  <c r="J485" i="1"/>
  <c r="I485" i="1"/>
  <c r="G485" i="1"/>
  <c r="Y484" i="1"/>
  <c r="Y487" i="1" s="1"/>
  <c r="X484" i="1"/>
  <c r="W484" i="1"/>
  <c r="V484" i="1"/>
  <c r="U484" i="1"/>
  <c r="U487" i="1" s="1"/>
  <c r="S484" i="1"/>
  <c r="R484" i="1"/>
  <c r="Q484" i="1"/>
  <c r="P484" i="1"/>
  <c r="O484" i="1"/>
  <c r="O490" i="1" s="1"/>
  <c r="N484" i="1"/>
  <c r="M484" i="1"/>
  <c r="M487" i="1" s="1"/>
  <c r="L484" i="1"/>
  <c r="K484" i="1"/>
  <c r="K487" i="1" s="1"/>
  <c r="J484" i="1"/>
  <c r="I484" i="1"/>
  <c r="I487" i="1" s="1"/>
  <c r="H484" i="1"/>
  <c r="G484" i="1"/>
  <c r="AJ483" i="1"/>
  <c r="AG483" i="1"/>
  <c r="AF483" i="1"/>
  <c r="T483" i="1"/>
  <c r="N483" i="1"/>
  <c r="T482" i="1"/>
  <c r="N482" i="1"/>
  <c r="N485" i="1" s="1"/>
  <c r="Y481" i="1"/>
  <c r="X481" i="1"/>
  <c r="X490" i="1" s="1"/>
  <c r="W481" i="1"/>
  <c r="W487" i="1" s="1"/>
  <c r="V481" i="1"/>
  <c r="V487" i="1" s="1"/>
  <c r="U481" i="1"/>
  <c r="T481" i="1"/>
  <c r="S481" i="1"/>
  <c r="R481" i="1"/>
  <c r="Q481" i="1"/>
  <c r="P481" i="1"/>
  <c r="P490" i="1" s="1"/>
  <c r="O481" i="1"/>
  <c r="M481" i="1"/>
  <c r="M490" i="1" s="1"/>
  <c r="L481" i="1"/>
  <c r="K481" i="1"/>
  <c r="J481" i="1"/>
  <c r="I481" i="1"/>
  <c r="G481" i="1"/>
  <c r="AQ480" i="1"/>
  <c r="AQ481" i="1" s="1"/>
  <c r="AP480" i="1"/>
  <c r="AO480" i="1"/>
  <c r="AO481" i="1" s="1"/>
  <c r="AN480" i="1"/>
  <c r="AL480" i="1"/>
  <c r="AL481" i="1" s="1"/>
  <c r="T480" i="1"/>
  <c r="N480" i="1"/>
  <c r="H480" i="1"/>
  <c r="AO479" i="1"/>
  <c r="T479" i="1"/>
  <c r="N479" i="1"/>
  <c r="H479" i="1"/>
  <c r="F479" i="1"/>
  <c r="Y478" i="1"/>
  <c r="X478" i="1"/>
  <c r="W478" i="1"/>
  <c r="V478" i="1"/>
  <c r="U478" i="1"/>
  <c r="S478" i="1"/>
  <c r="R478" i="1"/>
  <c r="Q478" i="1"/>
  <c r="P478" i="1"/>
  <c r="O478" i="1"/>
  <c r="N478" i="1"/>
  <c r="M478" i="1"/>
  <c r="L478" i="1"/>
  <c r="K478" i="1"/>
  <c r="J478" i="1"/>
  <c r="I478" i="1"/>
  <c r="G478" i="1"/>
  <c r="T477" i="1"/>
  <c r="N477" i="1"/>
  <c r="H477" i="1"/>
  <c r="H478" i="1" s="1"/>
  <c r="F477" i="1"/>
  <c r="T476" i="1"/>
  <c r="N476" i="1"/>
  <c r="H476" i="1"/>
  <c r="AL475" i="1"/>
  <c r="Y475" i="1"/>
  <c r="X475" i="1"/>
  <c r="W475" i="1"/>
  <c r="V475" i="1"/>
  <c r="U475" i="1"/>
  <c r="S475" i="1"/>
  <c r="R475" i="1"/>
  <c r="Q475" i="1"/>
  <c r="P475" i="1"/>
  <c r="O475" i="1"/>
  <c r="N475" i="1"/>
  <c r="M475" i="1"/>
  <c r="L475" i="1"/>
  <c r="K475" i="1"/>
  <c r="J475" i="1"/>
  <c r="I475" i="1"/>
  <c r="G475" i="1"/>
  <c r="T474" i="1"/>
  <c r="T475" i="1" s="1"/>
  <c r="N474" i="1"/>
  <c r="H474" i="1"/>
  <c r="H475" i="1" s="1"/>
  <c r="F474" i="1"/>
  <c r="F475" i="1" s="1"/>
  <c r="AK473" i="1"/>
  <c r="AJ473" i="1"/>
  <c r="AI473" i="1"/>
  <c r="AF473" i="1"/>
  <c r="T473" i="1"/>
  <c r="N473" i="1"/>
  <c r="H473" i="1"/>
  <c r="F473" i="1" s="1"/>
  <c r="U472" i="1"/>
  <c r="P472" i="1"/>
  <c r="M472" i="1"/>
  <c r="L472" i="1"/>
  <c r="Y471" i="1"/>
  <c r="X471" i="1"/>
  <c r="W471" i="1"/>
  <c r="V471" i="1"/>
  <c r="U471" i="1"/>
  <c r="S471" i="1"/>
  <c r="R471" i="1"/>
  <c r="Q471" i="1"/>
  <c r="P471" i="1"/>
  <c r="O471" i="1"/>
  <c r="M471" i="1"/>
  <c r="L471" i="1"/>
  <c r="K471" i="1"/>
  <c r="J471" i="1"/>
  <c r="I471" i="1"/>
  <c r="G471" i="1"/>
  <c r="Y470" i="1"/>
  <c r="X470" i="1"/>
  <c r="W470" i="1"/>
  <c r="V470" i="1"/>
  <c r="U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Y469" i="1"/>
  <c r="P469" i="1"/>
  <c r="L469" i="1"/>
  <c r="I469" i="1"/>
  <c r="G469" i="1"/>
  <c r="Y468" i="1"/>
  <c r="X468" i="1"/>
  <c r="W468" i="1"/>
  <c r="V468" i="1"/>
  <c r="U468" i="1"/>
  <c r="S468" i="1"/>
  <c r="R468" i="1"/>
  <c r="Q468" i="1"/>
  <c r="P468" i="1"/>
  <c r="O468" i="1"/>
  <c r="M468" i="1"/>
  <c r="L468" i="1"/>
  <c r="K468" i="1"/>
  <c r="J468" i="1"/>
  <c r="I468" i="1"/>
  <c r="H468" i="1"/>
  <c r="G468" i="1"/>
  <c r="Y467" i="1"/>
  <c r="X467" i="1"/>
  <c r="W467" i="1"/>
  <c r="V467" i="1"/>
  <c r="U467" i="1"/>
  <c r="S467" i="1"/>
  <c r="R467" i="1"/>
  <c r="Q467" i="1"/>
  <c r="P467" i="1"/>
  <c r="O467" i="1"/>
  <c r="M467" i="1"/>
  <c r="L467" i="1"/>
  <c r="K467" i="1"/>
  <c r="J467" i="1"/>
  <c r="I467" i="1"/>
  <c r="G467" i="1"/>
  <c r="Y466" i="1"/>
  <c r="X466" i="1"/>
  <c r="W466" i="1"/>
  <c r="V466" i="1"/>
  <c r="U466" i="1"/>
  <c r="U469" i="1" s="1"/>
  <c r="S466" i="1"/>
  <c r="R466" i="1"/>
  <c r="Q466" i="1"/>
  <c r="Q469" i="1" s="1"/>
  <c r="P466" i="1"/>
  <c r="O466" i="1"/>
  <c r="O469" i="1" s="1"/>
  <c r="L466" i="1"/>
  <c r="K466" i="1"/>
  <c r="J466" i="1"/>
  <c r="I466" i="1"/>
  <c r="H466" i="1"/>
  <c r="G466" i="1"/>
  <c r="AM465" i="1"/>
  <c r="AI465" i="1"/>
  <c r="AG465" i="1"/>
  <c r="T465" i="1"/>
  <c r="T468" i="1" s="1"/>
  <c r="N465" i="1"/>
  <c r="AG464" i="1"/>
  <c r="T464" i="1"/>
  <c r="N464" i="1"/>
  <c r="Y463" i="1"/>
  <c r="Y472" i="1" s="1"/>
  <c r="X463" i="1"/>
  <c r="W463" i="1"/>
  <c r="V463" i="1"/>
  <c r="V469" i="1" s="1"/>
  <c r="U463" i="1"/>
  <c r="S463" i="1"/>
  <c r="R463" i="1"/>
  <c r="Q463" i="1"/>
  <c r="P463" i="1"/>
  <c r="O463" i="1"/>
  <c r="N463" i="1"/>
  <c r="M463" i="1"/>
  <c r="M469" i="1" s="1"/>
  <c r="L463" i="1"/>
  <c r="K463" i="1"/>
  <c r="J463" i="1"/>
  <c r="I463" i="1"/>
  <c r="I472" i="1" s="1"/>
  <c r="H463" i="1"/>
  <c r="H472" i="1" s="1"/>
  <c r="G463" i="1"/>
  <c r="AP462" i="1"/>
  <c r="T462" i="1"/>
  <c r="N462" i="1"/>
  <c r="H462" i="1"/>
  <c r="H471" i="1" s="1"/>
  <c r="AP461" i="1"/>
  <c r="AO461" i="1"/>
  <c r="AO443" i="1" s="1"/>
  <c r="AF461" i="1"/>
  <c r="T461" i="1"/>
  <c r="T467" i="1" s="1"/>
  <c r="N461" i="1"/>
  <c r="H461" i="1"/>
  <c r="H467" i="1" s="1"/>
  <c r="Y460" i="1"/>
  <c r="X460" i="1"/>
  <c r="W460" i="1"/>
  <c r="V460" i="1"/>
  <c r="U460" i="1"/>
  <c r="T460" i="1"/>
  <c r="S460" i="1"/>
  <c r="R460" i="1"/>
  <c r="Q460" i="1"/>
  <c r="P460" i="1"/>
  <c r="O460" i="1"/>
  <c r="M460" i="1"/>
  <c r="L460" i="1"/>
  <c r="K460" i="1"/>
  <c r="J460" i="1"/>
  <c r="I460" i="1"/>
  <c r="G460" i="1"/>
  <c r="AM459" i="1"/>
  <c r="T459" i="1"/>
  <c r="F459" i="1" s="1"/>
  <c r="F460" i="1" s="1"/>
  <c r="N459" i="1"/>
  <c r="N460" i="1" s="1"/>
  <c r="H459" i="1"/>
  <c r="AO458" i="1"/>
  <c r="AN458" i="1"/>
  <c r="AL458" i="1"/>
  <c r="AK458" i="1"/>
  <c r="T458" i="1"/>
  <c r="N458" i="1"/>
  <c r="H458" i="1"/>
  <c r="H460" i="1" s="1"/>
  <c r="F458" i="1"/>
  <c r="Y457" i="1"/>
  <c r="X457" i="1"/>
  <c r="W457" i="1"/>
  <c r="V457" i="1"/>
  <c r="U457" i="1"/>
  <c r="S457" i="1"/>
  <c r="R457" i="1"/>
  <c r="Q457" i="1"/>
  <c r="P457" i="1"/>
  <c r="O457" i="1"/>
  <c r="M457" i="1"/>
  <c r="L457" i="1"/>
  <c r="K457" i="1"/>
  <c r="J457" i="1"/>
  <c r="I457" i="1"/>
  <c r="H457" i="1"/>
  <c r="G457" i="1"/>
  <c r="AM456" i="1"/>
  <c r="AJ456" i="1"/>
  <c r="AI456" i="1"/>
  <c r="T456" i="1"/>
  <c r="T457" i="1" s="1"/>
  <c r="N456" i="1"/>
  <c r="N457" i="1" s="1"/>
  <c r="H456" i="1"/>
  <c r="AN455" i="1"/>
  <c r="T455" i="1"/>
  <c r="N455" i="1"/>
  <c r="H455" i="1"/>
  <c r="F455" i="1"/>
  <c r="Q453" i="1"/>
  <c r="P453" i="1"/>
  <c r="M453" i="1"/>
  <c r="Y452" i="1"/>
  <c r="X452" i="1"/>
  <c r="U452" i="1"/>
  <c r="R452" i="1"/>
  <c r="Q452" i="1"/>
  <c r="P452" i="1"/>
  <c r="O452" i="1"/>
  <c r="L452" i="1"/>
  <c r="R450" i="1"/>
  <c r="Q450" i="1"/>
  <c r="P450" i="1"/>
  <c r="G450" i="1"/>
  <c r="V449" i="1"/>
  <c r="U449" i="1"/>
  <c r="R449" i="1"/>
  <c r="L449" i="1"/>
  <c r="K449" i="1"/>
  <c r="J449" i="1"/>
  <c r="R448" i="1"/>
  <c r="Q448" i="1"/>
  <c r="L448" i="1"/>
  <c r="K448" i="1"/>
  <c r="J448" i="1"/>
  <c r="G448" i="1"/>
  <c r="Y447" i="1"/>
  <c r="X447" i="1"/>
  <c r="W447" i="1"/>
  <c r="V447" i="1"/>
  <c r="U447" i="1"/>
  <c r="T447" i="1"/>
  <c r="S447" i="1"/>
  <c r="R447" i="1"/>
  <c r="Q447" i="1"/>
  <c r="P447" i="1"/>
  <c r="O447" i="1"/>
  <c r="M447" i="1"/>
  <c r="L447" i="1"/>
  <c r="K447" i="1"/>
  <c r="J447" i="1"/>
  <c r="I447" i="1"/>
  <c r="G447" i="1"/>
  <c r="Y446" i="1"/>
  <c r="X446" i="1"/>
  <c r="W446" i="1"/>
  <c r="V446" i="1"/>
  <c r="U446" i="1"/>
  <c r="S446" i="1"/>
  <c r="R446" i="1"/>
  <c r="Q446" i="1"/>
  <c r="P446" i="1"/>
  <c r="O446" i="1"/>
  <c r="O449" i="1" s="1"/>
  <c r="N446" i="1"/>
  <c r="M446" i="1"/>
  <c r="L446" i="1"/>
  <c r="K446" i="1"/>
  <c r="K452" i="1" s="1"/>
  <c r="J446" i="1"/>
  <c r="J452" i="1" s="1"/>
  <c r="I446" i="1"/>
  <c r="I452" i="1" s="1"/>
  <c r="H446" i="1"/>
  <c r="G446" i="1"/>
  <c r="G452" i="1" s="1"/>
  <c r="O445" i="1"/>
  <c r="M445" i="1"/>
  <c r="Y444" i="1"/>
  <c r="X444" i="1"/>
  <c r="X445" i="1" s="1"/>
  <c r="W444" i="1"/>
  <c r="V444" i="1"/>
  <c r="V450" i="1" s="1"/>
  <c r="U444" i="1"/>
  <c r="U445" i="1" s="1"/>
  <c r="S444" i="1"/>
  <c r="R444" i="1"/>
  <c r="Q444" i="1"/>
  <c r="P444" i="1"/>
  <c r="P445" i="1" s="1"/>
  <c r="O444" i="1"/>
  <c r="N444" i="1" s="1"/>
  <c r="M444" i="1"/>
  <c r="L444" i="1"/>
  <c r="K444" i="1"/>
  <c r="K453" i="1" s="1"/>
  <c r="J444" i="1"/>
  <c r="J445" i="1" s="1"/>
  <c r="I444" i="1"/>
  <c r="H444" i="1"/>
  <c r="H445" i="1" s="1"/>
  <c r="G444" i="1"/>
  <c r="G445" i="1" s="1"/>
  <c r="Y443" i="1"/>
  <c r="X443" i="1"/>
  <c r="W443" i="1"/>
  <c r="V443" i="1"/>
  <c r="U443" i="1"/>
  <c r="S443" i="1"/>
  <c r="R443" i="1"/>
  <c r="Q443" i="1"/>
  <c r="Q449" i="1" s="1"/>
  <c r="P443" i="1"/>
  <c r="O443" i="1"/>
  <c r="M443" i="1"/>
  <c r="L443" i="1"/>
  <c r="K443" i="1"/>
  <c r="J443" i="1"/>
  <c r="I443" i="1"/>
  <c r="H443" i="1"/>
  <c r="G443" i="1"/>
  <c r="V442" i="1"/>
  <c r="S442" i="1"/>
  <c r="Q442" i="1"/>
  <c r="M442" i="1"/>
  <c r="Y441" i="1"/>
  <c r="Y442" i="1" s="1"/>
  <c r="X441" i="1"/>
  <c r="X442" i="1" s="1"/>
  <c r="W441" i="1"/>
  <c r="W442" i="1" s="1"/>
  <c r="V441" i="1"/>
  <c r="U441" i="1"/>
  <c r="S441" i="1"/>
  <c r="R441" i="1"/>
  <c r="Q441" i="1"/>
  <c r="P441" i="1"/>
  <c r="N441" i="1" s="1"/>
  <c r="O441" i="1"/>
  <c r="O442" i="1" s="1"/>
  <c r="M441" i="1"/>
  <c r="L441" i="1"/>
  <c r="L442" i="1" s="1"/>
  <c r="K441" i="1"/>
  <c r="J441" i="1"/>
  <c r="I441" i="1"/>
  <c r="G441" i="1"/>
  <c r="Y440" i="1"/>
  <c r="X440" i="1"/>
  <c r="W440" i="1"/>
  <c r="V440" i="1"/>
  <c r="U440" i="1"/>
  <c r="S440" i="1"/>
  <c r="R440" i="1"/>
  <c r="R442" i="1" s="1"/>
  <c r="Q440" i="1"/>
  <c r="P440" i="1"/>
  <c r="N440" i="1" s="1"/>
  <c r="O440" i="1"/>
  <c r="M440" i="1"/>
  <c r="L440" i="1"/>
  <c r="K440" i="1"/>
  <c r="J440" i="1"/>
  <c r="I440" i="1"/>
  <c r="G440" i="1"/>
  <c r="R439" i="1"/>
  <c r="Q439" i="1"/>
  <c r="I439" i="1"/>
  <c r="Y438" i="1"/>
  <c r="X438" i="1"/>
  <c r="W438" i="1"/>
  <c r="W439" i="1" s="1"/>
  <c r="V438" i="1"/>
  <c r="U438" i="1"/>
  <c r="S438" i="1"/>
  <c r="R438" i="1"/>
  <c r="Q438" i="1"/>
  <c r="P438" i="1"/>
  <c r="O438" i="1"/>
  <c r="O439" i="1" s="1"/>
  <c r="M438" i="1"/>
  <c r="M439" i="1" s="1"/>
  <c r="L438" i="1"/>
  <c r="L439" i="1" s="1"/>
  <c r="K438" i="1"/>
  <c r="K439" i="1" s="1"/>
  <c r="J438" i="1"/>
  <c r="J439" i="1" s="1"/>
  <c r="I438" i="1"/>
  <c r="G438" i="1"/>
  <c r="Y437" i="1"/>
  <c r="X437" i="1"/>
  <c r="W437" i="1"/>
  <c r="V437" i="1"/>
  <c r="V439" i="1" s="1"/>
  <c r="U437" i="1"/>
  <c r="U439" i="1" s="1"/>
  <c r="S437" i="1"/>
  <c r="S439" i="1" s="1"/>
  <c r="R437" i="1"/>
  <c r="Q437" i="1"/>
  <c r="P437" i="1"/>
  <c r="O437" i="1"/>
  <c r="M437" i="1"/>
  <c r="L437" i="1"/>
  <c r="K437" i="1"/>
  <c r="J437" i="1"/>
  <c r="I437" i="1"/>
  <c r="H437" i="1"/>
  <c r="G437" i="1"/>
  <c r="AN436" i="1"/>
  <c r="Y436" i="1"/>
  <c r="X436" i="1"/>
  <c r="M436" i="1"/>
  <c r="G436" i="1"/>
  <c r="AQ435" i="1"/>
  <c r="AP435" i="1"/>
  <c r="AO435" i="1"/>
  <c r="Y435" i="1"/>
  <c r="X435" i="1"/>
  <c r="W435" i="1"/>
  <c r="V435" i="1"/>
  <c r="U435" i="1"/>
  <c r="T435" i="1"/>
  <c r="S435" i="1"/>
  <c r="R435" i="1"/>
  <c r="Q435" i="1"/>
  <c r="P435" i="1"/>
  <c r="O435" i="1"/>
  <c r="M435" i="1"/>
  <c r="L435" i="1"/>
  <c r="K435" i="1"/>
  <c r="J435" i="1"/>
  <c r="I435" i="1"/>
  <c r="H435" i="1"/>
  <c r="G435" i="1"/>
  <c r="AH434" i="1"/>
  <c r="AF434" i="1"/>
  <c r="Y434" i="1"/>
  <c r="X434" i="1"/>
  <c r="W434" i="1"/>
  <c r="V434" i="1"/>
  <c r="U434" i="1"/>
  <c r="T434" i="1"/>
  <c r="S434" i="1"/>
  <c r="R434" i="1"/>
  <c r="Q434" i="1"/>
  <c r="P434" i="1"/>
  <c r="O434" i="1"/>
  <c r="M434" i="1"/>
  <c r="L434" i="1"/>
  <c r="K434" i="1"/>
  <c r="J434" i="1"/>
  <c r="I434" i="1"/>
  <c r="H434" i="1"/>
  <c r="G434" i="1"/>
  <c r="F434" i="1"/>
  <c r="AJ433" i="1"/>
  <c r="Y433" i="1"/>
  <c r="X433" i="1"/>
  <c r="W433" i="1"/>
  <c r="V433" i="1"/>
  <c r="U433" i="1"/>
  <c r="I433" i="1"/>
  <c r="G433" i="1"/>
  <c r="AP432" i="1"/>
  <c r="AK432" i="1"/>
  <c r="AJ432" i="1"/>
  <c r="AF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AH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AQ430" i="1"/>
  <c r="AQ433" i="1" s="1"/>
  <c r="AP430" i="1"/>
  <c r="AP433" i="1" s="1"/>
  <c r="AL430" i="1"/>
  <c r="AJ430" i="1"/>
  <c r="AJ436" i="1" s="1"/>
  <c r="AI430" i="1"/>
  <c r="AH430" i="1"/>
  <c r="Y430" i="1"/>
  <c r="X430" i="1"/>
  <c r="W430" i="1"/>
  <c r="W436" i="1" s="1"/>
  <c r="V430" i="1"/>
  <c r="V436" i="1" s="1"/>
  <c r="U430" i="1"/>
  <c r="U436" i="1" s="1"/>
  <c r="S430" i="1"/>
  <c r="R430" i="1"/>
  <c r="Q430" i="1"/>
  <c r="P430" i="1"/>
  <c r="O430" i="1"/>
  <c r="N430" i="1"/>
  <c r="M430" i="1"/>
  <c r="M433" i="1" s="1"/>
  <c r="L430" i="1"/>
  <c r="K430" i="1"/>
  <c r="J430" i="1"/>
  <c r="J436" i="1" s="1"/>
  <c r="I430" i="1"/>
  <c r="I436" i="1" s="1"/>
  <c r="H430" i="1"/>
  <c r="G430" i="1"/>
  <c r="F430" i="1"/>
  <c r="AQ429" i="1"/>
  <c r="AQ432" i="1" s="1"/>
  <c r="AP429" i="1"/>
  <c r="AO429" i="1"/>
  <c r="AO430" i="1" s="1"/>
  <c r="AN429" i="1"/>
  <c r="AN430" i="1" s="1"/>
  <c r="AM429" i="1"/>
  <c r="AL429" i="1"/>
  <c r="AL435" i="1" s="1"/>
  <c r="AK429" i="1"/>
  <c r="AJ429" i="1"/>
  <c r="AI429" i="1"/>
  <c r="AH429" i="1"/>
  <c r="AG429" i="1"/>
  <c r="AG435" i="1" s="1"/>
  <c r="AF429" i="1"/>
  <c r="AF430" i="1" s="1"/>
  <c r="T429" i="1"/>
  <c r="N429" i="1"/>
  <c r="F429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T428" i="1"/>
  <c r="N428" i="1"/>
  <c r="N434" i="1" s="1"/>
  <c r="F428" i="1"/>
  <c r="AQ427" i="1"/>
  <c r="AH427" i="1"/>
  <c r="AF427" i="1"/>
  <c r="Y427" i="1"/>
  <c r="X427" i="1"/>
  <c r="W427" i="1"/>
  <c r="V427" i="1"/>
  <c r="U427" i="1"/>
  <c r="S427" i="1"/>
  <c r="R427" i="1"/>
  <c r="Q427" i="1"/>
  <c r="P427" i="1"/>
  <c r="O427" i="1"/>
  <c r="N427" i="1"/>
  <c r="M427" i="1"/>
  <c r="L427" i="1"/>
  <c r="K427" i="1"/>
  <c r="J427" i="1"/>
  <c r="J433" i="1" s="1"/>
  <c r="I427" i="1"/>
  <c r="G427" i="1"/>
  <c r="AQ426" i="1"/>
  <c r="AP426" i="1"/>
  <c r="AP427" i="1" s="1"/>
  <c r="AO426" i="1"/>
  <c r="AN426" i="1"/>
  <c r="AN427" i="1" s="1"/>
  <c r="AM426" i="1"/>
  <c r="AM427" i="1" s="1"/>
  <c r="AL426" i="1"/>
  <c r="AL427" i="1" s="1"/>
  <c r="AK426" i="1"/>
  <c r="AK427" i="1" s="1"/>
  <c r="AJ426" i="1"/>
  <c r="AJ427" i="1" s="1"/>
  <c r="AI426" i="1"/>
  <c r="AH426" i="1"/>
  <c r="AG426" i="1"/>
  <c r="AG427" i="1" s="1"/>
  <c r="AF426" i="1"/>
  <c r="T426" i="1"/>
  <c r="N426" i="1"/>
  <c r="H426" i="1"/>
  <c r="AQ425" i="1"/>
  <c r="AP425" i="1"/>
  <c r="AO425" i="1"/>
  <c r="AN425" i="1"/>
  <c r="AM425" i="1"/>
  <c r="AM434" i="1" s="1"/>
  <c r="AL425" i="1"/>
  <c r="AK425" i="1"/>
  <c r="AK389" i="1" s="1"/>
  <c r="AJ425" i="1"/>
  <c r="AJ431" i="1" s="1"/>
  <c r="AI425" i="1"/>
  <c r="AI427" i="1" s="1"/>
  <c r="AH425" i="1"/>
  <c r="AG425" i="1"/>
  <c r="AF425" i="1"/>
  <c r="T425" i="1"/>
  <c r="N425" i="1"/>
  <c r="F425" i="1" s="1"/>
  <c r="H425" i="1"/>
  <c r="AP424" i="1"/>
  <c r="AO424" i="1"/>
  <c r="AJ424" i="1"/>
  <c r="AI424" i="1"/>
  <c r="AH424" i="1"/>
  <c r="AG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G424" i="1"/>
  <c r="AQ423" i="1"/>
  <c r="AP423" i="1"/>
  <c r="AO423" i="1"/>
  <c r="AN423" i="1"/>
  <c r="AN424" i="1" s="1"/>
  <c r="AM423" i="1"/>
  <c r="AM424" i="1" s="1"/>
  <c r="AL423" i="1"/>
  <c r="AK423" i="1"/>
  <c r="AJ423" i="1"/>
  <c r="AI423" i="1"/>
  <c r="AH423" i="1"/>
  <c r="AG423" i="1"/>
  <c r="AG387" i="1" s="1"/>
  <c r="AF423" i="1"/>
  <c r="T423" i="1"/>
  <c r="N423" i="1"/>
  <c r="H423" i="1"/>
  <c r="AQ422" i="1"/>
  <c r="AP422" i="1"/>
  <c r="AO422" i="1"/>
  <c r="AN422" i="1"/>
  <c r="AM422" i="1"/>
  <c r="AM152" i="1" s="1"/>
  <c r="AL422" i="1"/>
  <c r="AL152" i="1" s="1"/>
  <c r="AK422" i="1"/>
  <c r="AJ422" i="1"/>
  <c r="AI422" i="1"/>
  <c r="AH422" i="1"/>
  <c r="AG422" i="1"/>
  <c r="AF422" i="1"/>
  <c r="T422" i="1"/>
  <c r="N422" i="1"/>
  <c r="H422" i="1"/>
  <c r="AQ421" i="1"/>
  <c r="AO421" i="1"/>
  <c r="AN421" i="1"/>
  <c r="AM421" i="1"/>
  <c r="AL421" i="1"/>
  <c r="AK421" i="1"/>
  <c r="AJ421" i="1"/>
  <c r="AG421" i="1"/>
  <c r="Y421" i="1"/>
  <c r="X421" i="1"/>
  <c r="W421" i="1"/>
  <c r="V421" i="1"/>
  <c r="U421" i="1"/>
  <c r="S421" i="1"/>
  <c r="R421" i="1"/>
  <c r="Q421" i="1"/>
  <c r="P421" i="1"/>
  <c r="O421" i="1"/>
  <c r="M421" i="1"/>
  <c r="L421" i="1"/>
  <c r="K421" i="1"/>
  <c r="J421" i="1"/>
  <c r="I421" i="1"/>
  <c r="G421" i="1"/>
  <c r="AQ420" i="1"/>
  <c r="AP420" i="1"/>
  <c r="AP421" i="1" s="1"/>
  <c r="AO420" i="1"/>
  <c r="AN420" i="1"/>
  <c r="AM420" i="1"/>
  <c r="AL420" i="1"/>
  <c r="AK420" i="1"/>
  <c r="AJ420" i="1"/>
  <c r="AI420" i="1"/>
  <c r="AI384" i="1" s="1"/>
  <c r="AH420" i="1"/>
  <c r="AG420" i="1"/>
  <c r="AF420" i="1"/>
  <c r="AF421" i="1" s="1"/>
  <c r="T420" i="1"/>
  <c r="N420" i="1"/>
  <c r="H420" i="1"/>
  <c r="F420" i="1" s="1"/>
  <c r="F421" i="1" s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T419" i="1"/>
  <c r="N419" i="1"/>
  <c r="F419" i="1" s="1"/>
  <c r="H419" i="1"/>
  <c r="S418" i="1"/>
  <c r="Q418" i="1"/>
  <c r="P418" i="1"/>
  <c r="O418" i="1"/>
  <c r="L418" i="1"/>
  <c r="AO417" i="1"/>
  <c r="AH417" i="1"/>
  <c r="AG417" i="1"/>
  <c r="AF417" i="1"/>
  <c r="Y417" i="1"/>
  <c r="X417" i="1"/>
  <c r="W417" i="1"/>
  <c r="V417" i="1"/>
  <c r="U417" i="1"/>
  <c r="S417" i="1"/>
  <c r="R417" i="1"/>
  <c r="Q417" i="1"/>
  <c r="P417" i="1"/>
  <c r="O417" i="1"/>
  <c r="M417" i="1"/>
  <c r="L417" i="1"/>
  <c r="K417" i="1"/>
  <c r="J417" i="1"/>
  <c r="I417" i="1"/>
  <c r="H417" i="1"/>
  <c r="G417" i="1"/>
  <c r="AP416" i="1"/>
  <c r="AM416" i="1"/>
  <c r="AL416" i="1"/>
  <c r="AI416" i="1"/>
  <c r="Y416" i="1"/>
  <c r="X416" i="1"/>
  <c r="W416" i="1"/>
  <c r="V416" i="1"/>
  <c r="U416" i="1"/>
  <c r="T416" i="1"/>
  <c r="S416" i="1"/>
  <c r="R416" i="1"/>
  <c r="Q416" i="1"/>
  <c r="P416" i="1"/>
  <c r="O416" i="1"/>
  <c r="M416" i="1"/>
  <c r="L416" i="1"/>
  <c r="K416" i="1"/>
  <c r="J416" i="1"/>
  <c r="I416" i="1"/>
  <c r="G416" i="1"/>
  <c r="S415" i="1"/>
  <c r="K415" i="1"/>
  <c r="J415" i="1"/>
  <c r="I415" i="1"/>
  <c r="AP414" i="1"/>
  <c r="AO414" i="1"/>
  <c r="AK414" i="1"/>
  <c r="AJ414" i="1"/>
  <c r="AI414" i="1"/>
  <c r="AG414" i="1"/>
  <c r="AF414" i="1"/>
  <c r="Y414" i="1"/>
  <c r="X414" i="1"/>
  <c r="W414" i="1"/>
  <c r="V414" i="1"/>
  <c r="U414" i="1"/>
  <c r="S414" i="1"/>
  <c r="R414" i="1"/>
  <c r="Q414" i="1"/>
  <c r="P414" i="1"/>
  <c r="O414" i="1"/>
  <c r="N414" i="1"/>
  <c r="M414" i="1"/>
  <c r="L414" i="1"/>
  <c r="K414" i="1"/>
  <c r="J414" i="1"/>
  <c r="I414" i="1"/>
  <c r="G414" i="1"/>
  <c r="AK413" i="1"/>
  <c r="AI413" i="1"/>
  <c r="Y413" i="1"/>
  <c r="X413" i="1"/>
  <c r="W413" i="1"/>
  <c r="V413" i="1"/>
  <c r="U413" i="1"/>
  <c r="S413" i="1"/>
  <c r="R413" i="1"/>
  <c r="Q413" i="1"/>
  <c r="P413" i="1"/>
  <c r="O413" i="1"/>
  <c r="M413" i="1"/>
  <c r="L413" i="1"/>
  <c r="K413" i="1"/>
  <c r="J413" i="1"/>
  <c r="I413" i="1"/>
  <c r="G413" i="1"/>
  <c r="AK412" i="1"/>
  <c r="AJ412" i="1"/>
  <c r="Y412" i="1"/>
  <c r="X412" i="1"/>
  <c r="W412" i="1"/>
  <c r="V412" i="1"/>
  <c r="U412" i="1"/>
  <c r="S412" i="1"/>
  <c r="R412" i="1"/>
  <c r="Q412" i="1"/>
  <c r="P412" i="1"/>
  <c r="O412" i="1"/>
  <c r="N412" i="1"/>
  <c r="L412" i="1"/>
  <c r="L415" i="1" s="1"/>
  <c r="K412" i="1"/>
  <c r="K418" i="1" s="1"/>
  <c r="J412" i="1"/>
  <c r="J418" i="1" s="1"/>
  <c r="I412" i="1"/>
  <c r="H412" i="1"/>
  <c r="G412" i="1"/>
  <c r="F412" i="1"/>
  <c r="AQ411" i="1"/>
  <c r="AP411" i="1"/>
  <c r="AO411" i="1"/>
  <c r="AO412" i="1" s="1"/>
  <c r="AN411" i="1"/>
  <c r="AN412" i="1" s="1"/>
  <c r="AM411" i="1"/>
  <c r="AL411" i="1"/>
  <c r="AK411" i="1"/>
  <c r="AK417" i="1" s="1"/>
  <c r="AJ411" i="1"/>
  <c r="AI411" i="1"/>
  <c r="AH411" i="1"/>
  <c r="AG411" i="1"/>
  <c r="AF411" i="1"/>
  <c r="T411" i="1"/>
  <c r="N411" i="1"/>
  <c r="N417" i="1" s="1"/>
  <c r="F411" i="1"/>
  <c r="AQ410" i="1"/>
  <c r="AP410" i="1"/>
  <c r="AO410" i="1"/>
  <c r="AN410" i="1"/>
  <c r="AM410" i="1"/>
  <c r="AM413" i="1" s="1"/>
  <c r="AL410" i="1"/>
  <c r="AK410" i="1"/>
  <c r="AJ410" i="1"/>
  <c r="AI410" i="1"/>
  <c r="AH410" i="1"/>
  <c r="AG410" i="1"/>
  <c r="AF410" i="1"/>
  <c r="T410" i="1"/>
  <c r="T413" i="1" s="1"/>
  <c r="N410" i="1"/>
  <c r="F410" i="1"/>
  <c r="AP409" i="1"/>
  <c r="AL409" i="1"/>
  <c r="Y409" i="1"/>
  <c r="X409" i="1"/>
  <c r="W409" i="1"/>
  <c r="V409" i="1"/>
  <c r="U409" i="1"/>
  <c r="S409" i="1"/>
  <c r="R409" i="1"/>
  <c r="Q409" i="1"/>
  <c r="P409" i="1"/>
  <c r="O409" i="1"/>
  <c r="O415" i="1" s="1"/>
  <c r="M409" i="1"/>
  <c r="L409" i="1"/>
  <c r="K409" i="1"/>
  <c r="J409" i="1"/>
  <c r="I409" i="1"/>
  <c r="I418" i="1" s="1"/>
  <c r="G409" i="1"/>
  <c r="AQ408" i="1"/>
  <c r="AQ409" i="1" s="1"/>
  <c r="AP408" i="1"/>
  <c r="AO408" i="1"/>
  <c r="AN408" i="1"/>
  <c r="AM408" i="1"/>
  <c r="AL408" i="1"/>
  <c r="AK408" i="1"/>
  <c r="AJ408" i="1"/>
  <c r="AI408" i="1"/>
  <c r="AH408" i="1"/>
  <c r="AH409" i="1" s="1"/>
  <c r="AG408" i="1"/>
  <c r="AG409" i="1" s="1"/>
  <c r="AF408" i="1"/>
  <c r="AF409" i="1" s="1"/>
  <c r="T408" i="1"/>
  <c r="T409" i="1" s="1"/>
  <c r="N408" i="1"/>
  <c r="H408" i="1"/>
  <c r="H414" i="1" s="1"/>
  <c r="F408" i="1"/>
  <c r="AQ407" i="1"/>
  <c r="AP407" i="1"/>
  <c r="AO407" i="1"/>
  <c r="AN407" i="1"/>
  <c r="AN416" i="1" s="1"/>
  <c r="AM407" i="1"/>
  <c r="AL407" i="1"/>
  <c r="AK407" i="1"/>
  <c r="AJ407" i="1"/>
  <c r="AI407" i="1"/>
  <c r="AH407" i="1"/>
  <c r="AG407" i="1"/>
  <c r="AF407" i="1"/>
  <c r="AF389" i="1" s="1"/>
  <c r="T407" i="1"/>
  <c r="N407" i="1"/>
  <c r="N409" i="1" s="1"/>
  <c r="H407" i="1"/>
  <c r="AP406" i="1"/>
  <c r="AO406" i="1"/>
  <c r="AN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G406" i="1"/>
  <c r="AQ405" i="1"/>
  <c r="AP405" i="1"/>
  <c r="AP387" i="1" s="1"/>
  <c r="AO405" i="1"/>
  <c r="AO387" i="1" s="1"/>
  <c r="AN405" i="1"/>
  <c r="AM405" i="1"/>
  <c r="AL405" i="1"/>
  <c r="AK405" i="1"/>
  <c r="AJ405" i="1"/>
  <c r="AI405" i="1"/>
  <c r="AH405" i="1"/>
  <c r="AG405" i="1"/>
  <c r="AF405" i="1"/>
  <c r="AF406" i="1" s="1"/>
  <c r="T405" i="1"/>
  <c r="N405" i="1"/>
  <c r="H405" i="1"/>
  <c r="F405" i="1"/>
  <c r="F406" i="1" s="1"/>
  <c r="AQ404" i="1"/>
  <c r="AQ386" i="1" s="1"/>
  <c r="AP404" i="1"/>
  <c r="AO404" i="1"/>
  <c r="AN404" i="1"/>
  <c r="AM404" i="1"/>
  <c r="AL404" i="1"/>
  <c r="AK404" i="1"/>
  <c r="AJ404" i="1"/>
  <c r="AI404" i="1"/>
  <c r="AH404" i="1"/>
  <c r="AG404" i="1"/>
  <c r="AF404" i="1"/>
  <c r="T404" i="1"/>
  <c r="N404" i="1"/>
  <c r="H404" i="1"/>
  <c r="H406" i="1" s="1"/>
  <c r="F404" i="1"/>
  <c r="AQ403" i="1"/>
  <c r="AP403" i="1"/>
  <c r="AF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G403" i="1"/>
  <c r="AQ402" i="1"/>
  <c r="AQ384" i="1" s="1"/>
  <c r="AP402" i="1"/>
  <c r="AO402" i="1"/>
  <c r="AN402" i="1"/>
  <c r="AN403" i="1" s="1"/>
  <c r="AM402" i="1"/>
  <c r="AM403" i="1" s="1"/>
  <c r="AL402" i="1"/>
  <c r="AK402" i="1"/>
  <c r="AJ402" i="1"/>
  <c r="AI402" i="1"/>
  <c r="AI403" i="1" s="1"/>
  <c r="AH402" i="1"/>
  <c r="AG402" i="1"/>
  <c r="AF402" i="1"/>
  <c r="T402" i="1"/>
  <c r="N402" i="1"/>
  <c r="H402" i="1"/>
  <c r="AQ401" i="1"/>
  <c r="AP401" i="1"/>
  <c r="AP383" i="1" s="1"/>
  <c r="AO401" i="1"/>
  <c r="AN401" i="1"/>
  <c r="AN383" i="1" s="1"/>
  <c r="AM401" i="1"/>
  <c r="AL401" i="1"/>
  <c r="AK401" i="1"/>
  <c r="AK383" i="1" s="1"/>
  <c r="AJ401" i="1"/>
  <c r="AJ383" i="1" s="1"/>
  <c r="AI401" i="1"/>
  <c r="AH401" i="1"/>
  <c r="AG401" i="1"/>
  <c r="AF401" i="1"/>
  <c r="T401" i="1"/>
  <c r="N401" i="1"/>
  <c r="H401" i="1"/>
  <c r="F401" i="1" s="1"/>
  <c r="W399" i="1"/>
  <c r="U399" i="1"/>
  <c r="Q399" i="1"/>
  <c r="P399" i="1"/>
  <c r="O399" i="1"/>
  <c r="M399" i="1"/>
  <c r="K399" i="1"/>
  <c r="I399" i="1"/>
  <c r="Y398" i="1"/>
  <c r="X398" i="1"/>
  <c r="Q398" i="1"/>
  <c r="M398" i="1"/>
  <c r="L398" i="1"/>
  <c r="K398" i="1"/>
  <c r="X396" i="1"/>
  <c r="W396" i="1"/>
  <c r="V396" i="1"/>
  <c r="K396" i="1"/>
  <c r="I396" i="1"/>
  <c r="X395" i="1"/>
  <c r="Q395" i="1"/>
  <c r="L395" i="1"/>
  <c r="AF394" i="1"/>
  <c r="W394" i="1"/>
  <c r="W400" i="1" s="1"/>
  <c r="V394" i="1"/>
  <c r="U394" i="1"/>
  <c r="Q394" i="1"/>
  <c r="K394" i="1"/>
  <c r="AQ393" i="1"/>
  <c r="AN393" i="1"/>
  <c r="AL393" i="1"/>
  <c r="AK393" i="1"/>
  <c r="AJ393" i="1"/>
  <c r="AI393" i="1"/>
  <c r="AH393" i="1"/>
  <c r="AF393" i="1"/>
  <c r="Y393" i="1"/>
  <c r="X393" i="1"/>
  <c r="W393" i="1"/>
  <c r="V393" i="1"/>
  <c r="V399" i="1" s="1"/>
  <c r="U393" i="1"/>
  <c r="S393" i="1"/>
  <c r="R393" i="1"/>
  <c r="Q393" i="1"/>
  <c r="P393" i="1"/>
  <c r="O393" i="1"/>
  <c r="O396" i="1" s="1"/>
  <c r="N393" i="1"/>
  <c r="M393" i="1"/>
  <c r="L393" i="1"/>
  <c r="K393" i="1"/>
  <c r="J393" i="1"/>
  <c r="I393" i="1"/>
  <c r="H393" i="1"/>
  <c r="G393" i="1"/>
  <c r="AO392" i="1"/>
  <c r="AN392" i="1"/>
  <c r="AM392" i="1"/>
  <c r="AJ392" i="1"/>
  <c r="AF392" i="1"/>
  <c r="Y392" i="1"/>
  <c r="Y395" i="1" s="1"/>
  <c r="X392" i="1"/>
  <c r="W392" i="1"/>
  <c r="V392" i="1"/>
  <c r="U392" i="1"/>
  <c r="S392" i="1"/>
  <c r="S398" i="1" s="1"/>
  <c r="R392" i="1"/>
  <c r="Q392" i="1"/>
  <c r="P392" i="1"/>
  <c r="O392" i="1"/>
  <c r="M392" i="1"/>
  <c r="L392" i="1"/>
  <c r="K392" i="1"/>
  <c r="K395" i="1" s="1"/>
  <c r="J392" i="1"/>
  <c r="J395" i="1" s="1"/>
  <c r="I392" i="1"/>
  <c r="H392" i="1"/>
  <c r="G392" i="1"/>
  <c r="AH391" i="1"/>
  <c r="AG391" i="1"/>
  <c r="Y391" i="1"/>
  <c r="W391" i="1"/>
  <c r="Q391" i="1"/>
  <c r="O391" i="1"/>
  <c r="L391" i="1"/>
  <c r="K391" i="1"/>
  <c r="I391" i="1"/>
  <c r="G391" i="1"/>
  <c r="AP390" i="1"/>
  <c r="AH390" i="1"/>
  <c r="AG390" i="1"/>
  <c r="Y390" i="1"/>
  <c r="X390" i="1"/>
  <c r="W390" i="1"/>
  <c r="V390" i="1"/>
  <c r="U390" i="1"/>
  <c r="S390" i="1"/>
  <c r="R390" i="1"/>
  <c r="Q390" i="1"/>
  <c r="P390" i="1"/>
  <c r="P391" i="1" s="1"/>
  <c r="O390" i="1"/>
  <c r="M390" i="1"/>
  <c r="L390" i="1"/>
  <c r="K390" i="1"/>
  <c r="J390" i="1"/>
  <c r="J391" i="1" s="1"/>
  <c r="I390" i="1"/>
  <c r="H390" i="1"/>
  <c r="G390" i="1"/>
  <c r="AQ389" i="1"/>
  <c r="AH389" i="1"/>
  <c r="AG389" i="1"/>
  <c r="Y389" i="1"/>
  <c r="X389" i="1"/>
  <c r="W389" i="1"/>
  <c r="V389" i="1"/>
  <c r="V395" i="1" s="1"/>
  <c r="U389" i="1"/>
  <c r="S389" i="1"/>
  <c r="R389" i="1"/>
  <c r="Q389" i="1"/>
  <c r="P389" i="1"/>
  <c r="O389" i="1"/>
  <c r="M389" i="1"/>
  <c r="M395" i="1" s="1"/>
  <c r="L389" i="1"/>
  <c r="K389" i="1"/>
  <c r="J389" i="1"/>
  <c r="I389" i="1"/>
  <c r="G389" i="1"/>
  <c r="X388" i="1"/>
  <c r="R388" i="1"/>
  <c r="O388" i="1"/>
  <c r="K388" i="1"/>
  <c r="J388" i="1"/>
  <c r="G388" i="1"/>
  <c r="Y387" i="1"/>
  <c r="Y388" i="1" s="1"/>
  <c r="X387" i="1"/>
  <c r="W387" i="1"/>
  <c r="W388" i="1" s="1"/>
  <c r="V387" i="1"/>
  <c r="V388" i="1" s="1"/>
  <c r="U387" i="1"/>
  <c r="U388" i="1" s="1"/>
  <c r="T387" i="1"/>
  <c r="T388" i="1" s="1"/>
  <c r="S387" i="1"/>
  <c r="S388" i="1" s="1"/>
  <c r="R387" i="1"/>
  <c r="Q387" i="1"/>
  <c r="Q388" i="1" s="1"/>
  <c r="P387" i="1"/>
  <c r="O387" i="1"/>
  <c r="M387" i="1"/>
  <c r="H387" i="1" s="1"/>
  <c r="L387" i="1"/>
  <c r="K387" i="1"/>
  <c r="J387" i="1"/>
  <c r="I387" i="1"/>
  <c r="I388" i="1" s="1"/>
  <c r="G387" i="1"/>
  <c r="AP386" i="1"/>
  <c r="AP388" i="1" s="1"/>
  <c r="AO386" i="1"/>
  <c r="AO388" i="1" s="1"/>
  <c r="AN386" i="1"/>
  <c r="AJ386" i="1"/>
  <c r="AH386" i="1"/>
  <c r="Y386" i="1"/>
  <c r="X386" i="1"/>
  <c r="T386" i="1" s="1"/>
  <c r="W386" i="1"/>
  <c r="V386" i="1"/>
  <c r="U386" i="1"/>
  <c r="S386" i="1"/>
  <c r="R386" i="1"/>
  <c r="Q386" i="1"/>
  <c r="P386" i="1"/>
  <c r="O386" i="1"/>
  <c r="N386" i="1"/>
  <c r="M386" i="1"/>
  <c r="H386" i="1" s="1"/>
  <c r="L386" i="1"/>
  <c r="L388" i="1" s="1"/>
  <c r="K386" i="1"/>
  <c r="J386" i="1"/>
  <c r="I386" i="1"/>
  <c r="G386" i="1"/>
  <c r="Y385" i="1"/>
  <c r="U385" i="1"/>
  <c r="S385" i="1"/>
  <c r="M385" i="1"/>
  <c r="AP384" i="1"/>
  <c r="AP385" i="1" s="1"/>
  <c r="AN384" i="1"/>
  <c r="AN385" i="1" s="1"/>
  <c r="AM384" i="1"/>
  <c r="AG384" i="1"/>
  <c r="AF384" i="1"/>
  <c r="Y384" i="1"/>
  <c r="X384" i="1"/>
  <c r="W384" i="1"/>
  <c r="V384" i="1"/>
  <c r="T384" i="1" s="1"/>
  <c r="U384" i="1"/>
  <c r="S384" i="1"/>
  <c r="R384" i="1"/>
  <c r="Q384" i="1"/>
  <c r="P384" i="1"/>
  <c r="P385" i="1" s="1"/>
  <c r="O384" i="1"/>
  <c r="M384" i="1"/>
  <c r="L384" i="1"/>
  <c r="K384" i="1"/>
  <c r="K385" i="1" s="1"/>
  <c r="J384" i="1"/>
  <c r="I384" i="1"/>
  <c r="G384" i="1"/>
  <c r="AQ383" i="1"/>
  <c r="AQ385" i="1" s="1"/>
  <c r="AO383" i="1"/>
  <c r="AH383" i="1"/>
  <c r="AG383" i="1"/>
  <c r="Y383" i="1"/>
  <c r="X383" i="1"/>
  <c r="W383" i="1"/>
  <c r="W385" i="1" s="1"/>
  <c r="V383" i="1"/>
  <c r="U383" i="1"/>
  <c r="S383" i="1"/>
  <c r="R383" i="1"/>
  <c r="R385" i="1" s="1"/>
  <c r="Q383" i="1"/>
  <c r="P383" i="1"/>
  <c r="O383" i="1"/>
  <c r="N383" i="1" s="1"/>
  <c r="M383" i="1"/>
  <c r="L383" i="1"/>
  <c r="H383" i="1" s="1"/>
  <c r="K383" i="1"/>
  <c r="J383" i="1"/>
  <c r="I383" i="1"/>
  <c r="I385" i="1" s="1"/>
  <c r="G383" i="1"/>
  <c r="G385" i="1" s="1"/>
  <c r="AQ382" i="1"/>
  <c r="X382" i="1"/>
  <c r="V382" i="1"/>
  <c r="U382" i="1"/>
  <c r="J382" i="1"/>
  <c r="AQ381" i="1"/>
  <c r="AP381" i="1"/>
  <c r="AO381" i="1"/>
  <c r="AN381" i="1"/>
  <c r="AL381" i="1"/>
  <c r="AF381" i="1"/>
  <c r="Y381" i="1"/>
  <c r="X381" i="1"/>
  <c r="W381" i="1"/>
  <c r="V381" i="1"/>
  <c r="U381" i="1"/>
  <c r="S381" i="1"/>
  <c r="R381" i="1"/>
  <c r="Q381" i="1"/>
  <c r="P381" i="1"/>
  <c r="O381" i="1"/>
  <c r="M381" i="1"/>
  <c r="L381" i="1"/>
  <c r="K381" i="1"/>
  <c r="J381" i="1"/>
  <c r="I381" i="1"/>
  <c r="H381" i="1"/>
  <c r="G381" i="1"/>
  <c r="AQ380" i="1"/>
  <c r="AF380" i="1"/>
  <c r="Y380" i="1"/>
  <c r="X380" i="1"/>
  <c r="W380" i="1"/>
  <c r="V380" i="1"/>
  <c r="U380" i="1"/>
  <c r="T380" i="1"/>
  <c r="S380" i="1"/>
  <c r="R380" i="1"/>
  <c r="Q380" i="1"/>
  <c r="P380" i="1"/>
  <c r="O380" i="1"/>
  <c r="M380" i="1"/>
  <c r="L380" i="1"/>
  <c r="K380" i="1"/>
  <c r="J380" i="1"/>
  <c r="I380" i="1"/>
  <c r="H380" i="1"/>
  <c r="G380" i="1"/>
  <c r="V379" i="1"/>
  <c r="U379" i="1"/>
  <c r="O379" i="1"/>
  <c r="J379" i="1"/>
  <c r="H379" i="1"/>
  <c r="AP378" i="1"/>
  <c r="AL378" i="1"/>
  <c r="AJ378" i="1"/>
  <c r="Y378" i="1"/>
  <c r="X378" i="1"/>
  <c r="W378" i="1"/>
  <c r="V378" i="1"/>
  <c r="U378" i="1"/>
  <c r="T378" i="1"/>
  <c r="S378" i="1"/>
  <c r="R378" i="1"/>
  <c r="Q378" i="1"/>
  <c r="P378" i="1"/>
  <c r="O378" i="1"/>
  <c r="M378" i="1"/>
  <c r="L378" i="1"/>
  <c r="K378" i="1"/>
  <c r="J378" i="1"/>
  <c r="I378" i="1"/>
  <c r="H378" i="1"/>
  <c r="G378" i="1"/>
  <c r="AQ377" i="1"/>
  <c r="AI377" i="1"/>
  <c r="Y377" i="1"/>
  <c r="X377" i="1"/>
  <c r="W377" i="1"/>
  <c r="V377" i="1"/>
  <c r="U377" i="1"/>
  <c r="S377" i="1"/>
  <c r="R377" i="1"/>
  <c r="Q377" i="1"/>
  <c r="P377" i="1"/>
  <c r="O377" i="1"/>
  <c r="M377" i="1"/>
  <c r="L377" i="1"/>
  <c r="K377" i="1"/>
  <c r="J377" i="1"/>
  <c r="I377" i="1"/>
  <c r="H377" i="1"/>
  <c r="G377" i="1"/>
  <c r="AQ376" i="1"/>
  <c r="AQ379" i="1" s="1"/>
  <c r="AJ376" i="1"/>
  <c r="AG376" i="1"/>
  <c r="AF376" i="1"/>
  <c r="AF379" i="1" s="1"/>
  <c r="Y376" i="1"/>
  <c r="X376" i="1"/>
  <c r="W376" i="1"/>
  <c r="W382" i="1" s="1"/>
  <c r="V376" i="1"/>
  <c r="U376" i="1"/>
  <c r="T376" i="1"/>
  <c r="S376" i="1"/>
  <c r="R376" i="1"/>
  <c r="Q376" i="1"/>
  <c r="P376" i="1"/>
  <c r="O376" i="1"/>
  <c r="O382" i="1" s="1"/>
  <c r="M376" i="1"/>
  <c r="L376" i="1"/>
  <c r="K376" i="1"/>
  <c r="J376" i="1"/>
  <c r="I376" i="1"/>
  <c r="H376" i="1"/>
  <c r="G376" i="1"/>
  <c r="AQ375" i="1"/>
  <c r="AP375" i="1"/>
  <c r="AO375" i="1"/>
  <c r="AN375" i="1"/>
  <c r="AM375" i="1"/>
  <c r="AL375" i="1"/>
  <c r="AL376" i="1" s="1"/>
  <c r="AK375" i="1"/>
  <c r="AJ375" i="1"/>
  <c r="AJ381" i="1" s="1"/>
  <c r="AI375" i="1"/>
  <c r="AI376" i="1" s="1"/>
  <c r="AH375" i="1"/>
  <c r="AG375" i="1"/>
  <c r="AF375" i="1"/>
  <c r="T375" i="1"/>
  <c r="N375" i="1"/>
  <c r="AQ374" i="1"/>
  <c r="AP374" i="1"/>
  <c r="AO374" i="1"/>
  <c r="AN374" i="1"/>
  <c r="AM374" i="1"/>
  <c r="AL374" i="1"/>
  <c r="AK374" i="1"/>
  <c r="AJ374" i="1"/>
  <c r="AI374" i="1"/>
  <c r="AI380" i="1" s="1"/>
  <c r="AH374" i="1"/>
  <c r="AG374" i="1"/>
  <c r="AF374" i="1"/>
  <c r="AF377" i="1" s="1"/>
  <c r="T374" i="1"/>
  <c r="N374" i="1"/>
  <c r="AP373" i="1"/>
  <c r="AO373" i="1"/>
  <c r="AN373" i="1"/>
  <c r="AL373" i="1"/>
  <c r="AJ373" i="1"/>
  <c r="AI373" i="1"/>
  <c r="AI382" i="1" s="1"/>
  <c r="AF373" i="1"/>
  <c r="Y373" i="1"/>
  <c r="X373" i="1"/>
  <c r="X379" i="1" s="1"/>
  <c r="W373" i="1"/>
  <c r="V373" i="1"/>
  <c r="U373" i="1"/>
  <c r="T373" i="1"/>
  <c r="S373" i="1"/>
  <c r="S379" i="1" s="1"/>
  <c r="R373" i="1"/>
  <c r="Q373" i="1"/>
  <c r="P373" i="1"/>
  <c r="P379" i="1" s="1"/>
  <c r="O373" i="1"/>
  <c r="N373" i="1"/>
  <c r="M373" i="1"/>
  <c r="M382" i="1" s="1"/>
  <c r="L373" i="1"/>
  <c r="K373" i="1"/>
  <c r="K382" i="1" s="1"/>
  <c r="J373" i="1"/>
  <c r="I373" i="1"/>
  <c r="H373" i="1"/>
  <c r="H382" i="1" s="1"/>
  <c r="G373" i="1"/>
  <c r="AQ372" i="1"/>
  <c r="AQ373" i="1" s="1"/>
  <c r="AP372" i="1"/>
  <c r="AO372" i="1"/>
  <c r="AN372" i="1"/>
  <c r="AN336" i="1" s="1"/>
  <c r="AN337" i="1" s="1"/>
  <c r="AM372" i="1"/>
  <c r="AL372" i="1"/>
  <c r="AK372" i="1"/>
  <c r="AJ372" i="1"/>
  <c r="AI372" i="1"/>
  <c r="AI378" i="1" s="1"/>
  <c r="AH372" i="1"/>
  <c r="AH378" i="1" s="1"/>
  <c r="AG372" i="1"/>
  <c r="AG373" i="1" s="1"/>
  <c r="AF372" i="1"/>
  <c r="T372" i="1"/>
  <c r="T381" i="1" s="1"/>
  <c r="N372" i="1"/>
  <c r="H372" i="1"/>
  <c r="AQ371" i="1"/>
  <c r="AP371" i="1"/>
  <c r="AO371" i="1"/>
  <c r="AO380" i="1" s="1"/>
  <c r="AN371" i="1"/>
  <c r="AN335" i="1" s="1"/>
  <c r="AM371" i="1"/>
  <c r="AL371" i="1"/>
  <c r="AL155" i="1" s="1"/>
  <c r="AL47" i="1" s="1"/>
  <c r="AL1092" i="1" s="1"/>
  <c r="AK371" i="1"/>
  <c r="AJ371" i="1"/>
  <c r="AJ377" i="1" s="1"/>
  <c r="AI371" i="1"/>
  <c r="AH371" i="1"/>
  <c r="AH377" i="1" s="1"/>
  <c r="AG371" i="1"/>
  <c r="AF371" i="1"/>
  <c r="T371" i="1"/>
  <c r="F371" i="1" s="1"/>
  <c r="N371" i="1"/>
  <c r="H371" i="1"/>
  <c r="AO370" i="1"/>
  <c r="AN370" i="1"/>
  <c r="AM370" i="1"/>
  <c r="AL370" i="1"/>
  <c r="AJ370" i="1"/>
  <c r="AH370" i="1"/>
  <c r="AF370" i="1"/>
  <c r="AE370" i="1"/>
  <c r="Y370" i="1"/>
  <c r="X370" i="1"/>
  <c r="W370" i="1"/>
  <c r="V370" i="1"/>
  <c r="U370" i="1"/>
  <c r="S370" i="1"/>
  <c r="R370" i="1"/>
  <c r="Q370" i="1"/>
  <c r="P370" i="1"/>
  <c r="O370" i="1"/>
  <c r="M370" i="1"/>
  <c r="L370" i="1"/>
  <c r="K370" i="1"/>
  <c r="J370" i="1"/>
  <c r="I370" i="1"/>
  <c r="G370" i="1"/>
  <c r="AQ369" i="1"/>
  <c r="AQ370" i="1" s="1"/>
  <c r="AP369" i="1"/>
  <c r="AO369" i="1"/>
  <c r="AN369" i="1"/>
  <c r="AM369" i="1"/>
  <c r="AL369" i="1"/>
  <c r="AK369" i="1"/>
  <c r="AK370" i="1" s="1"/>
  <c r="AJ369" i="1"/>
  <c r="AI369" i="1"/>
  <c r="AI370" i="1" s="1"/>
  <c r="AH369" i="1"/>
  <c r="AG369" i="1"/>
  <c r="AF369" i="1"/>
  <c r="AE369" i="1" s="1"/>
  <c r="T369" i="1"/>
  <c r="N369" i="1"/>
  <c r="N370" i="1" s="1"/>
  <c r="H369" i="1"/>
  <c r="F369" i="1"/>
  <c r="F370" i="1" s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T368" i="1"/>
  <c r="N368" i="1"/>
  <c r="H368" i="1"/>
  <c r="F368" i="1" s="1"/>
  <c r="AJ367" i="1"/>
  <c r="Y367" i="1"/>
  <c r="X367" i="1"/>
  <c r="W367" i="1"/>
  <c r="V367" i="1"/>
  <c r="U367" i="1"/>
  <c r="T367" i="1"/>
  <c r="S367" i="1"/>
  <c r="R367" i="1"/>
  <c r="Q367" i="1"/>
  <c r="P367" i="1"/>
  <c r="O367" i="1"/>
  <c r="M367" i="1"/>
  <c r="L367" i="1"/>
  <c r="K367" i="1"/>
  <c r="J367" i="1"/>
  <c r="I367" i="1"/>
  <c r="G367" i="1"/>
  <c r="AQ366" i="1"/>
  <c r="AP366" i="1"/>
  <c r="AP367" i="1" s="1"/>
  <c r="AO366" i="1"/>
  <c r="AO367" i="1" s="1"/>
  <c r="AN366" i="1"/>
  <c r="AN367" i="1" s="1"/>
  <c r="AM366" i="1"/>
  <c r="AM367" i="1" s="1"/>
  <c r="AL366" i="1"/>
  <c r="AK366" i="1"/>
  <c r="AJ366" i="1"/>
  <c r="AI366" i="1"/>
  <c r="AI367" i="1" s="1"/>
  <c r="AH366" i="1"/>
  <c r="AG366" i="1"/>
  <c r="AF366" i="1"/>
  <c r="AF367" i="1" s="1"/>
  <c r="T366" i="1"/>
  <c r="N366" i="1"/>
  <c r="H366" i="1"/>
  <c r="AQ365" i="1"/>
  <c r="AQ367" i="1" s="1"/>
  <c r="AP365" i="1"/>
  <c r="AO365" i="1"/>
  <c r="AN365" i="1"/>
  <c r="AM365" i="1"/>
  <c r="AL365" i="1"/>
  <c r="AE365" i="1" s="1"/>
  <c r="AK365" i="1"/>
  <c r="AJ365" i="1"/>
  <c r="AI365" i="1"/>
  <c r="AH365" i="1"/>
  <c r="AH367" i="1" s="1"/>
  <c r="AG365" i="1"/>
  <c r="AF365" i="1"/>
  <c r="AF329" i="1" s="1"/>
  <c r="T365" i="1"/>
  <c r="N365" i="1"/>
  <c r="N367" i="1" s="1"/>
  <c r="H365" i="1"/>
  <c r="F365" i="1"/>
  <c r="Y364" i="1"/>
  <c r="W364" i="1"/>
  <c r="U364" i="1"/>
  <c r="R364" i="1"/>
  <c r="P364" i="1"/>
  <c r="K364" i="1"/>
  <c r="AN363" i="1"/>
  <c r="AM363" i="1"/>
  <c r="AL363" i="1"/>
  <c r="AJ363" i="1"/>
  <c r="AH363" i="1"/>
  <c r="AG363" i="1"/>
  <c r="AF363" i="1"/>
  <c r="Y363" i="1"/>
  <c r="X363" i="1"/>
  <c r="W363" i="1"/>
  <c r="V363" i="1"/>
  <c r="U363" i="1"/>
  <c r="S363" i="1"/>
  <c r="R363" i="1"/>
  <c r="Q363" i="1"/>
  <c r="P363" i="1"/>
  <c r="O363" i="1"/>
  <c r="M363" i="1"/>
  <c r="L363" i="1"/>
  <c r="K363" i="1"/>
  <c r="J363" i="1"/>
  <c r="I363" i="1"/>
  <c r="G363" i="1"/>
  <c r="AM362" i="1"/>
  <c r="AK362" i="1"/>
  <c r="AG362" i="1"/>
  <c r="AF362" i="1"/>
  <c r="Y362" i="1"/>
  <c r="X362" i="1"/>
  <c r="W362" i="1"/>
  <c r="V362" i="1"/>
  <c r="U362" i="1"/>
  <c r="T362" i="1"/>
  <c r="S362" i="1"/>
  <c r="R362" i="1"/>
  <c r="Q362" i="1"/>
  <c r="P362" i="1"/>
  <c r="O362" i="1"/>
  <c r="M362" i="1"/>
  <c r="L362" i="1"/>
  <c r="K362" i="1"/>
  <c r="J362" i="1"/>
  <c r="I362" i="1"/>
  <c r="H362" i="1"/>
  <c r="G362" i="1"/>
  <c r="Y361" i="1"/>
  <c r="W361" i="1"/>
  <c r="U361" i="1"/>
  <c r="T361" i="1"/>
  <c r="S361" i="1"/>
  <c r="Q361" i="1"/>
  <c r="O361" i="1"/>
  <c r="L361" i="1"/>
  <c r="K361" i="1"/>
  <c r="J361" i="1"/>
  <c r="AQ360" i="1"/>
  <c r="AG360" i="1"/>
  <c r="AF360" i="1"/>
  <c r="Y360" i="1"/>
  <c r="X360" i="1"/>
  <c r="W360" i="1"/>
  <c r="V360" i="1"/>
  <c r="U360" i="1"/>
  <c r="T360" i="1"/>
  <c r="S360" i="1"/>
  <c r="R360" i="1"/>
  <c r="Q360" i="1"/>
  <c r="P360" i="1"/>
  <c r="O360" i="1"/>
  <c r="M360" i="1"/>
  <c r="L360" i="1"/>
  <c r="K360" i="1"/>
  <c r="J360" i="1"/>
  <c r="I360" i="1"/>
  <c r="G360" i="1"/>
  <c r="AQ359" i="1"/>
  <c r="AP359" i="1"/>
  <c r="AN359" i="1"/>
  <c r="AM359" i="1"/>
  <c r="AL359" i="1"/>
  <c r="AK359" i="1"/>
  <c r="AJ359" i="1"/>
  <c r="AG359" i="1"/>
  <c r="Y359" i="1"/>
  <c r="X359" i="1"/>
  <c r="W359" i="1"/>
  <c r="V359" i="1"/>
  <c r="U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AQ358" i="1"/>
  <c r="AN358" i="1"/>
  <c r="AM358" i="1"/>
  <c r="AL358" i="1"/>
  <c r="AK358" i="1"/>
  <c r="AJ358" i="1"/>
  <c r="AI358" i="1"/>
  <c r="AH358" i="1"/>
  <c r="Y358" i="1"/>
  <c r="X358" i="1"/>
  <c r="W358" i="1"/>
  <c r="V358" i="1"/>
  <c r="U358" i="1"/>
  <c r="T358" i="1"/>
  <c r="S358" i="1"/>
  <c r="S364" i="1" s="1"/>
  <c r="R358" i="1"/>
  <c r="Q358" i="1"/>
  <c r="Q364" i="1" s="1"/>
  <c r="P358" i="1"/>
  <c r="P361" i="1" s="1"/>
  <c r="O358" i="1"/>
  <c r="L358" i="1"/>
  <c r="L364" i="1" s="1"/>
  <c r="K358" i="1"/>
  <c r="J358" i="1"/>
  <c r="I358" i="1"/>
  <c r="H358" i="1"/>
  <c r="G358" i="1"/>
  <c r="AQ357" i="1"/>
  <c r="AQ363" i="1" s="1"/>
  <c r="AP357" i="1"/>
  <c r="AP358" i="1" s="1"/>
  <c r="AO357" i="1"/>
  <c r="AN357" i="1"/>
  <c r="AN360" i="1" s="1"/>
  <c r="AM357" i="1"/>
  <c r="AL357" i="1"/>
  <c r="AL360" i="1" s="1"/>
  <c r="AK357" i="1"/>
  <c r="AJ357" i="1"/>
  <c r="AI357" i="1"/>
  <c r="AH357" i="1"/>
  <c r="AG357" i="1"/>
  <c r="AG358" i="1" s="1"/>
  <c r="AF357" i="1"/>
  <c r="AF358" i="1" s="1"/>
  <c r="AE357" i="1"/>
  <c r="T357" i="1"/>
  <c r="N357" i="1"/>
  <c r="AQ356" i="1"/>
  <c r="AQ338" i="1" s="1"/>
  <c r="AP356" i="1"/>
  <c r="AO356" i="1"/>
  <c r="AN356" i="1"/>
  <c r="AM356" i="1"/>
  <c r="AL356" i="1"/>
  <c r="AL362" i="1" s="1"/>
  <c r="AK356" i="1"/>
  <c r="AJ356" i="1"/>
  <c r="AI356" i="1"/>
  <c r="AH356" i="1"/>
  <c r="AG356" i="1"/>
  <c r="AF356" i="1"/>
  <c r="T356" i="1"/>
  <c r="N356" i="1"/>
  <c r="AN355" i="1"/>
  <c r="AN364" i="1" s="1"/>
  <c r="AM355" i="1"/>
  <c r="AM364" i="1" s="1"/>
  <c r="AK355" i="1"/>
  <c r="AI355" i="1"/>
  <c r="AG355" i="1"/>
  <c r="Y355" i="1"/>
  <c r="X355" i="1"/>
  <c r="W355" i="1"/>
  <c r="V355" i="1"/>
  <c r="V361" i="1" s="1"/>
  <c r="U355" i="1"/>
  <c r="T355" i="1"/>
  <c r="S355" i="1"/>
  <c r="R355" i="1"/>
  <c r="Q355" i="1"/>
  <c r="P355" i="1"/>
  <c r="O355" i="1"/>
  <c r="N355" i="1"/>
  <c r="M355" i="1"/>
  <c r="M361" i="1" s="1"/>
  <c r="L355" i="1"/>
  <c r="K355" i="1"/>
  <c r="J355" i="1"/>
  <c r="J364" i="1" s="1"/>
  <c r="I355" i="1"/>
  <c r="G355" i="1"/>
  <c r="AQ354" i="1"/>
  <c r="AP354" i="1"/>
  <c r="AO354" i="1"/>
  <c r="AN354" i="1"/>
  <c r="AM354" i="1"/>
  <c r="AM360" i="1" s="1"/>
  <c r="AL354" i="1"/>
  <c r="AL336" i="1" s="1"/>
  <c r="AK354" i="1"/>
  <c r="AJ354" i="1"/>
  <c r="AJ336" i="1" s="1"/>
  <c r="AI354" i="1"/>
  <c r="AH354" i="1"/>
  <c r="AH355" i="1" s="1"/>
  <c r="AG354" i="1"/>
  <c r="AF354" i="1"/>
  <c r="T354" i="1"/>
  <c r="T363" i="1" s="1"/>
  <c r="N354" i="1"/>
  <c r="H354" i="1"/>
  <c r="AQ353" i="1"/>
  <c r="AP353" i="1"/>
  <c r="AP362" i="1" s="1"/>
  <c r="AO353" i="1"/>
  <c r="AO355" i="1" s="1"/>
  <c r="AN353" i="1"/>
  <c r="AM353" i="1"/>
  <c r="AL353" i="1"/>
  <c r="AK353" i="1"/>
  <c r="AK335" i="1" s="1"/>
  <c r="AJ353" i="1"/>
  <c r="AI353" i="1"/>
  <c r="AI335" i="1" s="1"/>
  <c r="AH353" i="1"/>
  <c r="AG353" i="1"/>
  <c r="AF353" i="1"/>
  <c r="T353" i="1"/>
  <c r="N353" i="1"/>
  <c r="H353" i="1"/>
  <c r="F353" i="1"/>
  <c r="AQ352" i="1"/>
  <c r="AP352" i="1"/>
  <c r="AO352" i="1"/>
  <c r="AJ352" i="1"/>
  <c r="AI352" i="1"/>
  <c r="AG352" i="1"/>
  <c r="AF352" i="1"/>
  <c r="Y352" i="1"/>
  <c r="X352" i="1"/>
  <c r="W352" i="1"/>
  <c r="V352" i="1"/>
  <c r="U352" i="1"/>
  <c r="S352" i="1"/>
  <c r="R352" i="1"/>
  <c r="Q352" i="1"/>
  <c r="P352" i="1"/>
  <c r="O352" i="1"/>
  <c r="N352" i="1"/>
  <c r="M352" i="1"/>
  <c r="L352" i="1"/>
  <c r="K352" i="1"/>
  <c r="J352" i="1"/>
  <c r="I352" i="1"/>
  <c r="G352" i="1"/>
  <c r="AQ351" i="1"/>
  <c r="AQ333" i="1" s="1"/>
  <c r="AP351" i="1"/>
  <c r="AO351" i="1"/>
  <c r="AO333" i="1" s="1"/>
  <c r="AN351" i="1"/>
  <c r="AM351" i="1"/>
  <c r="AL351" i="1"/>
  <c r="AK351" i="1"/>
  <c r="AJ351" i="1"/>
  <c r="AI351" i="1"/>
  <c r="AH351" i="1"/>
  <c r="AG351" i="1"/>
  <c r="AF351" i="1"/>
  <c r="T351" i="1"/>
  <c r="N351" i="1"/>
  <c r="H351" i="1"/>
  <c r="F351" i="1"/>
  <c r="F352" i="1" s="1"/>
  <c r="AQ350" i="1"/>
  <c r="AP350" i="1"/>
  <c r="AO350" i="1"/>
  <c r="AO332" i="1" s="1"/>
  <c r="AO334" i="1" s="1"/>
  <c r="AN350" i="1"/>
  <c r="AN332" i="1" s="1"/>
  <c r="AM350" i="1"/>
  <c r="AM332" i="1" s="1"/>
  <c r="AL350" i="1"/>
  <c r="AL332" i="1" s="1"/>
  <c r="AK350" i="1"/>
  <c r="AJ350" i="1"/>
  <c r="AI350" i="1"/>
  <c r="AH350" i="1"/>
  <c r="AH332" i="1" s="1"/>
  <c r="AG350" i="1"/>
  <c r="AF350" i="1"/>
  <c r="T350" i="1"/>
  <c r="T352" i="1" s="1"/>
  <c r="N350" i="1"/>
  <c r="H350" i="1"/>
  <c r="F350" i="1"/>
  <c r="AL349" i="1"/>
  <c r="AG349" i="1"/>
  <c r="Y349" i="1"/>
  <c r="X349" i="1"/>
  <c r="W349" i="1"/>
  <c r="V349" i="1"/>
  <c r="U349" i="1"/>
  <c r="S349" i="1"/>
  <c r="R349" i="1"/>
  <c r="Q349" i="1"/>
  <c r="P349" i="1"/>
  <c r="O349" i="1"/>
  <c r="M349" i="1"/>
  <c r="L349" i="1"/>
  <c r="K349" i="1"/>
  <c r="J349" i="1"/>
  <c r="I349" i="1"/>
  <c r="G349" i="1"/>
  <c r="AQ348" i="1"/>
  <c r="AP348" i="1"/>
  <c r="AO348" i="1"/>
  <c r="AO349" i="1" s="1"/>
  <c r="AN348" i="1"/>
  <c r="AM348" i="1"/>
  <c r="AL348" i="1"/>
  <c r="AK348" i="1"/>
  <c r="AJ348" i="1"/>
  <c r="AI348" i="1"/>
  <c r="AI330" i="1" s="1"/>
  <c r="AH348" i="1"/>
  <c r="AH349" i="1" s="1"/>
  <c r="AG348" i="1"/>
  <c r="AF348" i="1"/>
  <c r="T348" i="1"/>
  <c r="T349" i="1" s="1"/>
  <c r="N348" i="1"/>
  <c r="H348" i="1"/>
  <c r="H349" i="1" s="1"/>
  <c r="F348" i="1"/>
  <c r="F349" i="1" s="1"/>
  <c r="AQ347" i="1"/>
  <c r="AP347" i="1"/>
  <c r="AO347" i="1"/>
  <c r="AN347" i="1"/>
  <c r="AM347" i="1"/>
  <c r="AL347" i="1"/>
  <c r="AK347" i="1"/>
  <c r="AJ347" i="1"/>
  <c r="AJ329" i="1" s="1"/>
  <c r="AI347" i="1"/>
  <c r="AH347" i="1"/>
  <c r="AG347" i="1"/>
  <c r="AG329" i="1" s="1"/>
  <c r="AF347" i="1"/>
  <c r="AE347" i="1"/>
  <c r="T347" i="1"/>
  <c r="N347" i="1"/>
  <c r="N349" i="1" s="1"/>
  <c r="H347" i="1"/>
  <c r="F347" i="1" s="1"/>
  <c r="AQ345" i="1"/>
  <c r="X345" i="1"/>
  <c r="V345" i="1"/>
  <c r="AI344" i="1"/>
  <c r="Y344" i="1"/>
  <c r="X344" i="1"/>
  <c r="V343" i="1"/>
  <c r="X342" i="1"/>
  <c r="W342" i="1"/>
  <c r="V342" i="1"/>
  <c r="U342" i="1"/>
  <c r="AQ341" i="1"/>
  <c r="P341" i="1"/>
  <c r="M341" i="1"/>
  <c r="L341" i="1"/>
  <c r="K341" i="1"/>
  <c r="AM340" i="1"/>
  <c r="X340" i="1"/>
  <c r="V340" i="1"/>
  <c r="U340" i="1"/>
  <c r="O340" i="1"/>
  <c r="O346" i="1" s="1"/>
  <c r="J340" i="1"/>
  <c r="I340" i="1"/>
  <c r="G340" i="1"/>
  <c r="AQ339" i="1"/>
  <c r="AN339" i="1"/>
  <c r="AM339" i="1"/>
  <c r="AG339" i="1"/>
  <c r="AF339" i="1"/>
  <c r="Y339" i="1"/>
  <c r="X339" i="1"/>
  <c r="W339" i="1"/>
  <c r="V339" i="1"/>
  <c r="U339" i="1"/>
  <c r="S339" i="1"/>
  <c r="R339" i="1"/>
  <c r="Q339" i="1"/>
  <c r="P339" i="1"/>
  <c r="O339" i="1"/>
  <c r="O345" i="1" s="1"/>
  <c r="N339" i="1"/>
  <c r="N340" i="1" s="1"/>
  <c r="M339" i="1"/>
  <c r="L339" i="1"/>
  <c r="K339" i="1"/>
  <c r="J339" i="1"/>
  <c r="I339" i="1"/>
  <c r="G339" i="1"/>
  <c r="AM338" i="1"/>
  <c r="AL338" i="1"/>
  <c r="AK338" i="1"/>
  <c r="AK344" i="1" s="1"/>
  <c r="AJ338" i="1"/>
  <c r="AI338" i="1"/>
  <c r="AI341" i="1" s="1"/>
  <c r="AH338" i="1"/>
  <c r="AF338" i="1"/>
  <c r="Y338" i="1"/>
  <c r="Y341" i="1" s="1"/>
  <c r="X338" i="1"/>
  <c r="W338" i="1"/>
  <c r="V338" i="1"/>
  <c r="U338" i="1"/>
  <c r="S338" i="1"/>
  <c r="R338" i="1"/>
  <c r="Q338" i="1"/>
  <c r="P338" i="1"/>
  <c r="P344" i="1" s="1"/>
  <c r="O338" i="1"/>
  <c r="O341" i="1" s="1"/>
  <c r="N338" i="1"/>
  <c r="M338" i="1"/>
  <c r="M340" i="1" s="1"/>
  <c r="L338" i="1"/>
  <c r="K338" i="1"/>
  <c r="K344" i="1" s="1"/>
  <c r="J338" i="1"/>
  <c r="I338" i="1"/>
  <c r="G338" i="1"/>
  <c r="AQ337" i="1"/>
  <c r="V337" i="1"/>
  <c r="V346" i="1" s="1"/>
  <c r="O337" i="1"/>
  <c r="AQ336" i="1"/>
  <c r="AF336" i="1"/>
  <c r="AF345" i="1" s="1"/>
  <c r="Y336" i="1"/>
  <c r="X336" i="1"/>
  <c r="W336" i="1"/>
  <c r="V336" i="1"/>
  <c r="U336" i="1"/>
  <c r="S336" i="1"/>
  <c r="R336" i="1"/>
  <c r="Q336" i="1"/>
  <c r="P336" i="1"/>
  <c r="P337" i="1" s="1"/>
  <c r="O336" i="1"/>
  <c r="N336" i="1"/>
  <c r="M336" i="1"/>
  <c r="M337" i="1" s="1"/>
  <c r="M346" i="1" s="1"/>
  <c r="L336" i="1"/>
  <c r="K336" i="1"/>
  <c r="K337" i="1" s="1"/>
  <c r="J336" i="1"/>
  <c r="J337" i="1" s="1"/>
  <c r="J346" i="1" s="1"/>
  <c r="I336" i="1"/>
  <c r="G336" i="1"/>
  <c r="AQ335" i="1"/>
  <c r="AF335" i="1"/>
  <c r="Y335" i="1"/>
  <c r="X335" i="1"/>
  <c r="W335" i="1"/>
  <c r="V335" i="1"/>
  <c r="U335" i="1"/>
  <c r="T335" i="1"/>
  <c r="S335" i="1"/>
  <c r="R335" i="1"/>
  <c r="R341" i="1" s="1"/>
  <c r="Q335" i="1"/>
  <c r="P335" i="1"/>
  <c r="O335" i="1"/>
  <c r="M335" i="1"/>
  <c r="L335" i="1"/>
  <c r="K335" i="1"/>
  <c r="J335" i="1"/>
  <c r="H335" i="1" s="1"/>
  <c r="I335" i="1"/>
  <c r="G335" i="1"/>
  <c r="AQ334" i="1"/>
  <c r="AK334" i="1"/>
  <c r="V334" i="1"/>
  <c r="U334" i="1"/>
  <c r="S334" i="1"/>
  <c r="R334" i="1"/>
  <c r="P334" i="1"/>
  <c r="K334" i="1"/>
  <c r="AP333" i="1"/>
  <c r="AL333" i="1"/>
  <c r="AL334" i="1" s="1"/>
  <c r="AK333" i="1"/>
  <c r="AJ333" i="1"/>
  <c r="AH333" i="1"/>
  <c r="AH334" i="1" s="1"/>
  <c r="Y333" i="1"/>
  <c r="Y334" i="1" s="1"/>
  <c r="X333" i="1"/>
  <c r="X334" i="1" s="1"/>
  <c r="W333" i="1"/>
  <c r="V333" i="1"/>
  <c r="U333" i="1"/>
  <c r="S333" i="1"/>
  <c r="R333" i="1"/>
  <c r="Q333" i="1"/>
  <c r="P333" i="1"/>
  <c r="O333" i="1"/>
  <c r="N333" i="1"/>
  <c r="M333" i="1"/>
  <c r="L333" i="1"/>
  <c r="L334" i="1" s="1"/>
  <c r="K333" i="1"/>
  <c r="J333" i="1"/>
  <c r="J334" i="1" s="1"/>
  <c r="I333" i="1"/>
  <c r="I334" i="1" s="1"/>
  <c r="H333" i="1"/>
  <c r="H334" i="1" s="1"/>
  <c r="G333" i="1"/>
  <c r="AQ332" i="1"/>
  <c r="AK332" i="1"/>
  <c r="AI332" i="1"/>
  <c r="AF332" i="1"/>
  <c r="Y332" i="1"/>
  <c r="X332" i="1"/>
  <c r="W332" i="1"/>
  <c r="V332" i="1"/>
  <c r="U332" i="1"/>
  <c r="T332" i="1"/>
  <c r="S332" i="1"/>
  <c r="R332" i="1"/>
  <c r="Q332" i="1"/>
  <c r="P332" i="1"/>
  <c r="O332" i="1"/>
  <c r="M332" i="1"/>
  <c r="M334" i="1" s="1"/>
  <c r="L332" i="1"/>
  <c r="K332" i="1"/>
  <c r="J332" i="1"/>
  <c r="I332" i="1"/>
  <c r="H332" i="1"/>
  <c r="G332" i="1"/>
  <c r="X331" i="1"/>
  <c r="U331" i="1"/>
  <c r="S331" i="1"/>
  <c r="R331" i="1"/>
  <c r="O331" i="1"/>
  <c r="J331" i="1"/>
  <c r="AH330" i="1"/>
  <c r="AG330" i="1"/>
  <c r="AF330" i="1"/>
  <c r="Y330" i="1"/>
  <c r="Y331" i="1" s="1"/>
  <c r="X330" i="1"/>
  <c r="W330" i="1"/>
  <c r="W331" i="1" s="1"/>
  <c r="V330" i="1"/>
  <c r="V331" i="1" s="1"/>
  <c r="U330" i="1"/>
  <c r="T330" i="1"/>
  <c r="S330" i="1"/>
  <c r="R330" i="1"/>
  <c r="Q330" i="1"/>
  <c r="P330" i="1"/>
  <c r="O330" i="1"/>
  <c r="M330" i="1"/>
  <c r="L330" i="1"/>
  <c r="K330" i="1"/>
  <c r="K331" i="1" s="1"/>
  <c r="J330" i="1"/>
  <c r="I330" i="1"/>
  <c r="H330" i="1"/>
  <c r="G330" i="1"/>
  <c r="AO329" i="1"/>
  <c r="AN329" i="1"/>
  <c r="AM329" i="1"/>
  <c r="AL329" i="1"/>
  <c r="AK329" i="1"/>
  <c r="AI329" i="1"/>
  <c r="AI331" i="1" s="1"/>
  <c r="AH329" i="1"/>
  <c r="Y329" i="1"/>
  <c r="X329" i="1"/>
  <c r="W329" i="1"/>
  <c r="V329" i="1"/>
  <c r="U329" i="1"/>
  <c r="S329" i="1"/>
  <c r="R329" i="1"/>
  <c r="Q329" i="1"/>
  <c r="Q331" i="1" s="1"/>
  <c r="P329" i="1"/>
  <c r="P331" i="1" s="1"/>
  <c r="O329" i="1"/>
  <c r="N329" i="1"/>
  <c r="M329" i="1"/>
  <c r="L329" i="1"/>
  <c r="K329" i="1"/>
  <c r="J329" i="1"/>
  <c r="I329" i="1"/>
  <c r="G329" i="1"/>
  <c r="Y328" i="1"/>
  <c r="X328" i="1"/>
  <c r="W328" i="1"/>
  <c r="V328" i="1"/>
  <c r="N328" i="1"/>
  <c r="K328" i="1"/>
  <c r="J328" i="1"/>
  <c r="I328" i="1"/>
  <c r="G328" i="1"/>
  <c r="AK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AQ326" i="1"/>
  <c r="AF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Y325" i="1"/>
  <c r="X325" i="1"/>
  <c r="W325" i="1"/>
  <c r="V325" i="1"/>
  <c r="O325" i="1"/>
  <c r="N325" i="1"/>
  <c r="L325" i="1"/>
  <c r="J325" i="1"/>
  <c r="I325" i="1"/>
  <c r="H325" i="1"/>
  <c r="G325" i="1"/>
  <c r="AK324" i="1"/>
  <c r="Y324" i="1"/>
  <c r="X324" i="1"/>
  <c r="W324" i="1"/>
  <c r="V324" i="1"/>
  <c r="U324" i="1"/>
  <c r="S324" i="1"/>
  <c r="R324" i="1"/>
  <c r="Q324" i="1"/>
  <c r="P324" i="1"/>
  <c r="O324" i="1"/>
  <c r="M324" i="1"/>
  <c r="L324" i="1"/>
  <c r="K324" i="1"/>
  <c r="J324" i="1"/>
  <c r="I324" i="1"/>
  <c r="H324" i="1"/>
  <c r="G324" i="1"/>
  <c r="AQ323" i="1"/>
  <c r="AK323" i="1"/>
  <c r="AJ323" i="1"/>
  <c r="AI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G323" i="1"/>
  <c r="AK322" i="1"/>
  <c r="AJ322" i="1"/>
  <c r="AI322" i="1"/>
  <c r="AH322" i="1"/>
  <c r="AG322" i="1"/>
  <c r="AF322" i="1"/>
  <c r="AF325" i="1" s="1"/>
  <c r="Y322" i="1"/>
  <c r="X322" i="1"/>
  <c r="W322" i="1"/>
  <c r="V322" i="1"/>
  <c r="U322" i="1"/>
  <c r="T322" i="1"/>
  <c r="S322" i="1"/>
  <c r="R322" i="1"/>
  <c r="Q322" i="1"/>
  <c r="P322" i="1"/>
  <c r="O322" i="1"/>
  <c r="O328" i="1" s="1"/>
  <c r="N322" i="1"/>
  <c r="M322" i="1"/>
  <c r="L322" i="1"/>
  <c r="K322" i="1"/>
  <c r="K325" i="1" s="1"/>
  <c r="J322" i="1"/>
  <c r="I322" i="1"/>
  <c r="H322" i="1"/>
  <c r="G322" i="1"/>
  <c r="AQ321" i="1"/>
  <c r="AP321" i="1"/>
  <c r="AO321" i="1"/>
  <c r="AN321" i="1"/>
  <c r="AM321" i="1"/>
  <c r="AL321" i="1"/>
  <c r="AK321" i="1"/>
  <c r="AJ321" i="1"/>
  <c r="AI321" i="1"/>
  <c r="AI285" i="1" s="1"/>
  <c r="AH321" i="1"/>
  <c r="AH285" i="1" s="1"/>
  <c r="AG321" i="1"/>
  <c r="AF321" i="1"/>
  <c r="T321" i="1"/>
  <c r="N321" i="1"/>
  <c r="F321" i="1" s="1"/>
  <c r="AQ320" i="1"/>
  <c r="AP320" i="1"/>
  <c r="AP326" i="1" s="1"/>
  <c r="AO320" i="1"/>
  <c r="AO326" i="1" s="1"/>
  <c r="AN320" i="1"/>
  <c r="AM320" i="1"/>
  <c r="AL320" i="1"/>
  <c r="AK320" i="1"/>
  <c r="AJ320" i="1"/>
  <c r="AI320" i="1"/>
  <c r="AH320" i="1"/>
  <c r="AG320" i="1"/>
  <c r="AG284" i="1" s="1"/>
  <c r="AF320" i="1"/>
  <c r="AF323" i="1" s="1"/>
  <c r="T320" i="1"/>
  <c r="N320" i="1"/>
  <c r="AO319" i="1"/>
  <c r="AN319" i="1"/>
  <c r="AM319" i="1"/>
  <c r="AL319" i="1"/>
  <c r="AK319" i="1"/>
  <c r="AK325" i="1" s="1"/>
  <c r="AI319" i="1"/>
  <c r="AI325" i="1" s="1"/>
  <c r="AH319" i="1"/>
  <c r="AF319" i="1"/>
  <c r="Y319" i="1"/>
  <c r="X319" i="1"/>
  <c r="W319" i="1"/>
  <c r="V319" i="1"/>
  <c r="U319" i="1"/>
  <c r="S319" i="1"/>
  <c r="R319" i="1"/>
  <c r="R328" i="1" s="1"/>
  <c r="Q319" i="1"/>
  <c r="P319" i="1"/>
  <c r="O319" i="1"/>
  <c r="N319" i="1"/>
  <c r="M319" i="1"/>
  <c r="L319" i="1"/>
  <c r="L328" i="1" s="1"/>
  <c r="K319" i="1"/>
  <c r="J319" i="1"/>
  <c r="I319" i="1"/>
  <c r="H319" i="1"/>
  <c r="H328" i="1" s="1"/>
  <c r="G319" i="1"/>
  <c r="AQ318" i="1"/>
  <c r="AP318" i="1"/>
  <c r="AP319" i="1" s="1"/>
  <c r="AO318" i="1"/>
  <c r="AN318" i="1"/>
  <c r="AM318" i="1"/>
  <c r="AL318" i="1"/>
  <c r="AL324" i="1" s="1"/>
  <c r="AK318" i="1"/>
  <c r="AJ318" i="1"/>
  <c r="AJ319" i="1" s="1"/>
  <c r="AI318" i="1"/>
  <c r="AI327" i="1" s="1"/>
  <c r="AH318" i="1"/>
  <c r="AH282" i="1" s="1"/>
  <c r="AG318" i="1"/>
  <c r="AF318" i="1"/>
  <c r="T318" i="1"/>
  <c r="N318" i="1"/>
  <c r="H318" i="1"/>
  <c r="AQ317" i="1"/>
  <c r="AQ319" i="1" s="1"/>
  <c r="AP317" i="1"/>
  <c r="AO317" i="1"/>
  <c r="AN317" i="1"/>
  <c r="AM317" i="1"/>
  <c r="AL317" i="1"/>
  <c r="AK317" i="1"/>
  <c r="AJ317" i="1"/>
  <c r="AI317" i="1"/>
  <c r="AI155" i="1" s="1"/>
  <c r="AH317" i="1"/>
  <c r="AH326" i="1" s="1"/>
  <c r="AG317" i="1"/>
  <c r="AF317" i="1"/>
  <c r="T317" i="1"/>
  <c r="N317" i="1"/>
  <c r="H317" i="1"/>
  <c r="H323" i="1" s="1"/>
  <c r="F317" i="1"/>
  <c r="AL316" i="1"/>
  <c r="AK316" i="1"/>
  <c r="AJ316" i="1"/>
  <c r="AI316" i="1"/>
  <c r="AH316" i="1"/>
  <c r="AG316" i="1"/>
  <c r="AF316" i="1"/>
  <c r="Y316" i="1"/>
  <c r="X316" i="1"/>
  <c r="W316" i="1"/>
  <c r="V316" i="1"/>
  <c r="U316" i="1"/>
  <c r="S316" i="1"/>
  <c r="R316" i="1"/>
  <c r="Q316" i="1"/>
  <c r="P316" i="1"/>
  <c r="O316" i="1"/>
  <c r="N316" i="1"/>
  <c r="M316" i="1"/>
  <c r="L316" i="1"/>
  <c r="K316" i="1"/>
  <c r="J316" i="1"/>
  <c r="I316" i="1"/>
  <c r="G316" i="1"/>
  <c r="AQ315" i="1"/>
  <c r="AQ316" i="1" s="1"/>
  <c r="AP315" i="1"/>
  <c r="AO315" i="1"/>
  <c r="AN315" i="1"/>
  <c r="AM315" i="1"/>
  <c r="AL315" i="1"/>
  <c r="AK315" i="1"/>
  <c r="AJ315" i="1"/>
  <c r="AI315" i="1"/>
  <c r="AI153" i="1" s="1"/>
  <c r="AI154" i="1" s="1"/>
  <c r="AH315" i="1"/>
  <c r="AH153" i="1" s="1"/>
  <c r="AG315" i="1"/>
  <c r="AG279" i="1" s="1"/>
  <c r="AG280" i="1" s="1"/>
  <c r="AF315" i="1"/>
  <c r="T315" i="1"/>
  <c r="N315" i="1"/>
  <c r="H315" i="1"/>
  <c r="AQ314" i="1"/>
  <c r="AP314" i="1"/>
  <c r="AP316" i="1" s="1"/>
  <c r="AO314" i="1"/>
  <c r="AN314" i="1"/>
  <c r="AM314" i="1"/>
  <c r="AL314" i="1"/>
  <c r="AK314" i="1"/>
  <c r="AJ314" i="1"/>
  <c r="AI314" i="1"/>
  <c r="AI152" i="1" s="1"/>
  <c r="AH314" i="1"/>
  <c r="AG314" i="1"/>
  <c r="AF314" i="1"/>
  <c r="AF278" i="1" s="1"/>
  <c r="T314" i="1"/>
  <c r="N314" i="1"/>
  <c r="H314" i="1"/>
  <c r="F314" i="1" s="1"/>
  <c r="AQ313" i="1"/>
  <c r="AP313" i="1"/>
  <c r="AN313" i="1"/>
  <c r="AM313" i="1"/>
  <c r="AI313" i="1"/>
  <c r="AG313" i="1"/>
  <c r="AF313" i="1"/>
  <c r="Y313" i="1"/>
  <c r="X313" i="1"/>
  <c r="W313" i="1"/>
  <c r="V313" i="1"/>
  <c r="U313" i="1"/>
  <c r="S313" i="1"/>
  <c r="R313" i="1"/>
  <c r="Q313" i="1"/>
  <c r="P313" i="1"/>
  <c r="O313" i="1"/>
  <c r="M313" i="1"/>
  <c r="L313" i="1"/>
  <c r="K313" i="1"/>
  <c r="J313" i="1"/>
  <c r="I313" i="1"/>
  <c r="G313" i="1"/>
  <c r="AQ312" i="1"/>
  <c r="AP312" i="1"/>
  <c r="AO312" i="1"/>
  <c r="AN312" i="1"/>
  <c r="AN276" i="1" s="1"/>
  <c r="AN277" i="1" s="1"/>
  <c r="AM312" i="1"/>
  <c r="AL312" i="1"/>
  <c r="AK312" i="1"/>
  <c r="AK313" i="1" s="1"/>
  <c r="AJ312" i="1"/>
  <c r="AJ313" i="1" s="1"/>
  <c r="AI312" i="1"/>
  <c r="AH312" i="1"/>
  <c r="AG312" i="1"/>
  <c r="AF312" i="1"/>
  <c r="AF276" i="1" s="1"/>
  <c r="T312" i="1"/>
  <c r="N312" i="1"/>
  <c r="H312" i="1"/>
  <c r="AQ311" i="1"/>
  <c r="AP311" i="1"/>
  <c r="AO311" i="1"/>
  <c r="AO275" i="1" s="1"/>
  <c r="AN311" i="1"/>
  <c r="AN275" i="1" s="1"/>
  <c r="AM311" i="1"/>
  <c r="AL311" i="1"/>
  <c r="AK311" i="1"/>
  <c r="AJ311" i="1"/>
  <c r="AI311" i="1"/>
  <c r="AH311" i="1"/>
  <c r="AG311" i="1"/>
  <c r="AF311" i="1"/>
  <c r="T311" i="1"/>
  <c r="T313" i="1" s="1"/>
  <c r="N311" i="1"/>
  <c r="H311" i="1"/>
  <c r="V310" i="1"/>
  <c r="Q310" i="1"/>
  <c r="M310" i="1"/>
  <c r="L310" i="1"/>
  <c r="K310" i="1"/>
  <c r="J310" i="1"/>
  <c r="I310" i="1"/>
  <c r="AH309" i="1"/>
  <c r="Y309" i="1"/>
  <c r="X309" i="1"/>
  <c r="W309" i="1"/>
  <c r="V309" i="1"/>
  <c r="U309" i="1"/>
  <c r="S309" i="1"/>
  <c r="R309" i="1"/>
  <c r="Q309" i="1"/>
  <c r="P309" i="1"/>
  <c r="O309" i="1"/>
  <c r="M309" i="1"/>
  <c r="L309" i="1"/>
  <c r="K309" i="1"/>
  <c r="J309" i="1"/>
  <c r="I309" i="1"/>
  <c r="H309" i="1"/>
  <c r="G309" i="1"/>
  <c r="AK308" i="1"/>
  <c r="AH308" i="1"/>
  <c r="AF308" i="1"/>
  <c r="Y308" i="1"/>
  <c r="X308" i="1"/>
  <c r="W308" i="1"/>
  <c r="V308" i="1"/>
  <c r="U308" i="1"/>
  <c r="S308" i="1"/>
  <c r="R308" i="1"/>
  <c r="Q308" i="1"/>
  <c r="P308" i="1"/>
  <c r="O308" i="1"/>
  <c r="N308" i="1"/>
  <c r="M308" i="1"/>
  <c r="L308" i="1"/>
  <c r="K308" i="1"/>
  <c r="J308" i="1"/>
  <c r="I308" i="1"/>
  <c r="G308" i="1"/>
  <c r="X307" i="1"/>
  <c r="V307" i="1"/>
  <c r="U307" i="1"/>
  <c r="R307" i="1"/>
  <c r="Q307" i="1"/>
  <c r="O307" i="1"/>
  <c r="M307" i="1"/>
  <c r="K307" i="1"/>
  <c r="I307" i="1"/>
  <c r="AM306" i="1"/>
  <c r="AH306" i="1"/>
  <c r="AF306" i="1"/>
  <c r="Y306" i="1"/>
  <c r="X306" i="1"/>
  <c r="W306" i="1"/>
  <c r="V306" i="1"/>
  <c r="U306" i="1"/>
  <c r="S306" i="1"/>
  <c r="R306" i="1"/>
  <c r="Q306" i="1"/>
  <c r="P306" i="1"/>
  <c r="O306" i="1"/>
  <c r="M306" i="1"/>
  <c r="L306" i="1"/>
  <c r="K306" i="1"/>
  <c r="J306" i="1"/>
  <c r="I306" i="1"/>
  <c r="H306" i="1"/>
  <c r="G306" i="1"/>
  <c r="AG305" i="1"/>
  <c r="AF305" i="1"/>
  <c r="Y305" i="1"/>
  <c r="X305" i="1"/>
  <c r="W305" i="1"/>
  <c r="V305" i="1"/>
  <c r="U305" i="1"/>
  <c r="T305" i="1"/>
  <c r="S305" i="1"/>
  <c r="R305" i="1"/>
  <c r="Q305" i="1"/>
  <c r="P305" i="1"/>
  <c r="O305" i="1"/>
  <c r="M305" i="1"/>
  <c r="L305" i="1"/>
  <c r="K305" i="1"/>
  <c r="J305" i="1"/>
  <c r="I305" i="1"/>
  <c r="H305" i="1"/>
  <c r="G305" i="1"/>
  <c r="AK304" i="1"/>
  <c r="AI304" i="1"/>
  <c r="AH304" i="1"/>
  <c r="Y304" i="1"/>
  <c r="X304" i="1"/>
  <c r="X310" i="1" s="1"/>
  <c r="W304" i="1"/>
  <c r="V304" i="1"/>
  <c r="U304" i="1"/>
  <c r="U310" i="1" s="1"/>
  <c r="T304" i="1"/>
  <c r="S304" i="1"/>
  <c r="R304" i="1"/>
  <c r="Q304" i="1"/>
  <c r="P304" i="1"/>
  <c r="O304" i="1"/>
  <c r="L304" i="1"/>
  <c r="K304" i="1"/>
  <c r="J304" i="1"/>
  <c r="J307" i="1" s="1"/>
  <c r="I304" i="1"/>
  <c r="H304" i="1"/>
  <c r="G304" i="1"/>
  <c r="AQ303" i="1"/>
  <c r="AQ304" i="1" s="1"/>
  <c r="AP303" i="1"/>
  <c r="AO303" i="1"/>
  <c r="AN303" i="1"/>
  <c r="AN285" i="1" s="1"/>
  <c r="AM303" i="1"/>
  <c r="AM304" i="1" s="1"/>
  <c r="AL303" i="1"/>
  <c r="AK303" i="1"/>
  <c r="AJ303" i="1"/>
  <c r="AI303" i="1"/>
  <c r="AH303" i="1"/>
  <c r="AG303" i="1"/>
  <c r="AG304" i="1" s="1"/>
  <c r="AF303" i="1"/>
  <c r="AF309" i="1" s="1"/>
  <c r="T303" i="1"/>
  <c r="N303" i="1"/>
  <c r="F303" i="1"/>
  <c r="F304" i="1" s="1"/>
  <c r="AQ302" i="1"/>
  <c r="AP302" i="1"/>
  <c r="AO302" i="1"/>
  <c r="AN302" i="1"/>
  <c r="AN308" i="1" s="1"/>
  <c r="AM302" i="1"/>
  <c r="AL302" i="1"/>
  <c r="AK302" i="1"/>
  <c r="AJ302" i="1"/>
  <c r="AJ140" i="1" s="1"/>
  <c r="AI302" i="1"/>
  <c r="AH302" i="1"/>
  <c r="AH305" i="1" s="1"/>
  <c r="AG302" i="1"/>
  <c r="AF302" i="1"/>
  <c r="T302" i="1"/>
  <c r="T308" i="1" s="1"/>
  <c r="N302" i="1"/>
  <c r="N305" i="1" s="1"/>
  <c r="F302" i="1"/>
  <c r="AP301" i="1"/>
  <c r="AO301" i="1"/>
  <c r="AN301" i="1"/>
  <c r="AM301" i="1"/>
  <c r="AK301" i="1"/>
  <c r="AK307" i="1" s="1"/>
  <c r="AJ301" i="1"/>
  <c r="AH301" i="1"/>
  <c r="AF301" i="1"/>
  <c r="Y301" i="1"/>
  <c r="X301" i="1"/>
  <c r="W301" i="1"/>
  <c r="V301" i="1"/>
  <c r="U301" i="1"/>
  <c r="S301" i="1"/>
  <c r="R301" i="1"/>
  <c r="R310" i="1" s="1"/>
  <c r="Q301" i="1"/>
  <c r="P301" i="1"/>
  <c r="O301" i="1"/>
  <c r="N301" i="1"/>
  <c r="M301" i="1"/>
  <c r="L301" i="1"/>
  <c r="K301" i="1"/>
  <c r="J301" i="1"/>
  <c r="I301" i="1"/>
  <c r="G301" i="1"/>
  <c r="G307" i="1" s="1"/>
  <c r="AQ300" i="1"/>
  <c r="AP300" i="1"/>
  <c r="AO300" i="1"/>
  <c r="AN300" i="1"/>
  <c r="AM300" i="1"/>
  <c r="AM309" i="1" s="1"/>
  <c r="AL300" i="1"/>
  <c r="AK300" i="1"/>
  <c r="AK309" i="1" s="1"/>
  <c r="AJ300" i="1"/>
  <c r="AI300" i="1"/>
  <c r="AH300" i="1"/>
  <c r="AG300" i="1"/>
  <c r="AF300" i="1"/>
  <c r="T300" i="1"/>
  <c r="T301" i="1" s="1"/>
  <c r="N300" i="1"/>
  <c r="H300" i="1"/>
  <c r="F300" i="1"/>
  <c r="AQ299" i="1"/>
  <c r="AP299" i="1"/>
  <c r="AP281" i="1" s="1"/>
  <c r="AO299" i="1"/>
  <c r="AN299" i="1"/>
  <c r="AM299" i="1"/>
  <c r="AL299" i="1"/>
  <c r="AK299" i="1"/>
  <c r="AK305" i="1" s="1"/>
  <c r="AJ299" i="1"/>
  <c r="AI299" i="1"/>
  <c r="AI305" i="1" s="1"/>
  <c r="AH299" i="1"/>
  <c r="AG299" i="1"/>
  <c r="AF299" i="1"/>
  <c r="T299" i="1"/>
  <c r="N299" i="1"/>
  <c r="H299" i="1"/>
  <c r="F299" i="1"/>
  <c r="F305" i="1" s="1"/>
  <c r="AQ298" i="1"/>
  <c r="AO298" i="1"/>
  <c r="AL298" i="1"/>
  <c r="AK298" i="1"/>
  <c r="AJ298" i="1"/>
  <c r="AI298" i="1"/>
  <c r="AG298" i="1"/>
  <c r="Y298" i="1"/>
  <c r="X298" i="1"/>
  <c r="W298" i="1"/>
  <c r="V298" i="1"/>
  <c r="U298" i="1"/>
  <c r="T298" i="1"/>
  <c r="S298" i="1"/>
  <c r="R298" i="1"/>
  <c r="Q298" i="1"/>
  <c r="P298" i="1"/>
  <c r="O298" i="1"/>
  <c r="M298" i="1"/>
  <c r="L298" i="1"/>
  <c r="K298" i="1"/>
  <c r="J298" i="1"/>
  <c r="I298" i="1"/>
  <c r="G298" i="1"/>
  <c r="AQ297" i="1"/>
  <c r="AP297" i="1"/>
  <c r="AP298" i="1" s="1"/>
  <c r="AO297" i="1"/>
  <c r="AN297" i="1"/>
  <c r="AM297" i="1"/>
  <c r="AM279" i="1" s="1"/>
  <c r="AL297" i="1"/>
  <c r="AL279" i="1" s="1"/>
  <c r="AK297" i="1"/>
  <c r="AJ297" i="1"/>
  <c r="AJ279" i="1" s="1"/>
  <c r="AI297" i="1"/>
  <c r="AH297" i="1"/>
  <c r="AH298" i="1" s="1"/>
  <c r="AG297" i="1"/>
  <c r="AF297" i="1"/>
  <c r="T297" i="1"/>
  <c r="N297" i="1"/>
  <c r="H297" i="1"/>
  <c r="F297" i="1" s="1"/>
  <c r="F298" i="1" s="1"/>
  <c r="AQ296" i="1"/>
  <c r="AP296" i="1"/>
  <c r="AO296" i="1"/>
  <c r="AN296" i="1"/>
  <c r="AN278" i="1" s="1"/>
  <c r="AM296" i="1"/>
  <c r="AL296" i="1"/>
  <c r="AK296" i="1"/>
  <c r="AJ296" i="1"/>
  <c r="AI296" i="1"/>
  <c r="AH296" i="1"/>
  <c r="AG296" i="1"/>
  <c r="AF296" i="1"/>
  <c r="T296" i="1"/>
  <c r="N296" i="1"/>
  <c r="F296" i="1" s="1"/>
  <c r="H296" i="1"/>
  <c r="AO295" i="1"/>
  <c r="AN295" i="1"/>
  <c r="AM295" i="1"/>
  <c r="AL295" i="1"/>
  <c r="Y295" i="1"/>
  <c r="X295" i="1"/>
  <c r="W295" i="1"/>
  <c r="V295" i="1"/>
  <c r="U295" i="1"/>
  <c r="S295" i="1"/>
  <c r="R295" i="1"/>
  <c r="Q295" i="1"/>
  <c r="P295" i="1"/>
  <c r="O295" i="1"/>
  <c r="N295" i="1"/>
  <c r="M295" i="1"/>
  <c r="L295" i="1"/>
  <c r="K295" i="1"/>
  <c r="J295" i="1"/>
  <c r="I295" i="1"/>
  <c r="G295" i="1"/>
  <c r="AQ294" i="1"/>
  <c r="AQ295" i="1" s="1"/>
  <c r="AP294" i="1"/>
  <c r="AO294" i="1"/>
  <c r="AO276" i="1" s="1"/>
  <c r="AN294" i="1"/>
  <c r="AM294" i="1"/>
  <c r="AL294" i="1"/>
  <c r="AL276" i="1" s="1"/>
  <c r="AK294" i="1"/>
  <c r="AJ294" i="1"/>
  <c r="AJ295" i="1" s="1"/>
  <c r="AI294" i="1"/>
  <c r="AI295" i="1" s="1"/>
  <c r="AH294" i="1"/>
  <c r="AG294" i="1"/>
  <c r="AG295" i="1" s="1"/>
  <c r="AF294" i="1"/>
  <c r="T294" i="1"/>
  <c r="N294" i="1"/>
  <c r="H294" i="1"/>
  <c r="F294" i="1"/>
  <c r="F295" i="1" s="1"/>
  <c r="AQ293" i="1"/>
  <c r="AP293" i="1"/>
  <c r="AP275" i="1" s="1"/>
  <c r="AO293" i="1"/>
  <c r="AN293" i="1"/>
  <c r="AM293" i="1"/>
  <c r="AL293" i="1"/>
  <c r="AK293" i="1"/>
  <c r="AJ293" i="1"/>
  <c r="AI293" i="1"/>
  <c r="AH293" i="1"/>
  <c r="AH295" i="1" s="1"/>
  <c r="AG293" i="1"/>
  <c r="AF293" i="1"/>
  <c r="T293" i="1"/>
  <c r="N293" i="1"/>
  <c r="H293" i="1"/>
  <c r="F293" i="1" s="1"/>
  <c r="J292" i="1"/>
  <c r="W291" i="1"/>
  <c r="V291" i="1"/>
  <c r="S291" i="1"/>
  <c r="M291" i="1"/>
  <c r="L291" i="1"/>
  <c r="K291" i="1"/>
  <c r="J291" i="1"/>
  <c r="I291" i="1"/>
  <c r="G291" i="1"/>
  <c r="AH290" i="1"/>
  <c r="Y290" i="1"/>
  <c r="X290" i="1"/>
  <c r="W290" i="1"/>
  <c r="V290" i="1"/>
  <c r="P290" i="1"/>
  <c r="G290" i="1"/>
  <c r="L288" i="1"/>
  <c r="G288" i="1"/>
  <c r="AH287" i="1"/>
  <c r="Y287" i="1"/>
  <c r="X287" i="1"/>
  <c r="V287" i="1"/>
  <c r="U287" i="1"/>
  <c r="G287" i="1"/>
  <c r="AH286" i="1"/>
  <c r="X286" i="1"/>
  <c r="W286" i="1"/>
  <c r="V286" i="1"/>
  <c r="J286" i="1"/>
  <c r="AM285" i="1"/>
  <c r="Y285" i="1"/>
  <c r="X285" i="1"/>
  <c r="W285" i="1"/>
  <c r="V285" i="1"/>
  <c r="V288" i="1" s="1"/>
  <c r="U285" i="1"/>
  <c r="S285" i="1"/>
  <c r="R285" i="1"/>
  <c r="Q285" i="1"/>
  <c r="P285" i="1"/>
  <c r="O285" i="1"/>
  <c r="M285" i="1"/>
  <c r="M288" i="1" s="1"/>
  <c r="L285" i="1"/>
  <c r="K285" i="1"/>
  <c r="J285" i="1"/>
  <c r="I285" i="1"/>
  <c r="G285" i="1"/>
  <c r="G286" i="1" s="1"/>
  <c r="AQ284" i="1"/>
  <c r="AK284" i="1"/>
  <c r="AI284" i="1"/>
  <c r="AH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K290" i="1" s="1"/>
  <c r="J284" i="1"/>
  <c r="I284" i="1"/>
  <c r="G284" i="1"/>
  <c r="AL283" i="1"/>
  <c r="AF283" i="1"/>
  <c r="Y283" i="1"/>
  <c r="V283" i="1"/>
  <c r="S283" i="1"/>
  <c r="K283" i="1"/>
  <c r="J283" i="1"/>
  <c r="J289" i="1" s="1"/>
  <c r="G283" i="1"/>
  <c r="AP282" i="1"/>
  <c r="AP283" i="1" s="1"/>
  <c r="AO282" i="1"/>
  <c r="AM282" i="1"/>
  <c r="AM283" i="1" s="1"/>
  <c r="AL282" i="1"/>
  <c r="AF282" i="1"/>
  <c r="Y282" i="1"/>
  <c r="X282" i="1"/>
  <c r="W282" i="1"/>
  <c r="V282" i="1"/>
  <c r="U282" i="1"/>
  <c r="T282" i="1"/>
  <c r="T283" i="1" s="1"/>
  <c r="S282" i="1"/>
  <c r="R282" i="1"/>
  <c r="R283" i="1" s="1"/>
  <c r="Q282" i="1"/>
  <c r="Q283" i="1" s="1"/>
  <c r="P282" i="1"/>
  <c r="O282" i="1"/>
  <c r="M282" i="1"/>
  <c r="L282" i="1"/>
  <c r="K282" i="1"/>
  <c r="J282" i="1"/>
  <c r="J288" i="1" s="1"/>
  <c r="I282" i="1"/>
  <c r="H282" i="1"/>
  <c r="G282" i="1"/>
  <c r="AN281" i="1"/>
  <c r="AM281" i="1"/>
  <c r="AL281" i="1"/>
  <c r="AK281" i="1"/>
  <c r="AJ281" i="1"/>
  <c r="AI281" i="1"/>
  <c r="AH281" i="1"/>
  <c r="AF281" i="1"/>
  <c r="Y281" i="1"/>
  <c r="X281" i="1"/>
  <c r="W281" i="1"/>
  <c r="W287" i="1" s="1"/>
  <c r="V281" i="1"/>
  <c r="U281" i="1"/>
  <c r="T281" i="1" s="1"/>
  <c r="S281" i="1"/>
  <c r="R281" i="1"/>
  <c r="Q281" i="1"/>
  <c r="Q287" i="1" s="1"/>
  <c r="P281" i="1"/>
  <c r="O281" i="1"/>
  <c r="O287" i="1" s="1"/>
  <c r="N281" i="1"/>
  <c r="M281" i="1"/>
  <c r="L281" i="1"/>
  <c r="L283" i="1" s="1"/>
  <c r="K281" i="1"/>
  <c r="J281" i="1"/>
  <c r="J290" i="1" s="1"/>
  <c r="I281" i="1"/>
  <c r="H281" i="1" s="1"/>
  <c r="F281" i="1" s="1"/>
  <c r="G281" i="1"/>
  <c r="AK280" i="1"/>
  <c r="J280" i="1"/>
  <c r="I280" i="1"/>
  <c r="G280" i="1"/>
  <c r="AK279" i="1"/>
  <c r="AI279" i="1"/>
  <c r="AF279" i="1"/>
  <c r="Y279" i="1"/>
  <c r="X279" i="1"/>
  <c r="W279" i="1"/>
  <c r="W280" i="1" s="1"/>
  <c r="V279" i="1"/>
  <c r="U279" i="1"/>
  <c r="S279" i="1"/>
  <c r="S280" i="1" s="1"/>
  <c r="R279" i="1"/>
  <c r="R280" i="1" s="1"/>
  <c r="Q279" i="1"/>
  <c r="Q280" i="1" s="1"/>
  <c r="P279" i="1"/>
  <c r="O279" i="1"/>
  <c r="M279" i="1"/>
  <c r="M280" i="1" s="1"/>
  <c r="L279" i="1"/>
  <c r="L280" i="1" s="1"/>
  <c r="K279" i="1"/>
  <c r="J279" i="1"/>
  <c r="I279" i="1"/>
  <c r="G279" i="1"/>
  <c r="AQ278" i="1"/>
  <c r="AL278" i="1"/>
  <c r="AL280" i="1" s="1"/>
  <c r="AK278" i="1"/>
  <c r="AI278" i="1"/>
  <c r="AG278" i="1"/>
  <c r="Y278" i="1"/>
  <c r="Y280" i="1" s="1"/>
  <c r="X278" i="1"/>
  <c r="W278" i="1"/>
  <c r="V278" i="1"/>
  <c r="V280" i="1" s="1"/>
  <c r="U278" i="1"/>
  <c r="S278" i="1"/>
  <c r="R278" i="1"/>
  <c r="Q278" i="1"/>
  <c r="P278" i="1"/>
  <c r="P280" i="1" s="1"/>
  <c r="O278" i="1"/>
  <c r="N278" i="1" s="1"/>
  <c r="M278" i="1"/>
  <c r="L278" i="1"/>
  <c r="K278" i="1"/>
  <c r="J278" i="1"/>
  <c r="I278" i="1"/>
  <c r="H278" i="1"/>
  <c r="G278" i="1"/>
  <c r="AQ277" i="1"/>
  <c r="AO277" i="1"/>
  <c r="Y277" i="1"/>
  <c r="U277" i="1"/>
  <c r="S277" i="1"/>
  <c r="R277" i="1"/>
  <c r="Q277" i="1"/>
  <c r="O277" i="1"/>
  <c r="M277" i="1"/>
  <c r="J277" i="1"/>
  <c r="AQ276" i="1"/>
  <c r="AP276" i="1"/>
  <c r="AM276" i="1"/>
  <c r="AH276" i="1"/>
  <c r="AG276" i="1"/>
  <c r="Y276" i="1"/>
  <c r="X276" i="1"/>
  <c r="W276" i="1"/>
  <c r="W277" i="1" s="1"/>
  <c r="V276" i="1"/>
  <c r="U276" i="1"/>
  <c r="T276" i="1" s="1"/>
  <c r="S276" i="1"/>
  <c r="R276" i="1"/>
  <c r="Q276" i="1"/>
  <c r="P276" i="1"/>
  <c r="O276" i="1"/>
  <c r="M276" i="1"/>
  <c r="L276" i="1"/>
  <c r="K276" i="1"/>
  <c r="J276" i="1"/>
  <c r="I276" i="1"/>
  <c r="G276" i="1"/>
  <c r="AQ275" i="1"/>
  <c r="AJ275" i="1"/>
  <c r="AI275" i="1"/>
  <c r="AH275" i="1"/>
  <c r="AG275" i="1"/>
  <c r="AF275" i="1"/>
  <c r="Y275" i="1"/>
  <c r="X275" i="1"/>
  <c r="W275" i="1"/>
  <c r="V275" i="1"/>
  <c r="U275" i="1"/>
  <c r="S275" i="1"/>
  <c r="R275" i="1"/>
  <c r="Q275" i="1"/>
  <c r="P275" i="1"/>
  <c r="O275" i="1"/>
  <c r="M275" i="1"/>
  <c r="L275" i="1"/>
  <c r="K275" i="1"/>
  <c r="J275" i="1"/>
  <c r="I275" i="1"/>
  <c r="G275" i="1"/>
  <c r="S274" i="1"/>
  <c r="R274" i="1"/>
  <c r="Q274" i="1"/>
  <c r="P274" i="1"/>
  <c r="O274" i="1"/>
  <c r="M274" i="1"/>
  <c r="L274" i="1"/>
  <c r="J274" i="1"/>
  <c r="I274" i="1"/>
  <c r="AN273" i="1"/>
  <c r="AI273" i="1"/>
  <c r="Y273" i="1"/>
  <c r="X273" i="1"/>
  <c r="W273" i="1"/>
  <c r="V273" i="1"/>
  <c r="U273" i="1"/>
  <c r="S273" i="1"/>
  <c r="R273" i="1"/>
  <c r="Q273" i="1"/>
  <c r="P273" i="1"/>
  <c r="O273" i="1"/>
  <c r="M273" i="1"/>
  <c r="L273" i="1"/>
  <c r="K273" i="1"/>
  <c r="J273" i="1"/>
  <c r="I273" i="1"/>
  <c r="H273" i="1"/>
  <c r="G273" i="1"/>
  <c r="AL272" i="1"/>
  <c r="AK272" i="1"/>
  <c r="AI272" i="1"/>
  <c r="AG272" i="1"/>
  <c r="AE272" i="1"/>
  <c r="Y272" i="1"/>
  <c r="X272" i="1"/>
  <c r="W272" i="1"/>
  <c r="V272" i="1"/>
  <c r="U272" i="1"/>
  <c r="S272" i="1"/>
  <c r="R272" i="1"/>
  <c r="Q272" i="1"/>
  <c r="P272" i="1"/>
  <c r="O272" i="1"/>
  <c r="M272" i="1"/>
  <c r="L272" i="1"/>
  <c r="K272" i="1"/>
  <c r="J272" i="1"/>
  <c r="I272" i="1"/>
  <c r="H272" i="1"/>
  <c r="G272" i="1"/>
  <c r="U271" i="1"/>
  <c r="R271" i="1"/>
  <c r="P271" i="1"/>
  <c r="M271" i="1"/>
  <c r="L271" i="1"/>
  <c r="I271" i="1"/>
  <c r="H271" i="1"/>
  <c r="AQ270" i="1"/>
  <c r="AP270" i="1"/>
  <c r="AI270" i="1"/>
  <c r="Y270" i="1"/>
  <c r="X270" i="1"/>
  <c r="W270" i="1"/>
  <c r="V270" i="1"/>
  <c r="U270" i="1"/>
  <c r="T270" i="1"/>
  <c r="S270" i="1"/>
  <c r="R270" i="1"/>
  <c r="Q270" i="1"/>
  <c r="P270" i="1"/>
  <c r="O270" i="1"/>
  <c r="M270" i="1"/>
  <c r="L270" i="1"/>
  <c r="K270" i="1"/>
  <c r="J270" i="1"/>
  <c r="I270" i="1"/>
  <c r="G270" i="1"/>
  <c r="AQ269" i="1"/>
  <c r="AP269" i="1"/>
  <c r="AO269" i="1"/>
  <c r="AM269" i="1"/>
  <c r="AL269" i="1"/>
  <c r="AJ269" i="1"/>
  <c r="Y269" i="1"/>
  <c r="X269" i="1"/>
  <c r="W269" i="1"/>
  <c r="V269" i="1"/>
  <c r="U269" i="1"/>
  <c r="S269" i="1"/>
  <c r="R269" i="1"/>
  <c r="Q269" i="1"/>
  <c r="P269" i="1"/>
  <c r="O269" i="1"/>
  <c r="M269" i="1"/>
  <c r="L269" i="1"/>
  <c r="K269" i="1"/>
  <c r="J269" i="1"/>
  <c r="I269" i="1"/>
  <c r="G269" i="1"/>
  <c r="AQ268" i="1"/>
  <c r="AM268" i="1"/>
  <c r="AK268" i="1"/>
  <c r="AK271" i="1" s="1"/>
  <c r="AJ268" i="1"/>
  <c r="AI268" i="1"/>
  <c r="AG268" i="1"/>
  <c r="Y268" i="1"/>
  <c r="X268" i="1"/>
  <c r="W268" i="1"/>
  <c r="V268" i="1"/>
  <c r="U268" i="1"/>
  <c r="S268" i="1"/>
  <c r="R268" i="1"/>
  <c r="Q268" i="1"/>
  <c r="P268" i="1"/>
  <c r="O268" i="1"/>
  <c r="O271" i="1" s="1"/>
  <c r="M268" i="1"/>
  <c r="L268" i="1"/>
  <c r="K268" i="1"/>
  <c r="J268" i="1"/>
  <c r="J271" i="1" s="1"/>
  <c r="I268" i="1"/>
  <c r="H268" i="1"/>
  <c r="G268" i="1"/>
  <c r="AQ267" i="1"/>
  <c r="AP267" i="1"/>
  <c r="AO267" i="1"/>
  <c r="AN267" i="1"/>
  <c r="AN270" i="1" s="1"/>
  <c r="AM267" i="1"/>
  <c r="AL267" i="1"/>
  <c r="AK267" i="1"/>
  <c r="AK270" i="1" s="1"/>
  <c r="AJ267" i="1"/>
  <c r="AJ270" i="1" s="1"/>
  <c r="AI267" i="1"/>
  <c r="AH267" i="1"/>
  <c r="AG267" i="1"/>
  <c r="AF267" i="1"/>
  <c r="AF273" i="1" s="1"/>
  <c r="AE267" i="1"/>
  <c r="AE273" i="1" s="1"/>
  <c r="T267" i="1"/>
  <c r="N267" i="1"/>
  <c r="F267" i="1" s="1"/>
  <c r="AQ266" i="1"/>
  <c r="AP266" i="1"/>
  <c r="AO266" i="1"/>
  <c r="AO272" i="1" s="1"/>
  <c r="AN266" i="1"/>
  <c r="AM266" i="1"/>
  <c r="AL266" i="1"/>
  <c r="AK266" i="1"/>
  <c r="AK269" i="1" s="1"/>
  <c r="AJ266" i="1"/>
  <c r="AJ272" i="1" s="1"/>
  <c r="AI266" i="1"/>
  <c r="AI269" i="1" s="1"/>
  <c r="AH266" i="1"/>
  <c r="AG266" i="1"/>
  <c r="AG269" i="1" s="1"/>
  <c r="AF266" i="1"/>
  <c r="AE266" i="1"/>
  <c r="T266" i="1"/>
  <c r="N266" i="1"/>
  <c r="F266" i="1" s="1"/>
  <c r="AI265" i="1"/>
  <c r="AH265" i="1"/>
  <c r="AF265" i="1"/>
  <c r="Y265" i="1"/>
  <c r="X265" i="1"/>
  <c r="W265" i="1"/>
  <c r="V265" i="1"/>
  <c r="U265" i="1"/>
  <c r="S265" i="1"/>
  <c r="R265" i="1"/>
  <c r="Q265" i="1"/>
  <c r="Q271" i="1" s="1"/>
  <c r="P265" i="1"/>
  <c r="O265" i="1"/>
  <c r="M265" i="1"/>
  <c r="L265" i="1"/>
  <c r="K265" i="1"/>
  <c r="K271" i="1" s="1"/>
  <c r="J265" i="1"/>
  <c r="I265" i="1"/>
  <c r="H265" i="1"/>
  <c r="G265" i="1"/>
  <c r="AQ264" i="1"/>
  <c r="AP264" i="1"/>
  <c r="AO264" i="1"/>
  <c r="AN264" i="1"/>
  <c r="AM264" i="1"/>
  <c r="AL264" i="1"/>
  <c r="AK264" i="1"/>
  <c r="AK265" i="1" s="1"/>
  <c r="AJ264" i="1"/>
  <c r="AI264" i="1"/>
  <c r="AH264" i="1"/>
  <c r="AG264" i="1"/>
  <c r="AG228" i="1" s="1"/>
  <c r="AG229" i="1" s="1"/>
  <c r="AF264" i="1"/>
  <c r="AE264" i="1"/>
  <c r="T264" i="1"/>
  <c r="N264" i="1"/>
  <c r="H264" i="1"/>
  <c r="H270" i="1" s="1"/>
  <c r="AQ263" i="1"/>
  <c r="AP263" i="1"/>
  <c r="AP155" i="1" s="1"/>
  <c r="AO263" i="1"/>
  <c r="AN263" i="1"/>
  <c r="AM263" i="1"/>
  <c r="AL263" i="1"/>
  <c r="AK263" i="1"/>
  <c r="AJ263" i="1"/>
  <c r="AJ265" i="1" s="1"/>
  <c r="AI263" i="1"/>
  <c r="AH263" i="1"/>
  <c r="AH227" i="1" s="1"/>
  <c r="AG263" i="1"/>
  <c r="AF263" i="1"/>
  <c r="AF227" i="1" s="1"/>
  <c r="AE263" i="1"/>
  <c r="T263" i="1"/>
  <c r="F263" i="1" s="1"/>
  <c r="N263" i="1"/>
  <c r="H263" i="1"/>
  <c r="H269" i="1" s="1"/>
  <c r="AN262" i="1"/>
  <c r="AM262" i="1"/>
  <c r="AJ262" i="1"/>
  <c r="AH262" i="1"/>
  <c r="Y262" i="1"/>
  <c r="X262" i="1"/>
  <c r="W262" i="1"/>
  <c r="V262" i="1"/>
  <c r="U262" i="1"/>
  <c r="S262" i="1"/>
  <c r="R262" i="1"/>
  <c r="Q262" i="1"/>
  <c r="P262" i="1"/>
  <c r="O262" i="1"/>
  <c r="M262" i="1"/>
  <c r="L262" i="1"/>
  <c r="K262" i="1"/>
  <c r="J262" i="1"/>
  <c r="I262" i="1"/>
  <c r="G262" i="1"/>
  <c r="AQ261" i="1"/>
  <c r="AP261" i="1"/>
  <c r="AO261" i="1"/>
  <c r="AN261" i="1"/>
  <c r="AM261" i="1"/>
  <c r="AL261" i="1"/>
  <c r="AK261" i="1"/>
  <c r="AK262" i="1" s="1"/>
  <c r="AJ261" i="1"/>
  <c r="AI261" i="1"/>
  <c r="AH261" i="1"/>
  <c r="AG261" i="1"/>
  <c r="AF261" i="1"/>
  <c r="AF262" i="1" s="1"/>
  <c r="AE261" i="1"/>
  <c r="T261" i="1"/>
  <c r="T262" i="1" s="1"/>
  <c r="N261" i="1"/>
  <c r="H261" i="1"/>
  <c r="F261" i="1" s="1"/>
  <c r="F262" i="1" s="1"/>
  <c r="AQ260" i="1"/>
  <c r="AE260" i="1" s="1"/>
  <c r="AP260" i="1"/>
  <c r="AO260" i="1"/>
  <c r="AN260" i="1"/>
  <c r="AN224" i="1" s="1"/>
  <c r="AM260" i="1"/>
  <c r="AL260" i="1"/>
  <c r="AK260" i="1"/>
  <c r="AK224" i="1" s="1"/>
  <c r="AJ260" i="1"/>
  <c r="AI260" i="1"/>
  <c r="AH260" i="1"/>
  <c r="AG260" i="1"/>
  <c r="AF260" i="1"/>
  <c r="T260" i="1"/>
  <c r="N260" i="1"/>
  <c r="H260" i="1"/>
  <c r="F260" i="1"/>
  <c r="AQ259" i="1"/>
  <c r="AP259" i="1"/>
  <c r="Y259" i="1"/>
  <c r="X259" i="1"/>
  <c r="W259" i="1"/>
  <c r="V259" i="1"/>
  <c r="U259" i="1"/>
  <c r="T259" i="1"/>
  <c r="S259" i="1"/>
  <c r="R259" i="1"/>
  <c r="Q259" i="1"/>
  <c r="P259" i="1"/>
  <c r="O259" i="1"/>
  <c r="M259" i="1"/>
  <c r="L259" i="1"/>
  <c r="K259" i="1"/>
  <c r="J259" i="1"/>
  <c r="I259" i="1"/>
  <c r="G259" i="1"/>
  <c r="AQ258" i="1"/>
  <c r="AP258" i="1"/>
  <c r="AO258" i="1"/>
  <c r="AO259" i="1" s="1"/>
  <c r="AN258" i="1"/>
  <c r="AN222" i="1" s="1"/>
  <c r="AN223" i="1" s="1"/>
  <c r="AM258" i="1"/>
  <c r="AL258" i="1"/>
  <c r="AK258" i="1"/>
  <c r="AJ258" i="1"/>
  <c r="AI258" i="1"/>
  <c r="AH258" i="1"/>
  <c r="AG258" i="1"/>
  <c r="AF258" i="1"/>
  <c r="T258" i="1"/>
  <c r="N258" i="1"/>
  <c r="H258" i="1"/>
  <c r="F258" i="1"/>
  <c r="F259" i="1" s="1"/>
  <c r="AQ257" i="1"/>
  <c r="AQ149" i="1" s="1"/>
  <c r="AP257" i="1"/>
  <c r="AO257" i="1"/>
  <c r="AN257" i="1"/>
  <c r="AM257" i="1"/>
  <c r="AL257" i="1"/>
  <c r="AK257" i="1"/>
  <c r="AJ257" i="1"/>
  <c r="AI257" i="1"/>
  <c r="AH257" i="1"/>
  <c r="AG257" i="1"/>
  <c r="AG259" i="1" s="1"/>
  <c r="AF257" i="1"/>
  <c r="T257" i="1"/>
  <c r="N257" i="1"/>
  <c r="H257" i="1"/>
  <c r="F257" i="1"/>
  <c r="AO256" i="1"/>
  <c r="AN256" i="1"/>
  <c r="R256" i="1"/>
  <c r="Q256" i="1"/>
  <c r="M256" i="1"/>
  <c r="AQ255" i="1"/>
  <c r="AP255" i="1"/>
  <c r="AO255" i="1"/>
  <c r="AN255" i="1"/>
  <c r="AI255" i="1"/>
  <c r="AF255" i="1"/>
  <c r="Y255" i="1"/>
  <c r="X255" i="1"/>
  <c r="W255" i="1"/>
  <c r="V255" i="1"/>
  <c r="U255" i="1"/>
  <c r="S255" i="1"/>
  <c r="R255" i="1"/>
  <c r="Q255" i="1"/>
  <c r="P255" i="1"/>
  <c r="O255" i="1"/>
  <c r="M255" i="1"/>
  <c r="L255" i="1"/>
  <c r="K255" i="1"/>
  <c r="J255" i="1"/>
  <c r="I255" i="1"/>
  <c r="G255" i="1"/>
  <c r="AP254" i="1"/>
  <c r="AO254" i="1"/>
  <c r="AN254" i="1"/>
  <c r="AL254" i="1"/>
  <c r="AJ254" i="1"/>
  <c r="Y254" i="1"/>
  <c r="X254" i="1"/>
  <c r="W254" i="1"/>
  <c r="V254" i="1"/>
  <c r="U254" i="1"/>
  <c r="S254" i="1"/>
  <c r="R254" i="1"/>
  <c r="Q254" i="1"/>
  <c r="P254" i="1"/>
  <c r="O254" i="1"/>
  <c r="M254" i="1"/>
  <c r="L254" i="1"/>
  <c r="K254" i="1"/>
  <c r="J254" i="1"/>
  <c r="I254" i="1"/>
  <c r="G254" i="1"/>
  <c r="AN253" i="1"/>
  <c r="AJ253" i="1"/>
  <c r="Q253" i="1"/>
  <c r="P253" i="1"/>
  <c r="M253" i="1"/>
  <c r="K253" i="1"/>
  <c r="J253" i="1"/>
  <c r="I253" i="1"/>
  <c r="H253" i="1"/>
  <c r="AQ252" i="1"/>
  <c r="AO252" i="1"/>
  <c r="AL252" i="1"/>
  <c r="Y252" i="1"/>
  <c r="X252" i="1"/>
  <c r="W252" i="1"/>
  <c r="V252" i="1"/>
  <c r="U252" i="1"/>
  <c r="T252" i="1"/>
  <c r="S252" i="1"/>
  <c r="R252" i="1"/>
  <c r="Q252" i="1"/>
  <c r="P252" i="1"/>
  <c r="O252" i="1"/>
  <c r="M252" i="1"/>
  <c r="L252" i="1"/>
  <c r="K252" i="1"/>
  <c r="J252" i="1"/>
  <c r="I252" i="1"/>
  <c r="H252" i="1"/>
  <c r="G252" i="1"/>
  <c r="AQ251" i="1"/>
  <c r="AP251" i="1"/>
  <c r="AO251" i="1"/>
  <c r="AN251" i="1"/>
  <c r="AL251" i="1"/>
  <c r="AJ251" i="1"/>
  <c r="Y251" i="1"/>
  <c r="X251" i="1"/>
  <c r="W251" i="1"/>
  <c r="V251" i="1"/>
  <c r="U251" i="1"/>
  <c r="S251" i="1"/>
  <c r="R251" i="1"/>
  <c r="Q251" i="1"/>
  <c r="P251" i="1"/>
  <c r="O251" i="1"/>
  <c r="M251" i="1"/>
  <c r="L251" i="1"/>
  <c r="K251" i="1"/>
  <c r="J251" i="1"/>
  <c r="I251" i="1"/>
  <c r="G251" i="1"/>
  <c r="AQ250" i="1"/>
  <c r="AP250" i="1"/>
  <c r="AO250" i="1"/>
  <c r="AO253" i="1" s="1"/>
  <c r="AN250" i="1"/>
  <c r="AK250" i="1"/>
  <c r="AJ250" i="1"/>
  <c r="AH250" i="1"/>
  <c r="AF250" i="1"/>
  <c r="Y250" i="1"/>
  <c r="X250" i="1"/>
  <c r="X253" i="1" s="1"/>
  <c r="W250" i="1"/>
  <c r="V250" i="1"/>
  <c r="U250" i="1"/>
  <c r="U256" i="1" s="1"/>
  <c r="S250" i="1"/>
  <c r="R250" i="1"/>
  <c r="R253" i="1" s="1"/>
  <c r="Q250" i="1"/>
  <c r="P250" i="1"/>
  <c r="P256" i="1" s="1"/>
  <c r="O250" i="1"/>
  <c r="O253" i="1" s="1"/>
  <c r="L250" i="1"/>
  <c r="K250" i="1"/>
  <c r="J250" i="1"/>
  <c r="J256" i="1" s="1"/>
  <c r="I250" i="1"/>
  <c r="I256" i="1" s="1"/>
  <c r="H250" i="1"/>
  <c r="H256" i="1" s="1"/>
  <c r="G250" i="1"/>
  <c r="G256" i="1" s="1"/>
  <c r="F250" i="1"/>
  <c r="F256" i="1" s="1"/>
  <c r="AQ249" i="1"/>
  <c r="AP249" i="1"/>
  <c r="AO249" i="1"/>
  <c r="AN249" i="1"/>
  <c r="AN252" i="1" s="1"/>
  <c r="AM249" i="1"/>
  <c r="AL249" i="1"/>
  <c r="AL250" i="1" s="1"/>
  <c r="AK249" i="1"/>
  <c r="AJ249" i="1"/>
  <c r="AI249" i="1"/>
  <c r="AI252" i="1" s="1"/>
  <c r="AH249" i="1"/>
  <c r="AG249" i="1"/>
  <c r="AF249" i="1"/>
  <c r="AF231" i="1" s="1"/>
  <c r="T249" i="1"/>
  <c r="T250" i="1" s="1"/>
  <c r="N249" i="1"/>
  <c r="F249" i="1"/>
  <c r="AQ248" i="1"/>
  <c r="AP248" i="1"/>
  <c r="AO248" i="1"/>
  <c r="AN248" i="1"/>
  <c r="AM248" i="1"/>
  <c r="AL248" i="1"/>
  <c r="AK248" i="1"/>
  <c r="AJ248" i="1"/>
  <c r="AJ230" i="1" s="1"/>
  <c r="AI248" i="1"/>
  <c r="AH248" i="1"/>
  <c r="AG248" i="1"/>
  <c r="AG251" i="1" s="1"/>
  <c r="AF248" i="1"/>
  <c r="T248" i="1"/>
  <c r="T254" i="1" s="1"/>
  <c r="N248" i="1"/>
  <c r="F248" i="1"/>
  <c r="F251" i="1" s="1"/>
  <c r="AO247" i="1"/>
  <c r="AN247" i="1"/>
  <c r="AM247" i="1"/>
  <c r="AJ247" i="1"/>
  <c r="Y247" i="1"/>
  <c r="X247" i="1"/>
  <c r="W247" i="1"/>
  <c r="W253" i="1" s="1"/>
  <c r="V247" i="1"/>
  <c r="U247" i="1"/>
  <c r="T247" i="1"/>
  <c r="S247" i="1"/>
  <c r="R247" i="1"/>
  <c r="Q247" i="1"/>
  <c r="P247" i="1"/>
  <c r="O247" i="1"/>
  <c r="M247" i="1"/>
  <c r="L247" i="1"/>
  <c r="L256" i="1" s="1"/>
  <c r="K247" i="1"/>
  <c r="J247" i="1"/>
  <c r="I247" i="1"/>
  <c r="G247" i="1"/>
  <c r="AQ246" i="1"/>
  <c r="AP246" i="1"/>
  <c r="AO246" i="1"/>
  <c r="AN246" i="1"/>
  <c r="AM246" i="1"/>
  <c r="AL246" i="1"/>
  <c r="AK246" i="1"/>
  <c r="AJ246" i="1"/>
  <c r="AI246" i="1"/>
  <c r="AH246" i="1"/>
  <c r="AH255" i="1" s="1"/>
  <c r="AG246" i="1"/>
  <c r="AF246" i="1"/>
  <c r="T246" i="1"/>
  <c r="N246" i="1"/>
  <c r="H246" i="1"/>
  <c r="H247" i="1" s="1"/>
  <c r="F246" i="1"/>
  <c r="F247" i="1" s="1"/>
  <c r="AQ245" i="1"/>
  <c r="AP245" i="1"/>
  <c r="AO245" i="1"/>
  <c r="AN245" i="1"/>
  <c r="AM245" i="1"/>
  <c r="AL245" i="1"/>
  <c r="AL227" i="1" s="1"/>
  <c r="AK245" i="1"/>
  <c r="AK227" i="1" s="1"/>
  <c r="AK236" i="1" s="1"/>
  <c r="AJ245" i="1"/>
  <c r="AI245" i="1"/>
  <c r="AH245" i="1"/>
  <c r="AG245" i="1"/>
  <c r="AG254" i="1" s="1"/>
  <c r="AF245" i="1"/>
  <c r="T245" i="1"/>
  <c r="N245" i="1"/>
  <c r="H245" i="1"/>
  <c r="F245" i="1"/>
  <c r="AN244" i="1"/>
  <c r="AM244" i="1"/>
  <c r="Y244" i="1"/>
  <c r="X244" i="1"/>
  <c r="W244" i="1"/>
  <c r="V244" i="1"/>
  <c r="U244" i="1"/>
  <c r="S244" i="1"/>
  <c r="R244" i="1"/>
  <c r="Q244" i="1"/>
  <c r="P244" i="1"/>
  <c r="O244" i="1"/>
  <c r="M244" i="1"/>
  <c r="L244" i="1"/>
  <c r="K244" i="1"/>
  <c r="J244" i="1"/>
  <c r="I244" i="1"/>
  <c r="G244" i="1"/>
  <c r="AQ243" i="1"/>
  <c r="AP243" i="1"/>
  <c r="AO243" i="1"/>
  <c r="AO244" i="1" s="1"/>
  <c r="AN243" i="1"/>
  <c r="AM243" i="1"/>
  <c r="AL243" i="1"/>
  <c r="AL225" i="1" s="1"/>
  <c r="AK243" i="1"/>
  <c r="AJ243" i="1"/>
  <c r="AJ244" i="1" s="1"/>
  <c r="AI243" i="1"/>
  <c r="AI244" i="1" s="1"/>
  <c r="AH243" i="1"/>
  <c r="AG243" i="1"/>
  <c r="AF243" i="1"/>
  <c r="T243" i="1"/>
  <c r="N243" i="1"/>
  <c r="H243" i="1"/>
  <c r="H244" i="1" s="1"/>
  <c r="F243" i="1"/>
  <c r="F244" i="1" s="1"/>
  <c r="AQ242" i="1"/>
  <c r="AP242" i="1"/>
  <c r="AO242" i="1"/>
  <c r="AN242" i="1"/>
  <c r="AM242" i="1"/>
  <c r="AL242" i="1"/>
  <c r="AL244" i="1" s="1"/>
  <c r="AK242" i="1"/>
  <c r="AJ242" i="1"/>
  <c r="AJ224" i="1" s="1"/>
  <c r="AI242" i="1"/>
  <c r="AH242" i="1"/>
  <c r="AG242" i="1"/>
  <c r="AG244" i="1" s="1"/>
  <c r="AF242" i="1"/>
  <c r="AF244" i="1" s="1"/>
  <c r="T242" i="1"/>
  <c r="N242" i="1"/>
  <c r="H242" i="1"/>
  <c r="F242" i="1" s="1"/>
  <c r="AQ241" i="1"/>
  <c r="AP241" i="1"/>
  <c r="AL241" i="1"/>
  <c r="AH241" i="1"/>
  <c r="AG241" i="1"/>
  <c r="Y241" i="1"/>
  <c r="X241" i="1"/>
  <c r="W241" i="1"/>
  <c r="V241" i="1"/>
  <c r="U241" i="1"/>
  <c r="T241" i="1"/>
  <c r="S241" i="1"/>
  <c r="R241" i="1"/>
  <c r="Q241" i="1"/>
  <c r="P241" i="1"/>
  <c r="O241" i="1"/>
  <c r="M241" i="1"/>
  <c r="L241" i="1"/>
  <c r="K241" i="1"/>
  <c r="J241" i="1"/>
  <c r="I241" i="1"/>
  <c r="G241" i="1"/>
  <c r="AQ240" i="1"/>
  <c r="AQ222" i="1" s="1"/>
  <c r="AP240" i="1"/>
  <c r="AO240" i="1"/>
  <c r="AN240" i="1"/>
  <c r="AM240" i="1"/>
  <c r="AL240" i="1"/>
  <c r="AK240" i="1"/>
  <c r="AK241" i="1" s="1"/>
  <c r="AJ240" i="1"/>
  <c r="AI240" i="1"/>
  <c r="AH240" i="1"/>
  <c r="AG240" i="1"/>
  <c r="AF240" i="1"/>
  <c r="AF241" i="1" s="1"/>
  <c r="T240" i="1"/>
  <c r="N240" i="1"/>
  <c r="H240" i="1"/>
  <c r="H241" i="1" s="1"/>
  <c r="F240" i="1"/>
  <c r="F241" i="1" s="1"/>
  <c r="AQ239" i="1"/>
  <c r="AQ221" i="1" s="1"/>
  <c r="AP239" i="1"/>
  <c r="AP221" i="1" s="1"/>
  <c r="AO239" i="1"/>
  <c r="AO131" i="1" s="1"/>
  <c r="AN239" i="1"/>
  <c r="AM239" i="1"/>
  <c r="AL239" i="1"/>
  <c r="AK239" i="1"/>
  <c r="AJ239" i="1"/>
  <c r="AJ241" i="1" s="1"/>
  <c r="AI239" i="1"/>
  <c r="AH239" i="1"/>
  <c r="AG239" i="1"/>
  <c r="AF239" i="1"/>
  <c r="T239" i="1"/>
  <c r="N239" i="1"/>
  <c r="N241" i="1" s="1"/>
  <c r="H239" i="1"/>
  <c r="F239" i="1"/>
  <c r="AI237" i="1"/>
  <c r="Y237" i="1"/>
  <c r="X237" i="1"/>
  <c r="P237" i="1"/>
  <c r="I237" i="1"/>
  <c r="Y236" i="1"/>
  <c r="R236" i="1"/>
  <c r="Q236" i="1"/>
  <c r="O236" i="1"/>
  <c r="M236" i="1"/>
  <c r="K236" i="1"/>
  <c r="J236" i="1"/>
  <c r="I236" i="1"/>
  <c r="H236" i="1"/>
  <c r="R235" i="1"/>
  <c r="AN234" i="1"/>
  <c r="X234" i="1"/>
  <c r="W234" i="1"/>
  <c r="R234" i="1"/>
  <c r="Q234" i="1"/>
  <c r="P234" i="1"/>
  <c r="O234" i="1"/>
  <c r="L234" i="1"/>
  <c r="I234" i="1"/>
  <c r="AG233" i="1"/>
  <c r="Y233" i="1"/>
  <c r="R233" i="1"/>
  <c r="Q233" i="1"/>
  <c r="P233" i="1"/>
  <c r="I233" i="1"/>
  <c r="AI232" i="1"/>
  <c r="Y232" i="1"/>
  <c r="S232" i="1"/>
  <c r="O232" i="1"/>
  <c r="M232" i="1"/>
  <c r="L232" i="1"/>
  <c r="AQ231" i="1"/>
  <c r="AQ232" i="1" s="1"/>
  <c r="AP231" i="1"/>
  <c r="AP232" i="1" s="1"/>
  <c r="AO231" i="1"/>
  <c r="AN231" i="1"/>
  <c r="AN237" i="1" s="1"/>
  <c r="AI231" i="1"/>
  <c r="AH231" i="1"/>
  <c r="AG231" i="1"/>
  <c r="Y231" i="1"/>
  <c r="X231" i="1"/>
  <c r="W231" i="1"/>
  <c r="V231" i="1"/>
  <c r="U231" i="1"/>
  <c r="T231" i="1"/>
  <c r="S231" i="1"/>
  <c r="S234" i="1" s="1"/>
  <c r="R231" i="1"/>
  <c r="R232" i="1" s="1"/>
  <c r="Q231" i="1"/>
  <c r="P231" i="1"/>
  <c r="O231" i="1"/>
  <c r="M231" i="1"/>
  <c r="L231" i="1"/>
  <c r="L237" i="1" s="1"/>
  <c r="K231" i="1"/>
  <c r="J231" i="1"/>
  <c r="I231" i="1"/>
  <c r="I232" i="1" s="1"/>
  <c r="H231" i="1"/>
  <c r="G231" i="1"/>
  <c r="G237" i="1" s="1"/>
  <c r="AQ230" i="1"/>
  <c r="AP230" i="1"/>
  <c r="AO230" i="1"/>
  <c r="AN230" i="1"/>
  <c r="AL230" i="1"/>
  <c r="AK230" i="1"/>
  <c r="AI230" i="1"/>
  <c r="AG230" i="1"/>
  <c r="Y230" i="1"/>
  <c r="X230" i="1"/>
  <c r="X236" i="1" s="1"/>
  <c r="W230" i="1"/>
  <c r="V230" i="1"/>
  <c r="U230" i="1"/>
  <c r="U236" i="1" s="1"/>
  <c r="T230" i="1"/>
  <c r="S230" i="1"/>
  <c r="R230" i="1"/>
  <c r="Q230" i="1"/>
  <c r="Q232" i="1" s="1"/>
  <c r="P230" i="1"/>
  <c r="P236" i="1" s="1"/>
  <c r="O230" i="1"/>
  <c r="O233" i="1" s="1"/>
  <c r="N230" i="1"/>
  <c r="M230" i="1"/>
  <c r="L230" i="1"/>
  <c r="K230" i="1"/>
  <c r="J230" i="1"/>
  <c r="I230" i="1"/>
  <c r="H230" i="1"/>
  <c r="H233" i="1" s="1"/>
  <c r="G230" i="1"/>
  <c r="W229" i="1"/>
  <c r="V229" i="1"/>
  <c r="U229" i="1"/>
  <c r="R229" i="1"/>
  <c r="Q229" i="1"/>
  <c r="P229" i="1"/>
  <c r="O229" i="1"/>
  <c r="M229" i="1"/>
  <c r="I229" i="1"/>
  <c r="G229" i="1"/>
  <c r="AN228" i="1"/>
  <c r="AM228" i="1"/>
  <c r="AL228" i="1"/>
  <c r="AL229" i="1" s="1"/>
  <c r="AK228" i="1"/>
  <c r="AK229" i="1" s="1"/>
  <c r="AJ228" i="1"/>
  <c r="AJ229" i="1" s="1"/>
  <c r="AI228" i="1"/>
  <c r="AF228" i="1"/>
  <c r="Y228" i="1"/>
  <c r="X228" i="1"/>
  <c r="W228" i="1"/>
  <c r="V228" i="1"/>
  <c r="U228" i="1"/>
  <c r="S228" i="1"/>
  <c r="R228" i="1"/>
  <c r="Q228" i="1"/>
  <c r="Q237" i="1" s="1"/>
  <c r="P228" i="1"/>
  <c r="O228" i="1"/>
  <c r="N228" i="1"/>
  <c r="M228" i="1"/>
  <c r="M237" i="1" s="1"/>
  <c r="L228" i="1"/>
  <c r="L229" i="1" s="1"/>
  <c r="L238" i="1" s="1"/>
  <c r="K228" i="1"/>
  <c r="J228" i="1"/>
  <c r="J229" i="1" s="1"/>
  <c r="I228" i="1"/>
  <c r="H228" i="1"/>
  <c r="G228" i="1"/>
  <c r="AO227" i="1"/>
  <c r="AO236" i="1" s="1"/>
  <c r="AJ227" i="1"/>
  <c r="AG227" i="1"/>
  <c r="Y227" i="1"/>
  <c r="X227" i="1"/>
  <c r="X229" i="1" s="1"/>
  <c r="W227" i="1"/>
  <c r="V227" i="1"/>
  <c r="U227" i="1"/>
  <c r="T227" i="1"/>
  <c r="S227" i="1"/>
  <c r="N227" i="1" s="1"/>
  <c r="N229" i="1" s="1"/>
  <c r="R227" i="1"/>
  <c r="Q227" i="1"/>
  <c r="P227" i="1"/>
  <c r="O227" i="1"/>
  <c r="M227" i="1"/>
  <c r="M233" i="1" s="1"/>
  <c r="L227" i="1"/>
  <c r="K227" i="1"/>
  <c r="K233" i="1" s="1"/>
  <c r="J227" i="1"/>
  <c r="I227" i="1"/>
  <c r="H227" i="1"/>
  <c r="G227" i="1"/>
  <c r="AN226" i="1"/>
  <c r="AM226" i="1"/>
  <c r="AL226" i="1"/>
  <c r="AG226" i="1"/>
  <c r="X226" i="1"/>
  <c r="U226" i="1"/>
  <c r="Q226" i="1"/>
  <c r="P226" i="1"/>
  <c r="L226" i="1"/>
  <c r="AP225" i="1"/>
  <c r="AN225" i="1"/>
  <c r="AM225" i="1"/>
  <c r="AJ225" i="1"/>
  <c r="AJ226" i="1" s="1"/>
  <c r="AI225" i="1"/>
  <c r="AH225" i="1"/>
  <c r="AG225" i="1"/>
  <c r="AF225" i="1"/>
  <c r="Y225" i="1"/>
  <c r="X225" i="1"/>
  <c r="W225" i="1"/>
  <c r="V225" i="1"/>
  <c r="U225" i="1"/>
  <c r="S225" i="1"/>
  <c r="S226" i="1" s="1"/>
  <c r="R225" i="1"/>
  <c r="R226" i="1" s="1"/>
  <c r="Q225" i="1"/>
  <c r="P225" i="1"/>
  <c r="O225" i="1"/>
  <c r="O226" i="1" s="1"/>
  <c r="N225" i="1"/>
  <c r="N226" i="1" s="1"/>
  <c r="M225" i="1"/>
  <c r="M226" i="1" s="1"/>
  <c r="L225" i="1"/>
  <c r="K225" i="1"/>
  <c r="J225" i="1"/>
  <c r="I225" i="1"/>
  <c r="G225" i="1"/>
  <c r="AM224" i="1"/>
  <c r="AL224" i="1"/>
  <c r="AI224" i="1"/>
  <c r="AH224" i="1"/>
  <c r="AG224" i="1"/>
  <c r="AF224" i="1"/>
  <c r="AF226" i="1" s="1"/>
  <c r="Y224" i="1"/>
  <c r="X224" i="1"/>
  <c r="W224" i="1"/>
  <c r="W226" i="1" s="1"/>
  <c r="V224" i="1"/>
  <c r="U224" i="1"/>
  <c r="S224" i="1"/>
  <c r="R224" i="1"/>
  <c r="Q224" i="1"/>
  <c r="P224" i="1"/>
  <c r="O224" i="1"/>
  <c r="N224" i="1"/>
  <c r="M224" i="1"/>
  <c r="L224" i="1"/>
  <c r="K224" i="1"/>
  <c r="J224" i="1"/>
  <c r="I224" i="1"/>
  <c r="G224" i="1"/>
  <c r="AQ223" i="1"/>
  <c r="AP223" i="1"/>
  <c r="AO223" i="1"/>
  <c r="W223" i="1"/>
  <c r="U223" i="1"/>
  <c r="Q223" i="1"/>
  <c r="P223" i="1"/>
  <c r="O223" i="1"/>
  <c r="AP222" i="1"/>
  <c r="AO222" i="1"/>
  <c r="AK222" i="1"/>
  <c r="AG222" i="1"/>
  <c r="AG223" i="1" s="1"/>
  <c r="AF222" i="1"/>
  <c r="Y222" i="1"/>
  <c r="X222" i="1"/>
  <c r="X223" i="1" s="1"/>
  <c r="W222" i="1"/>
  <c r="V222" i="1"/>
  <c r="V223" i="1" s="1"/>
  <c r="U222" i="1"/>
  <c r="T222" i="1"/>
  <c r="T223" i="1" s="1"/>
  <c r="S222" i="1"/>
  <c r="S223" i="1" s="1"/>
  <c r="R222" i="1"/>
  <c r="Q222" i="1"/>
  <c r="P222" i="1"/>
  <c r="O222" i="1"/>
  <c r="M222" i="1"/>
  <c r="L222" i="1"/>
  <c r="L223" i="1" s="1"/>
  <c r="K222" i="1"/>
  <c r="J222" i="1"/>
  <c r="I222" i="1"/>
  <c r="G222" i="1"/>
  <c r="G223" i="1" s="1"/>
  <c r="AO221" i="1"/>
  <c r="AN221" i="1"/>
  <c r="AM221" i="1"/>
  <c r="AL221" i="1"/>
  <c r="AK221" i="1"/>
  <c r="AJ221" i="1"/>
  <c r="AH221" i="1"/>
  <c r="AG221" i="1"/>
  <c r="Y221" i="1"/>
  <c r="T221" i="1" s="1"/>
  <c r="X221" i="1"/>
  <c r="W221" i="1"/>
  <c r="V221" i="1"/>
  <c r="U221" i="1"/>
  <c r="S221" i="1"/>
  <c r="R221" i="1"/>
  <c r="Q221" i="1"/>
  <c r="P221" i="1"/>
  <c r="O221" i="1"/>
  <c r="N221" i="1"/>
  <c r="M221" i="1"/>
  <c r="L221" i="1"/>
  <c r="K221" i="1"/>
  <c r="J221" i="1"/>
  <c r="J223" i="1" s="1"/>
  <c r="I221" i="1"/>
  <c r="G221" i="1"/>
  <c r="Y220" i="1"/>
  <c r="X220" i="1"/>
  <c r="S220" i="1"/>
  <c r="R220" i="1"/>
  <c r="AQ219" i="1"/>
  <c r="AP219" i="1"/>
  <c r="AN219" i="1"/>
  <c r="AM219" i="1"/>
  <c r="AL219" i="1"/>
  <c r="AK219" i="1"/>
  <c r="AE219" i="1"/>
  <c r="Y219" i="1"/>
  <c r="X219" i="1"/>
  <c r="W219" i="1"/>
  <c r="V219" i="1"/>
  <c r="U219" i="1"/>
  <c r="S219" i="1"/>
  <c r="R219" i="1"/>
  <c r="Q219" i="1"/>
  <c r="P219" i="1"/>
  <c r="O219" i="1"/>
  <c r="M219" i="1"/>
  <c r="L219" i="1"/>
  <c r="K219" i="1"/>
  <c r="J219" i="1"/>
  <c r="I219" i="1"/>
  <c r="H219" i="1"/>
  <c r="G219" i="1"/>
  <c r="AQ218" i="1"/>
  <c r="AP218" i="1"/>
  <c r="AO218" i="1"/>
  <c r="AK218" i="1"/>
  <c r="AJ218" i="1"/>
  <c r="Y218" i="1"/>
  <c r="X218" i="1"/>
  <c r="W218" i="1"/>
  <c r="V218" i="1"/>
  <c r="U218" i="1"/>
  <c r="S218" i="1"/>
  <c r="R218" i="1"/>
  <c r="Q218" i="1"/>
  <c r="P218" i="1"/>
  <c r="O218" i="1"/>
  <c r="M218" i="1"/>
  <c r="L218" i="1"/>
  <c r="K218" i="1"/>
  <c r="J218" i="1"/>
  <c r="I218" i="1"/>
  <c r="G218" i="1"/>
  <c r="R217" i="1"/>
  <c r="M217" i="1"/>
  <c r="L217" i="1"/>
  <c r="AQ216" i="1"/>
  <c r="AO216" i="1"/>
  <c r="AM216" i="1"/>
  <c r="AL216" i="1"/>
  <c r="Y216" i="1"/>
  <c r="X216" i="1"/>
  <c r="W216" i="1"/>
  <c r="V216" i="1"/>
  <c r="U216" i="1"/>
  <c r="S216" i="1"/>
  <c r="R216" i="1"/>
  <c r="Q216" i="1"/>
  <c r="P216" i="1"/>
  <c r="O216" i="1"/>
  <c r="M216" i="1"/>
  <c r="L216" i="1"/>
  <c r="K216" i="1"/>
  <c r="J216" i="1"/>
  <c r="I216" i="1"/>
  <c r="H216" i="1"/>
  <c r="G216" i="1"/>
  <c r="AQ215" i="1"/>
  <c r="AO215" i="1"/>
  <c r="AK215" i="1"/>
  <c r="AJ215" i="1"/>
  <c r="AI215" i="1"/>
  <c r="AH215" i="1"/>
  <c r="AG215" i="1"/>
  <c r="Y215" i="1"/>
  <c r="X215" i="1"/>
  <c r="W215" i="1"/>
  <c r="V215" i="1"/>
  <c r="U215" i="1"/>
  <c r="S215" i="1"/>
  <c r="R215" i="1"/>
  <c r="Q215" i="1"/>
  <c r="P215" i="1"/>
  <c r="O215" i="1"/>
  <c r="M215" i="1"/>
  <c r="L215" i="1"/>
  <c r="K215" i="1"/>
  <c r="J215" i="1"/>
  <c r="I215" i="1"/>
  <c r="G215" i="1"/>
  <c r="AN214" i="1"/>
  <c r="Y214" i="1"/>
  <c r="Y217" i="1" s="1"/>
  <c r="X214" i="1"/>
  <c r="X217" i="1" s="1"/>
  <c r="W214" i="1"/>
  <c r="V214" i="1"/>
  <c r="U214" i="1"/>
  <c r="S214" i="1"/>
  <c r="S217" i="1" s="1"/>
  <c r="R214" i="1"/>
  <c r="Q214" i="1"/>
  <c r="P214" i="1"/>
  <c r="O214" i="1"/>
  <c r="M214" i="1"/>
  <c r="M220" i="1" s="1"/>
  <c r="L214" i="1"/>
  <c r="L220" i="1" s="1"/>
  <c r="K214" i="1"/>
  <c r="K220" i="1" s="1"/>
  <c r="J214" i="1"/>
  <c r="I214" i="1"/>
  <c r="H214" i="1"/>
  <c r="G214" i="1"/>
  <c r="G220" i="1" s="1"/>
  <c r="AQ213" i="1"/>
  <c r="AQ214" i="1" s="1"/>
  <c r="AP213" i="1"/>
  <c r="AP216" i="1" s="1"/>
  <c r="AO213" i="1"/>
  <c r="AN213" i="1"/>
  <c r="AM213" i="1"/>
  <c r="AL213" i="1"/>
  <c r="AL214" i="1" s="1"/>
  <c r="AL220" i="1" s="1"/>
  <c r="AK213" i="1"/>
  <c r="AJ213" i="1"/>
  <c r="AI213" i="1"/>
  <c r="AH213" i="1"/>
  <c r="AG213" i="1"/>
  <c r="AF213" i="1"/>
  <c r="AE213" i="1"/>
  <c r="T213" i="1"/>
  <c r="N213" i="1"/>
  <c r="F213" i="1"/>
  <c r="AQ212" i="1"/>
  <c r="AP212" i="1"/>
  <c r="AP215" i="1" s="1"/>
  <c r="AO212" i="1"/>
  <c r="AN212" i="1"/>
  <c r="AM212" i="1"/>
  <c r="AM176" i="1" s="1"/>
  <c r="AL212" i="1"/>
  <c r="AK212" i="1"/>
  <c r="AJ212" i="1"/>
  <c r="AI212" i="1"/>
  <c r="AI218" i="1" s="1"/>
  <c r="AH212" i="1"/>
  <c r="AG212" i="1"/>
  <c r="AF212" i="1"/>
  <c r="AF158" i="1" s="1"/>
  <c r="AE212" i="1"/>
  <c r="T212" i="1"/>
  <c r="N212" i="1"/>
  <c r="F212" i="1"/>
  <c r="AO211" i="1"/>
  <c r="AH211" i="1"/>
  <c r="AG211" i="1"/>
  <c r="AF211" i="1"/>
  <c r="AE211" i="1"/>
  <c r="Y211" i="1"/>
  <c r="X211" i="1"/>
  <c r="W211" i="1"/>
  <c r="V211" i="1"/>
  <c r="V217" i="1" s="1"/>
  <c r="U211" i="1"/>
  <c r="S211" i="1"/>
  <c r="R211" i="1"/>
  <c r="Q211" i="1"/>
  <c r="P211" i="1"/>
  <c r="O211" i="1"/>
  <c r="M211" i="1"/>
  <c r="L211" i="1"/>
  <c r="K211" i="1"/>
  <c r="K217" i="1" s="1"/>
  <c r="J211" i="1"/>
  <c r="I211" i="1"/>
  <c r="H211" i="1"/>
  <c r="H217" i="1" s="1"/>
  <c r="G211" i="1"/>
  <c r="AQ210" i="1"/>
  <c r="AP210" i="1"/>
  <c r="AO210" i="1"/>
  <c r="AN210" i="1"/>
  <c r="AM210" i="1"/>
  <c r="AL210" i="1"/>
  <c r="AL211" i="1" s="1"/>
  <c r="AK210" i="1"/>
  <c r="AK211" i="1" s="1"/>
  <c r="AJ210" i="1"/>
  <c r="AI210" i="1"/>
  <c r="AH210" i="1"/>
  <c r="AG210" i="1"/>
  <c r="AG174" i="1" s="1"/>
  <c r="AF210" i="1"/>
  <c r="AF174" i="1" s="1"/>
  <c r="AE210" i="1"/>
  <c r="T210" i="1"/>
  <c r="N210" i="1"/>
  <c r="H210" i="1"/>
  <c r="AQ209" i="1"/>
  <c r="AP209" i="1"/>
  <c r="AO209" i="1"/>
  <c r="AN209" i="1"/>
  <c r="AM209" i="1"/>
  <c r="AL209" i="1"/>
  <c r="AK209" i="1"/>
  <c r="AJ209" i="1"/>
  <c r="AI209" i="1"/>
  <c r="AI211" i="1" s="1"/>
  <c r="AH209" i="1"/>
  <c r="AG209" i="1"/>
  <c r="AF209" i="1"/>
  <c r="AE209" i="1"/>
  <c r="AE215" i="1" s="1"/>
  <c r="T209" i="1"/>
  <c r="N209" i="1"/>
  <c r="H209" i="1"/>
  <c r="AM208" i="1"/>
  <c r="AL208" i="1"/>
  <c r="AK208" i="1"/>
  <c r="AI208" i="1"/>
  <c r="AH208" i="1"/>
  <c r="AF208" i="1"/>
  <c r="Y208" i="1"/>
  <c r="X208" i="1"/>
  <c r="W208" i="1"/>
  <c r="V208" i="1"/>
  <c r="U208" i="1"/>
  <c r="S208" i="1"/>
  <c r="R208" i="1"/>
  <c r="Q208" i="1"/>
  <c r="P208" i="1"/>
  <c r="O208" i="1"/>
  <c r="M208" i="1"/>
  <c r="L208" i="1"/>
  <c r="K208" i="1"/>
  <c r="J208" i="1"/>
  <c r="I208" i="1"/>
  <c r="H208" i="1"/>
  <c r="G208" i="1"/>
  <c r="AQ207" i="1"/>
  <c r="AP207" i="1"/>
  <c r="AO207" i="1"/>
  <c r="AO208" i="1" s="1"/>
  <c r="AN207" i="1"/>
  <c r="AM207" i="1"/>
  <c r="AL207" i="1"/>
  <c r="AK207" i="1"/>
  <c r="AK153" i="1" s="1"/>
  <c r="AJ207" i="1"/>
  <c r="AI207" i="1"/>
  <c r="AH207" i="1"/>
  <c r="AG207" i="1"/>
  <c r="AG208" i="1" s="1"/>
  <c r="AF207" i="1"/>
  <c r="T207" i="1"/>
  <c r="N207" i="1"/>
  <c r="H207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T206" i="1"/>
  <c r="N206" i="1"/>
  <c r="H206" i="1"/>
  <c r="F206" i="1"/>
  <c r="AP205" i="1"/>
  <c r="AO205" i="1"/>
  <c r="AG205" i="1"/>
  <c r="AF205" i="1"/>
  <c r="Y205" i="1"/>
  <c r="X205" i="1"/>
  <c r="W205" i="1"/>
  <c r="V205" i="1"/>
  <c r="U205" i="1"/>
  <c r="T205" i="1"/>
  <c r="S205" i="1"/>
  <c r="R205" i="1"/>
  <c r="Q205" i="1"/>
  <c r="P205" i="1"/>
  <c r="O205" i="1"/>
  <c r="M205" i="1"/>
  <c r="L205" i="1"/>
  <c r="K205" i="1"/>
  <c r="J205" i="1"/>
  <c r="I205" i="1"/>
  <c r="G205" i="1"/>
  <c r="AQ204" i="1"/>
  <c r="AP204" i="1"/>
  <c r="AO204" i="1"/>
  <c r="AO168" i="1" s="1"/>
  <c r="AN204" i="1"/>
  <c r="AM204" i="1"/>
  <c r="AM205" i="1" s="1"/>
  <c r="AL204" i="1"/>
  <c r="AL205" i="1" s="1"/>
  <c r="AK204" i="1"/>
  <c r="AK205" i="1" s="1"/>
  <c r="AJ204" i="1"/>
  <c r="AI204" i="1"/>
  <c r="AI205" i="1" s="1"/>
  <c r="AH204" i="1"/>
  <c r="AG204" i="1"/>
  <c r="AF204" i="1"/>
  <c r="T204" i="1"/>
  <c r="N204" i="1"/>
  <c r="H204" i="1"/>
  <c r="AQ203" i="1"/>
  <c r="AP203" i="1"/>
  <c r="AO203" i="1"/>
  <c r="AN203" i="1"/>
  <c r="AM203" i="1"/>
  <c r="AM149" i="1" s="1"/>
  <c r="AL203" i="1"/>
  <c r="AL149" i="1" s="1"/>
  <c r="AK203" i="1"/>
  <c r="AJ203" i="1"/>
  <c r="AJ149" i="1" s="1"/>
  <c r="AI203" i="1"/>
  <c r="AH203" i="1"/>
  <c r="AG203" i="1"/>
  <c r="AF203" i="1"/>
  <c r="T203" i="1"/>
  <c r="N203" i="1"/>
  <c r="H203" i="1"/>
  <c r="AI202" i="1"/>
  <c r="X202" i="1"/>
  <c r="V202" i="1"/>
  <c r="U202" i="1"/>
  <c r="R202" i="1"/>
  <c r="K202" i="1"/>
  <c r="J202" i="1"/>
  <c r="AQ201" i="1"/>
  <c r="AO201" i="1"/>
  <c r="AN201" i="1"/>
  <c r="AM201" i="1"/>
  <c r="AL201" i="1"/>
  <c r="AK201" i="1"/>
  <c r="Y201" i="1"/>
  <c r="X201" i="1"/>
  <c r="W201" i="1"/>
  <c r="V201" i="1"/>
  <c r="U201" i="1"/>
  <c r="S201" i="1"/>
  <c r="R201" i="1"/>
  <c r="Q201" i="1"/>
  <c r="P201" i="1"/>
  <c r="O201" i="1"/>
  <c r="M201" i="1"/>
  <c r="L201" i="1"/>
  <c r="K201" i="1"/>
  <c r="J201" i="1"/>
  <c r="I201" i="1"/>
  <c r="G201" i="1"/>
  <c r="AO200" i="1"/>
  <c r="AH200" i="1"/>
  <c r="AG200" i="1"/>
  <c r="AF200" i="1"/>
  <c r="Y200" i="1"/>
  <c r="X200" i="1"/>
  <c r="W200" i="1"/>
  <c r="V200" i="1"/>
  <c r="U200" i="1"/>
  <c r="S200" i="1"/>
  <c r="R200" i="1"/>
  <c r="Q200" i="1"/>
  <c r="P200" i="1"/>
  <c r="O200" i="1"/>
  <c r="M200" i="1"/>
  <c r="L200" i="1"/>
  <c r="K200" i="1"/>
  <c r="J200" i="1"/>
  <c r="I200" i="1"/>
  <c r="H200" i="1"/>
  <c r="G200" i="1"/>
  <c r="AL199" i="1"/>
  <c r="AK199" i="1"/>
  <c r="V199" i="1"/>
  <c r="R199" i="1"/>
  <c r="L199" i="1"/>
  <c r="K199" i="1"/>
  <c r="J199" i="1"/>
  <c r="I199" i="1"/>
  <c r="G199" i="1"/>
  <c r="AQ198" i="1"/>
  <c r="AO198" i="1"/>
  <c r="AN198" i="1"/>
  <c r="Y198" i="1"/>
  <c r="X198" i="1"/>
  <c r="W198" i="1"/>
  <c r="V198" i="1"/>
  <c r="U198" i="1"/>
  <c r="S198" i="1"/>
  <c r="R198" i="1"/>
  <c r="Q198" i="1"/>
  <c r="P198" i="1"/>
  <c r="O198" i="1"/>
  <c r="N198" i="1"/>
  <c r="M198" i="1"/>
  <c r="L198" i="1"/>
  <c r="K198" i="1"/>
  <c r="J198" i="1"/>
  <c r="I198" i="1"/>
  <c r="G198" i="1"/>
  <c r="AO197" i="1"/>
  <c r="AM197" i="1"/>
  <c r="AK197" i="1"/>
  <c r="AJ197" i="1"/>
  <c r="AI197" i="1"/>
  <c r="AH197" i="1"/>
  <c r="AG197" i="1"/>
  <c r="Y197" i="1"/>
  <c r="X197" i="1"/>
  <c r="W197" i="1"/>
  <c r="V197" i="1"/>
  <c r="U197" i="1"/>
  <c r="S197" i="1"/>
  <c r="R197" i="1"/>
  <c r="Q197" i="1"/>
  <c r="P197" i="1"/>
  <c r="O197" i="1"/>
  <c r="M197" i="1"/>
  <c r="L197" i="1"/>
  <c r="K197" i="1"/>
  <c r="J197" i="1"/>
  <c r="I197" i="1"/>
  <c r="H197" i="1"/>
  <c r="G197" i="1"/>
  <c r="AQ196" i="1"/>
  <c r="AO196" i="1"/>
  <c r="AK196" i="1"/>
  <c r="AJ196" i="1"/>
  <c r="AI196" i="1"/>
  <c r="AH196" i="1"/>
  <c r="AG196" i="1"/>
  <c r="AF196" i="1"/>
  <c r="Y196" i="1"/>
  <c r="Y199" i="1" s="1"/>
  <c r="X196" i="1"/>
  <c r="W196" i="1"/>
  <c r="V196" i="1"/>
  <c r="U196" i="1"/>
  <c r="U199" i="1" s="1"/>
  <c r="S196" i="1"/>
  <c r="S202" i="1" s="1"/>
  <c r="R196" i="1"/>
  <c r="Q196" i="1"/>
  <c r="P196" i="1"/>
  <c r="O196" i="1"/>
  <c r="L196" i="1"/>
  <c r="L202" i="1" s="1"/>
  <c r="K196" i="1"/>
  <c r="J196" i="1"/>
  <c r="I196" i="1"/>
  <c r="I202" i="1" s="1"/>
  <c r="H196" i="1"/>
  <c r="G196" i="1"/>
  <c r="AQ195" i="1"/>
  <c r="AP195" i="1"/>
  <c r="AO195" i="1"/>
  <c r="AN195" i="1"/>
  <c r="AM195" i="1"/>
  <c r="AM196" i="1" s="1"/>
  <c r="AL195" i="1"/>
  <c r="AK195" i="1"/>
  <c r="AJ195" i="1"/>
  <c r="AI195" i="1"/>
  <c r="AH195" i="1"/>
  <c r="AG195" i="1"/>
  <c r="AF195" i="1"/>
  <c r="T195" i="1"/>
  <c r="N195" i="1"/>
  <c r="AQ194" i="1"/>
  <c r="AP194" i="1"/>
  <c r="AO194" i="1"/>
  <c r="AN194" i="1"/>
  <c r="AM194" i="1"/>
  <c r="AL194" i="1"/>
  <c r="AL196" i="1" s="1"/>
  <c r="AK194" i="1"/>
  <c r="AJ194" i="1"/>
  <c r="AI194" i="1"/>
  <c r="AH194" i="1"/>
  <c r="AG194" i="1"/>
  <c r="AG176" i="1" s="1"/>
  <c r="AF194" i="1"/>
  <c r="AF197" i="1" s="1"/>
  <c r="T194" i="1"/>
  <c r="N194" i="1"/>
  <c r="AP193" i="1"/>
  <c r="AN193" i="1"/>
  <c r="AL193" i="1"/>
  <c r="AK193" i="1"/>
  <c r="AK202" i="1" s="1"/>
  <c r="AJ193" i="1"/>
  <c r="AJ202" i="1" s="1"/>
  <c r="AI193" i="1"/>
  <c r="AI199" i="1" s="1"/>
  <c r="Y193" i="1"/>
  <c r="X193" i="1"/>
  <c r="X199" i="1" s="1"/>
  <c r="W193" i="1"/>
  <c r="V193" i="1"/>
  <c r="U193" i="1"/>
  <c r="S193" i="1"/>
  <c r="R193" i="1"/>
  <c r="Q193" i="1"/>
  <c r="P193" i="1"/>
  <c r="O193" i="1"/>
  <c r="O202" i="1" s="1"/>
  <c r="M193" i="1"/>
  <c r="M199" i="1" s="1"/>
  <c r="L193" i="1"/>
  <c r="K193" i="1"/>
  <c r="J193" i="1"/>
  <c r="I193" i="1"/>
  <c r="G193" i="1"/>
  <c r="AQ192" i="1"/>
  <c r="AP192" i="1"/>
  <c r="AP174" i="1" s="1"/>
  <c r="AO192" i="1"/>
  <c r="AN192" i="1"/>
  <c r="AM192" i="1"/>
  <c r="AL192" i="1"/>
  <c r="AK192" i="1"/>
  <c r="AJ192" i="1"/>
  <c r="AJ174" i="1" s="1"/>
  <c r="AI192" i="1"/>
  <c r="AH192" i="1"/>
  <c r="AH193" i="1" s="1"/>
  <c r="AH199" i="1" s="1"/>
  <c r="AG192" i="1"/>
  <c r="AG193" i="1" s="1"/>
  <c r="AG199" i="1" s="1"/>
  <c r="AF192" i="1"/>
  <c r="AF193" i="1" s="1"/>
  <c r="T192" i="1"/>
  <c r="T193" i="1" s="1"/>
  <c r="N192" i="1"/>
  <c r="H192" i="1"/>
  <c r="AQ191" i="1"/>
  <c r="AP191" i="1"/>
  <c r="AO191" i="1"/>
  <c r="AN191" i="1"/>
  <c r="AN137" i="1" s="1"/>
  <c r="AM191" i="1"/>
  <c r="AM200" i="1" s="1"/>
  <c r="AL191" i="1"/>
  <c r="AK191" i="1"/>
  <c r="AK137" i="1" s="1"/>
  <c r="AJ191" i="1"/>
  <c r="AI191" i="1"/>
  <c r="AH191" i="1"/>
  <c r="AG191" i="1"/>
  <c r="AF191" i="1"/>
  <c r="T191" i="1"/>
  <c r="N191" i="1"/>
  <c r="N197" i="1" s="1"/>
  <c r="H191" i="1"/>
  <c r="AH190" i="1"/>
  <c r="AG190" i="1"/>
  <c r="AF190" i="1"/>
  <c r="Y190" i="1"/>
  <c r="X190" i="1"/>
  <c r="W190" i="1"/>
  <c r="V190" i="1"/>
  <c r="U190" i="1"/>
  <c r="S190" i="1"/>
  <c r="R190" i="1"/>
  <c r="Q190" i="1"/>
  <c r="P190" i="1"/>
  <c r="O190" i="1"/>
  <c r="N190" i="1"/>
  <c r="M190" i="1"/>
  <c r="L190" i="1"/>
  <c r="K190" i="1"/>
  <c r="J190" i="1"/>
  <c r="I190" i="1"/>
  <c r="G190" i="1"/>
  <c r="AQ189" i="1"/>
  <c r="AP189" i="1"/>
  <c r="AO189" i="1"/>
  <c r="AO190" i="1" s="1"/>
  <c r="AN189" i="1"/>
  <c r="AN171" i="1" s="1"/>
  <c r="AM189" i="1"/>
  <c r="AL189" i="1"/>
  <c r="AK189" i="1"/>
  <c r="AK135" i="1" s="1"/>
  <c r="AJ189" i="1"/>
  <c r="AJ135" i="1" s="1"/>
  <c r="AI189" i="1"/>
  <c r="AI171" i="1" s="1"/>
  <c r="AH189" i="1"/>
  <c r="AG189" i="1"/>
  <c r="AF189" i="1"/>
  <c r="T189" i="1"/>
  <c r="N189" i="1"/>
  <c r="H189" i="1"/>
  <c r="F189" i="1" s="1"/>
  <c r="F190" i="1" s="1"/>
  <c r="AQ188" i="1"/>
  <c r="AQ190" i="1" s="1"/>
  <c r="AP188" i="1"/>
  <c r="AO188" i="1"/>
  <c r="AN188" i="1"/>
  <c r="AM188" i="1"/>
  <c r="AL188" i="1"/>
  <c r="AL134" i="1" s="1"/>
  <c r="AL116" i="1" s="1"/>
  <c r="AK188" i="1"/>
  <c r="AJ188" i="1"/>
  <c r="AJ134" i="1" s="1"/>
  <c r="AI188" i="1"/>
  <c r="AH188" i="1"/>
  <c r="AG188" i="1"/>
  <c r="AG170" i="1" s="1"/>
  <c r="AF188" i="1"/>
  <c r="T188" i="1"/>
  <c r="F188" i="1" s="1"/>
  <c r="N188" i="1"/>
  <c r="H188" i="1"/>
  <c r="AQ187" i="1"/>
  <c r="AN187" i="1"/>
  <c r="AM187" i="1"/>
  <c r="AL187" i="1"/>
  <c r="AK187" i="1"/>
  <c r="AJ187" i="1"/>
  <c r="AI187" i="1"/>
  <c r="AH187" i="1"/>
  <c r="AG187" i="1"/>
  <c r="AF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G187" i="1"/>
  <c r="AQ186" i="1"/>
  <c r="AP186" i="1"/>
  <c r="AP187" i="1" s="1"/>
  <c r="AO186" i="1"/>
  <c r="AN186" i="1"/>
  <c r="AM186" i="1"/>
  <c r="AL186" i="1"/>
  <c r="AK186" i="1"/>
  <c r="AJ186" i="1"/>
  <c r="AI186" i="1"/>
  <c r="AH186" i="1"/>
  <c r="AH168" i="1" s="1"/>
  <c r="AG186" i="1"/>
  <c r="AG168" i="1" s="1"/>
  <c r="AF186" i="1"/>
  <c r="AF168" i="1" s="1"/>
  <c r="AE186" i="1"/>
  <c r="T186" i="1"/>
  <c r="N186" i="1"/>
  <c r="F186" i="1" s="1"/>
  <c r="F187" i="1" s="1"/>
  <c r="H186" i="1"/>
  <c r="AQ185" i="1"/>
  <c r="AP185" i="1"/>
  <c r="AO185" i="1"/>
  <c r="AO187" i="1" s="1"/>
  <c r="AN185" i="1"/>
  <c r="AM185" i="1"/>
  <c r="AL185" i="1"/>
  <c r="AK185" i="1"/>
  <c r="AJ185" i="1"/>
  <c r="AI185" i="1"/>
  <c r="AH185" i="1"/>
  <c r="AG185" i="1"/>
  <c r="AF185" i="1"/>
  <c r="T185" i="1"/>
  <c r="N185" i="1"/>
  <c r="F185" i="1" s="1"/>
  <c r="H185" i="1"/>
  <c r="Y183" i="1"/>
  <c r="W183" i="1"/>
  <c r="U183" i="1"/>
  <c r="S183" i="1"/>
  <c r="R183" i="1"/>
  <c r="Q183" i="1"/>
  <c r="J183" i="1"/>
  <c r="I183" i="1"/>
  <c r="V182" i="1"/>
  <c r="R182" i="1"/>
  <c r="O182" i="1"/>
  <c r="AH180" i="1"/>
  <c r="Y180" i="1"/>
  <c r="X180" i="1"/>
  <c r="W180" i="1"/>
  <c r="R180" i="1"/>
  <c r="Q180" i="1"/>
  <c r="J180" i="1"/>
  <c r="I180" i="1"/>
  <c r="G180" i="1"/>
  <c r="AO179" i="1"/>
  <c r="V179" i="1"/>
  <c r="U179" i="1"/>
  <c r="O179" i="1"/>
  <c r="K179" i="1"/>
  <c r="J179" i="1"/>
  <c r="I179" i="1"/>
  <c r="Y178" i="1"/>
  <c r="X178" i="1"/>
  <c r="W178" i="1"/>
  <c r="R178" i="1"/>
  <c r="O178" i="1"/>
  <c r="J178" i="1"/>
  <c r="I178" i="1"/>
  <c r="AQ177" i="1"/>
  <c r="AJ177" i="1"/>
  <c r="AI177" i="1"/>
  <c r="AH177" i="1"/>
  <c r="AG177" i="1"/>
  <c r="AG178" i="1" s="1"/>
  <c r="AF177" i="1"/>
  <c r="Y177" i="1"/>
  <c r="X177" i="1"/>
  <c r="X183" i="1" s="1"/>
  <c r="W177" i="1"/>
  <c r="V177" i="1"/>
  <c r="U177" i="1"/>
  <c r="S177" i="1"/>
  <c r="R177" i="1"/>
  <c r="Q177" i="1"/>
  <c r="P177" i="1"/>
  <c r="P178" i="1" s="1"/>
  <c r="O177" i="1"/>
  <c r="O180" i="1" s="1"/>
  <c r="M177" i="1"/>
  <c r="L177" i="1"/>
  <c r="K177" i="1"/>
  <c r="J177" i="1"/>
  <c r="H177" i="1" s="1"/>
  <c r="I177" i="1"/>
  <c r="G177" i="1"/>
  <c r="G183" i="1" s="1"/>
  <c r="AQ176" i="1"/>
  <c r="AP176" i="1"/>
  <c r="AO176" i="1"/>
  <c r="AO182" i="1" s="1"/>
  <c r="AL176" i="1"/>
  <c r="Y176" i="1"/>
  <c r="X176" i="1"/>
  <c r="W176" i="1"/>
  <c r="V176" i="1"/>
  <c r="T176" i="1" s="1"/>
  <c r="U176" i="1"/>
  <c r="U182" i="1" s="1"/>
  <c r="S176" i="1"/>
  <c r="R176" i="1"/>
  <c r="Q176" i="1"/>
  <c r="P176" i="1"/>
  <c r="O176" i="1"/>
  <c r="M176" i="1"/>
  <c r="M182" i="1" s="1"/>
  <c r="L176" i="1"/>
  <c r="K176" i="1"/>
  <c r="J176" i="1"/>
  <c r="I176" i="1"/>
  <c r="G176" i="1"/>
  <c r="W175" i="1"/>
  <c r="V175" i="1"/>
  <c r="U175" i="1"/>
  <c r="G175" i="1"/>
  <c r="AQ174" i="1"/>
  <c r="AO174" i="1"/>
  <c r="AO175" i="1" s="1"/>
  <c r="AN174" i="1"/>
  <c r="AM174" i="1"/>
  <c r="AK174" i="1"/>
  <c r="AI174" i="1"/>
  <c r="AH174" i="1"/>
  <c r="Y174" i="1"/>
  <c r="X174" i="1"/>
  <c r="W174" i="1"/>
  <c r="V174" i="1"/>
  <c r="U174" i="1"/>
  <c r="T174" i="1"/>
  <c r="S174" i="1"/>
  <c r="R174" i="1"/>
  <c r="R175" i="1" s="1"/>
  <c r="Q174" i="1"/>
  <c r="Q175" i="1" s="1"/>
  <c r="P174" i="1"/>
  <c r="P180" i="1" s="1"/>
  <c r="O174" i="1"/>
  <c r="O175" i="1" s="1"/>
  <c r="N174" i="1"/>
  <c r="M174" i="1"/>
  <c r="M175" i="1" s="1"/>
  <c r="L174" i="1"/>
  <c r="L175" i="1" s="1"/>
  <c r="K174" i="1"/>
  <c r="K175" i="1" s="1"/>
  <c r="J174" i="1"/>
  <c r="I174" i="1"/>
  <c r="G174" i="1"/>
  <c r="AP173" i="1"/>
  <c r="AP175" i="1" s="1"/>
  <c r="AO173" i="1"/>
  <c r="Y173" i="1"/>
  <c r="Y175" i="1" s="1"/>
  <c r="X173" i="1"/>
  <c r="X175" i="1" s="1"/>
  <c r="X184" i="1" s="1"/>
  <c r="W173" i="1"/>
  <c r="T173" i="1" s="1"/>
  <c r="V173" i="1"/>
  <c r="U173" i="1"/>
  <c r="S173" i="1"/>
  <c r="R173" i="1"/>
  <c r="R179" i="1" s="1"/>
  <c r="Q173" i="1"/>
  <c r="P173" i="1"/>
  <c r="P182" i="1" s="1"/>
  <c r="O173" i="1"/>
  <c r="M173" i="1"/>
  <c r="L173" i="1"/>
  <c r="K173" i="1"/>
  <c r="K182" i="1" s="1"/>
  <c r="J173" i="1"/>
  <c r="J182" i="1" s="1"/>
  <c r="I173" i="1"/>
  <c r="I182" i="1" s="1"/>
  <c r="H173" i="1"/>
  <c r="G173" i="1"/>
  <c r="AG172" i="1"/>
  <c r="Y172" i="1"/>
  <c r="J172" i="1"/>
  <c r="I172" i="1"/>
  <c r="AQ171" i="1"/>
  <c r="AO171" i="1"/>
  <c r="AH171" i="1"/>
  <c r="AG171" i="1"/>
  <c r="AF171" i="1"/>
  <c r="Y171" i="1"/>
  <c r="X171" i="1"/>
  <c r="W171" i="1"/>
  <c r="V171" i="1"/>
  <c r="V172" i="1" s="1"/>
  <c r="U171" i="1"/>
  <c r="U172" i="1" s="1"/>
  <c r="T171" i="1"/>
  <c r="S171" i="1"/>
  <c r="S172" i="1" s="1"/>
  <c r="R171" i="1"/>
  <c r="R172" i="1" s="1"/>
  <c r="Q171" i="1"/>
  <c r="Q172" i="1" s="1"/>
  <c r="P171" i="1"/>
  <c r="P172" i="1" s="1"/>
  <c r="O171" i="1"/>
  <c r="M171" i="1"/>
  <c r="L171" i="1"/>
  <c r="K171" i="1"/>
  <c r="K172" i="1" s="1"/>
  <c r="J171" i="1"/>
  <c r="I171" i="1"/>
  <c r="G171" i="1"/>
  <c r="AP170" i="1"/>
  <c r="AL170" i="1"/>
  <c r="AH170" i="1"/>
  <c r="AH172" i="1" s="1"/>
  <c r="Y170" i="1"/>
  <c r="X170" i="1"/>
  <c r="X172" i="1" s="1"/>
  <c r="W170" i="1"/>
  <c r="V170" i="1"/>
  <c r="U170" i="1"/>
  <c r="S170" i="1"/>
  <c r="R170" i="1"/>
  <c r="Q170" i="1"/>
  <c r="P170" i="1"/>
  <c r="O170" i="1"/>
  <c r="M170" i="1"/>
  <c r="M172" i="1" s="1"/>
  <c r="L170" i="1"/>
  <c r="K170" i="1"/>
  <c r="J170" i="1"/>
  <c r="I170" i="1"/>
  <c r="H170" i="1"/>
  <c r="G170" i="1"/>
  <c r="S169" i="1"/>
  <c r="R169" i="1"/>
  <c r="Q169" i="1"/>
  <c r="O169" i="1"/>
  <c r="M169" i="1"/>
  <c r="AP168" i="1"/>
  <c r="Y168" i="1"/>
  <c r="X168" i="1"/>
  <c r="W168" i="1"/>
  <c r="V168" i="1"/>
  <c r="U168" i="1"/>
  <c r="S168" i="1"/>
  <c r="R168" i="1"/>
  <c r="Q168" i="1"/>
  <c r="P168" i="1"/>
  <c r="O168" i="1"/>
  <c r="N168" i="1"/>
  <c r="M168" i="1"/>
  <c r="L168" i="1"/>
  <c r="L169" i="1" s="1"/>
  <c r="K168" i="1"/>
  <c r="J168" i="1"/>
  <c r="J169" i="1" s="1"/>
  <c r="I168" i="1"/>
  <c r="H168" i="1" s="1"/>
  <c r="G168" i="1"/>
  <c r="AQ167" i="1"/>
  <c r="AN167" i="1"/>
  <c r="AM167" i="1"/>
  <c r="AL167" i="1"/>
  <c r="Y167" i="1"/>
  <c r="X167" i="1"/>
  <c r="W167" i="1"/>
  <c r="W169" i="1" s="1"/>
  <c r="V167" i="1"/>
  <c r="V169" i="1" s="1"/>
  <c r="U167" i="1"/>
  <c r="T167" i="1" s="1"/>
  <c r="S167" i="1"/>
  <c r="R167" i="1"/>
  <c r="Q167" i="1"/>
  <c r="P167" i="1"/>
  <c r="O167" i="1"/>
  <c r="N167" i="1"/>
  <c r="F167" i="1" s="1"/>
  <c r="M167" i="1"/>
  <c r="L167" i="1"/>
  <c r="K167" i="1"/>
  <c r="K169" i="1" s="1"/>
  <c r="J167" i="1"/>
  <c r="I167" i="1"/>
  <c r="H167" i="1"/>
  <c r="G167" i="1"/>
  <c r="G169" i="1" s="1"/>
  <c r="Y166" i="1"/>
  <c r="X166" i="1"/>
  <c r="W166" i="1"/>
  <c r="V166" i="1"/>
  <c r="U166" i="1"/>
  <c r="AL165" i="1"/>
  <c r="Y165" i="1"/>
  <c r="X165" i="1"/>
  <c r="W165" i="1"/>
  <c r="V165" i="1"/>
  <c r="U165" i="1"/>
  <c r="S165" i="1"/>
  <c r="R165" i="1"/>
  <c r="Q165" i="1"/>
  <c r="P165" i="1"/>
  <c r="O165" i="1"/>
  <c r="M165" i="1"/>
  <c r="L165" i="1"/>
  <c r="K165" i="1"/>
  <c r="J165" i="1"/>
  <c r="I165" i="1"/>
  <c r="H165" i="1"/>
  <c r="G165" i="1"/>
  <c r="Y164" i="1"/>
  <c r="X164" i="1"/>
  <c r="W164" i="1"/>
  <c r="V164" i="1"/>
  <c r="U164" i="1"/>
  <c r="T164" i="1"/>
  <c r="S164" i="1"/>
  <c r="R164" i="1"/>
  <c r="Q164" i="1"/>
  <c r="P164" i="1"/>
  <c r="O164" i="1"/>
  <c r="M164" i="1"/>
  <c r="L164" i="1"/>
  <c r="K164" i="1"/>
  <c r="J164" i="1"/>
  <c r="I164" i="1"/>
  <c r="H164" i="1"/>
  <c r="G164" i="1"/>
  <c r="Y163" i="1"/>
  <c r="I163" i="1"/>
  <c r="G163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AI161" i="1"/>
  <c r="Y161" i="1"/>
  <c r="X161" i="1"/>
  <c r="W161" i="1"/>
  <c r="V161" i="1"/>
  <c r="U161" i="1"/>
  <c r="T161" i="1"/>
  <c r="S161" i="1"/>
  <c r="R161" i="1"/>
  <c r="Q161" i="1"/>
  <c r="P161" i="1"/>
  <c r="O161" i="1"/>
  <c r="M161" i="1"/>
  <c r="L161" i="1"/>
  <c r="K161" i="1"/>
  <c r="J161" i="1"/>
  <c r="I161" i="1"/>
  <c r="H161" i="1"/>
  <c r="G161" i="1"/>
  <c r="Y160" i="1"/>
  <c r="X160" i="1"/>
  <c r="X163" i="1" s="1"/>
  <c r="W160" i="1"/>
  <c r="W163" i="1" s="1"/>
  <c r="V160" i="1"/>
  <c r="V163" i="1" s="1"/>
  <c r="U160" i="1"/>
  <c r="U163" i="1" s="1"/>
  <c r="T160" i="1"/>
  <c r="S160" i="1"/>
  <c r="R160" i="1"/>
  <c r="Q160" i="1"/>
  <c r="P160" i="1"/>
  <c r="O160" i="1"/>
  <c r="M160" i="1"/>
  <c r="L160" i="1"/>
  <c r="K160" i="1"/>
  <c r="J160" i="1"/>
  <c r="I160" i="1"/>
  <c r="I166" i="1" s="1"/>
  <c r="H160" i="1"/>
  <c r="G160" i="1"/>
  <c r="G166" i="1" s="1"/>
  <c r="AN159" i="1"/>
  <c r="AM159" i="1"/>
  <c r="AL159" i="1"/>
  <c r="T159" i="1"/>
  <c r="T165" i="1" s="1"/>
  <c r="N159" i="1"/>
  <c r="F159" i="1"/>
  <c r="AQ158" i="1"/>
  <c r="AK158" i="1"/>
  <c r="AJ158" i="1"/>
  <c r="AI158" i="1"/>
  <c r="AI164" i="1" s="1"/>
  <c r="AH158" i="1"/>
  <c r="AG158" i="1"/>
  <c r="T158" i="1"/>
  <c r="N158" i="1"/>
  <c r="F158" i="1"/>
  <c r="Y157" i="1"/>
  <c r="X157" i="1"/>
  <c r="W157" i="1"/>
  <c r="V157" i="1"/>
  <c r="U157" i="1"/>
  <c r="S157" i="1"/>
  <c r="R157" i="1"/>
  <c r="Q157" i="1"/>
  <c r="P157" i="1"/>
  <c r="O157" i="1"/>
  <c r="O163" i="1" s="1"/>
  <c r="M157" i="1"/>
  <c r="M163" i="1" s="1"/>
  <c r="L157" i="1"/>
  <c r="L166" i="1" s="1"/>
  <c r="K157" i="1"/>
  <c r="J157" i="1"/>
  <c r="J166" i="1" s="1"/>
  <c r="I157" i="1"/>
  <c r="H157" i="1"/>
  <c r="H163" i="1" s="1"/>
  <c r="G157" i="1"/>
  <c r="AL156" i="1"/>
  <c r="AJ156" i="1"/>
  <c r="AF156" i="1"/>
  <c r="T156" i="1"/>
  <c r="N156" i="1"/>
  <c r="F156" i="1" s="1"/>
  <c r="H156" i="1"/>
  <c r="AO155" i="1"/>
  <c r="AF155" i="1"/>
  <c r="T155" i="1"/>
  <c r="N155" i="1"/>
  <c r="N164" i="1" s="1"/>
  <c r="H155" i="1"/>
  <c r="Y154" i="1"/>
  <c r="X154" i="1"/>
  <c r="W154" i="1"/>
  <c r="V154" i="1"/>
  <c r="U154" i="1"/>
  <c r="S154" i="1"/>
  <c r="R154" i="1"/>
  <c r="Q154" i="1"/>
  <c r="P154" i="1"/>
  <c r="O154" i="1"/>
  <c r="M154" i="1"/>
  <c r="L154" i="1"/>
  <c r="K154" i="1"/>
  <c r="J154" i="1"/>
  <c r="I154" i="1"/>
  <c r="G154" i="1"/>
  <c r="AL153" i="1"/>
  <c r="AG153" i="1"/>
  <c r="AF153" i="1"/>
  <c r="T153" i="1"/>
  <c r="T154" i="1" s="1"/>
  <c r="N153" i="1"/>
  <c r="H153" i="1"/>
  <c r="AJ152" i="1"/>
  <c r="T152" i="1"/>
  <c r="N152" i="1"/>
  <c r="N154" i="1" s="1"/>
  <c r="H152" i="1"/>
  <c r="Y151" i="1"/>
  <c r="X151" i="1"/>
  <c r="W151" i="1"/>
  <c r="V151" i="1"/>
  <c r="U151" i="1"/>
  <c r="T151" i="1"/>
  <c r="S151" i="1"/>
  <c r="R151" i="1"/>
  <c r="Q151" i="1"/>
  <c r="P151" i="1"/>
  <c r="O151" i="1"/>
  <c r="M151" i="1"/>
  <c r="L151" i="1"/>
  <c r="K151" i="1"/>
  <c r="J151" i="1"/>
  <c r="I151" i="1"/>
  <c r="G151" i="1"/>
  <c r="AJ150" i="1"/>
  <c r="AI150" i="1"/>
  <c r="AH150" i="1"/>
  <c r="T150" i="1"/>
  <c r="N150" i="1"/>
  <c r="H150" i="1"/>
  <c r="F150" i="1" s="1"/>
  <c r="T149" i="1"/>
  <c r="N149" i="1"/>
  <c r="N151" i="1" s="1"/>
  <c r="H149" i="1"/>
  <c r="F149" i="1"/>
  <c r="F151" i="1" s="1"/>
  <c r="U148" i="1"/>
  <c r="S148" i="1"/>
  <c r="R148" i="1"/>
  <c r="O148" i="1"/>
  <c r="G148" i="1"/>
  <c r="Y147" i="1"/>
  <c r="X147" i="1"/>
  <c r="W147" i="1"/>
  <c r="V147" i="1"/>
  <c r="U147" i="1"/>
  <c r="T147" i="1"/>
  <c r="S147" i="1"/>
  <c r="R147" i="1"/>
  <c r="Q147" i="1"/>
  <c r="P147" i="1"/>
  <c r="O147" i="1"/>
  <c r="M147" i="1"/>
  <c r="L147" i="1"/>
  <c r="K147" i="1"/>
  <c r="J147" i="1"/>
  <c r="I147" i="1"/>
  <c r="G147" i="1"/>
  <c r="AK146" i="1"/>
  <c r="Y146" i="1"/>
  <c r="X146" i="1"/>
  <c r="W146" i="1"/>
  <c r="V146" i="1"/>
  <c r="U146" i="1"/>
  <c r="S146" i="1"/>
  <c r="R146" i="1"/>
  <c r="Q146" i="1"/>
  <c r="P146" i="1"/>
  <c r="O146" i="1"/>
  <c r="M146" i="1"/>
  <c r="L146" i="1"/>
  <c r="K146" i="1"/>
  <c r="J146" i="1"/>
  <c r="I146" i="1"/>
  <c r="H146" i="1"/>
  <c r="G146" i="1"/>
  <c r="V145" i="1"/>
  <c r="U145" i="1"/>
  <c r="S145" i="1"/>
  <c r="R145" i="1"/>
  <c r="Y144" i="1"/>
  <c r="X144" i="1"/>
  <c r="W144" i="1"/>
  <c r="V144" i="1"/>
  <c r="U144" i="1"/>
  <c r="S144" i="1"/>
  <c r="R144" i="1"/>
  <c r="Q144" i="1"/>
  <c r="P144" i="1"/>
  <c r="O144" i="1"/>
  <c r="M144" i="1"/>
  <c r="L144" i="1"/>
  <c r="K144" i="1"/>
  <c r="J144" i="1"/>
  <c r="I144" i="1"/>
  <c r="G144" i="1"/>
  <c r="Y143" i="1"/>
  <c r="X143" i="1"/>
  <c r="W143" i="1"/>
  <c r="V143" i="1"/>
  <c r="U143" i="1"/>
  <c r="S143" i="1"/>
  <c r="R143" i="1"/>
  <c r="Q143" i="1"/>
  <c r="P143" i="1"/>
  <c r="O143" i="1"/>
  <c r="M143" i="1"/>
  <c r="L143" i="1"/>
  <c r="K143" i="1"/>
  <c r="J143" i="1"/>
  <c r="I143" i="1"/>
  <c r="G143" i="1"/>
  <c r="Y142" i="1"/>
  <c r="X142" i="1"/>
  <c r="W142" i="1"/>
  <c r="V142" i="1"/>
  <c r="U142" i="1"/>
  <c r="S142" i="1"/>
  <c r="R142" i="1"/>
  <c r="Q142" i="1"/>
  <c r="P142" i="1"/>
  <c r="O142" i="1"/>
  <c r="O145" i="1" s="1"/>
  <c r="N142" i="1"/>
  <c r="L142" i="1"/>
  <c r="L148" i="1" s="1"/>
  <c r="K142" i="1"/>
  <c r="J142" i="1"/>
  <c r="I142" i="1"/>
  <c r="H142" i="1"/>
  <c r="G142" i="1"/>
  <c r="T141" i="1"/>
  <c r="T144" i="1" s="1"/>
  <c r="N141" i="1"/>
  <c r="N144" i="1" s="1"/>
  <c r="AM140" i="1"/>
  <c r="AK140" i="1"/>
  <c r="AG140" i="1"/>
  <c r="AF140" i="1"/>
  <c r="T140" i="1"/>
  <c r="N140" i="1"/>
  <c r="F140" i="1"/>
  <c r="Y139" i="1"/>
  <c r="X139" i="1"/>
  <c r="X148" i="1" s="1"/>
  <c r="W139" i="1"/>
  <c r="W148" i="1" s="1"/>
  <c r="V139" i="1"/>
  <c r="V148" i="1" s="1"/>
  <c r="U139" i="1"/>
  <c r="S139" i="1"/>
  <c r="R139" i="1"/>
  <c r="Q139" i="1"/>
  <c r="Q145" i="1" s="1"/>
  <c r="P139" i="1"/>
  <c r="O139" i="1"/>
  <c r="M139" i="1"/>
  <c r="L139" i="1"/>
  <c r="K139" i="1"/>
  <c r="J139" i="1"/>
  <c r="I139" i="1"/>
  <c r="H139" i="1"/>
  <c r="G139" i="1"/>
  <c r="G145" i="1" s="1"/>
  <c r="AJ138" i="1"/>
  <c r="AI138" i="1"/>
  <c r="AF138" i="1"/>
  <c r="T138" i="1"/>
  <c r="N138" i="1"/>
  <c r="H138" i="1"/>
  <c r="H144" i="1" s="1"/>
  <c r="F138" i="1"/>
  <c r="AM137" i="1"/>
  <c r="AH137" i="1"/>
  <c r="AG137" i="1"/>
  <c r="AF137" i="1"/>
  <c r="AF119" i="1" s="1"/>
  <c r="T137" i="1"/>
  <c r="T139" i="1" s="1"/>
  <c r="N137" i="1"/>
  <c r="H137" i="1"/>
  <c r="H143" i="1" s="1"/>
  <c r="Y136" i="1"/>
  <c r="X136" i="1"/>
  <c r="W136" i="1"/>
  <c r="V136" i="1"/>
  <c r="U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AI135" i="1"/>
  <c r="AH135" i="1"/>
  <c r="AG135" i="1"/>
  <c r="T135" i="1"/>
  <c r="F135" i="1" s="1"/>
  <c r="N135" i="1"/>
  <c r="H135" i="1"/>
  <c r="AH134" i="1"/>
  <c r="AG134" i="1"/>
  <c r="AF134" i="1"/>
  <c r="T134" i="1"/>
  <c r="N134" i="1"/>
  <c r="H134" i="1"/>
  <c r="Y133" i="1"/>
  <c r="X133" i="1"/>
  <c r="W133" i="1"/>
  <c r="V133" i="1"/>
  <c r="U133" i="1"/>
  <c r="S133" i="1"/>
  <c r="R133" i="1"/>
  <c r="Q133" i="1"/>
  <c r="P133" i="1"/>
  <c r="O133" i="1"/>
  <c r="M133" i="1"/>
  <c r="L133" i="1"/>
  <c r="K133" i="1"/>
  <c r="J133" i="1"/>
  <c r="I133" i="1"/>
  <c r="H133" i="1"/>
  <c r="G133" i="1"/>
  <c r="AP132" i="1"/>
  <c r="AO132" i="1"/>
  <c r="AO133" i="1" s="1"/>
  <c r="T132" i="1"/>
  <c r="N132" i="1"/>
  <c r="H132" i="1"/>
  <c r="F132" i="1"/>
  <c r="T131" i="1"/>
  <c r="T133" i="1" s="1"/>
  <c r="N131" i="1"/>
  <c r="N133" i="1" s="1"/>
  <c r="H131" i="1"/>
  <c r="W129" i="1"/>
  <c r="U129" i="1"/>
  <c r="S129" i="1"/>
  <c r="R129" i="1"/>
  <c r="P129" i="1"/>
  <c r="J129" i="1"/>
  <c r="I129" i="1"/>
  <c r="H129" i="1"/>
  <c r="W128" i="1"/>
  <c r="V128" i="1"/>
  <c r="P128" i="1"/>
  <c r="O128" i="1"/>
  <c r="M128" i="1"/>
  <c r="L128" i="1"/>
  <c r="K128" i="1"/>
  <c r="I128" i="1"/>
  <c r="G128" i="1"/>
  <c r="Y127" i="1"/>
  <c r="T126" i="1"/>
  <c r="R126" i="1"/>
  <c r="O126" i="1"/>
  <c r="M126" i="1"/>
  <c r="L126" i="1"/>
  <c r="K126" i="1"/>
  <c r="J126" i="1"/>
  <c r="I126" i="1"/>
  <c r="H126" i="1"/>
  <c r="Y125" i="1"/>
  <c r="X125" i="1"/>
  <c r="W125" i="1"/>
  <c r="G125" i="1"/>
  <c r="Y124" i="1"/>
  <c r="O124" i="1"/>
  <c r="K124" i="1"/>
  <c r="J124" i="1"/>
  <c r="I124" i="1"/>
  <c r="G124" i="1"/>
  <c r="Y123" i="1"/>
  <c r="X123" i="1"/>
  <c r="W123" i="1"/>
  <c r="V123" i="1"/>
  <c r="U123" i="1"/>
  <c r="T123" i="1"/>
  <c r="S123" i="1"/>
  <c r="R123" i="1"/>
  <c r="R124" i="1" s="1"/>
  <c r="Q123" i="1"/>
  <c r="Q124" i="1" s="1"/>
  <c r="P123" i="1"/>
  <c r="O123" i="1"/>
  <c r="M123" i="1"/>
  <c r="L123" i="1"/>
  <c r="K123" i="1"/>
  <c r="K129" i="1" s="1"/>
  <c r="J123" i="1"/>
  <c r="I123" i="1"/>
  <c r="H123" i="1"/>
  <c r="G123" i="1"/>
  <c r="Y122" i="1"/>
  <c r="Y128" i="1" s="1"/>
  <c r="X122" i="1"/>
  <c r="W122" i="1"/>
  <c r="V122" i="1"/>
  <c r="V125" i="1" s="1"/>
  <c r="U122" i="1"/>
  <c r="S122" i="1"/>
  <c r="R122" i="1"/>
  <c r="Q122" i="1"/>
  <c r="P122" i="1"/>
  <c r="O122" i="1"/>
  <c r="M122" i="1"/>
  <c r="L122" i="1"/>
  <c r="L125" i="1" s="1"/>
  <c r="K122" i="1"/>
  <c r="K125" i="1" s="1"/>
  <c r="J122" i="1"/>
  <c r="I122" i="1"/>
  <c r="G122" i="1"/>
  <c r="Y121" i="1"/>
  <c r="M121" i="1"/>
  <c r="K121" i="1"/>
  <c r="J121" i="1"/>
  <c r="I121" i="1"/>
  <c r="I130" i="1" s="1"/>
  <c r="H121" i="1"/>
  <c r="G121" i="1"/>
  <c r="G130" i="1" s="1"/>
  <c r="Y120" i="1"/>
  <c r="X120" i="1"/>
  <c r="X121" i="1" s="1"/>
  <c r="W120" i="1"/>
  <c r="W121" i="1" s="1"/>
  <c r="V120" i="1"/>
  <c r="U120" i="1"/>
  <c r="U121" i="1" s="1"/>
  <c r="T120" i="1"/>
  <c r="T121" i="1" s="1"/>
  <c r="S120" i="1"/>
  <c r="R120" i="1"/>
  <c r="R121" i="1" s="1"/>
  <c r="Q120" i="1"/>
  <c r="Q121" i="1" s="1"/>
  <c r="P120" i="1"/>
  <c r="O120" i="1"/>
  <c r="M120" i="1"/>
  <c r="L120" i="1"/>
  <c r="L121" i="1" s="1"/>
  <c r="K120" i="1"/>
  <c r="J120" i="1"/>
  <c r="I120" i="1"/>
  <c r="H120" i="1"/>
  <c r="G120" i="1"/>
  <c r="Y119" i="1"/>
  <c r="X119" i="1"/>
  <c r="X128" i="1" s="1"/>
  <c r="W119" i="1"/>
  <c r="V119" i="1"/>
  <c r="V121" i="1" s="1"/>
  <c r="U119" i="1"/>
  <c r="T119" i="1"/>
  <c r="S119" i="1"/>
  <c r="R119" i="1"/>
  <c r="Q119" i="1"/>
  <c r="P119" i="1"/>
  <c r="P125" i="1" s="1"/>
  <c r="O119" i="1"/>
  <c r="N119" i="1" s="1"/>
  <c r="M119" i="1"/>
  <c r="M125" i="1" s="1"/>
  <c r="L119" i="1"/>
  <c r="K119" i="1"/>
  <c r="J119" i="1"/>
  <c r="I119" i="1"/>
  <c r="H119" i="1" s="1"/>
  <c r="F119" i="1" s="1"/>
  <c r="G119" i="1"/>
  <c r="Y118" i="1"/>
  <c r="W118" i="1"/>
  <c r="V118" i="1"/>
  <c r="Q118" i="1"/>
  <c r="P118" i="1"/>
  <c r="O118" i="1"/>
  <c r="M118" i="1"/>
  <c r="K118" i="1"/>
  <c r="I118" i="1"/>
  <c r="Y117" i="1"/>
  <c r="X117" i="1"/>
  <c r="X118" i="1" s="1"/>
  <c r="W117" i="1"/>
  <c r="V117" i="1"/>
  <c r="U117" i="1"/>
  <c r="T117" i="1"/>
  <c r="T118" i="1" s="1"/>
  <c r="S117" i="1"/>
  <c r="S118" i="1" s="1"/>
  <c r="R117" i="1"/>
  <c r="R118" i="1" s="1"/>
  <c r="Q117" i="1"/>
  <c r="P117" i="1"/>
  <c r="O117" i="1"/>
  <c r="M117" i="1"/>
  <c r="L117" i="1"/>
  <c r="L118" i="1" s="1"/>
  <c r="K117" i="1"/>
  <c r="J117" i="1"/>
  <c r="J118" i="1" s="1"/>
  <c r="I117" i="1"/>
  <c r="H117" i="1"/>
  <c r="G117" i="1"/>
  <c r="G118" i="1" s="1"/>
  <c r="Y116" i="1"/>
  <c r="X116" i="1"/>
  <c r="W116" i="1"/>
  <c r="V116" i="1"/>
  <c r="U116" i="1"/>
  <c r="U118" i="1" s="1"/>
  <c r="T116" i="1"/>
  <c r="S116" i="1"/>
  <c r="R116" i="1"/>
  <c r="Q116" i="1"/>
  <c r="P116" i="1"/>
  <c r="O116" i="1"/>
  <c r="N116" i="1" s="1"/>
  <c r="M116" i="1"/>
  <c r="L116" i="1"/>
  <c r="K116" i="1"/>
  <c r="J116" i="1"/>
  <c r="I116" i="1"/>
  <c r="G116" i="1"/>
  <c r="Y115" i="1"/>
  <c r="X115" i="1"/>
  <c r="W115" i="1"/>
  <c r="M115" i="1"/>
  <c r="J115" i="1"/>
  <c r="I115" i="1"/>
  <c r="Y114" i="1"/>
  <c r="X114" i="1"/>
  <c r="W114" i="1"/>
  <c r="V114" i="1"/>
  <c r="T114" i="1" s="1"/>
  <c r="F114" i="1" s="1"/>
  <c r="U114" i="1"/>
  <c r="S114" i="1"/>
  <c r="R114" i="1"/>
  <c r="R115" i="1" s="1"/>
  <c r="Q114" i="1"/>
  <c r="Q115" i="1" s="1"/>
  <c r="P114" i="1"/>
  <c r="P115" i="1" s="1"/>
  <c r="O114" i="1"/>
  <c r="O115" i="1" s="1"/>
  <c r="N114" i="1"/>
  <c r="M114" i="1"/>
  <c r="L114" i="1"/>
  <c r="K114" i="1"/>
  <c r="J114" i="1"/>
  <c r="I114" i="1"/>
  <c r="H114" i="1"/>
  <c r="G114" i="1"/>
  <c r="G115" i="1" s="1"/>
  <c r="Y113" i="1"/>
  <c r="X113" i="1"/>
  <c r="W113" i="1"/>
  <c r="V113" i="1"/>
  <c r="U113" i="1"/>
  <c r="T113" i="1"/>
  <c r="S113" i="1"/>
  <c r="N113" i="1" s="1"/>
  <c r="R113" i="1"/>
  <c r="Q113" i="1"/>
  <c r="P113" i="1"/>
  <c r="O113" i="1"/>
  <c r="M113" i="1"/>
  <c r="L113" i="1"/>
  <c r="L115" i="1" s="1"/>
  <c r="K113" i="1"/>
  <c r="J113" i="1"/>
  <c r="I113" i="1"/>
  <c r="G113" i="1"/>
  <c r="AQ112" i="1"/>
  <c r="AN112" i="1"/>
  <c r="AM112" i="1"/>
  <c r="Y112" i="1"/>
  <c r="X112" i="1"/>
  <c r="I112" i="1"/>
  <c r="G112" i="1"/>
  <c r="AF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AQ110" i="1"/>
  <c r="AP110" i="1"/>
  <c r="AO110" i="1"/>
  <c r="AL110" i="1"/>
  <c r="AF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Y109" i="1"/>
  <c r="X109" i="1"/>
  <c r="W109" i="1"/>
  <c r="R109" i="1"/>
  <c r="J109" i="1"/>
  <c r="G109" i="1"/>
  <c r="AQ108" i="1"/>
  <c r="AP108" i="1"/>
  <c r="AO108" i="1"/>
  <c r="AN108" i="1"/>
  <c r="AH108" i="1"/>
  <c r="Y108" i="1"/>
  <c r="X108" i="1"/>
  <c r="W108" i="1"/>
  <c r="V108" i="1"/>
  <c r="U108" i="1"/>
  <c r="T108" i="1"/>
  <c r="S108" i="1"/>
  <c r="R108" i="1"/>
  <c r="Q108" i="1"/>
  <c r="P108" i="1"/>
  <c r="O108" i="1"/>
  <c r="M108" i="1"/>
  <c r="L108" i="1"/>
  <c r="K108" i="1"/>
  <c r="J108" i="1"/>
  <c r="I108" i="1"/>
  <c r="H108" i="1"/>
  <c r="G108" i="1"/>
  <c r="AP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AQ106" i="1"/>
  <c r="AQ109" i="1" s="1"/>
  <c r="AP106" i="1"/>
  <c r="AN106" i="1"/>
  <c r="AN109" i="1" s="1"/>
  <c r="AM106" i="1"/>
  <c r="AM109" i="1" s="1"/>
  <c r="Y106" i="1"/>
  <c r="X106" i="1"/>
  <c r="W106" i="1"/>
  <c r="W112" i="1" s="1"/>
  <c r="V106" i="1"/>
  <c r="U106" i="1"/>
  <c r="S106" i="1"/>
  <c r="R106" i="1"/>
  <c r="R112" i="1" s="1"/>
  <c r="Q106" i="1"/>
  <c r="P106" i="1"/>
  <c r="O106" i="1"/>
  <c r="O109" i="1" s="1"/>
  <c r="N106" i="1"/>
  <c r="M106" i="1"/>
  <c r="L106" i="1"/>
  <c r="K106" i="1"/>
  <c r="J106" i="1"/>
  <c r="J112" i="1" s="1"/>
  <c r="I106" i="1"/>
  <c r="I109" i="1" s="1"/>
  <c r="H106" i="1"/>
  <c r="G106" i="1"/>
  <c r="AQ105" i="1"/>
  <c r="AQ111" i="1" s="1"/>
  <c r="AP105" i="1"/>
  <c r="AO105" i="1"/>
  <c r="AN105" i="1"/>
  <c r="AM105" i="1"/>
  <c r="AL105" i="1"/>
  <c r="AL106" i="1" s="1"/>
  <c r="AK105" i="1"/>
  <c r="AJ105" i="1"/>
  <c r="AI105" i="1"/>
  <c r="AH105" i="1"/>
  <c r="AG105" i="1"/>
  <c r="AG106" i="1" s="1"/>
  <c r="AF105" i="1"/>
  <c r="AF108" i="1" s="1"/>
  <c r="T105" i="1"/>
  <c r="N105" i="1"/>
  <c r="F105" i="1"/>
  <c r="F106" i="1" s="1"/>
  <c r="AQ104" i="1"/>
  <c r="AQ107" i="1" s="1"/>
  <c r="AP104" i="1"/>
  <c r="AO104" i="1"/>
  <c r="AN104" i="1"/>
  <c r="AM104" i="1"/>
  <c r="AL104" i="1"/>
  <c r="AL107" i="1" s="1"/>
  <c r="AK104" i="1"/>
  <c r="AJ104" i="1"/>
  <c r="AI104" i="1"/>
  <c r="AI110" i="1" s="1"/>
  <c r="AH104" i="1"/>
  <c r="AG104" i="1"/>
  <c r="AF104" i="1"/>
  <c r="AF107" i="1" s="1"/>
  <c r="T104" i="1"/>
  <c r="N104" i="1"/>
  <c r="F104" i="1"/>
  <c r="AQ103" i="1"/>
  <c r="AO103" i="1"/>
  <c r="AN103" i="1"/>
  <c r="AM103" i="1"/>
  <c r="AL103" i="1"/>
  <c r="AK103" i="1"/>
  <c r="AJ103" i="1"/>
  <c r="AI103" i="1"/>
  <c r="AH103" i="1"/>
  <c r="AG103" i="1"/>
  <c r="AF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M112" i="1" s="1"/>
  <c r="L103" i="1"/>
  <c r="K103" i="1"/>
  <c r="K112" i="1" s="1"/>
  <c r="J103" i="1"/>
  <c r="I103" i="1"/>
  <c r="G103" i="1"/>
  <c r="AQ102" i="1"/>
  <c r="AP102" i="1"/>
  <c r="AO102" i="1"/>
  <c r="AN102" i="1"/>
  <c r="AM102" i="1"/>
  <c r="AL102" i="1"/>
  <c r="AK102" i="1"/>
  <c r="AJ102" i="1"/>
  <c r="AI102" i="1"/>
  <c r="AI66" i="1" s="1"/>
  <c r="AH102" i="1"/>
  <c r="AH66" i="1" s="1"/>
  <c r="AG102" i="1"/>
  <c r="AF102" i="1"/>
  <c r="T102" i="1"/>
  <c r="N102" i="1"/>
  <c r="N108" i="1" s="1"/>
  <c r="H102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T101" i="1"/>
  <c r="N101" i="1"/>
  <c r="F101" i="1" s="1"/>
  <c r="H101" i="1"/>
  <c r="AP100" i="1"/>
  <c r="AO100" i="1"/>
  <c r="AN100" i="1"/>
  <c r="AJ100" i="1"/>
  <c r="AI100" i="1"/>
  <c r="AH100" i="1"/>
  <c r="AF100" i="1"/>
  <c r="Y100" i="1"/>
  <c r="X100" i="1"/>
  <c r="W100" i="1"/>
  <c r="V100" i="1"/>
  <c r="U100" i="1"/>
  <c r="S100" i="1"/>
  <c r="R100" i="1"/>
  <c r="Q100" i="1"/>
  <c r="P100" i="1"/>
  <c r="O100" i="1"/>
  <c r="M100" i="1"/>
  <c r="L100" i="1"/>
  <c r="K100" i="1"/>
  <c r="J100" i="1"/>
  <c r="I100" i="1"/>
  <c r="G100" i="1"/>
  <c r="AQ99" i="1"/>
  <c r="AP99" i="1"/>
  <c r="AO99" i="1"/>
  <c r="AN99" i="1"/>
  <c r="AM99" i="1"/>
  <c r="AL99" i="1"/>
  <c r="AK99" i="1"/>
  <c r="AK100" i="1" s="1"/>
  <c r="AJ99" i="1"/>
  <c r="AI99" i="1"/>
  <c r="AH99" i="1"/>
  <c r="AH63" i="1" s="1"/>
  <c r="AG99" i="1"/>
  <c r="AF99" i="1"/>
  <c r="T99" i="1"/>
  <c r="N99" i="1"/>
  <c r="N100" i="1" s="1"/>
  <c r="H99" i="1"/>
  <c r="F99" i="1"/>
  <c r="F100" i="1" s="1"/>
  <c r="AQ98" i="1"/>
  <c r="AP98" i="1"/>
  <c r="AO98" i="1"/>
  <c r="AN98" i="1"/>
  <c r="AM98" i="1"/>
  <c r="AL98" i="1"/>
  <c r="AK98" i="1"/>
  <c r="AJ98" i="1"/>
  <c r="AI98" i="1"/>
  <c r="AH98" i="1"/>
  <c r="AG98" i="1"/>
  <c r="AG62" i="1" s="1"/>
  <c r="AF98" i="1"/>
  <c r="T98" i="1"/>
  <c r="T100" i="1" s="1"/>
  <c r="N98" i="1"/>
  <c r="H98" i="1"/>
  <c r="F98" i="1"/>
  <c r="AN97" i="1"/>
  <c r="AM97" i="1"/>
  <c r="AL97" i="1"/>
  <c r="AK97" i="1"/>
  <c r="AJ97" i="1"/>
  <c r="AI97" i="1"/>
  <c r="AG97" i="1"/>
  <c r="Y97" i="1"/>
  <c r="X97" i="1"/>
  <c r="W97" i="1"/>
  <c r="V97" i="1"/>
  <c r="U97" i="1"/>
  <c r="T97" i="1"/>
  <c r="S97" i="1"/>
  <c r="R97" i="1"/>
  <c r="Q97" i="1"/>
  <c r="P97" i="1"/>
  <c r="O97" i="1"/>
  <c r="M97" i="1"/>
  <c r="L97" i="1"/>
  <c r="K97" i="1"/>
  <c r="J97" i="1"/>
  <c r="I97" i="1"/>
  <c r="G97" i="1"/>
  <c r="AQ96" i="1"/>
  <c r="AP96" i="1"/>
  <c r="AO96" i="1"/>
  <c r="AO97" i="1" s="1"/>
  <c r="AN96" i="1"/>
  <c r="AM96" i="1"/>
  <c r="AL96" i="1"/>
  <c r="AK96" i="1"/>
  <c r="AJ96" i="1"/>
  <c r="AI96" i="1"/>
  <c r="AH96" i="1"/>
  <c r="AH97" i="1" s="1"/>
  <c r="AG96" i="1"/>
  <c r="AF96" i="1"/>
  <c r="AE96" i="1"/>
  <c r="T96" i="1"/>
  <c r="N96" i="1"/>
  <c r="H96" i="1"/>
  <c r="H97" i="1" s="1"/>
  <c r="F96" i="1"/>
  <c r="F97" i="1" s="1"/>
  <c r="AQ95" i="1"/>
  <c r="AP95" i="1"/>
  <c r="AO95" i="1"/>
  <c r="AN95" i="1"/>
  <c r="AM95" i="1"/>
  <c r="AL95" i="1"/>
  <c r="AK95" i="1"/>
  <c r="AJ95" i="1"/>
  <c r="AJ59" i="1" s="1"/>
  <c r="AI95" i="1"/>
  <c r="AH95" i="1"/>
  <c r="AG95" i="1"/>
  <c r="AF95" i="1"/>
  <c r="T95" i="1"/>
  <c r="N95" i="1"/>
  <c r="H95" i="1"/>
  <c r="F95" i="1"/>
  <c r="Y94" i="1"/>
  <c r="X94" i="1"/>
  <c r="W94" i="1"/>
  <c r="L94" i="1"/>
  <c r="K94" i="1"/>
  <c r="I94" i="1"/>
  <c r="AP93" i="1"/>
  <c r="AO93" i="1"/>
  <c r="AN93" i="1"/>
  <c r="AM93" i="1"/>
  <c r="AI93" i="1"/>
  <c r="AG93" i="1"/>
  <c r="Y93" i="1"/>
  <c r="X93" i="1"/>
  <c r="W93" i="1"/>
  <c r="V93" i="1"/>
  <c r="U93" i="1"/>
  <c r="S93" i="1"/>
  <c r="R93" i="1"/>
  <c r="Q93" i="1"/>
  <c r="P93" i="1"/>
  <c r="O93" i="1"/>
  <c r="M93" i="1"/>
  <c r="L93" i="1"/>
  <c r="K93" i="1"/>
  <c r="J93" i="1"/>
  <c r="I93" i="1"/>
  <c r="H93" i="1"/>
  <c r="G93" i="1"/>
  <c r="AG92" i="1"/>
  <c r="Y92" i="1"/>
  <c r="X92" i="1"/>
  <c r="W92" i="1"/>
  <c r="V92" i="1"/>
  <c r="U92" i="1"/>
  <c r="S92" i="1"/>
  <c r="R92" i="1"/>
  <c r="Q92" i="1"/>
  <c r="P92" i="1"/>
  <c r="O92" i="1"/>
  <c r="M92" i="1"/>
  <c r="L92" i="1"/>
  <c r="K92" i="1"/>
  <c r="J92" i="1"/>
  <c r="I92" i="1"/>
  <c r="H92" i="1"/>
  <c r="G92" i="1"/>
  <c r="AQ91" i="1"/>
  <c r="X91" i="1"/>
  <c r="K91" i="1"/>
  <c r="I91" i="1"/>
  <c r="AQ90" i="1"/>
  <c r="AP90" i="1"/>
  <c r="AL90" i="1"/>
  <c r="AI90" i="1"/>
  <c r="AH90" i="1"/>
  <c r="Y90" i="1"/>
  <c r="X90" i="1"/>
  <c r="W90" i="1"/>
  <c r="V90" i="1"/>
  <c r="U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AK89" i="1"/>
  <c r="AJ89" i="1"/>
  <c r="AI89" i="1"/>
  <c r="AH89" i="1"/>
  <c r="AF89" i="1"/>
  <c r="Y89" i="1"/>
  <c r="X89" i="1"/>
  <c r="W89" i="1"/>
  <c r="V89" i="1"/>
  <c r="U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AP88" i="1"/>
  <c r="AK88" i="1"/>
  <c r="AH88" i="1"/>
  <c r="AF88" i="1"/>
  <c r="Y88" i="1"/>
  <c r="Y91" i="1" s="1"/>
  <c r="X88" i="1"/>
  <c r="W88" i="1"/>
  <c r="W91" i="1" s="1"/>
  <c r="V88" i="1"/>
  <c r="V91" i="1" s="1"/>
  <c r="U88" i="1"/>
  <c r="U91" i="1" s="1"/>
  <c r="S88" i="1"/>
  <c r="S91" i="1" s="1"/>
  <c r="R88" i="1"/>
  <c r="Q88" i="1"/>
  <c r="P88" i="1"/>
  <c r="O88" i="1"/>
  <c r="M88" i="1"/>
  <c r="M94" i="1" s="1"/>
  <c r="L88" i="1"/>
  <c r="L91" i="1" s="1"/>
  <c r="K88" i="1"/>
  <c r="J88" i="1"/>
  <c r="I88" i="1"/>
  <c r="H88" i="1"/>
  <c r="G88" i="1"/>
  <c r="G91" i="1" s="1"/>
  <c r="F88" i="1"/>
  <c r="AQ87" i="1"/>
  <c r="AQ88" i="1" s="1"/>
  <c r="AQ94" i="1" s="1"/>
  <c r="AP87" i="1"/>
  <c r="AO87" i="1"/>
  <c r="AN87" i="1"/>
  <c r="AN90" i="1" s="1"/>
  <c r="AM87" i="1"/>
  <c r="AL87" i="1"/>
  <c r="AL93" i="1" s="1"/>
  <c r="AK87" i="1"/>
  <c r="AK93" i="1" s="1"/>
  <c r="AJ87" i="1"/>
  <c r="AJ88" i="1" s="1"/>
  <c r="AJ94" i="1" s="1"/>
  <c r="AI87" i="1"/>
  <c r="AH87" i="1"/>
  <c r="AH93" i="1" s="1"/>
  <c r="AG87" i="1"/>
  <c r="AG90" i="1" s="1"/>
  <c r="AF87" i="1"/>
  <c r="T87" i="1"/>
  <c r="N87" i="1"/>
  <c r="F87" i="1"/>
  <c r="AQ86" i="1"/>
  <c r="AP86" i="1"/>
  <c r="AO86" i="1"/>
  <c r="AN86" i="1"/>
  <c r="AM86" i="1"/>
  <c r="AL86" i="1"/>
  <c r="AK86" i="1"/>
  <c r="AJ86" i="1"/>
  <c r="AI86" i="1"/>
  <c r="AI88" i="1" s="1"/>
  <c r="AI94" i="1" s="1"/>
  <c r="AH86" i="1"/>
  <c r="AH92" i="1" s="1"/>
  <c r="AG86" i="1"/>
  <c r="AG89" i="1" s="1"/>
  <c r="AF86" i="1"/>
  <c r="T86" i="1"/>
  <c r="N86" i="1"/>
  <c r="N92" i="1" s="1"/>
  <c r="F86" i="1"/>
  <c r="AQ85" i="1"/>
  <c r="AO85" i="1"/>
  <c r="AN85" i="1"/>
  <c r="AM85" i="1"/>
  <c r="AL85" i="1"/>
  <c r="AK85" i="1"/>
  <c r="AJ85" i="1"/>
  <c r="AG85" i="1"/>
  <c r="Y85" i="1"/>
  <c r="X85" i="1"/>
  <c r="W85" i="1"/>
  <c r="V85" i="1"/>
  <c r="U85" i="1"/>
  <c r="S85" i="1"/>
  <c r="R85" i="1"/>
  <c r="Q85" i="1"/>
  <c r="P85" i="1"/>
  <c r="P94" i="1" s="1"/>
  <c r="O85" i="1"/>
  <c r="N85" i="1"/>
  <c r="M85" i="1"/>
  <c r="L85" i="1"/>
  <c r="K85" i="1"/>
  <c r="J85" i="1"/>
  <c r="I85" i="1"/>
  <c r="G85" i="1"/>
  <c r="AQ84" i="1"/>
  <c r="AP84" i="1"/>
  <c r="AO84" i="1"/>
  <c r="AN84" i="1"/>
  <c r="AM84" i="1"/>
  <c r="AL84" i="1"/>
  <c r="AK84" i="1"/>
  <c r="AK90" i="1" s="1"/>
  <c r="AJ84" i="1"/>
  <c r="AJ66" i="1" s="1"/>
  <c r="AI84" i="1"/>
  <c r="AI85" i="1" s="1"/>
  <c r="AH84" i="1"/>
  <c r="AH85" i="1" s="1"/>
  <c r="AG84" i="1"/>
  <c r="AF84" i="1"/>
  <c r="T84" i="1"/>
  <c r="N84" i="1"/>
  <c r="H84" i="1"/>
  <c r="AQ83" i="1"/>
  <c r="AQ65" i="1" s="1"/>
  <c r="AP83" i="1"/>
  <c r="AO83" i="1"/>
  <c r="AO65" i="1" s="1"/>
  <c r="AN83" i="1"/>
  <c r="AM83" i="1"/>
  <c r="AL83" i="1"/>
  <c r="AK83" i="1"/>
  <c r="AJ83" i="1"/>
  <c r="AJ92" i="1" s="1"/>
  <c r="AI83" i="1"/>
  <c r="AH83" i="1"/>
  <c r="AG83" i="1"/>
  <c r="AF83" i="1"/>
  <c r="T83" i="1"/>
  <c r="T85" i="1" s="1"/>
  <c r="N83" i="1"/>
  <c r="F83" i="1" s="1"/>
  <c r="F92" i="1" s="1"/>
  <c r="H83" i="1"/>
  <c r="AP82" i="1"/>
  <c r="AO82" i="1"/>
  <c r="AN82" i="1"/>
  <c r="AM82" i="1"/>
  <c r="AJ82" i="1"/>
  <c r="AI82" i="1"/>
  <c r="Y82" i="1"/>
  <c r="X82" i="1"/>
  <c r="W82" i="1"/>
  <c r="V82" i="1"/>
  <c r="U82" i="1"/>
  <c r="S82" i="1"/>
  <c r="R82" i="1"/>
  <c r="Q82" i="1"/>
  <c r="P82" i="1"/>
  <c r="O82" i="1"/>
  <c r="M82" i="1"/>
  <c r="L82" i="1"/>
  <c r="K82" i="1"/>
  <c r="J82" i="1"/>
  <c r="I82" i="1"/>
  <c r="G82" i="1"/>
  <c r="AQ81" i="1"/>
  <c r="AP81" i="1"/>
  <c r="AO81" i="1"/>
  <c r="AN81" i="1"/>
  <c r="AM81" i="1"/>
  <c r="AL81" i="1"/>
  <c r="AK81" i="1"/>
  <c r="AJ81" i="1"/>
  <c r="AJ63" i="1" s="1"/>
  <c r="AI81" i="1"/>
  <c r="AH81" i="1"/>
  <c r="AG81" i="1"/>
  <c r="AF81" i="1"/>
  <c r="T81" i="1"/>
  <c r="N81" i="1"/>
  <c r="N82" i="1" s="1"/>
  <c r="H81" i="1"/>
  <c r="F81" i="1"/>
  <c r="F82" i="1" s="1"/>
  <c r="AQ80" i="1"/>
  <c r="AP80" i="1"/>
  <c r="AO80" i="1"/>
  <c r="AN80" i="1"/>
  <c r="AM80" i="1"/>
  <c r="AL80" i="1"/>
  <c r="AK80" i="1"/>
  <c r="AJ80" i="1"/>
  <c r="AI80" i="1"/>
  <c r="AH80" i="1"/>
  <c r="AH62" i="1" s="1"/>
  <c r="AG80" i="1"/>
  <c r="AF80" i="1"/>
  <c r="T80" i="1"/>
  <c r="T82" i="1" s="1"/>
  <c r="N80" i="1"/>
  <c r="H80" i="1"/>
  <c r="F80" i="1"/>
  <c r="AQ79" i="1"/>
  <c r="AL79" i="1"/>
  <c r="AK79" i="1"/>
  <c r="AJ79" i="1"/>
  <c r="AH79" i="1"/>
  <c r="Y79" i="1"/>
  <c r="X79" i="1"/>
  <c r="W79" i="1"/>
  <c r="V79" i="1"/>
  <c r="U79" i="1"/>
  <c r="S79" i="1"/>
  <c r="R79" i="1"/>
  <c r="Q79" i="1"/>
  <c r="P79" i="1"/>
  <c r="O79" i="1"/>
  <c r="M79" i="1"/>
  <c r="L79" i="1"/>
  <c r="K79" i="1"/>
  <c r="J79" i="1"/>
  <c r="I79" i="1"/>
  <c r="G79" i="1"/>
  <c r="AQ78" i="1"/>
  <c r="AP78" i="1"/>
  <c r="AP79" i="1" s="1"/>
  <c r="AO78" i="1"/>
  <c r="AN78" i="1"/>
  <c r="AM78" i="1"/>
  <c r="AM60" i="1" s="1"/>
  <c r="AL78" i="1"/>
  <c r="AK78" i="1"/>
  <c r="AJ78" i="1"/>
  <c r="AI78" i="1"/>
  <c r="AH78" i="1"/>
  <c r="AG78" i="1"/>
  <c r="AF78" i="1"/>
  <c r="T78" i="1"/>
  <c r="N78" i="1"/>
  <c r="F78" i="1" s="1"/>
  <c r="F79" i="1" s="1"/>
  <c r="H78" i="1"/>
  <c r="AQ77" i="1"/>
  <c r="AP77" i="1"/>
  <c r="AO77" i="1"/>
  <c r="AN77" i="1"/>
  <c r="AM77" i="1"/>
  <c r="AL77" i="1"/>
  <c r="AK77" i="1"/>
  <c r="AK59" i="1" s="1"/>
  <c r="AK61" i="1" s="1"/>
  <c r="AJ77" i="1"/>
  <c r="AI77" i="1"/>
  <c r="AH77" i="1"/>
  <c r="AG77" i="1"/>
  <c r="AF77" i="1"/>
  <c r="T77" i="1"/>
  <c r="T79" i="1" s="1"/>
  <c r="N77" i="1"/>
  <c r="F77" i="1" s="1"/>
  <c r="H77" i="1"/>
  <c r="Y75" i="1"/>
  <c r="X75" i="1"/>
  <c r="V75" i="1"/>
  <c r="U75" i="1"/>
  <c r="G75" i="1"/>
  <c r="Y74" i="1"/>
  <c r="X74" i="1"/>
  <c r="W74" i="1"/>
  <c r="V74" i="1"/>
  <c r="I74" i="1"/>
  <c r="X72" i="1"/>
  <c r="V72" i="1"/>
  <c r="M72" i="1"/>
  <c r="L72" i="1"/>
  <c r="K72" i="1"/>
  <c r="G72" i="1"/>
  <c r="Y71" i="1"/>
  <c r="W71" i="1"/>
  <c r="V71" i="1"/>
  <c r="U71" i="1"/>
  <c r="J71" i="1"/>
  <c r="AP70" i="1"/>
  <c r="X70" i="1"/>
  <c r="X76" i="1" s="1"/>
  <c r="V70" i="1"/>
  <c r="U70" i="1"/>
  <c r="S70" i="1"/>
  <c r="R70" i="1"/>
  <c r="Q70" i="1"/>
  <c r="P70" i="1"/>
  <c r="M70" i="1"/>
  <c r="L70" i="1"/>
  <c r="I70" i="1"/>
  <c r="G70" i="1"/>
  <c r="AP69" i="1"/>
  <c r="AJ69" i="1"/>
  <c r="AI69" i="1"/>
  <c r="AH69" i="1"/>
  <c r="AG69" i="1"/>
  <c r="AF69" i="1"/>
  <c r="Y69" i="1"/>
  <c r="Y70" i="1" s="1"/>
  <c r="X69" i="1"/>
  <c r="W69" i="1"/>
  <c r="W70" i="1" s="1"/>
  <c r="V69" i="1"/>
  <c r="U69" i="1"/>
  <c r="T69" i="1"/>
  <c r="S69" i="1"/>
  <c r="R69" i="1"/>
  <c r="Q69" i="1"/>
  <c r="Q75" i="1" s="1"/>
  <c r="P69" i="1"/>
  <c r="P75" i="1" s="1"/>
  <c r="O69" i="1"/>
  <c r="N69" i="1"/>
  <c r="N70" i="1" s="1"/>
  <c r="M69" i="1"/>
  <c r="M75" i="1" s="1"/>
  <c r="L69" i="1"/>
  <c r="L75" i="1" s="1"/>
  <c r="K69" i="1"/>
  <c r="J69" i="1"/>
  <c r="I69" i="1"/>
  <c r="G69" i="1"/>
  <c r="AP68" i="1"/>
  <c r="AG68" i="1"/>
  <c r="AF68" i="1"/>
  <c r="Y68" i="1"/>
  <c r="X68" i="1"/>
  <c r="X71" i="1" s="1"/>
  <c r="W68" i="1"/>
  <c r="V68" i="1"/>
  <c r="U68" i="1"/>
  <c r="T68" i="1"/>
  <c r="S68" i="1"/>
  <c r="S71" i="1" s="1"/>
  <c r="R68" i="1"/>
  <c r="Q68" i="1"/>
  <c r="P68" i="1"/>
  <c r="O68" i="1"/>
  <c r="N68" i="1"/>
  <c r="M68" i="1"/>
  <c r="L68" i="1"/>
  <c r="K68" i="1"/>
  <c r="J68" i="1"/>
  <c r="I68" i="1"/>
  <c r="I71" i="1" s="1"/>
  <c r="G68" i="1"/>
  <c r="AQ67" i="1"/>
  <c r="X67" i="1"/>
  <c r="J67" i="1"/>
  <c r="AQ66" i="1"/>
  <c r="Y66" i="1"/>
  <c r="Y67" i="1" s="1"/>
  <c r="Y73" i="1" s="1"/>
  <c r="X66" i="1"/>
  <c r="W66" i="1"/>
  <c r="V66" i="1"/>
  <c r="V67" i="1" s="1"/>
  <c r="V76" i="1" s="1"/>
  <c r="U66" i="1"/>
  <c r="U72" i="1" s="1"/>
  <c r="S66" i="1"/>
  <c r="S67" i="1" s="1"/>
  <c r="S76" i="1" s="1"/>
  <c r="R66" i="1"/>
  <c r="R67" i="1" s="1"/>
  <c r="R76" i="1" s="1"/>
  <c r="Q66" i="1"/>
  <c r="P66" i="1"/>
  <c r="O66" i="1"/>
  <c r="M66" i="1"/>
  <c r="L66" i="1"/>
  <c r="K66" i="1"/>
  <c r="J66" i="1"/>
  <c r="I66" i="1"/>
  <c r="G66" i="1"/>
  <c r="AP65" i="1"/>
  <c r="AP71" i="1" s="1"/>
  <c r="AM65" i="1"/>
  <c r="AL65" i="1"/>
  <c r="AK65" i="1"/>
  <c r="AJ65" i="1"/>
  <c r="AI65" i="1"/>
  <c r="Y65" i="1"/>
  <c r="X65" i="1"/>
  <c r="W65" i="1"/>
  <c r="V65" i="1"/>
  <c r="U65" i="1"/>
  <c r="S65" i="1"/>
  <c r="R65" i="1"/>
  <c r="Q65" i="1"/>
  <c r="P65" i="1"/>
  <c r="O65" i="1"/>
  <c r="N65" i="1"/>
  <c r="M65" i="1"/>
  <c r="M71" i="1" s="1"/>
  <c r="L65" i="1"/>
  <c r="L67" i="1" s="1"/>
  <c r="K65" i="1"/>
  <c r="K67" i="1" s="1"/>
  <c r="J65" i="1"/>
  <c r="I65" i="1"/>
  <c r="G65" i="1"/>
  <c r="AJ64" i="1"/>
  <c r="AH64" i="1"/>
  <c r="M64" i="1"/>
  <c r="L64" i="1"/>
  <c r="K64" i="1"/>
  <c r="AP63" i="1"/>
  <c r="AP64" i="1" s="1"/>
  <c r="AO63" i="1"/>
  <c r="AO64" i="1" s="1"/>
  <c r="AN63" i="1"/>
  <c r="AN64" i="1" s="1"/>
  <c r="AM63" i="1"/>
  <c r="AL63" i="1"/>
  <c r="Y63" i="1"/>
  <c r="Y64" i="1" s="1"/>
  <c r="X63" i="1"/>
  <c r="X64" i="1" s="1"/>
  <c r="W63" i="1"/>
  <c r="V63" i="1"/>
  <c r="U63" i="1"/>
  <c r="S63" i="1"/>
  <c r="R63" i="1"/>
  <c r="Q63" i="1"/>
  <c r="Q64" i="1" s="1"/>
  <c r="P63" i="1"/>
  <c r="P64" i="1" s="1"/>
  <c r="O63" i="1"/>
  <c r="O64" i="1" s="1"/>
  <c r="N63" i="1"/>
  <c r="M63" i="1"/>
  <c r="L63" i="1"/>
  <c r="K63" i="1"/>
  <c r="J63" i="1"/>
  <c r="J64" i="1" s="1"/>
  <c r="I63" i="1"/>
  <c r="I64" i="1" s="1"/>
  <c r="H63" i="1"/>
  <c r="G63" i="1"/>
  <c r="G64" i="1" s="1"/>
  <c r="AP62" i="1"/>
  <c r="AO62" i="1"/>
  <c r="AN62" i="1"/>
  <c r="AJ62" i="1"/>
  <c r="AI62" i="1"/>
  <c r="AF62" i="1"/>
  <c r="Y62" i="1"/>
  <c r="X62" i="1"/>
  <c r="W62" i="1"/>
  <c r="W64" i="1" s="1"/>
  <c r="V62" i="1"/>
  <c r="U62" i="1"/>
  <c r="U64" i="1" s="1"/>
  <c r="T62" i="1"/>
  <c r="S62" i="1"/>
  <c r="R62" i="1"/>
  <c r="N62" i="1" s="1"/>
  <c r="N64" i="1" s="1"/>
  <c r="Q62" i="1"/>
  <c r="P62" i="1"/>
  <c r="O62" i="1"/>
  <c r="M62" i="1"/>
  <c r="L62" i="1"/>
  <c r="K62" i="1"/>
  <c r="J62" i="1"/>
  <c r="I62" i="1"/>
  <c r="G62" i="1"/>
  <c r="AM61" i="1"/>
  <c r="AL61" i="1"/>
  <c r="P61" i="1"/>
  <c r="O61" i="1"/>
  <c r="M61" i="1"/>
  <c r="L61" i="1"/>
  <c r="K61" i="1"/>
  <c r="AQ60" i="1"/>
  <c r="AL60" i="1"/>
  <c r="AK60" i="1"/>
  <c r="AJ60" i="1"/>
  <c r="AJ61" i="1" s="1"/>
  <c r="AG60" i="1"/>
  <c r="Y60" i="1"/>
  <c r="Y61" i="1" s="1"/>
  <c r="X60" i="1"/>
  <c r="W60" i="1"/>
  <c r="W61" i="1" s="1"/>
  <c r="V60" i="1"/>
  <c r="V61" i="1" s="1"/>
  <c r="U60" i="1"/>
  <c r="U61" i="1" s="1"/>
  <c r="S60" i="1"/>
  <c r="R60" i="1"/>
  <c r="Q60" i="1"/>
  <c r="P60" i="1"/>
  <c r="O60" i="1"/>
  <c r="M60" i="1"/>
  <c r="L60" i="1"/>
  <c r="K60" i="1"/>
  <c r="J60" i="1"/>
  <c r="I60" i="1"/>
  <c r="G60" i="1"/>
  <c r="AQ59" i="1"/>
  <c r="AQ61" i="1" s="1"/>
  <c r="AP59" i="1"/>
  <c r="AO59" i="1"/>
  <c r="AN59" i="1"/>
  <c r="AM59" i="1"/>
  <c r="AL59" i="1"/>
  <c r="AH59" i="1"/>
  <c r="Y59" i="1"/>
  <c r="X59" i="1"/>
  <c r="X61" i="1" s="1"/>
  <c r="W59" i="1"/>
  <c r="V59" i="1"/>
  <c r="U59" i="1"/>
  <c r="T59" i="1"/>
  <c r="S59" i="1"/>
  <c r="R59" i="1"/>
  <c r="R61" i="1" s="1"/>
  <c r="Q59" i="1"/>
  <c r="Q61" i="1" s="1"/>
  <c r="P59" i="1"/>
  <c r="N59" i="1" s="1"/>
  <c r="O59" i="1"/>
  <c r="M59" i="1"/>
  <c r="L59" i="1"/>
  <c r="K59" i="1"/>
  <c r="J59" i="1"/>
  <c r="J61" i="1" s="1"/>
  <c r="I59" i="1"/>
  <c r="H59" i="1"/>
  <c r="G59" i="1"/>
  <c r="Y58" i="1"/>
  <c r="W58" i="1"/>
  <c r="Q57" i="1"/>
  <c r="P57" i="1"/>
  <c r="O57" i="1"/>
  <c r="L57" i="1"/>
  <c r="J57" i="1"/>
  <c r="I57" i="1"/>
  <c r="H57" i="1"/>
  <c r="G57" i="1"/>
  <c r="Y56" i="1"/>
  <c r="W56" i="1"/>
  <c r="V56" i="1"/>
  <c r="U56" i="1"/>
  <c r="S56" i="1"/>
  <c r="Q56" i="1"/>
  <c r="I56" i="1"/>
  <c r="G56" i="1"/>
  <c r="V54" i="1"/>
  <c r="M54" i="1"/>
  <c r="L54" i="1"/>
  <c r="J54" i="1"/>
  <c r="I54" i="1"/>
  <c r="Y53" i="1"/>
  <c r="J53" i="1"/>
  <c r="I53" i="1"/>
  <c r="L52" i="1"/>
  <c r="K52" i="1"/>
  <c r="J52" i="1"/>
  <c r="I52" i="1"/>
  <c r="G52" i="1"/>
  <c r="Y51" i="1"/>
  <c r="Y52" i="1" s="1"/>
  <c r="X51" i="1"/>
  <c r="X57" i="1" s="1"/>
  <c r="W51" i="1"/>
  <c r="W52" i="1" s="1"/>
  <c r="V51" i="1"/>
  <c r="U51" i="1"/>
  <c r="T51" i="1"/>
  <c r="S51" i="1"/>
  <c r="R51" i="1"/>
  <c r="Q51" i="1"/>
  <c r="P51" i="1"/>
  <c r="O51" i="1"/>
  <c r="N51" i="1" s="1"/>
  <c r="M51" i="1"/>
  <c r="L51" i="1"/>
  <c r="K51" i="1"/>
  <c r="J51" i="1"/>
  <c r="I51" i="1"/>
  <c r="H51" i="1"/>
  <c r="G51" i="1"/>
  <c r="Y50" i="1"/>
  <c r="X50" i="1"/>
  <c r="X56" i="1" s="1"/>
  <c r="W50" i="1"/>
  <c r="W53" i="1" s="1"/>
  <c r="V50" i="1"/>
  <c r="U50" i="1"/>
  <c r="S50" i="1"/>
  <c r="R50" i="1"/>
  <c r="Q50" i="1"/>
  <c r="P50" i="1"/>
  <c r="O50" i="1"/>
  <c r="M50" i="1"/>
  <c r="M56" i="1" s="1"/>
  <c r="L50" i="1"/>
  <c r="K50" i="1"/>
  <c r="J50" i="1"/>
  <c r="J56" i="1" s="1"/>
  <c r="I50" i="1"/>
  <c r="G50" i="1"/>
  <c r="G53" i="1" s="1"/>
  <c r="X49" i="1"/>
  <c r="Q49" i="1"/>
  <c r="P49" i="1"/>
  <c r="O49" i="1"/>
  <c r="M49" i="1"/>
  <c r="J49" i="1"/>
  <c r="I49" i="1"/>
  <c r="Y48" i="1"/>
  <c r="Y49" i="1" s="1"/>
  <c r="X48" i="1"/>
  <c r="X12" i="1" s="1"/>
  <c r="W48" i="1"/>
  <c r="W49" i="1" s="1"/>
  <c r="V48" i="1"/>
  <c r="U48" i="1"/>
  <c r="S48" i="1"/>
  <c r="R48" i="1"/>
  <c r="Q48" i="1"/>
  <c r="Q54" i="1" s="1"/>
  <c r="P48" i="1"/>
  <c r="O48" i="1"/>
  <c r="M48" i="1"/>
  <c r="L48" i="1"/>
  <c r="L49" i="1" s="1"/>
  <c r="K48" i="1"/>
  <c r="K49" i="1" s="1"/>
  <c r="J48" i="1"/>
  <c r="I48" i="1"/>
  <c r="H48" i="1"/>
  <c r="H49" i="1" s="1"/>
  <c r="G48" i="1"/>
  <c r="Y47" i="1"/>
  <c r="Y11" i="1" s="1"/>
  <c r="X47" i="1"/>
  <c r="W47" i="1"/>
  <c r="V47" i="1"/>
  <c r="V49" i="1" s="1"/>
  <c r="U47" i="1"/>
  <c r="T47" i="1"/>
  <c r="S47" i="1"/>
  <c r="S11" i="1" s="1"/>
  <c r="R47" i="1"/>
  <c r="Q47" i="1"/>
  <c r="P47" i="1"/>
  <c r="O47" i="1"/>
  <c r="M47" i="1"/>
  <c r="L47" i="1"/>
  <c r="K47" i="1"/>
  <c r="J47" i="1"/>
  <c r="H47" i="1" s="1"/>
  <c r="I47" i="1"/>
  <c r="I11" i="1" s="1"/>
  <c r="G47" i="1"/>
  <c r="U46" i="1"/>
  <c r="S46" i="1"/>
  <c r="R46" i="1"/>
  <c r="AH45" i="1"/>
  <c r="Y45" i="1"/>
  <c r="X45" i="1"/>
  <c r="W45" i="1"/>
  <c r="V45" i="1"/>
  <c r="U45" i="1"/>
  <c r="S45" i="1"/>
  <c r="R45" i="1"/>
  <c r="Q45" i="1"/>
  <c r="Q46" i="1" s="1"/>
  <c r="P45" i="1"/>
  <c r="O45" i="1"/>
  <c r="O46" i="1" s="1"/>
  <c r="M45" i="1"/>
  <c r="M46" i="1" s="1"/>
  <c r="L45" i="1"/>
  <c r="K45" i="1"/>
  <c r="J45" i="1"/>
  <c r="I45" i="1"/>
  <c r="G45" i="1"/>
  <c r="Y44" i="1"/>
  <c r="X44" i="1"/>
  <c r="W44" i="1"/>
  <c r="V44" i="1"/>
  <c r="U44" i="1"/>
  <c r="S44" i="1"/>
  <c r="R44" i="1"/>
  <c r="Q44" i="1"/>
  <c r="P44" i="1"/>
  <c r="O44" i="1"/>
  <c r="N44" i="1"/>
  <c r="M44" i="1"/>
  <c r="L44" i="1"/>
  <c r="L8" i="1" s="1"/>
  <c r="K44" i="1"/>
  <c r="J44" i="1"/>
  <c r="I44" i="1"/>
  <c r="G44" i="1"/>
  <c r="G46" i="1" s="1"/>
  <c r="W43" i="1"/>
  <c r="V43" i="1"/>
  <c r="P43" i="1"/>
  <c r="O43" i="1"/>
  <c r="G43" i="1"/>
  <c r="Y42" i="1"/>
  <c r="X42" i="1"/>
  <c r="W42" i="1"/>
  <c r="V42" i="1"/>
  <c r="U42" i="1"/>
  <c r="U43" i="1" s="1"/>
  <c r="T42" i="1"/>
  <c r="T43" i="1" s="1"/>
  <c r="S42" i="1"/>
  <c r="S43" i="1" s="1"/>
  <c r="R42" i="1"/>
  <c r="Q42" i="1"/>
  <c r="P42" i="1"/>
  <c r="O42" i="1"/>
  <c r="M42" i="1"/>
  <c r="M43" i="1" s="1"/>
  <c r="L42" i="1"/>
  <c r="K42" i="1"/>
  <c r="K43" i="1" s="1"/>
  <c r="J42" i="1"/>
  <c r="I42" i="1"/>
  <c r="H42" i="1" s="1"/>
  <c r="G42" i="1"/>
  <c r="Y41" i="1"/>
  <c r="Y5" i="1" s="1"/>
  <c r="X41" i="1"/>
  <c r="X5" i="1" s="1"/>
  <c r="W41" i="1"/>
  <c r="V41" i="1"/>
  <c r="T41" i="1" s="1"/>
  <c r="U41" i="1"/>
  <c r="S41" i="1"/>
  <c r="R41" i="1"/>
  <c r="Q41" i="1"/>
  <c r="Q43" i="1" s="1"/>
  <c r="P41" i="1"/>
  <c r="O41" i="1"/>
  <c r="O5" i="1" s="1"/>
  <c r="N41" i="1"/>
  <c r="M41" i="1"/>
  <c r="L41" i="1"/>
  <c r="L43" i="1" s="1"/>
  <c r="K41" i="1"/>
  <c r="J41" i="1"/>
  <c r="J5" i="1" s="1"/>
  <c r="I41" i="1"/>
  <c r="G41" i="1"/>
  <c r="Y40" i="1"/>
  <c r="Y39" i="1"/>
  <c r="X39" i="1"/>
  <c r="W39" i="1"/>
  <c r="V39" i="1"/>
  <c r="U39" i="1"/>
  <c r="S39" i="1"/>
  <c r="R39" i="1"/>
  <c r="V38" i="1"/>
  <c r="R38" i="1"/>
  <c r="Y36" i="1"/>
  <c r="U36" i="1"/>
  <c r="O36" i="1"/>
  <c r="N36" i="1"/>
  <c r="M36" i="1"/>
  <c r="L36" i="1"/>
  <c r="I36" i="1"/>
  <c r="Y35" i="1"/>
  <c r="X35" i="1"/>
  <c r="W35" i="1"/>
  <c r="V35" i="1"/>
  <c r="U35" i="1"/>
  <c r="R35" i="1"/>
  <c r="G35" i="1"/>
  <c r="Y34" i="1"/>
  <c r="S34" i="1"/>
  <c r="Y33" i="1"/>
  <c r="X33" i="1"/>
  <c r="W33" i="1"/>
  <c r="V33" i="1"/>
  <c r="U33" i="1"/>
  <c r="S33" i="1"/>
  <c r="R33" i="1"/>
  <c r="Q33" i="1"/>
  <c r="P33" i="1"/>
  <c r="O33" i="1"/>
  <c r="N33" i="1"/>
  <c r="M33" i="1"/>
  <c r="L33" i="1"/>
  <c r="K33" i="1"/>
  <c r="J33" i="1"/>
  <c r="I33" i="1"/>
  <c r="I39" i="1" s="1"/>
  <c r="G33" i="1"/>
  <c r="Y32" i="1"/>
  <c r="Y38" i="1" s="1"/>
  <c r="X32" i="1"/>
  <c r="W32" i="1"/>
  <c r="V32" i="1"/>
  <c r="U32" i="1"/>
  <c r="U34" i="1" s="1"/>
  <c r="S32" i="1"/>
  <c r="S35" i="1" s="1"/>
  <c r="R32" i="1"/>
  <c r="Q32" i="1"/>
  <c r="P32" i="1"/>
  <c r="O32" i="1"/>
  <c r="N32" i="1"/>
  <c r="M32" i="1"/>
  <c r="L32" i="1"/>
  <c r="K32" i="1"/>
  <c r="K35" i="1" s="1"/>
  <c r="J32" i="1"/>
  <c r="I32" i="1"/>
  <c r="I34" i="1" s="1"/>
  <c r="G32" i="1"/>
  <c r="Y31" i="1"/>
  <c r="Y37" i="1" s="1"/>
  <c r="X31" i="1"/>
  <c r="S31" i="1"/>
  <c r="S37" i="1" s="1"/>
  <c r="R31" i="1"/>
  <c r="I31" i="1"/>
  <c r="Y30" i="1"/>
  <c r="X30" i="1"/>
  <c r="W30" i="1"/>
  <c r="V30" i="1"/>
  <c r="U30" i="1"/>
  <c r="S30" i="1"/>
  <c r="S36" i="1" s="1"/>
  <c r="R30" i="1"/>
  <c r="Q30" i="1"/>
  <c r="P30" i="1"/>
  <c r="O30" i="1"/>
  <c r="N30" i="1"/>
  <c r="M30" i="1"/>
  <c r="M12" i="1" s="1"/>
  <c r="L30" i="1"/>
  <c r="L31" i="1" s="1"/>
  <c r="K30" i="1"/>
  <c r="K31" i="1" s="1"/>
  <c r="J30" i="1"/>
  <c r="I30" i="1"/>
  <c r="G30" i="1"/>
  <c r="Y29" i="1"/>
  <c r="X29" i="1"/>
  <c r="W29" i="1"/>
  <c r="V29" i="1"/>
  <c r="V31" i="1" s="1"/>
  <c r="U29" i="1"/>
  <c r="U11" i="1" s="1"/>
  <c r="S29" i="1"/>
  <c r="R29" i="1"/>
  <c r="Q29" i="1"/>
  <c r="Q31" i="1" s="1"/>
  <c r="P29" i="1"/>
  <c r="O29" i="1"/>
  <c r="O11" i="1" s="1"/>
  <c r="N29" i="1"/>
  <c r="N31" i="1" s="1"/>
  <c r="M29" i="1"/>
  <c r="L29" i="1"/>
  <c r="L11" i="1" s="1"/>
  <c r="K29" i="1"/>
  <c r="K11" i="1" s="1"/>
  <c r="J29" i="1"/>
  <c r="J11" i="1" s="1"/>
  <c r="I29" i="1"/>
  <c r="G29" i="1"/>
  <c r="Y28" i="1"/>
  <c r="W28" i="1"/>
  <c r="O28" i="1"/>
  <c r="L28" i="1"/>
  <c r="I28" i="1"/>
  <c r="G28" i="1"/>
  <c r="Y27" i="1"/>
  <c r="X27" i="1"/>
  <c r="X28" i="1" s="1"/>
  <c r="W27" i="1"/>
  <c r="V27" i="1"/>
  <c r="U27" i="1"/>
  <c r="T27" i="1"/>
  <c r="S27" i="1"/>
  <c r="S28" i="1" s="1"/>
  <c r="R27" i="1"/>
  <c r="Q27" i="1"/>
  <c r="P27" i="1"/>
  <c r="O27" i="1"/>
  <c r="O9" i="1" s="1"/>
  <c r="N27" i="1"/>
  <c r="M27" i="1"/>
  <c r="L27" i="1"/>
  <c r="K27" i="1"/>
  <c r="J27" i="1"/>
  <c r="J28" i="1" s="1"/>
  <c r="I27" i="1"/>
  <c r="H27" i="1"/>
  <c r="G27" i="1"/>
  <c r="Y26" i="1"/>
  <c r="X26" i="1"/>
  <c r="W26" i="1"/>
  <c r="V26" i="1"/>
  <c r="V8" i="1" s="1"/>
  <c r="U26" i="1"/>
  <c r="S26" i="1"/>
  <c r="R26" i="1"/>
  <c r="Q26" i="1"/>
  <c r="P26" i="1"/>
  <c r="O26" i="1"/>
  <c r="M26" i="1"/>
  <c r="M28" i="1" s="1"/>
  <c r="L26" i="1"/>
  <c r="K26" i="1"/>
  <c r="K8" i="1" s="1"/>
  <c r="J26" i="1"/>
  <c r="I26" i="1"/>
  <c r="H26" i="1" s="1"/>
  <c r="G26" i="1"/>
  <c r="Q25" i="1"/>
  <c r="P25" i="1"/>
  <c r="O25" i="1"/>
  <c r="J25" i="1"/>
  <c r="I25" i="1"/>
  <c r="H25" i="1"/>
  <c r="G25" i="1"/>
  <c r="Y24" i="1"/>
  <c r="Y25" i="1" s="1"/>
  <c r="X24" i="1"/>
  <c r="X25" i="1" s="1"/>
  <c r="W24" i="1"/>
  <c r="W25" i="1" s="1"/>
  <c r="V24" i="1"/>
  <c r="U24" i="1"/>
  <c r="T24" i="1"/>
  <c r="T25" i="1" s="1"/>
  <c r="S24" i="1"/>
  <c r="R24" i="1"/>
  <c r="Q24" i="1"/>
  <c r="Q6" i="1" s="1"/>
  <c r="Q7" i="1" s="1"/>
  <c r="P24" i="1"/>
  <c r="P6" i="1" s="1"/>
  <c r="P7" i="1" s="1"/>
  <c r="O24" i="1"/>
  <c r="M24" i="1"/>
  <c r="M25" i="1" s="1"/>
  <c r="L24" i="1"/>
  <c r="K24" i="1"/>
  <c r="K25" i="1" s="1"/>
  <c r="J24" i="1"/>
  <c r="I24" i="1"/>
  <c r="H24" i="1"/>
  <c r="G24" i="1"/>
  <c r="Y23" i="1"/>
  <c r="X23" i="1"/>
  <c r="W23" i="1"/>
  <c r="V23" i="1"/>
  <c r="V5" i="1" s="1"/>
  <c r="U23" i="1"/>
  <c r="T23" i="1"/>
  <c r="S23" i="1"/>
  <c r="S5" i="1" s="1"/>
  <c r="R23" i="1"/>
  <c r="R5" i="1" s="1"/>
  <c r="Q23" i="1"/>
  <c r="Q5" i="1" s="1"/>
  <c r="P23" i="1"/>
  <c r="P5" i="1" s="1"/>
  <c r="N5" i="1" s="1"/>
  <c r="O23" i="1"/>
  <c r="N23" i="1"/>
  <c r="F23" i="1" s="1"/>
  <c r="M23" i="1"/>
  <c r="L23" i="1"/>
  <c r="L25" i="1" s="1"/>
  <c r="K23" i="1"/>
  <c r="J23" i="1"/>
  <c r="H23" i="1" s="1"/>
  <c r="I23" i="1"/>
  <c r="G23" i="1"/>
  <c r="O17" i="1"/>
  <c r="S15" i="1"/>
  <c r="K15" i="1"/>
  <c r="J15" i="1"/>
  <c r="I15" i="1"/>
  <c r="Y14" i="1"/>
  <c r="Y17" i="1" s="1"/>
  <c r="U14" i="1"/>
  <c r="U17" i="1" s="1"/>
  <c r="R14" i="1"/>
  <c r="O14" i="1"/>
  <c r="L14" i="1"/>
  <c r="L17" i="1" s="1"/>
  <c r="K14" i="1"/>
  <c r="K17" i="1" s="1"/>
  <c r="J14" i="1"/>
  <c r="J17" i="1" s="1"/>
  <c r="I14" i="1"/>
  <c r="G14" i="1"/>
  <c r="V12" i="1"/>
  <c r="V13" i="1" s="1"/>
  <c r="Q12" i="1"/>
  <c r="P12" i="1"/>
  <c r="O12" i="1"/>
  <c r="I12" i="1"/>
  <c r="X11" i="1"/>
  <c r="W11" i="1"/>
  <c r="V11" i="1"/>
  <c r="G11" i="1"/>
  <c r="Y9" i="1"/>
  <c r="X9" i="1"/>
  <c r="X10" i="1" s="1"/>
  <c r="W9" i="1"/>
  <c r="V9" i="1"/>
  <c r="U9" i="1"/>
  <c r="T9" i="1"/>
  <c r="S9" i="1"/>
  <c r="S10" i="1" s="1"/>
  <c r="J9" i="1"/>
  <c r="J10" i="1" s="1"/>
  <c r="I9" i="1"/>
  <c r="G9" i="1"/>
  <c r="X8" i="1"/>
  <c r="S8" i="1"/>
  <c r="R8" i="1"/>
  <c r="Q8" i="1"/>
  <c r="P8" i="1"/>
  <c r="O8" i="1"/>
  <c r="N8" i="1" s="1"/>
  <c r="M8" i="1"/>
  <c r="J8" i="1"/>
  <c r="Y6" i="1"/>
  <c r="Y7" i="1" s="1"/>
  <c r="X6" i="1"/>
  <c r="X7" i="1" s="1"/>
  <c r="W6" i="1"/>
  <c r="O6" i="1"/>
  <c r="M6" i="1"/>
  <c r="L6" i="1"/>
  <c r="J6" i="1"/>
  <c r="G6" i="1"/>
  <c r="G7" i="1" s="1"/>
  <c r="U5" i="1"/>
  <c r="M5" i="1"/>
  <c r="K5" i="1"/>
  <c r="I5" i="1"/>
  <c r="G5" i="1"/>
  <c r="AG4" i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I3" i="1"/>
  <c r="AJ3" i="1" s="1"/>
  <c r="AK3" i="1" s="1"/>
  <c r="AL3" i="1" s="1"/>
  <c r="AM3" i="1" s="1"/>
  <c r="AN3" i="1" s="1"/>
  <c r="AO3" i="1" s="1"/>
  <c r="AP3" i="1" s="1"/>
  <c r="AQ3" i="1" s="1"/>
  <c r="AG3" i="1"/>
  <c r="AH3" i="1" s="1"/>
  <c r="Z2" i="1"/>
  <c r="I37" i="1" l="1"/>
  <c r="I40" i="1"/>
  <c r="P13" i="1"/>
  <c r="F541" i="1"/>
  <c r="AG175" i="1"/>
  <c r="AG184" i="1" s="1"/>
  <c r="AG180" i="1"/>
  <c r="AE262" i="1"/>
  <c r="F115" i="1"/>
  <c r="AJ136" i="1"/>
  <c r="AK117" i="1"/>
  <c r="AE174" i="1"/>
  <c r="F272" i="1"/>
  <c r="F269" i="1"/>
  <c r="AL109" i="1"/>
  <c r="AL112" i="1"/>
  <c r="AM33" i="1"/>
  <c r="J7" i="1"/>
  <c r="H5" i="1"/>
  <c r="N595" i="1"/>
  <c r="N598" i="1"/>
  <c r="F268" i="1"/>
  <c r="F270" i="1"/>
  <c r="AJ146" i="1"/>
  <c r="AJ122" i="1"/>
  <c r="AJ143" i="1"/>
  <c r="AJ32" i="1"/>
  <c r="N76" i="1"/>
  <c r="N73" i="1"/>
  <c r="AG549" i="1"/>
  <c r="AE567" i="1"/>
  <c r="AE568" i="1" s="1"/>
  <c r="AG459" i="1"/>
  <c r="AG568" i="1"/>
  <c r="K16" i="1"/>
  <c r="F27" i="1"/>
  <c r="H64" i="1"/>
  <c r="AI75" i="1"/>
  <c r="AI72" i="1"/>
  <c r="AI70" i="1"/>
  <c r="N112" i="1"/>
  <c r="N109" i="1"/>
  <c r="AP179" i="1"/>
  <c r="AP182" i="1"/>
  <c r="W184" i="1"/>
  <c r="W181" i="1"/>
  <c r="Y337" i="1"/>
  <c r="Y342" i="1"/>
  <c r="P388" i="1"/>
  <c r="N387" i="1"/>
  <c r="AH433" i="1"/>
  <c r="AH436" i="1"/>
  <c r="AI438" i="1"/>
  <c r="AI439" i="1" s="1"/>
  <c r="M506" i="1"/>
  <c r="M503" i="1"/>
  <c r="H500" i="1"/>
  <c r="AP542" i="1"/>
  <c r="AP482" i="1"/>
  <c r="AP539" i="1"/>
  <c r="AO548" i="1"/>
  <c r="AO586" i="1"/>
  <c r="AO476" i="1"/>
  <c r="AO440" i="1" s="1"/>
  <c r="AP586" i="1"/>
  <c r="AP549" i="1"/>
  <c r="AP550" i="1" s="1"/>
  <c r="AJ485" i="1"/>
  <c r="AJ488" i="1"/>
  <c r="H649" i="1"/>
  <c r="AK759" i="1"/>
  <c r="AK754" i="1"/>
  <c r="AK756" i="1"/>
  <c r="AE753" i="1"/>
  <c r="AK717" i="1"/>
  <c r="AH812" i="1"/>
  <c r="AH809" i="1"/>
  <c r="AJ866" i="1"/>
  <c r="AJ821" i="1"/>
  <c r="AJ827" i="1" s="1"/>
  <c r="AJ803" i="1"/>
  <c r="AJ809" i="1" s="1"/>
  <c r="AJ859" i="1"/>
  <c r="AN863" i="1"/>
  <c r="AN806" i="1"/>
  <c r="AN824" i="1"/>
  <c r="AN862" i="1"/>
  <c r="AN866" i="1"/>
  <c r="AL64" i="1"/>
  <c r="O75" i="1"/>
  <c r="O72" i="1"/>
  <c r="Y145" i="1"/>
  <c r="Y148" i="1"/>
  <c r="AH151" i="1"/>
  <c r="AH42" i="1"/>
  <c r="X181" i="1"/>
  <c r="AI170" i="1"/>
  <c r="AI172" i="1" s="1"/>
  <c r="AI190" i="1"/>
  <c r="AK149" i="1"/>
  <c r="N222" i="1"/>
  <c r="N223" i="1" s="1"/>
  <c r="R223" i="1"/>
  <c r="I235" i="1"/>
  <c r="I238" i="1"/>
  <c r="Y256" i="1"/>
  <c r="Y253" i="1"/>
  <c r="H336" i="1"/>
  <c r="H337" i="1" s="1"/>
  <c r="I337" i="1"/>
  <c r="I346" i="1" s="1"/>
  <c r="AE371" i="1"/>
  <c r="AG335" i="1"/>
  <c r="AE335" i="1" s="1"/>
  <c r="AG377" i="1"/>
  <c r="AQ406" i="1"/>
  <c r="AQ387" i="1"/>
  <c r="AQ388" i="1" s="1"/>
  <c r="U415" i="1"/>
  <c r="U418" i="1"/>
  <c r="S445" i="1"/>
  <c r="S452" i="1"/>
  <c r="N443" i="1"/>
  <c r="N445" i="1" s="1"/>
  <c r="AJ457" i="1"/>
  <c r="AJ499" i="1"/>
  <c r="AL503" i="1"/>
  <c r="AL506" i="1"/>
  <c r="N503" i="1"/>
  <c r="AO501" i="1"/>
  <c r="AO520" i="1"/>
  <c r="AO522" i="1"/>
  <c r="AO525" i="1"/>
  <c r="AM557" i="1"/>
  <c r="AM560" i="1"/>
  <c r="N648" i="1"/>
  <c r="F645" i="1"/>
  <c r="N651" i="1"/>
  <c r="N646" i="1"/>
  <c r="T26" i="1"/>
  <c r="U8" i="1"/>
  <c r="T8" i="1" s="1"/>
  <c r="T10" i="1" s="1"/>
  <c r="AJ50" i="1"/>
  <c r="AJ107" i="1"/>
  <c r="AJ68" i="1"/>
  <c r="AK51" i="1"/>
  <c r="AK111" i="1"/>
  <c r="AK108" i="1"/>
  <c r="AK106" i="1"/>
  <c r="AK69" i="1"/>
  <c r="S182" i="1"/>
  <c r="N173" i="1"/>
  <c r="S179" i="1"/>
  <c r="H176" i="1"/>
  <c r="L182" i="1"/>
  <c r="AJ116" i="1"/>
  <c r="AJ26" i="1"/>
  <c r="J237" i="1"/>
  <c r="J232" i="1"/>
  <c r="F255" i="1"/>
  <c r="F252" i="1"/>
  <c r="L331" i="1"/>
  <c r="H329" i="1"/>
  <c r="AP338" i="1"/>
  <c r="AP380" i="1"/>
  <c r="AH381" i="1"/>
  <c r="J507" i="1"/>
  <c r="J499" i="1"/>
  <c r="H498" i="1"/>
  <c r="AM455" i="1"/>
  <c r="AM437" i="1" s="1"/>
  <c r="AM491" i="1"/>
  <c r="AP522" i="1"/>
  <c r="AP520" i="1"/>
  <c r="AP501" i="1"/>
  <c r="AP465" i="1"/>
  <c r="AP525" i="1"/>
  <c r="T583" i="1"/>
  <c r="F581" i="1"/>
  <c r="K616" i="1"/>
  <c r="K613" i="1"/>
  <c r="I58" i="1"/>
  <c r="I55" i="1"/>
  <c r="AL44" i="1"/>
  <c r="AL1089" i="1" s="1"/>
  <c r="AE102" i="1"/>
  <c r="AE103" i="1" s="1"/>
  <c r="AG66" i="1"/>
  <c r="AG67" i="1" s="1"/>
  <c r="AG48" i="1"/>
  <c r="AG49" i="1" s="1"/>
  <c r="Q109" i="1"/>
  <c r="Q112" i="1"/>
  <c r="F137" i="1"/>
  <c r="F143" i="1" s="1"/>
  <c r="N143" i="1"/>
  <c r="N139" i="1"/>
  <c r="N145" i="1" s="1"/>
  <c r="I145" i="1"/>
  <c r="I148" i="1"/>
  <c r="AJ170" i="1"/>
  <c r="AK170" i="1"/>
  <c r="AK134" i="1"/>
  <c r="AN168" i="1"/>
  <c r="AN169" i="1" s="1"/>
  <c r="AN150" i="1"/>
  <c r="V236" i="1"/>
  <c r="V233" i="1"/>
  <c r="AH259" i="1"/>
  <c r="AE258" i="1"/>
  <c r="AE259" i="1" s="1"/>
  <c r="AH222" i="1"/>
  <c r="AH223" i="1" s="1"/>
  <c r="H262" i="1"/>
  <c r="AG336" i="1"/>
  <c r="H394" i="1"/>
  <c r="H399" i="1"/>
  <c r="H396" i="1"/>
  <c r="AO409" i="1"/>
  <c r="AG486" i="1"/>
  <c r="AN507" i="1"/>
  <c r="Y508" i="1"/>
  <c r="AO579" i="1"/>
  <c r="AO574" i="1"/>
  <c r="AO555" i="1"/>
  <c r="AO576" i="1"/>
  <c r="P604" i="1"/>
  <c r="N603" i="1"/>
  <c r="N604" i="1" s="1"/>
  <c r="R607" i="1"/>
  <c r="R616" i="1" s="1"/>
  <c r="R615" i="1"/>
  <c r="R612" i="1"/>
  <c r="N606" i="1"/>
  <c r="N607" i="1" s="1"/>
  <c r="AM649" i="1"/>
  <c r="AK797" i="1"/>
  <c r="AM872" i="1"/>
  <c r="AM782" i="1"/>
  <c r="AM892" i="1"/>
  <c r="R25" i="1"/>
  <c r="R6" i="1"/>
  <c r="R7" i="1" s="1"/>
  <c r="K38" i="1"/>
  <c r="AE97" i="1"/>
  <c r="AM62" i="1"/>
  <c r="AH67" i="1"/>
  <c r="AM135" i="1"/>
  <c r="AM171" i="1"/>
  <c r="AI226" i="1"/>
  <c r="G233" i="1"/>
  <c r="G232" i="1"/>
  <c r="AP244" i="1"/>
  <c r="AP224" i="1"/>
  <c r="AP134" i="1"/>
  <c r="N251" i="1"/>
  <c r="N254" i="1"/>
  <c r="AL277" i="1"/>
  <c r="AH336" i="1"/>
  <c r="AK373" i="1"/>
  <c r="AK378" i="1"/>
  <c r="N381" i="1"/>
  <c r="F375" i="1"/>
  <c r="N376" i="1"/>
  <c r="N378" i="1"/>
  <c r="AL386" i="1"/>
  <c r="P398" i="1"/>
  <c r="P395" i="1"/>
  <c r="AF399" i="1"/>
  <c r="AF396" i="1"/>
  <c r="AH421" i="1"/>
  <c r="AE420" i="1"/>
  <c r="AJ489" i="1"/>
  <c r="AJ484" i="1"/>
  <c r="AJ486" i="1"/>
  <c r="AI540" i="1"/>
  <c r="AI543" i="1"/>
  <c r="AI535" i="1"/>
  <c r="AI480" i="1"/>
  <c r="AI481" i="1" s="1"/>
  <c r="F545" i="1"/>
  <c r="U547" i="1"/>
  <c r="T546" i="1"/>
  <c r="T547" i="1" s="1"/>
  <c r="AP579" i="1"/>
  <c r="AP574" i="1"/>
  <c r="AP555" i="1"/>
  <c r="AP576" i="1"/>
  <c r="AP600" i="1"/>
  <c r="AP601" i="1" s="1"/>
  <c r="AP637" i="1"/>
  <c r="U658" i="1"/>
  <c r="T656" i="1"/>
  <c r="T658" i="1" s="1"/>
  <c r="F680" i="1"/>
  <c r="T686" i="1"/>
  <c r="T683" i="1"/>
  <c r="T682" i="1"/>
  <c r="AE728" i="1"/>
  <c r="AF710" i="1"/>
  <c r="AF458" i="1"/>
  <c r="AF475" i="1"/>
  <c r="S25" i="1"/>
  <c r="S6" i="1"/>
  <c r="S7" i="1" s="1"/>
  <c r="L35" i="1"/>
  <c r="L38" i="1"/>
  <c r="N54" i="1"/>
  <c r="N57" i="1"/>
  <c r="F51" i="1"/>
  <c r="S72" i="1"/>
  <c r="K71" i="1"/>
  <c r="AI67" i="1"/>
  <c r="AF154" i="1"/>
  <c r="AH131" i="1"/>
  <c r="AH167" i="1"/>
  <c r="AH169" i="1" s="1"/>
  <c r="AM134" i="1"/>
  <c r="AM170" i="1"/>
  <c r="AJ175" i="1"/>
  <c r="F254" i="1"/>
  <c r="X256" i="1"/>
  <c r="AJ259" i="1"/>
  <c r="AJ222" i="1"/>
  <c r="AJ223" i="1" s="1"/>
  <c r="AM277" i="1"/>
  <c r="AL323" i="1"/>
  <c r="AL326" i="1"/>
  <c r="AL158" i="1"/>
  <c r="AE320" i="1"/>
  <c r="S325" i="1"/>
  <c r="S328" i="1"/>
  <c r="Q341" i="1"/>
  <c r="Q337" i="1"/>
  <c r="Q344" i="1"/>
  <c r="AI336" i="1"/>
  <c r="AI337" i="1" s="1"/>
  <c r="J399" i="1"/>
  <c r="J394" i="1"/>
  <c r="AQ414" i="1"/>
  <c r="R11" i="1"/>
  <c r="R17" i="1" s="1"/>
  <c r="R53" i="1"/>
  <c r="AH107" i="1"/>
  <c r="AH68" i="1"/>
  <c r="AJ120" i="1"/>
  <c r="V183" i="1"/>
  <c r="V178" i="1"/>
  <c r="V180" i="1"/>
  <c r="H237" i="1"/>
  <c r="H234" i="1"/>
  <c r="H232" i="1"/>
  <c r="AQ224" i="1"/>
  <c r="AQ262" i="1"/>
  <c r="T287" i="1"/>
  <c r="T290" i="1"/>
  <c r="G337" i="1"/>
  <c r="G346" i="1" s="1"/>
  <c r="AN380" i="1"/>
  <c r="AN377" i="1"/>
  <c r="AN376" i="1"/>
  <c r="U398" i="1"/>
  <c r="U395" i="1"/>
  <c r="O94" i="1"/>
  <c r="O91" i="1"/>
  <c r="AH136" i="1"/>
  <c r="AH27" i="1"/>
  <c r="AH117" i="1"/>
  <c r="AM146" i="1"/>
  <c r="Q166" i="1"/>
  <c r="Q163" i="1"/>
  <c r="AN152" i="1"/>
  <c r="AN208" i="1"/>
  <c r="W220" i="1"/>
  <c r="W217" i="1"/>
  <c r="AE243" i="1"/>
  <c r="N276" i="1"/>
  <c r="P277" i="1"/>
  <c r="AM298" i="1"/>
  <c r="AM278" i="1"/>
  <c r="AE296" i="1"/>
  <c r="AO278" i="1"/>
  <c r="AE314" i="1"/>
  <c r="W341" i="1"/>
  <c r="W340" i="1"/>
  <c r="T338" i="1"/>
  <c r="W344" i="1"/>
  <c r="G364" i="1"/>
  <c r="G361" i="1"/>
  <c r="AP377" i="1"/>
  <c r="AO384" i="1"/>
  <c r="AO385" i="1" s="1"/>
  <c r="AO403" i="1"/>
  <c r="AQ417" i="1"/>
  <c r="AN440" i="1"/>
  <c r="V523" i="1"/>
  <c r="AE597" i="1"/>
  <c r="AE594" i="1"/>
  <c r="AF598" i="1"/>
  <c r="AF595" i="1"/>
  <c r="AN640" i="1"/>
  <c r="AN477" i="1"/>
  <c r="AN478" i="1" s="1"/>
  <c r="AN603" i="1"/>
  <c r="R666" i="1"/>
  <c r="R664" i="1"/>
  <c r="R669" i="1"/>
  <c r="AP757" i="1"/>
  <c r="AP760" i="1"/>
  <c r="U15" i="1"/>
  <c r="U52" i="1"/>
  <c r="U57" i="1"/>
  <c r="O74" i="1"/>
  <c r="R73" i="1"/>
  <c r="F94" i="1"/>
  <c r="AI117" i="1"/>
  <c r="AI136" i="1"/>
  <c r="F165" i="1"/>
  <c r="F162" i="1"/>
  <c r="F160" i="1"/>
  <c r="AN205" i="1"/>
  <c r="AP153" i="1"/>
  <c r="AP208" i="1"/>
  <c r="F219" i="1"/>
  <c r="F216" i="1"/>
  <c r="Y229" i="1"/>
  <c r="Y238" i="1" s="1"/>
  <c r="Y234" i="1"/>
  <c r="T237" i="1"/>
  <c r="AM241" i="1"/>
  <c r="AM222" i="1"/>
  <c r="AM223" i="1" s="1"/>
  <c r="T265" i="1"/>
  <c r="V271" i="1"/>
  <c r="V274" i="1"/>
  <c r="AM288" i="1"/>
  <c r="AM291" i="1"/>
  <c r="H295" i="1"/>
  <c r="AO306" i="1"/>
  <c r="AO141" i="1"/>
  <c r="AO304" i="1"/>
  <c r="AO309" i="1"/>
  <c r="I343" i="1"/>
  <c r="M364" i="1"/>
  <c r="J396" i="1"/>
  <c r="AO465" i="1"/>
  <c r="AQ565" i="1"/>
  <c r="AQ546" i="1"/>
  <c r="AQ547" i="1" s="1"/>
  <c r="K598" i="1"/>
  <c r="K595" i="1"/>
  <c r="AI631" i="1"/>
  <c r="S669" i="1"/>
  <c r="S664" i="1"/>
  <c r="S666" i="1"/>
  <c r="N34" i="1"/>
  <c r="N39" i="1"/>
  <c r="K56" i="1"/>
  <c r="K53" i="1"/>
  <c r="W54" i="1"/>
  <c r="J72" i="1"/>
  <c r="J70" i="1"/>
  <c r="H69" i="1"/>
  <c r="J75" i="1"/>
  <c r="AF79" i="1"/>
  <c r="AE78" i="1"/>
  <c r="AF60" i="1"/>
  <c r="L145" i="1"/>
  <c r="AL157" i="1"/>
  <c r="AP171" i="1"/>
  <c r="AP172" i="1" s="1"/>
  <c r="N218" i="1"/>
  <c r="N215" i="1"/>
  <c r="N214" i="1"/>
  <c r="N219" i="1"/>
  <c r="AF229" i="1"/>
  <c r="AE228" i="1"/>
  <c r="AO233" i="1"/>
  <c r="AN131" i="1"/>
  <c r="AN241" i="1"/>
  <c r="AN132" i="1"/>
  <c r="AM255" i="1"/>
  <c r="AM231" i="1"/>
  <c r="AM252" i="1"/>
  <c r="AM141" i="1"/>
  <c r="AM250" i="1"/>
  <c r="AE249" i="1"/>
  <c r="S256" i="1"/>
  <c r="S253" i="1"/>
  <c r="AE265" i="1"/>
  <c r="W274" i="1"/>
  <c r="W271" i="1"/>
  <c r="AI280" i="1"/>
  <c r="AG308" i="1"/>
  <c r="AG281" i="1"/>
  <c r="AG301" i="1"/>
  <c r="AG282" i="1"/>
  <c r="AG309" i="1"/>
  <c r="AG306" i="1"/>
  <c r="AG138" i="1"/>
  <c r="AO305" i="1"/>
  <c r="AO284" i="1"/>
  <c r="AP309" i="1"/>
  <c r="AP304" i="1"/>
  <c r="AP306" i="1"/>
  <c r="W310" i="1"/>
  <c r="W307" i="1"/>
  <c r="AJ326" i="1"/>
  <c r="AJ155" i="1"/>
  <c r="AJ161" i="1" s="1"/>
  <c r="G341" i="1"/>
  <c r="G344" i="1"/>
  <c r="P342" i="1"/>
  <c r="P345" i="1"/>
  <c r="P340" i="1"/>
  <c r="J343" i="1"/>
  <c r="I361" i="1"/>
  <c r="I364" i="1"/>
  <c r="AH361" i="1"/>
  <c r="AH364" i="1"/>
  <c r="O385" i="1"/>
  <c r="N384" i="1"/>
  <c r="N385" i="1" s="1"/>
  <c r="AP391" i="1"/>
  <c r="F441" i="1"/>
  <c r="G442" i="1"/>
  <c r="AH464" i="1"/>
  <c r="AH524" i="1"/>
  <c r="AH520" i="1"/>
  <c r="AH500" i="1"/>
  <c r="AH521" i="1"/>
  <c r="AJ525" i="1"/>
  <c r="AJ520" i="1"/>
  <c r="AJ522" i="1"/>
  <c r="AJ465" i="1"/>
  <c r="AJ501" i="1"/>
  <c r="H553" i="1"/>
  <c r="F551" i="1"/>
  <c r="S553" i="1"/>
  <c r="N552" i="1"/>
  <c r="N553" i="1" s="1"/>
  <c r="V562" i="1"/>
  <c r="V559" i="1"/>
  <c r="AF596" i="1"/>
  <c r="AF593" i="1"/>
  <c r="AF482" i="1"/>
  <c r="AG597" i="1"/>
  <c r="AG594" i="1"/>
  <c r="AI595" i="1"/>
  <c r="AI598" i="1"/>
  <c r="AE617" i="1"/>
  <c r="AH599" i="1"/>
  <c r="AE599" i="1" s="1"/>
  <c r="AH455" i="1"/>
  <c r="AH619" i="1"/>
  <c r="AH600" i="1"/>
  <c r="AH601" i="1" s="1"/>
  <c r="AQ602" i="1"/>
  <c r="AQ458" i="1"/>
  <c r="AQ440" i="1" s="1"/>
  <c r="AQ603" i="1"/>
  <c r="AQ604" i="1" s="1"/>
  <c r="AQ622" i="1"/>
  <c r="AQ459" i="1"/>
  <c r="O39" i="1"/>
  <c r="O34" i="1"/>
  <c r="O15" i="1"/>
  <c r="O56" i="1"/>
  <c r="N47" i="1"/>
  <c r="F47" i="1" s="1"/>
  <c r="X13" i="1"/>
  <c r="L56" i="1"/>
  <c r="L53" i="1"/>
  <c r="W55" i="1"/>
  <c r="X54" i="1"/>
  <c r="V64" i="1"/>
  <c r="T63" i="1"/>
  <c r="T64" i="1" s="1"/>
  <c r="M67" i="1"/>
  <c r="M73" i="1" s="1"/>
  <c r="K75" i="1"/>
  <c r="K70" i="1"/>
  <c r="AF70" i="1"/>
  <c r="U73" i="1"/>
  <c r="F89" i="1"/>
  <c r="O112" i="1"/>
  <c r="H118" i="1"/>
  <c r="AM143" i="1"/>
  <c r="S178" i="1"/>
  <c r="S180" i="1"/>
  <c r="N177" i="1"/>
  <c r="O184" i="1"/>
  <c r="O181" i="1"/>
  <c r="AM190" i="1"/>
  <c r="AQ173" i="1"/>
  <c r="AQ175" i="1" s="1"/>
  <c r="AQ137" i="1"/>
  <c r="AQ119" i="1" s="1"/>
  <c r="AQ200" i="1"/>
  <c r="AQ197" i="1"/>
  <c r="AL202" i="1"/>
  <c r="AN141" i="1"/>
  <c r="AN177" i="1"/>
  <c r="AN196" i="1"/>
  <c r="AE195" i="1"/>
  <c r="AQ152" i="1"/>
  <c r="AQ44" i="1" s="1"/>
  <c r="AQ1089" i="1" s="1"/>
  <c r="AQ170" i="1"/>
  <c r="AQ172" i="1" s="1"/>
  <c r="H220" i="1"/>
  <c r="X232" i="1"/>
  <c r="J234" i="1"/>
  <c r="AO241" i="1"/>
  <c r="AM230" i="1"/>
  <c r="AM254" i="1"/>
  <c r="AE248" i="1"/>
  <c r="AM251" i="1"/>
  <c r="X271" i="1"/>
  <c r="X274" i="1"/>
  <c r="F275" i="1"/>
  <c r="AE275" i="1"/>
  <c r="AF277" i="1"/>
  <c r="AO285" i="1"/>
  <c r="AP278" i="1"/>
  <c r="AO308" i="1"/>
  <c r="Q334" i="1"/>
  <c r="N332" i="1"/>
  <c r="I341" i="1"/>
  <c r="H338" i="1"/>
  <c r="I344" i="1"/>
  <c r="AF341" i="1"/>
  <c r="AF340" i="1"/>
  <c r="Q345" i="1"/>
  <c r="Q340" i="1"/>
  <c r="Q342" i="1"/>
  <c r="AF344" i="1"/>
  <c r="AH335" i="1"/>
  <c r="AH344" i="1" s="1"/>
  <c r="N362" i="1"/>
  <c r="F356" i="1"/>
  <c r="AF382" i="1"/>
  <c r="M388" i="1"/>
  <c r="AQ390" i="1"/>
  <c r="Y439" i="1"/>
  <c r="T437" i="1"/>
  <c r="H441" i="1"/>
  <c r="H442" i="1" s="1"/>
  <c r="I442" i="1"/>
  <c r="T552" i="1"/>
  <c r="T553" i="1" s="1"/>
  <c r="U558" i="1"/>
  <c r="U553" i="1"/>
  <c r="U562" i="1" s="1"/>
  <c r="S558" i="1"/>
  <c r="S561" i="1"/>
  <c r="X562" i="1"/>
  <c r="X559" i="1"/>
  <c r="AG596" i="1"/>
  <c r="AG593" i="1"/>
  <c r="AG482" i="1"/>
  <c r="AG484" i="1" s="1"/>
  <c r="AH594" i="1"/>
  <c r="AH592" i="1"/>
  <c r="AH483" i="1"/>
  <c r="AH597" i="1"/>
  <c r="AM595" i="1"/>
  <c r="AM598" i="1"/>
  <c r="X601" i="1"/>
  <c r="T600" i="1"/>
  <c r="T601" i="1" s="1"/>
  <c r="G612" i="1"/>
  <c r="G615" i="1"/>
  <c r="G610" i="1"/>
  <c r="AI619" i="1"/>
  <c r="AI600" i="1"/>
  <c r="AI601" i="1" s="1"/>
  <c r="F620" i="1"/>
  <c r="F622" i="1"/>
  <c r="AJ697" i="1"/>
  <c r="AJ703" i="1" s="1"/>
  <c r="P706" i="1"/>
  <c r="P703" i="1"/>
  <c r="AE1110" i="1"/>
  <c r="AH1111" i="1"/>
  <c r="G17" i="1"/>
  <c r="G20" i="1"/>
  <c r="N9" i="1"/>
  <c r="N10" i="1" s="1"/>
  <c r="O10" i="1"/>
  <c r="AJ75" i="1"/>
  <c r="AJ72" i="1"/>
  <c r="AI107" i="1"/>
  <c r="AI68" i="1"/>
  <c r="AJ111" i="1"/>
  <c r="AJ108" i="1"/>
  <c r="AJ106" i="1"/>
  <c r="N175" i="1"/>
  <c r="AQ182" i="1"/>
  <c r="AJ171" i="1"/>
  <c r="AJ172" i="1" s="1"/>
  <c r="AJ190" i="1"/>
  <c r="AP197" i="1"/>
  <c r="AP140" i="1"/>
  <c r="AP200" i="1"/>
  <c r="T236" i="1"/>
  <c r="W397" i="1"/>
  <c r="AF436" i="1"/>
  <c r="AF433" i="1"/>
  <c r="AI436" i="1"/>
  <c r="AI433" i="1"/>
  <c r="H488" i="1"/>
  <c r="H485" i="1"/>
  <c r="W502" i="1"/>
  <c r="W507" i="1"/>
  <c r="W504" i="1"/>
  <c r="AL455" i="1"/>
  <c r="AL437" i="1" s="1"/>
  <c r="AL491" i="1"/>
  <c r="AL456" i="1"/>
  <c r="AL492" i="1"/>
  <c r="AL493" i="1" s="1"/>
  <c r="AL511" i="1"/>
  <c r="F544" i="1"/>
  <c r="V541" i="1"/>
  <c r="V544" i="1"/>
  <c r="AP476" i="1"/>
  <c r="AP548" i="1"/>
  <c r="AI652" i="1"/>
  <c r="AI649" i="1"/>
  <c r="H657" i="1"/>
  <c r="K658" i="1"/>
  <c r="M665" i="1"/>
  <c r="M668" i="1"/>
  <c r="AO875" i="1"/>
  <c r="AE893" i="1"/>
  <c r="AO785" i="1"/>
  <c r="AO1069" i="1"/>
  <c r="AO798" i="1"/>
  <c r="AO799" i="1" s="1"/>
  <c r="AQ1037" i="1"/>
  <c r="AQ1082" i="1"/>
  <c r="AQ1079" i="1"/>
  <c r="I20" i="1"/>
  <c r="I17" i="1"/>
  <c r="M11" i="1"/>
  <c r="H11" i="1" s="1"/>
  <c r="H29" i="1"/>
  <c r="H32" i="1"/>
  <c r="I35" i="1"/>
  <c r="I38" i="1"/>
  <c r="AM64" i="1"/>
  <c r="P109" i="1"/>
  <c r="P112" i="1"/>
  <c r="H145" i="1"/>
  <c r="H148" i="1"/>
  <c r="X145" i="1"/>
  <c r="AK171" i="1"/>
  <c r="AK172" i="1" s="1"/>
  <c r="AK190" i="1"/>
  <c r="AG232" i="1"/>
  <c r="AG234" i="1"/>
  <c r="AG237" i="1"/>
  <c r="N262" i="1"/>
  <c r="AL341" i="1"/>
  <c r="G382" i="1"/>
  <c r="G379" i="1"/>
  <c r="AN409" i="1"/>
  <c r="AN415" i="1" s="1"/>
  <c r="AN390" i="1"/>
  <c r="AN414" i="1"/>
  <c r="AF489" i="1"/>
  <c r="AF486" i="1"/>
  <c r="AF484" i="1"/>
  <c r="AL499" i="1"/>
  <c r="AL504" i="1"/>
  <c r="AN500" i="1"/>
  <c r="AN502" i="1" s="1"/>
  <c r="AN521" i="1"/>
  <c r="AN464" i="1"/>
  <c r="AN32" i="1" s="1"/>
  <c r="AN524" i="1"/>
  <c r="M612" i="1"/>
  <c r="M610" i="1"/>
  <c r="H609" i="1"/>
  <c r="M615" i="1"/>
  <c r="AE642" i="1"/>
  <c r="AE643" i="1" s="1"/>
  <c r="AF643" i="1"/>
  <c r="AP873" i="1"/>
  <c r="AP874" i="1" s="1"/>
  <c r="AP892" i="1"/>
  <c r="AP902" i="1"/>
  <c r="AP899" i="1"/>
  <c r="AP875" i="1"/>
  <c r="AP884" i="1" s="1"/>
  <c r="AP785" i="1"/>
  <c r="AP767" i="1" s="1"/>
  <c r="J34" i="1"/>
  <c r="J35" i="1"/>
  <c r="J38" i="1"/>
  <c r="AL100" i="1"/>
  <c r="AK110" i="1"/>
  <c r="AK107" i="1"/>
  <c r="AK68" i="1"/>
  <c r="AL111" i="1"/>
  <c r="AL108" i="1"/>
  <c r="AL69" i="1"/>
  <c r="AG26" i="1"/>
  <c r="AJ151" i="1"/>
  <c r="AJ42" i="1"/>
  <c r="AE185" i="1"/>
  <c r="AE187" i="1" s="1"/>
  <c r="AF131" i="1"/>
  <c r="AF167" i="1"/>
  <c r="AF169" i="1" s="1"/>
  <c r="AL171" i="1"/>
  <c r="AL172" i="1" s="1"/>
  <c r="AL190" i="1"/>
  <c r="F230" i="1"/>
  <c r="AH247" i="1"/>
  <c r="AH256" i="1" s="1"/>
  <c r="AH138" i="1"/>
  <c r="AE246" i="1"/>
  <c r="N252" i="1"/>
  <c r="N250" i="1"/>
  <c r="N255" i="1"/>
  <c r="T331" i="1"/>
  <c r="AM346" i="1"/>
  <c r="AM343" i="1"/>
  <c r="Y379" i="1"/>
  <c r="Y382" i="1"/>
  <c r="AI381" i="1"/>
  <c r="O398" i="1"/>
  <c r="N392" i="1"/>
  <c r="O394" i="1"/>
  <c r="O395" i="1"/>
  <c r="Y399" i="1"/>
  <c r="Y394" i="1"/>
  <c r="Y396" i="1"/>
  <c r="AO416" i="1"/>
  <c r="AO413" i="1"/>
  <c r="AO389" i="1"/>
  <c r="AO137" i="1"/>
  <c r="W418" i="1"/>
  <c r="W415" i="1"/>
  <c r="AF383" i="1"/>
  <c r="AE419" i="1"/>
  <c r="F461" i="1"/>
  <c r="T470" i="1"/>
  <c r="AM492" i="1"/>
  <c r="AG497" i="1"/>
  <c r="AG542" i="1"/>
  <c r="AG479" i="1"/>
  <c r="AH480" i="1"/>
  <c r="AH481" i="1" s="1"/>
  <c r="AH540" i="1"/>
  <c r="AH535" i="1"/>
  <c r="AH541" i="1" s="1"/>
  <c r="F542" i="1"/>
  <c r="F539" i="1"/>
  <c r="AN575" i="1"/>
  <c r="AN578" i="1"/>
  <c r="AN554" i="1"/>
  <c r="AN556" i="1" s="1"/>
  <c r="AE572" i="1"/>
  <c r="AN889" i="1"/>
  <c r="AN870" i="1"/>
  <c r="AN871" i="1" s="1"/>
  <c r="W46" i="1"/>
  <c r="T44" i="1"/>
  <c r="W8" i="1"/>
  <c r="J58" i="1"/>
  <c r="J55" i="1"/>
  <c r="AE95" i="1"/>
  <c r="AM100" i="1"/>
  <c r="J148" i="1"/>
  <c r="J145" i="1"/>
  <c r="AK150" i="1"/>
  <c r="AG167" i="1"/>
  <c r="AG169" i="1" s="1"/>
  <c r="AG131" i="1"/>
  <c r="AG113" i="1" s="1"/>
  <c r="T201" i="1"/>
  <c r="W233" i="1"/>
  <c r="W236" i="1"/>
  <c r="AI254" i="1"/>
  <c r="AI227" i="1"/>
  <c r="AE245" i="1"/>
  <c r="AI259" i="1"/>
  <c r="L337" i="1"/>
  <c r="L345" i="1"/>
  <c r="Y345" i="1"/>
  <c r="I379" i="1"/>
  <c r="I382" i="1"/>
  <c r="G451" i="1"/>
  <c r="G454" i="1"/>
  <c r="AH539" i="1"/>
  <c r="AH479" i="1"/>
  <c r="AO578" i="1"/>
  <c r="AO575" i="1"/>
  <c r="AO554" i="1"/>
  <c r="W580" i="1"/>
  <c r="W577" i="1"/>
  <c r="AH643" i="1"/>
  <c r="AH649" i="1" s="1"/>
  <c r="AH651" i="1"/>
  <c r="AH648" i="1"/>
  <c r="AJ711" i="1"/>
  <c r="AJ712" i="1" s="1"/>
  <c r="AJ730" i="1"/>
  <c r="AL733" i="1"/>
  <c r="AL741" i="1"/>
  <c r="AL714" i="1"/>
  <c r="AL715" i="1" s="1"/>
  <c r="AE732" i="1"/>
  <c r="AE733" i="1" s="1"/>
  <c r="P35" i="1"/>
  <c r="P11" i="1"/>
  <c r="N11" i="1" s="1"/>
  <c r="K55" i="1"/>
  <c r="K58" i="1"/>
  <c r="L76" i="1"/>
  <c r="L73" i="1"/>
  <c r="Q91" i="1"/>
  <c r="Q94" i="1"/>
  <c r="AN44" i="1"/>
  <c r="AN1089" i="1" s="1"/>
  <c r="G127" i="1"/>
  <c r="AI134" i="1"/>
  <c r="K148" i="1"/>
  <c r="K145" i="1"/>
  <c r="AL150" i="1"/>
  <c r="AG181" i="1"/>
  <c r="AN135" i="1"/>
  <c r="AN190" i="1"/>
  <c r="AH292" i="1"/>
  <c r="AN322" i="1"/>
  <c r="AN324" i="1"/>
  <c r="AN327" i="1"/>
  <c r="H370" i="1"/>
  <c r="AM386" i="1"/>
  <c r="AH394" i="1"/>
  <c r="AH399" i="1"/>
  <c r="AH396" i="1"/>
  <c r="AJ384" i="1"/>
  <c r="AJ385" i="1" s="1"/>
  <c r="AJ403" i="1"/>
  <c r="AQ579" i="1"/>
  <c r="AQ555" i="1"/>
  <c r="AQ574" i="1"/>
  <c r="AQ576" i="1"/>
  <c r="AK730" i="1"/>
  <c r="AK711" i="1"/>
  <c r="AK712" i="1" s="1"/>
  <c r="AK459" i="1"/>
  <c r="O20" i="1"/>
  <c r="T28" i="1"/>
  <c r="V28" i="1"/>
  <c r="M38" i="1"/>
  <c r="Y46" i="1"/>
  <c r="Y8" i="1"/>
  <c r="W67" i="1"/>
  <c r="T66" i="1"/>
  <c r="W72" i="1"/>
  <c r="L71" i="1"/>
  <c r="AM90" i="1"/>
  <c r="AM88" i="1"/>
  <c r="AM69" i="1"/>
  <c r="AI91" i="1"/>
  <c r="AF132" i="1"/>
  <c r="AF24" i="1" s="1"/>
  <c r="AM150" i="1"/>
  <c r="N176" i="1"/>
  <c r="Q182" i="1"/>
  <c r="Q179" i="1"/>
  <c r="AI168" i="1"/>
  <c r="AI132" i="1"/>
  <c r="AN134" i="1"/>
  <c r="AN170" i="1"/>
  <c r="AN172" i="1" s="1"/>
  <c r="S233" i="1"/>
  <c r="AK259" i="1"/>
  <c r="U280" i="1"/>
  <c r="T279" i="1"/>
  <c r="AQ301" i="1"/>
  <c r="AQ282" i="1"/>
  <c r="AQ309" i="1"/>
  <c r="AQ306" i="1"/>
  <c r="AM326" i="1"/>
  <c r="AM322" i="1"/>
  <c r="AM158" i="1"/>
  <c r="AM160" i="1" s="1"/>
  <c r="AM284" i="1"/>
  <c r="AM286" i="1" s="1"/>
  <c r="T328" i="1"/>
  <c r="T325" i="1"/>
  <c r="R395" i="1"/>
  <c r="R398" i="1"/>
  <c r="AQ413" i="1"/>
  <c r="AQ392" i="1"/>
  <c r="AQ416" i="1"/>
  <c r="AQ412" i="1"/>
  <c r="AQ140" i="1"/>
  <c r="AQ32" i="1" s="1"/>
  <c r="X418" i="1"/>
  <c r="X415" i="1"/>
  <c r="W445" i="1"/>
  <c r="W450" i="1"/>
  <c r="AK543" i="1"/>
  <c r="AK535" i="1"/>
  <c r="AK480" i="1"/>
  <c r="AK481" i="1" s="1"/>
  <c r="AH549" i="1"/>
  <c r="AH550" i="1" s="1"/>
  <c r="AH568" i="1"/>
  <c r="AQ554" i="1"/>
  <c r="AQ575" i="1"/>
  <c r="AQ578" i="1"/>
  <c r="Y580" i="1"/>
  <c r="Y577" i="1"/>
  <c r="J616" i="1"/>
  <c r="P688" i="1"/>
  <c r="P685" i="1"/>
  <c r="G8" i="1"/>
  <c r="U28" i="1"/>
  <c r="K74" i="1"/>
  <c r="AQ24" i="1"/>
  <c r="Q127" i="1"/>
  <c r="Q130" i="1"/>
  <c r="N148" i="1"/>
  <c r="AJ131" i="1"/>
  <c r="AJ132" i="1"/>
  <c r="AJ168" i="1"/>
  <c r="T233" i="1"/>
  <c r="AI221" i="1"/>
  <c r="F253" i="1"/>
  <c r="AL222" i="1"/>
  <c r="AL223" i="1" s="1"/>
  <c r="AL259" i="1"/>
  <c r="F301" i="1"/>
  <c r="F307" i="1" s="1"/>
  <c r="F309" i="1"/>
  <c r="AJ305" i="1"/>
  <c r="AJ284" i="1"/>
  <c r="AN326" i="1"/>
  <c r="AN158" i="1"/>
  <c r="AN160" i="1" s="1"/>
  <c r="U325" i="1"/>
  <c r="U328" i="1"/>
  <c r="AM323" i="1"/>
  <c r="S344" i="1"/>
  <c r="S337" i="1"/>
  <c r="W379" i="1"/>
  <c r="L396" i="1"/>
  <c r="L399" i="1"/>
  <c r="L394" i="1"/>
  <c r="AJ396" i="1"/>
  <c r="AJ399" i="1"/>
  <c r="AJ394" i="1"/>
  <c r="AL403" i="1"/>
  <c r="AL384" i="1"/>
  <c r="AL385" i="1" s="1"/>
  <c r="F407" i="1"/>
  <c r="H416" i="1"/>
  <c r="H413" i="1"/>
  <c r="U442" i="1"/>
  <c r="T441" i="1"/>
  <c r="AE569" i="1"/>
  <c r="AE571" i="1" s="1"/>
  <c r="AF575" i="1"/>
  <c r="R52" i="1"/>
  <c r="R57" i="1"/>
  <c r="R54" i="1"/>
  <c r="R15" i="1"/>
  <c r="L74" i="1"/>
  <c r="O70" i="1"/>
  <c r="AK27" i="1"/>
  <c r="AK63" i="1"/>
  <c r="AK82" i="1"/>
  <c r="AE83" i="1"/>
  <c r="AF65" i="1"/>
  <c r="AN89" i="1"/>
  <c r="AN92" i="1"/>
  <c r="AN68" i="1"/>
  <c r="AI60" i="1"/>
  <c r="AG108" i="1"/>
  <c r="AH156" i="1"/>
  <c r="AH157" i="1" s="1"/>
  <c r="I169" i="1"/>
  <c r="AF45" i="1"/>
  <c r="P73" i="1"/>
  <c r="AL62" i="1"/>
  <c r="AO92" i="1"/>
  <c r="AO68" i="1"/>
  <c r="AO89" i="1"/>
  <c r="S94" i="1"/>
  <c r="AI156" i="1"/>
  <c r="AI157" i="1" s="1"/>
  <c r="AF218" i="1"/>
  <c r="AF173" i="1"/>
  <c r="AF175" i="1" s="1"/>
  <c r="AP226" i="1"/>
  <c r="AE242" i="1"/>
  <c r="AN598" i="1"/>
  <c r="AN595" i="1"/>
  <c r="H600" i="1"/>
  <c r="H601" i="1" s="1"/>
  <c r="L612" i="1"/>
  <c r="H606" i="1"/>
  <c r="L615" i="1"/>
  <c r="AJ600" i="1"/>
  <c r="AJ601" i="1" s="1"/>
  <c r="AJ619" i="1"/>
  <c r="H659" i="1"/>
  <c r="V666" i="1"/>
  <c r="V661" i="1"/>
  <c r="H668" i="1"/>
  <c r="AG691" i="1"/>
  <c r="AG654" i="1"/>
  <c r="AK697" i="1"/>
  <c r="AK702" i="1"/>
  <c r="AP864" i="1"/>
  <c r="AP807" i="1"/>
  <c r="AP867" i="1"/>
  <c r="AP862" i="1"/>
  <c r="AP825" i="1"/>
  <c r="AE861" i="1"/>
  <c r="AE1109" i="1"/>
  <c r="J43" i="1"/>
  <c r="H41" i="1"/>
  <c r="H43" i="1" s="1"/>
  <c r="P9" i="1"/>
  <c r="P10" i="1" s="1"/>
  <c r="P46" i="1"/>
  <c r="AI59" i="1"/>
  <c r="AI106" i="1"/>
  <c r="AI108" i="1"/>
  <c r="AI111" i="1"/>
  <c r="T168" i="1"/>
  <c r="T169" i="1" s="1"/>
  <c r="U169" i="1"/>
  <c r="I61" i="1"/>
  <c r="H60" i="1"/>
  <c r="T115" i="1"/>
  <c r="F531" i="1"/>
  <c r="F532" i="1" s="1"/>
  <c r="N532" i="1"/>
  <c r="AJ480" i="1"/>
  <c r="AJ481" i="1" s="1"/>
  <c r="AJ535" i="1"/>
  <c r="AP554" i="1"/>
  <c r="AP575" i="1"/>
  <c r="AF605" i="1"/>
  <c r="AF614" i="1" s="1"/>
  <c r="AI640" i="1"/>
  <c r="AE639" i="1"/>
  <c r="AI603" i="1"/>
  <c r="AI604" i="1" s="1"/>
  <c r="AJ723" i="1"/>
  <c r="AG710" i="1"/>
  <c r="AG712" i="1" s="1"/>
  <c r="AG730" i="1"/>
  <c r="AG458" i="1"/>
  <c r="AE731" i="1"/>
  <c r="AI713" i="1"/>
  <c r="AI740" i="1"/>
  <c r="AI733" i="1"/>
  <c r="AI799" i="1"/>
  <c r="Q38" i="1"/>
  <c r="Q11" i="1"/>
  <c r="Q13" i="1" s="1"/>
  <c r="L58" i="1"/>
  <c r="L55" i="1"/>
  <c r="J74" i="1"/>
  <c r="H68" i="1"/>
  <c r="F68" i="1" s="1"/>
  <c r="M76" i="1"/>
  <c r="AL88" i="1"/>
  <c r="AL92" i="1"/>
  <c r="AL68" i="1"/>
  <c r="AL89" i="1"/>
  <c r="R94" i="1"/>
  <c r="R91" i="1"/>
  <c r="AF120" i="1"/>
  <c r="AF157" i="1"/>
  <c r="AF161" i="1"/>
  <c r="L179" i="1"/>
  <c r="AI167" i="1"/>
  <c r="AI131" i="1"/>
  <c r="AO232" i="1"/>
  <c r="AQ225" i="1"/>
  <c r="AQ244" i="1"/>
  <c r="AQ308" i="1"/>
  <c r="AQ305" i="1"/>
  <c r="AQ281" i="1"/>
  <c r="AQ287" i="1" s="1"/>
  <c r="AJ306" i="1"/>
  <c r="AJ309" i="1"/>
  <c r="AJ304" i="1"/>
  <c r="AJ285" i="1"/>
  <c r="AO324" i="1"/>
  <c r="AO327" i="1"/>
  <c r="AO322" i="1"/>
  <c r="T370" i="1"/>
  <c r="AM373" i="1"/>
  <c r="AM378" i="1"/>
  <c r="F386" i="1"/>
  <c r="H388" i="1"/>
  <c r="AK403" i="1"/>
  <c r="AK384" i="1"/>
  <c r="AK385" i="1" s="1"/>
  <c r="F409" i="1"/>
  <c r="F415" i="1"/>
  <c r="F418" i="1"/>
  <c r="J454" i="1"/>
  <c r="J451" i="1"/>
  <c r="AI461" i="1"/>
  <c r="AJ479" i="1"/>
  <c r="AJ542" i="1"/>
  <c r="F569" i="1"/>
  <c r="T571" i="1"/>
  <c r="T578" i="1"/>
  <c r="G577" i="1"/>
  <c r="G580" i="1"/>
  <c r="AH652" i="1"/>
  <c r="AJ660" i="1"/>
  <c r="AJ661" i="1" s="1"/>
  <c r="AE678" i="1"/>
  <c r="AE679" i="1" s="1"/>
  <c r="AJ684" i="1"/>
  <c r="AJ679" i="1"/>
  <c r="AJ1027" i="1"/>
  <c r="AJ1030" i="1"/>
  <c r="AO1043" i="1"/>
  <c r="AE1115" i="1"/>
  <c r="AE1117" i="1" s="1"/>
  <c r="AG1117" i="1"/>
  <c r="U6" i="1"/>
  <c r="U25" i="1"/>
  <c r="AH26" i="1"/>
  <c r="H44" i="1"/>
  <c r="F44" i="1" s="1"/>
  <c r="I46" i="1"/>
  <c r="AF74" i="1"/>
  <c r="AF71" i="1"/>
  <c r="AF85" i="1"/>
  <c r="AF94" i="1" s="1"/>
  <c r="AE84" i="1"/>
  <c r="AE85" i="1" s="1"/>
  <c r="AF90" i="1"/>
  <c r="AF66" i="1"/>
  <c r="AF72" i="1" s="1"/>
  <c r="AK91" i="1"/>
  <c r="AK94" i="1"/>
  <c r="AM89" i="1"/>
  <c r="AM92" i="1"/>
  <c r="AM68" i="1"/>
  <c r="AN88" i="1"/>
  <c r="AN69" i="1"/>
  <c r="AJ91" i="1"/>
  <c r="T92" i="1"/>
  <c r="S128" i="1"/>
  <c r="S125" i="1"/>
  <c r="N122" i="1"/>
  <c r="S124" i="1"/>
  <c r="AG132" i="1"/>
  <c r="AG119" i="1"/>
  <c r="AL154" i="1"/>
  <c r="AG156" i="1"/>
  <c r="H169" i="1"/>
  <c r="S175" i="1"/>
  <c r="M179" i="1"/>
  <c r="T211" i="1"/>
  <c r="F210" i="1"/>
  <c r="F211" i="1" s="1"/>
  <c r="AL217" i="1"/>
  <c r="AI241" i="1"/>
  <c r="AI222" i="1"/>
  <c r="AI223" i="1" s="1"/>
  <c r="N282" i="1"/>
  <c r="N283" i="1" s="1"/>
  <c r="O283" i="1"/>
  <c r="H301" i="1"/>
  <c r="H310" i="1" s="1"/>
  <c r="H308" i="1"/>
  <c r="AP324" i="1"/>
  <c r="AP322" i="1"/>
  <c r="AP327" i="1"/>
  <c r="AP159" i="1"/>
  <c r="AE531" i="1"/>
  <c r="AE532" i="1" s="1"/>
  <c r="AF477" i="1"/>
  <c r="AF495" i="1"/>
  <c r="AF552" i="1"/>
  <c r="AF579" i="1"/>
  <c r="AF462" i="1"/>
  <c r="N574" i="1"/>
  <c r="F573" i="1"/>
  <c r="N576" i="1"/>
  <c r="N579" i="1"/>
  <c r="AF580" i="1"/>
  <c r="AF577" i="1"/>
  <c r="U604" i="1"/>
  <c r="T603" i="1"/>
  <c r="AK640" i="1"/>
  <c r="AK603" i="1"/>
  <c r="O667" i="1"/>
  <c r="O670" i="1"/>
  <c r="AK659" i="1"/>
  <c r="AK679" i="1"/>
  <c r="AQ881" i="1"/>
  <c r="AQ884" i="1"/>
  <c r="AM984" i="1"/>
  <c r="AM985" i="1" s="1"/>
  <c r="AM1003" i="1"/>
  <c r="AM786" i="1"/>
  <c r="AM1008" i="1"/>
  <c r="AH800" i="1"/>
  <c r="AH802" i="1" s="1"/>
  <c r="AH1018" i="1"/>
  <c r="AH980" i="1"/>
  <c r="AH982" i="1" s="1"/>
  <c r="L5" i="1"/>
  <c r="L7" i="1" s="1"/>
  <c r="V6" i="1"/>
  <c r="V7" i="1" s="1"/>
  <c r="V25" i="1"/>
  <c r="O31" i="1"/>
  <c r="O38" i="1"/>
  <c r="R49" i="1"/>
  <c r="AG74" i="1"/>
  <c r="AG71" i="1"/>
  <c r="AK26" i="1"/>
  <c r="AK62" i="1"/>
  <c r="AO88" i="1"/>
  <c r="AO33" i="1"/>
  <c r="AO69" i="1"/>
  <c r="H115" i="1"/>
  <c r="T122" i="1"/>
  <c r="U128" i="1"/>
  <c r="U125" i="1"/>
  <c r="AH132" i="1"/>
  <c r="AH29" i="1"/>
  <c r="AF146" i="1"/>
  <c r="AF122" i="1"/>
  <c r="AF143" i="1"/>
  <c r="AM153" i="1"/>
  <c r="AM154" i="1" s="1"/>
  <c r="S166" i="1"/>
  <c r="S163" i="1"/>
  <c r="AI183" i="1"/>
  <c r="AK167" i="1"/>
  <c r="AK131" i="1"/>
  <c r="AK168" i="1"/>
  <c r="AK132" i="1"/>
  <c r="G226" i="1"/>
  <c r="AO225" i="1"/>
  <c r="AO226" i="1" s="1"/>
  <c r="U233" i="1"/>
  <c r="N244" i="1"/>
  <c r="G253" i="1"/>
  <c r="AM259" i="1"/>
  <c r="P283" i="1"/>
  <c r="P288" i="1"/>
  <c r="I283" i="1"/>
  <c r="AL309" i="1"/>
  <c r="AL304" i="1"/>
  <c r="AL306" i="1"/>
  <c r="S307" i="1"/>
  <c r="S310" i="1"/>
  <c r="AN316" i="1"/>
  <c r="AE315" i="1"/>
  <c r="AG319" i="1"/>
  <c r="AE318" i="1"/>
  <c r="AE319" i="1" s="1"/>
  <c r="AQ322" i="1"/>
  <c r="AQ324" i="1"/>
  <c r="AQ159" i="1"/>
  <c r="AQ285" i="1"/>
  <c r="AQ327" i="1"/>
  <c r="AN323" i="1"/>
  <c r="H331" i="1"/>
  <c r="AN340" i="1"/>
  <c r="AN345" i="1"/>
  <c r="AN342" i="1"/>
  <c r="AO359" i="1"/>
  <c r="AO362" i="1"/>
  <c r="AO338" i="1"/>
  <c r="AE356" i="1"/>
  <c r="AG370" i="1"/>
  <c r="AM385" i="1"/>
  <c r="M396" i="1"/>
  <c r="M394" i="1"/>
  <c r="AK396" i="1"/>
  <c r="AK394" i="1"/>
  <c r="AK399" i="1"/>
  <c r="AL383" i="1"/>
  <c r="AL131" i="1"/>
  <c r="AN417" i="1"/>
  <c r="O448" i="1"/>
  <c r="N447" i="1"/>
  <c r="O450" i="1"/>
  <c r="O453" i="1"/>
  <c r="L451" i="1"/>
  <c r="L454" i="1"/>
  <c r="AK440" i="1"/>
  <c r="AP443" i="1"/>
  <c r="F543" i="1"/>
  <c r="R559" i="1"/>
  <c r="R562" i="1"/>
  <c r="AN565" i="1"/>
  <c r="AN546" i="1"/>
  <c r="AN456" i="1"/>
  <c r="AE564" i="1"/>
  <c r="AE565" i="1" s="1"/>
  <c r="AG551" i="1"/>
  <c r="AG553" i="1" s="1"/>
  <c r="AG578" i="1"/>
  <c r="AG461" i="1"/>
  <c r="AG575" i="1"/>
  <c r="AG571" i="1"/>
  <c r="M580" i="1"/>
  <c r="M577" i="1"/>
  <c r="H602" i="1"/>
  <c r="K604" i="1"/>
  <c r="AL640" i="1"/>
  <c r="AL477" i="1"/>
  <c r="AL478" i="1" s="1"/>
  <c r="P667" i="1"/>
  <c r="P670" i="1"/>
  <c r="AE672" i="1"/>
  <c r="AE673" i="1" s="1"/>
  <c r="AH673" i="1"/>
  <c r="AH654" i="1"/>
  <c r="AH655" i="1" s="1"/>
  <c r="AI882" i="1"/>
  <c r="AI885" i="1"/>
  <c r="AI800" i="1"/>
  <c r="AI44" i="1" s="1"/>
  <c r="AI1089" i="1" s="1"/>
  <c r="AI980" i="1"/>
  <c r="AI982" i="1" s="1"/>
  <c r="AM981" i="1"/>
  <c r="AM982" i="1" s="1"/>
  <c r="AM1018" i="1"/>
  <c r="J20" i="1"/>
  <c r="P31" i="1"/>
  <c r="S49" i="1"/>
  <c r="S57" i="1"/>
  <c r="S12" i="1"/>
  <c r="N12" i="1" s="1"/>
  <c r="N13" i="1" s="1"/>
  <c r="S54" i="1"/>
  <c r="AL82" i="1"/>
  <c r="S126" i="1"/>
  <c r="S121" i="1"/>
  <c r="AG117" i="1"/>
  <c r="AG136" i="1"/>
  <c r="AG146" i="1"/>
  <c r="AG122" i="1"/>
  <c r="AG143" i="1"/>
  <c r="AN153" i="1"/>
  <c r="X182" i="1"/>
  <c r="X233" i="1"/>
  <c r="T244" i="1"/>
  <c r="AN259" i="1"/>
  <c r="Y286" i="1"/>
  <c r="Y291" i="1"/>
  <c r="Y288" i="1"/>
  <c r="T285" i="1"/>
  <c r="AH307" i="1"/>
  <c r="AH310" i="1"/>
  <c r="AL284" i="1"/>
  <c r="AL305" i="1"/>
  <c r="AM307" i="1"/>
  <c r="AM310" i="1"/>
  <c r="T307" i="1"/>
  <c r="T310" i="1"/>
  <c r="AJ308" i="1"/>
  <c r="AO279" i="1"/>
  <c r="AO280" i="1" s="1"/>
  <c r="AO316" i="1"/>
  <c r="AE317" i="1"/>
  <c r="AG326" i="1"/>
  <c r="AG323" i="1"/>
  <c r="AH283" i="1"/>
  <c r="AH289" i="1" s="1"/>
  <c r="AP323" i="1"/>
  <c r="AP158" i="1"/>
  <c r="AO323" i="1"/>
  <c r="W334" i="1"/>
  <c r="T333" i="1"/>
  <c r="T334" i="1" s="1"/>
  <c r="AQ340" i="1"/>
  <c r="AQ342" i="1"/>
  <c r="X364" i="1"/>
  <c r="X361" i="1"/>
  <c r="F390" i="1"/>
  <c r="N394" i="1"/>
  <c r="AM383" i="1"/>
  <c r="AM131" i="1"/>
  <c r="H440" i="1"/>
  <c r="J442" i="1"/>
  <c r="AL440" i="1"/>
  <c r="AN481" i="1"/>
  <c r="AM529" i="1"/>
  <c r="AM474" i="1"/>
  <c r="S559" i="1"/>
  <c r="S562" i="1"/>
  <c r="AO565" i="1"/>
  <c r="AJ548" i="1"/>
  <c r="AJ458" i="1"/>
  <c r="O577" i="1"/>
  <c r="O580" i="1"/>
  <c r="N578" i="1"/>
  <c r="F572" i="1"/>
  <c r="AE573" i="1"/>
  <c r="J580" i="1"/>
  <c r="N596" i="1"/>
  <c r="F590" i="1"/>
  <c r="N593" i="1"/>
  <c r="T597" i="1"/>
  <c r="T592" i="1"/>
  <c r="T594" i="1"/>
  <c r="Q669" i="1"/>
  <c r="Q664" i="1"/>
  <c r="Q666" i="1"/>
  <c r="AJ880" i="1"/>
  <c r="AJ885" i="1"/>
  <c r="AJ882" i="1"/>
  <c r="AJ1117" i="1"/>
  <c r="O13" i="1"/>
  <c r="K20" i="1"/>
  <c r="L39" i="1"/>
  <c r="L34" i="1"/>
  <c r="L15" i="1"/>
  <c r="H33" i="1"/>
  <c r="J46" i="1"/>
  <c r="H45" i="1"/>
  <c r="U49" i="1"/>
  <c r="T48" i="1"/>
  <c r="T57" i="1"/>
  <c r="U54" i="1"/>
  <c r="AP74" i="1"/>
  <c r="J125" i="1"/>
  <c r="J128" i="1"/>
  <c r="AP114" i="1"/>
  <c r="N146" i="1"/>
  <c r="AJ157" i="1"/>
  <c r="AQ164" i="1"/>
  <c r="AQ50" i="1"/>
  <c r="AI180" i="1"/>
  <c r="AG218" i="1"/>
  <c r="AG173" i="1"/>
  <c r="AG179" i="1" s="1"/>
  <c r="AG155" i="1"/>
  <c r="N265" i="1"/>
  <c r="F264" i="1"/>
  <c r="F265" i="1" s="1"/>
  <c r="AL285" i="1"/>
  <c r="AN298" i="1"/>
  <c r="AN279" i="1"/>
  <c r="AN280" i="1" s="1"/>
  <c r="AE299" i="1"/>
  <c r="AN306" i="1"/>
  <c r="AN304" i="1"/>
  <c r="AN309" i="1"/>
  <c r="AE312" i="1"/>
  <c r="G334" i="1"/>
  <c r="AF337" i="1"/>
  <c r="N342" i="1"/>
  <c r="N345" i="1"/>
  <c r="T593" i="1"/>
  <c r="T596" i="1"/>
  <c r="J595" i="1"/>
  <c r="J598" i="1"/>
  <c r="AK602" i="1"/>
  <c r="AE602" i="1" s="1"/>
  <c r="W655" i="1"/>
  <c r="T654" i="1"/>
  <c r="T655" i="1" s="1"/>
  <c r="AI723" i="1"/>
  <c r="AI720" i="1"/>
  <c r="AI718" i="1"/>
  <c r="AP783" i="1"/>
  <c r="AP823" i="1"/>
  <c r="AP830" i="1"/>
  <c r="AP827" i="1"/>
  <c r="AJ1114" i="1"/>
  <c r="AE1113" i="1"/>
  <c r="L20" i="1"/>
  <c r="M39" i="1"/>
  <c r="M34" i="1"/>
  <c r="M15" i="1"/>
  <c r="K9" i="1"/>
  <c r="K46" i="1"/>
  <c r="Y76" i="1"/>
  <c r="AJ67" i="1"/>
  <c r="U94" i="1"/>
  <c r="AK122" i="1"/>
  <c r="AK143" i="1"/>
  <c r="AK156" i="1"/>
  <c r="R166" i="1"/>
  <c r="R163" i="1"/>
  <c r="AG182" i="1"/>
  <c r="AO152" i="1"/>
  <c r="AO170" i="1"/>
  <c r="AO172" i="1" s="1"/>
  <c r="AH218" i="1"/>
  <c r="AH173" i="1"/>
  <c r="AH155" i="1"/>
  <c r="AH161" i="1" s="1"/>
  <c r="F218" i="1"/>
  <c r="F215" i="1"/>
  <c r="F214" i="1"/>
  <c r="H229" i="1"/>
  <c r="F228" i="1"/>
  <c r="F229" i="1" s="1"/>
  <c r="O235" i="1"/>
  <c r="O238" i="1"/>
  <c r="M287" i="1"/>
  <c r="M283" i="1"/>
  <c r="I286" i="1"/>
  <c r="H285" i="1"/>
  <c r="I288" i="1"/>
  <c r="AN305" i="1"/>
  <c r="AN284" i="1"/>
  <c r="AN286" i="1" s="1"/>
  <c r="AL308" i="1"/>
  <c r="N363" i="1"/>
  <c r="N360" i="1"/>
  <c r="F357" i="1"/>
  <c r="N358" i="1"/>
  <c r="AL367" i="1"/>
  <c r="AE366" i="1"/>
  <c r="AE367" i="1" s="1"/>
  <c r="V445" i="1"/>
  <c r="AF594" i="1"/>
  <c r="AF597" i="1"/>
  <c r="AG598" i="1"/>
  <c r="AG595" i="1"/>
  <c r="AP622" i="1"/>
  <c r="AP603" i="1"/>
  <c r="AP604" i="1" s="1"/>
  <c r="F627" i="1"/>
  <c r="T630" i="1"/>
  <c r="T633" i="1"/>
  <c r="T628" i="1"/>
  <c r="AO748" i="1"/>
  <c r="AE747" i="1"/>
  <c r="AE748" i="1" s="1"/>
  <c r="AE1112" i="1"/>
  <c r="AG1114" i="1"/>
  <c r="L9" i="1"/>
  <c r="L10" i="1" s="1"/>
  <c r="L46" i="1"/>
  <c r="R56" i="1"/>
  <c r="V94" i="1"/>
  <c r="AH110" i="1"/>
  <c r="AL140" i="1"/>
  <c r="AL32" i="1" s="1"/>
  <c r="N165" i="1"/>
  <c r="N160" i="1"/>
  <c r="I18" i="1"/>
  <c r="I21" i="1"/>
  <c r="I16" i="1"/>
  <c r="P36" i="1"/>
  <c r="P15" i="1"/>
  <c r="P34" i="1"/>
  <c r="P39" i="1"/>
  <c r="N45" i="1"/>
  <c r="N46" i="1" s="1"/>
  <c r="G49" i="1"/>
  <c r="G55" i="1" s="1"/>
  <c r="G12" i="1"/>
  <c r="X53" i="1"/>
  <c r="S61" i="1"/>
  <c r="N60" i="1"/>
  <c r="N61" i="1" s="1"/>
  <c r="AG75" i="1"/>
  <c r="AG70" i="1"/>
  <c r="AG72" i="1"/>
  <c r="V73" i="1"/>
  <c r="W75" i="1"/>
  <c r="AG79" i="1"/>
  <c r="AE77" i="1"/>
  <c r="AG59" i="1"/>
  <c r="AH60" i="1"/>
  <c r="AH61" i="1" s="1"/>
  <c r="N79" i="1"/>
  <c r="AQ62" i="1"/>
  <c r="AQ63" i="1"/>
  <c r="AQ64" i="1" s="1"/>
  <c r="AQ82" i="1"/>
  <c r="AO90" i="1"/>
  <c r="AG109" i="1"/>
  <c r="AG112" i="1"/>
  <c r="AJ110" i="1"/>
  <c r="F131" i="1"/>
  <c r="F133" i="1" s="1"/>
  <c r="AL135" i="1"/>
  <c r="AO140" i="1"/>
  <c r="F152" i="1"/>
  <c r="H154" i="1"/>
  <c r="AL162" i="1"/>
  <c r="AL160" i="1"/>
  <c r="T177" i="1"/>
  <c r="R184" i="1"/>
  <c r="R181" i="1"/>
  <c r="J181" i="1"/>
  <c r="F191" i="1"/>
  <c r="H201" i="1"/>
  <c r="F192" i="1"/>
  <c r="H198" i="1"/>
  <c r="AH205" i="1"/>
  <c r="AE203" i="1"/>
  <c r="AH149" i="1"/>
  <c r="N216" i="1"/>
  <c r="G217" i="1"/>
  <c r="K234" i="1"/>
  <c r="K229" i="1"/>
  <c r="AH228" i="1"/>
  <c r="AH229" i="1" s="1"/>
  <c r="AQ233" i="1"/>
  <c r="Y235" i="1"/>
  <c r="AI247" i="1"/>
  <c r="AO262" i="1"/>
  <c r="AO153" i="1"/>
  <c r="AG265" i="1"/>
  <c r="AG270" i="1"/>
  <c r="N269" i="1"/>
  <c r="N272" i="1"/>
  <c r="N270" i="1"/>
  <c r="N273" i="1"/>
  <c r="N268" i="1"/>
  <c r="G274" i="1"/>
  <c r="G271" i="1"/>
  <c r="H275" i="1"/>
  <c r="I277" i="1"/>
  <c r="AP279" i="1"/>
  <c r="AP280" i="1" s="1"/>
  <c r="N284" i="1"/>
  <c r="R287" i="1"/>
  <c r="R290" i="1"/>
  <c r="AP285" i="1"/>
  <c r="R342" i="1"/>
  <c r="R345" i="1"/>
  <c r="R340" i="1"/>
  <c r="T379" i="1"/>
  <c r="T382" i="1"/>
  <c r="T383" i="1"/>
  <c r="N389" i="1"/>
  <c r="S395" i="1"/>
  <c r="V452" i="1"/>
  <c r="T446" i="1"/>
  <c r="AI503" i="1"/>
  <c r="AI506" i="1"/>
  <c r="T501" i="1"/>
  <c r="W523" i="1"/>
  <c r="W526" i="1"/>
  <c r="AI549" i="1"/>
  <c r="AI550" i="1" s="1"/>
  <c r="V580" i="1"/>
  <c r="AH596" i="1"/>
  <c r="AH593" i="1"/>
  <c r="AH482" i="1"/>
  <c r="AH554" i="1"/>
  <c r="J16" i="1"/>
  <c r="U31" i="1"/>
  <c r="U40" i="1" s="1"/>
  <c r="T30" i="1"/>
  <c r="F30" i="1" s="1"/>
  <c r="U12" i="1"/>
  <c r="W38" i="1"/>
  <c r="W14" i="1"/>
  <c r="Q15" i="1"/>
  <c r="Q36" i="1"/>
  <c r="Q34" i="1"/>
  <c r="Q39" i="1"/>
  <c r="W34" i="1"/>
  <c r="N42" i="1"/>
  <c r="N43" i="1" s="1"/>
  <c r="R43" i="1"/>
  <c r="Y55" i="1"/>
  <c r="T60" i="1"/>
  <c r="T61" i="1" s="1"/>
  <c r="AH70" i="1"/>
  <c r="AH72" i="1"/>
  <c r="AH75" i="1"/>
  <c r="AI79" i="1"/>
  <c r="T89" i="1"/>
  <c r="AF33" i="1"/>
  <c r="AE104" i="1"/>
  <c r="AH106" i="1"/>
  <c r="AH111" i="1"/>
  <c r="M109" i="1"/>
  <c r="V115" i="1"/>
  <c r="Q129" i="1"/>
  <c r="AQ135" i="1"/>
  <c r="AI120" i="1"/>
  <c r="AI139" i="1"/>
  <c r="AJ167" i="1"/>
  <c r="AH175" i="1"/>
  <c r="U180" i="1"/>
  <c r="U178" i="1"/>
  <c r="N193" i="1"/>
  <c r="H193" i="1"/>
  <c r="H199" i="1" s="1"/>
  <c r="AN176" i="1"/>
  <c r="AN140" i="1"/>
  <c r="AE194" i="1"/>
  <c r="AN200" i="1"/>
  <c r="AN197" i="1"/>
  <c r="AP198" i="1"/>
  <c r="AP196" i="1"/>
  <c r="AP201" i="1"/>
  <c r="AP141" i="1"/>
  <c r="AP177" i="1"/>
  <c r="AI149" i="1"/>
  <c r="AI41" i="1" s="1"/>
  <c r="AI1086" i="1" s="1"/>
  <c r="AJ205" i="1"/>
  <c r="F207" i="1"/>
  <c r="F208" i="1" s="1"/>
  <c r="N208" i="1"/>
  <c r="AF215" i="1"/>
  <c r="G236" i="1"/>
  <c r="AP152" i="1"/>
  <c r="AP262" i="1"/>
  <c r="T272" i="1"/>
  <c r="AG271" i="1"/>
  <c r="S287" i="1"/>
  <c r="S290" i="1"/>
  <c r="G345" i="1"/>
  <c r="H352" i="1"/>
  <c r="AJ335" i="1"/>
  <c r="AJ337" i="1" s="1"/>
  <c r="AK360" i="1"/>
  <c r="AK336" i="1"/>
  <c r="AK337" i="1" s="1"/>
  <c r="AH373" i="1"/>
  <c r="AO376" i="1"/>
  <c r="AO378" i="1"/>
  <c r="AE375" i="1"/>
  <c r="T389" i="1"/>
  <c r="AI421" i="1"/>
  <c r="AK424" i="1"/>
  <c r="AK152" i="1"/>
  <c r="AK44" i="1" s="1"/>
  <c r="AK1089" i="1" s="1"/>
  <c r="AL424" i="1"/>
  <c r="W452" i="1"/>
  <c r="W448" i="1"/>
  <c r="W449" i="1"/>
  <c r="AH456" i="1"/>
  <c r="AJ506" i="1"/>
  <c r="AJ503" i="1"/>
  <c r="V508" i="1"/>
  <c r="V505" i="1"/>
  <c r="AJ491" i="1"/>
  <c r="AJ455" i="1"/>
  <c r="AJ437" i="1" s="1"/>
  <c r="AJ492" i="1"/>
  <c r="AJ511" i="1"/>
  <c r="AE513" i="1"/>
  <c r="AH459" i="1"/>
  <c r="AH495" i="1"/>
  <c r="AH496" i="1" s="1"/>
  <c r="N514" i="1"/>
  <c r="AO482" i="1"/>
  <c r="AO539" i="1"/>
  <c r="AO538" i="1"/>
  <c r="AP483" i="1"/>
  <c r="AP538" i="1"/>
  <c r="T544" i="1"/>
  <c r="T541" i="1"/>
  <c r="AJ549" i="1"/>
  <c r="AJ550" i="1" s="1"/>
  <c r="X560" i="1"/>
  <c r="X557" i="1"/>
  <c r="T554" i="1"/>
  <c r="Q595" i="1"/>
  <c r="Q598" i="1"/>
  <c r="AJ594" i="1"/>
  <c r="AJ555" i="1"/>
  <c r="AJ592" i="1"/>
  <c r="AJ597" i="1"/>
  <c r="N599" i="1"/>
  <c r="F599" i="1" s="1"/>
  <c r="P601" i="1"/>
  <c r="AK619" i="1"/>
  <c r="AK600" i="1"/>
  <c r="AK601" i="1" s="1"/>
  <c r="O658" i="1"/>
  <c r="N656" i="1"/>
  <c r="N658" i="1" s="1"/>
  <c r="AG658" i="1"/>
  <c r="AE689" i="1"/>
  <c r="AG473" i="1"/>
  <c r="AM859" i="1"/>
  <c r="AM867" i="1"/>
  <c r="AM804" i="1"/>
  <c r="AM805" i="1" s="1"/>
  <c r="AM863" i="1"/>
  <c r="AM806" i="1"/>
  <c r="AM824" i="1"/>
  <c r="AM862" i="1"/>
  <c r="AM866" i="1"/>
  <c r="AQ807" i="1"/>
  <c r="AQ862" i="1"/>
  <c r="AQ867" i="1"/>
  <c r="AQ864" i="1"/>
  <c r="AQ825" i="1"/>
  <c r="N438" i="1"/>
  <c r="P439" i="1"/>
  <c r="AN700" i="1"/>
  <c r="AN701" i="1"/>
  <c r="AN704" i="1"/>
  <c r="AN662" i="1"/>
  <c r="AO700" i="1"/>
  <c r="AO705" i="1"/>
  <c r="AO702" i="1"/>
  <c r="S706" i="1"/>
  <c r="S703" i="1"/>
  <c r="AH717" i="1"/>
  <c r="AH741" i="1"/>
  <c r="AH738" i="1"/>
  <c r="AH736" i="1"/>
  <c r="AN787" i="1"/>
  <c r="AO810" i="1"/>
  <c r="AO813" i="1"/>
  <c r="AO808" i="1"/>
  <c r="AM800" i="1"/>
  <c r="AM802" i="1" s="1"/>
  <c r="AM818" i="1"/>
  <c r="AM856" i="1"/>
  <c r="AQ801" i="1"/>
  <c r="AQ856" i="1"/>
  <c r="AJ872" i="1"/>
  <c r="AJ800" i="1"/>
  <c r="AJ44" i="1" s="1"/>
  <c r="AJ1089" i="1" s="1"/>
  <c r="AI779" i="1"/>
  <c r="AI761" i="1" s="1"/>
  <c r="AI923" i="1"/>
  <c r="AM943" i="1"/>
  <c r="AM924" i="1"/>
  <c r="AM925" i="1" s="1"/>
  <c r="AE948" i="1"/>
  <c r="AE949" i="1" s="1"/>
  <c r="AG949" i="1"/>
  <c r="AG958" i="1" s="1"/>
  <c r="AG930" i="1"/>
  <c r="AG954" i="1"/>
  <c r="AG957" i="1"/>
  <c r="AK958" i="1"/>
  <c r="AL976" i="1"/>
  <c r="AG161" i="1"/>
  <c r="AF183" i="1"/>
  <c r="AL132" i="1"/>
  <c r="G202" i="1"/>
  <c r="T215" i="1"/>
  <c r="T218" i="1"/>
  <c r="T253" i="1"/>
  <c r="T256" i="1"/>
  <c r="T273" i="1"/>
  <c r="T268" i="1"/>
  <c r="Y271" i="1"/>
  <c r="Y274" i="1"/>
  <c r="O286" i="1"/>
  <c r="N285" i="1"/>
  <c r="AQ310" i="1"/>
  <c r="AQ307" i="1"/>
  <c r="AL313" i="1"/>
  <c r="AK326" i="1"/>
  <c r="AK155" i="1"/>
  <c r="AK161" i="1" s="1"/>
  <c r="Q328" i="1"/>
  <c r="Q325" i="1"/>
  <c r="F374" i="1"/>
  <c r="N380" i="1"/>
  <c r="N377" i="1"/>
  <c r="G415" i="1"/>
  <c r="G418" i="1"/>
  <c r="S448" i="1"/>
  <c r="S450" i="1"/>
  <c r="S453" i="1"/>
  <c r="N468" i="1"/>
  <c r="F465" i="1"/>
  <c r="N471" i="1"/>
  <c r="X523" i="1"/>
  <c r="X526" i="1"/>
  <c r="AG478" i="1"/>
  <c r="R544" i="1"/>
  <c r="R541" i="1"/>
  <c r="G557" i="1"/>
  <c r="G556" i="1"/>
  <c r="U607" i="1"/>
  <c r="T606" i="1"/>
  <c r="U615" i="1"/>
  <c r="L613" i="1"/>
  <c r="L616" i="1"/>
  <c r="AH647" i="1"/>
  <c r="AE671" i="1"/>
  <c r="AI653" i="1"/>
  <c r="AE653" i="1" s="1"/>
  <c r="Q688" i="1"/>
  <c r="Q685" i="1"/>
  <c r="AK801" i="1"/>
  <c r="AK802" i="1" s="1"/>
  <c r="AK856" i="1"/>
  <c r="AK819" i="1"/>
  <c r="AK820" i="1" s="1"/>
  <c r="AI865" i="1"/>
  <c r="AI868" i="1"/>
  <c r="AL1080" i="1"/>
  <c r="AL1083" i="1"/>
  <c r="AL1078" i="1"/>
  <c r="AE1077" i="1"/>
  <c r="AL1041" i="1"/>
  <c r="AL807" i="1"/>
  <c r="Q28" i="1"/>
  <c r="Q9" i="1"/>
  <c r="Q10" i="1" s="1"/>
  <c r="AG61" i="1"/>
  <c r="N74" i="1"/>
  <c r="N71" i="1"/>
  <c r="H82" i="1"/>
  <c r="AQ68" i="1"/>
  <c r="AQ89" i="1"/>
  <c r="AQ92" i="1"/>
  <c r="AQ93" i="1"/>
  <c r="AM110" i="1"/>
  <c r="AN51" i="1"/>
  <c r="S112" i="1"/>
  <c r="S109" i="1"/>
  <c r="P121" i="1"/>
  <c r="R127" i="1"/>
  <c r="AO150" i="1"/>
  <c r="T179" i="1"/>
  <c r="K183" i="1"/>
  <c r="K180" i="1"/>
  <c r="K178" i="1"/>
  <c r="Y184" i="1"/>
  <c r="Y181" i="1"/>
  <c r="AM132" i="1"/>
  <c r="AI137" i="1"/>
  <c r="F195" i="1"/>
  <c r="N201" i="1"/>
  <c r="H202" i="1"/>
  <c r="AM155" i="1"/>
  <c r="AM47" i="1" s="1"/>
  <c r="AM1092" i="1" s="1"/>
  <c r="Q220" i="1"/>
  <c r="Q217" i="1"/>
  <c r="AE216" i="1"/>
  <c r="I217" i="1"/>
  <c r="AE214" i="1"/>
  <c r="AK233" i="1"/>
  <c r="AH253" i="1"/>
  <c r="AE269" i="1"/>
  <c r="AE268" i="1"/>
  <c r="AE270" i="1"/>
  <c r="G277" i="1"/>
  <c r="O291" i="1"/>
  <c r="H298" i="1"/>
  <c r="AI301" i="1"/>
  <c r="AI310" i="1" s="1"/>
  <c r="AI282" i="1"/>
  <c r="AI291" i="1" s="1"/>
  <c r="AI309" i="1"/>
  <c r="T316" i="1"/>
  <c r="F315" i="1"/>
  <c r="F316" i="1" s="1"/>
  <c r="AE321" i="1"/>
  <c r="AF327" i="1"/>
  <c r="AF324" i="1"/>
  <c r="AF285" i="1"/>
  <c r="AG325" i="1"/>
  <c r="AG331" i="1"/>
  <c r="V385" i="1"/>
  <c r="AH432" i="1"/>
  <c r="AH435" i="1"/>
  <c r="AL433" i="1"/>
  <c r="AL436" i="1"/>
  <c r="H452" i="1"/>
  <c r="H449" i="1"/>
  <c r="O472" i="1"/>
  <c r="AO456" i="1"/>
  <c r="AO492" i="1"/>
  <c r="AO511" i="1"/>
  <c r="G523" i="1"/>
  <c r="G526" i="1"/>
  <c r="I560" i="1"/>
  <c r="P616" i="1"/>
  <c r="AM679" i="1"/>
  <c r="AM684" i="1"/>
  <c r="AM660" i="1"/>
  <c r="AM661" i="1" s="1"/>
  <c r="AM687" i="1"/>
  <c r="AJ683" i="1"/>
  <c r="AJ686" i="1"/>
  <c r="AJ682" i="1"/>
  <c r="AE680" i="1"/>
  <c r="AJ662" i="1"/>
  <c r="AJ464" i="1"/>
  <c r="R688" i="1"/>
  <c r="R685" i="1"/>
  <c r="AM754" i="1"/>
  <c r="AM759" i="1"/>
  <c r="AM756" i="1"/>
  <c r="T33" i="1"/>
  <c r="V36" i="1"/>
  <c r="F42" i="1"/>
  <c r="AI48" i="1"/>
  <c r="G54" i="1"/>
  <c r="P91" i="1"/>
  <c r="AO106" i="1"/>
  <c r="AO111" i="1"/>
  <c r="K130" i="1"/>
  <c r="K127" i="1"/>
  <c r="H147" i="1"/>
  <c r="W182" i="1"/>
  <c r="W179" i="1"/>
  <c r="AH183" i="1"/>
  <c r="AK138" i="1"/>
  <c r="N200" i="1"/>
  <c r="F194" i="1"/>
  <c r="AF164" i="1"/>
  <c r="AF50" i="1"/>
  <c r="J217" i="1"/>
  <c r="R238" i="1"/>
  <c r="AQ254" i="1"/>
  <c r="AQ227" i="1"/>
  <c r="AQ236" i="1" s="1"/>
  <c r="AF237" i="1"/>
  <c r="AF234" i="1"/>
  <c r="T255" i="1"/>
  <c r="AF269" i="1"/>
  <c r="AF272" i="1"/>
  <c r="AF270" i="1"/>
  <c r="Q288" i="1"/>
  <c r="Q286" i="1"/>
  <c r="Q291" i="1"/>
  <c r="AI306" i="1"/>
  <c r="AH325" i="1"/>
  <c r="AH360" i="1"/>
  <c r="AH339" i="1"/>
  <c r="AK364" i="1"/>
  <c r="AK361" i="1"/>
  <c r="P442" i="1"/>
  <c r="U450" i="1"/>
  <c r="U448" i="1"/>
  <c r="U453" i="1"/>
  <c r="AM460" i="1"/>
  <c r="M504" i="1"/>
  <c r="M502" i="1"/>
  <c r="M507" i="1"/>
  <c r="AN514" i="1"/>
  <c r="AN495" i="1"/>
  <c r="AN496" i="1" s="1"/>
  <c r="AN459" i="1"/>
  <c r="M526" i="1"/>
  <c r="M523" i="1"/>
  <c r="AQ500" i="1"/>
  <c r="AQ464" i="1"/>
  <c r="AQ521" i="1"/>
  <c r="AQ524" i="1"/>
  <c r="H526" i="1"/>
  <c r="H523" i="1"/>
  <c r="AP547" i="1"/>
  <c r="AH473" i="1"/>
  <c r="Q613" i="1"/>
  <c r="Q616" i="1"/>
  <c r="V612" i="1"/>
  <c r="AL608" i="1"/>
  <c r="AL629" i="1"/>
  <c r="AK654" i="1"/>
  <c r="AK655" i="1" s="1"/>
  <c r="AK673" i="1"/>
  <c r="AK686" i="1"/>
  <c r="AK662" i="1"/>
  <c r="AK683" i="1"/>
  <c r="AN792" i="1"/>
  <c r="AN771" i="1"/>
  <c r="AN795" i="1"/>
  <c r="AN790" i="1"/>
  <c r="AQ823" i="1"/>
  <c r="AF865" i="1"/>
  <c r="AF868" i="1"/>
  <c r="V10" i="1"/>
  <c r="AJ30" i="1"/>
  <c r="W15" i="1"/>
  <c r="W36" i="1"/>
  <c r="Q53" i="1"/>
  <c r="Q52" i="1"/>
  <c r="Q14" i="1"/>
  <c r="H54" i="1"/>
  <c r="X52" i="1"/>
  <c r="Q72" i="1"/>
  <c r="N93" i="1"/>
  <c r="N88" i="1"/>
  <c r="AF91" i="1"/>
  <c r="G94" i="1"/>
  <c r="V112" i="1"/>
  <c r="V109" i="1"/>
  <c r="T129" i="1"/>
  <c r="AJ164" i="1"/>
  <c r="AI173" i="1"/>
  <c r="AI175" i="1" s="1"/>
  <c r="X179" i="1"/>
  <c r="AL174" i="1"/>
  <c r="AL138" i="1"/>
  <c r="T197" i="1"/>
  <c r="T200" i="1"/>
  <c r="N236" i="1"/>
  <c r="R237" i="1"/>
  <c r="AQ138" i="1"/>
  <c r="AQ247" i="1"/>
  <c r="AQ228" i="1"/>
  <c r="AN265" i="1"/>
  <c r="AN272" i="1"/>
  <c r="AI271" i="1"/>
  <c r="AI274" i="1"/>
  <c r="O288" i="1"/>
  <c r="AK295" i="1"/>
  <c r="F308" i="1"/>
  <c r="AI328" i="1"/>
  <c r="N334" i="1"/>
  <c r="N341" i="1"/>
  <c r="AH359" i="1"/>
  <c r="AH362" i="1"/>
  <c r="O364" i="1"/>
  <c r="G395" i="1"/>
  <c r="G398" i="1"/>
  <c r="AF424" i="1"/>
  <c r="AE423" i="1"/>
  <c r="AE424" i="1" s="1"/>
  <c r="AJ435" i="1"/>
  <c r="N436" i="1"/>
  <c r="N433" i="1"/>
  <c r="I445" i="1"/>
  <c r="I453" i="1"/>
  <c r="AP463" i="1"/>
  <c r="AP444" i="1"/>
  <c r="AG447" i="1"/>
  <c r="AG466" i="1"/>
  <c r="H495" i="1"/>
  <c r="I496" i="1"/>
  <c r="N502" i="1"/>
  <c r="N507" i="1"/>
  <c r="N504" i="1"/>
  <c r="AQ511" i="1"/>
  <c r="AQ456" i="1"/>
  <c r="AQ492" i="1"/>
  <c r="AQ474" i="1"/>
  <c r="AQ475" i="1" s="1"/>
  <c r="AQ529" i="1"/>
  <c r="AE585" i="1"/>
  <c r="AE587" i="1"/>
  <c r="AE593" i="1" s="1"/>
  <c r="AN596" i="1"/>
  <c r="AN593" i="1"/>
  <c r="AN551" i="1"/>
  <c r="AN589" i="1"/>
  <c r="Q615" i="1"/>
  <c r="Q612" i="1"/>
  <c r="T625" i="1"/>
  <c r="F624" i="1"/>
  <c r="F625" i="1" s="1"/>
  <c r="AG708" i="1"/>
  <c r="AG709" i="1" s="1"/>
  <c r="AG745" i="1"/>
  <c r="AG910" i="1"/>
  <c r="AG872" i="1"/>
  <c r="AG874" i="1" s="1"/>
  <c r="AL782" i="1"/>
  <c r="AL764" i="1" s="1"/>
  <c r="AL926" i="1"/>
  <c r="AP946" i="1"/>
  <c r="AP927" i="1"/>
  <c r="AP928" i="1" s="1"/>
  <c r="AJ1039" i="1"/>
  <c r="W10" i="1"/>
  <c r="U20" i="1"/>
  <c r="X36" i="1"/>
  <c r="X34" i="1"/>
  <c r="F59" i="1"/>
  <c r="Q71" i="1"/>
  <c r="T70" i="1"/>
  <c r="T75" i="1"/>
  <c r="T72" i="1"/>
  <c r="Q74" i="1"/>
  <c r="AO79" i="1"/>
  <c r="AH91" i="1"/>
  <c r="AH94" i="1"/>
  <c r="AF141" i="1"/>
  <c r="H166" i="1"/>
  <c r="N169" i="1"/>
  <c r="G182" i="1"/>
  <c r="G179" i="1"/>
  <c r="AL173" i="1"/>
  <c r="AL179" i="1" s="1"/>
  <c r="AL137" i="1"/>
  <c r="AF198" i="1"/>
  <c r="AF201" i="1"/>
  <c r="Y226" i="1"/>
  <c r="T225" i="1"/>
  <c r="AH254" i="1"/>
  <c r="AH230" i="1"/>
  <c r="AH251" i="1"/>
  <c r="L253" i="1"/>
  <c r="T251" i="1"/>
  <c r="AH268" i="1"/>
  <c r="AH270" i="1"/>
  <c r="AJ271" i="1"/>
  <c r="AJ274" i="1"/>
  <c r="H276" i="1"/>
  <c r="H277" i="1" s="1"/>
  <c r="K277" i="1"/>
  <c r="M290" i="1"/>
  <c r="AK290" i="1"/>
  <c r="AK287" i="1"/>
  <c r="M286" i="1"/>
  <c r="AG287" i="1"/>
  <c r="AP330" i="1"/>
  <c r="AH352" i="1"/>
  <c r="AJ360" i="1"/>
  <c r="AJ339" i="1"/>
  <c r="AE422" i="1"/>
  <c r="R472" i="1"/>
  <c r="R469" i="1"/>
  <c r="AG495" i="1"/>
  <c r="AG496" i="1" s="1"/>
  <c r="AL502" i="1"/>
  <c r="AN553" i="1"/>
  <c r="AE584" i="1"/>
  <c r="AF476" i="1"/>
  <c r="AE476" i="1" s="1"/>
  <c r="AF548" i="1"/>
  <c r="AE548" i="1" s="1"/>
  <c r="AE736" i="1"/>
  <c r="AK943" i="1"/>
  <c r="AE942" i="1"/>
  <c r="AE943" i="1" s="1"/>
  <c r="AK924" i="1"/>
  <c r="AK925" i="1" s="1"/>
  <c r="AK780" i="1"/>
  <c r="AF952" i="1"/>
  <c r="AF933" i="1"/>
  <c r="AF954" i="1"/>
  <c r="AM955" i="1"/>
  <c r="AM958" i="1"/>
  <c r="AN1039" i="1"/>
  <c r="S52" i="1"/>
  <c r="S14" i="1"/>
  <c r="K54" i="1"/>
  <c r="AN66" i="1"/>
  <c r="AN67" i="1" s="1"/>
  <c r="AN65" i="1"/>
  <c r="J91" i="1"/>
  <c r="J94" i="1"/>
  <c r="T142" i="1"/>
  <c r="AG164" i="1"/>
  <c r="T175" i="1"/>
  <c r="AQ183" i="1"/>
  <c r="AL200" i="1"/>
  <c r="AK154" i="1"/>
  <c r="AI219" i="1"/>
  <c r="AI159" i="1"/>
  <c r="J220" i="1"/>
  <c r="H225" i="1"/>
  <c r="I226" i="1"/>
  <c r="U234" i="1"/>
  <c r="U232" i="1"/>
  <c r="AK225" i="1"/>
  <c r="AK226" i="1" s="1"/>
  <c r="AK244" i="1"/>
  <c r="N247" i="1"/>
  <c r="AO270" i="1"/>
  <c r="AO156" i="1"/>
  <c r="AO157" i="1" s="1"/>
  <c r="AO265" i="1"/>
  <c r="AH273" i="1"/>
  <c r="L277" i="1"/>
  <c r="H279" i="1"/>
  <c r="H280" i="1" s="1"/>
  <c r="X283" i="1"/>
  <c r="X289" i="1" s="1"/>
  <c r="X288" i="1"/>
  <c r="AH278" i="1"/>
  <c r="AE278" i="1" s="1"/>
  <c r="AH152" i="1"/>
  <c r="AH44" i="1" s="1"/>
  <c r="AH1089" i="1" s="1"/>
  <c r="G342" i="1"/>
  <c r="AN330" i="1"/>
  <c r="AN331" i="1" s="1"/>
  <c r="AN349" i="1"/>
  <c r="AG385" i="1"/>
  <c r="V398" i="1"/>
  <c r="AI390" i="1"/>
  <c r="AI391" i="1" s="1"/>
  <c r="AI409" i="1"/>
  <c r="AE408" i="1"/>
  <c r="AE409" i="1" s="1"/>
  <c r="AH414" i="1"/>
  <c r="AH412" i="1"/>
  <c r="AK434" i="1"/>
  <c r="AK430" i="1"/>
  <c r="AK392" i="1"/>
  <c r="AK431" i="1"/>
  <c r="P433" i="1"/>
  <c r="P436" i="1"/>
  <c r="X450" i="1"/>
  <c r="X472" i="1"/>
  <c r="X469" i="1"/>
  <c r="AN504" i="1"/>
  <c r="AP589" i="1"/>
  <c r="AP594" i="1"/>
  <c r="AP597" i="1"/>
  <c r="AL603" i="1"/>
  <c r="AL604" i="1" s="1"/>
  <c r="AL622" i="1"/>
  <c r="AF606" i="1"/>
  <c r="L655" i="1"/>
  <c r="P665" i="1"/>
  <c r="N662" i="1"/>
  <c r="P668" i="1"/>
  <c r="AM694" i="1"/>
  <c r="AM657" i="1"/>
  <c r="AM658" i="1" s="1"/>
  <c r="AL943" i="1"/>
  <c r="AL780" i="1"/>
  <c r="AL924" i="1"/>
  <c r="AL925" i="1" s="1"/>
  <c r="N48" i="1"/>
  <c r="N49" i="1" s="1"/>
  <c r="K57" i="1"/>
  <c r="R64" i="1"/>
  <c r="N66" i="1"/>
  <c r="N67" i="1" s="1"/>
  <c r="O67" i="1"/>
  <c r="AH82" i="1"/>
  <c r="AP94" i="1"/>
  <c r="S115" i="1"/>
  <c r="H116" i="1"/>
  <c r="F116" i="1" s="1"/>
  <c r="T124" i="1"/>
  <c r="P169" i="1"/>
  <c r="AQ180" i="1"/>
  <c r="AQ178" i="1"/>
  <c r="AH201" i="1"/>
  <c r="AH198" i="1"/>
  <c r="AH141" i="1"/>
  <c r="N196" i="1"/>
  <c r="AJ198" i="1"/>
  <c r="AJ219" i="1"/>
  <c r="AJ159" i="1"/>
  <c r="AJ214" i="1"/>
  <c r="AF223" i="1"/>
  <c r="Q235" i="1"/>
  <c r="V234" i="1"/>
  <c r="V232" i="1"/>
  <c r="U237" i="1"/>
  <c r="AJ233" i="1"/>
  <c r="AJ236" i="1"/>
  <c r="AL262" i="1"/>
  <c r="AP265" i="1"/>
  <c r="T275" i="1"/>
  <c r="AJ276" i="1"/>
  <c r="AJ277" i="1" s="1"/>
  <c r="V292" i="1"/>
  <c r="V289" i="1"/>
  <c r="AE302" i="1"/>
  <c r="L307" i="1"/>
  <c r="F335" i="1"/>
  <c r="U345" i="1"/>
  <c r="U337" i="1"/>
  <c r="U343" i="1" s="1"/>
  <c r="T336" i="1"/>
  <c r="T337" i="1" s="1"/>
  <c r="AI389" i="1"/>
  <c r="AH416" i="1"/>
  <c r="AH392" i="1"/>
  <c r="AN434" i="1"/>
  <c r="AN389" i="1"/>
  <c r="AN395" i="1" s="1"/>
  <c r="AL434" i="1"/>
  <c r="AL431" i="1"/>
  <c r="Q433" i="1"/>
  <c r="Q436" i="1"/>
  <c r="T466" i="1"/>
  <c r="T471" i="1"/>
  <c r="N486" i="1"/>
  <c r="F483" i="1"/>
  <c r="N529" i="1"/>
  <c r="L614" i="1"/>
  <c r="L611" i="1"/>
  <c r="AM603" i="1"/>
  <c r="AM622" i="1"/>
  <c r="AG605" i="1"/>
  <c r="AG629" i="1"/>
  <c r="AG606" i="1"/>
  <c r="AG607" i="1" s="1"/>
  <c r="AG630" i="1"/>
  <c r="AG633" i="1"/>
  <c r="AG462" i="1"/>
  <c r="AP609" i="1"/>
  <c r="AP648" i="1"/>
  <c r="AP646" i="1"/>
  <c r="AP651" i="1"/>
  <c r="AG661" i="1"/>
  <c r="V15" i="1"/>
  <c r="J39" i="1"/>
  <c r="V14" i="1"/>
  <c r="V53" i="1"/>
  <c r="S64" i="1"/>
  <c r="P67" i="1"/>
  <c r="P76" i="1" s="1"/>
  <c r="AI63" i="1"/>
  <c r="AI64" i="1" s="1"/>
  <c r="N97" i="1"/>
  <c r="G126" i="1"/>
  <c r="X129" i="1"/>
  <c r="X126" i="1"/>
  <c r="X124" i="1"/>
  <c r="N157" i="1"/>
  <c r="T170" i="1"/>
  <c r="T172" i="1" s="1"/>
  <c r="P175" i="1"/>
  <c r="AH140" i="1"/>
  <c r="O199" i="1"/>
  <c r="AL198" i="1"/>
  <c r="AE204" i="1"/>
  <c r="AF150" i="1"/>
  <c r="AK216" i="1"/>
  <c r="AK159" i="1"/>
  <c r="O217" i="1"/>
  <c r="O220" i="1"/>
  <c r="AK214" i="1"/>
  <c r="AI216" i="1"/>
  <c r="K226" i="1"/>
  <c r="W232" i="1"/>
  <c r="M235" i="1"/>
  <c r="M238" i="1"/>
  <c r="V237" i="1"/>
  <c r="AE239" i="1"/>
  <c r="AK251" i="1"/>
  <c r="AK254" i="1"/>
  <c r="AK255" i="1"/>
  <c r="AK252" i="1"/>
  <c r="AK231" i="1"/>
  <c r="AF253" i="1"/>
  <c r="H255" i="1"/>
  <c r="AQ265" i="1"/>
  <c r="AQ274" i="1" s="1"/>
  <c r="AJ273" i="1"/>
  <c r="AK276" i="1"/>
  <c r="AK277" i="1" s="1"/>
  <c r="K280" i="1"/>
  <c r="P287" i="1"/>
  <c r="P286" i="1"/>
  <c r="W289" i="1"/>
  <c r="O310" i="1"/>
  <c r="F312" i="1"/>
  <c r="N313" i="1"/>
  <c r="AO335" i="1"/>
  <c r="AP329" i="1"/>
  <c r="AP349" i="1"/>
  <c r="F354" i="1"/>
  <c r="F355" i="1" s="1"/>
  <c r="H360" i="1"/>
  <c r="H363" i="1"/>
  <c r="H355" i="1"/>
  <c r="AP370" i="1"/>
  <c r="AK380" i="1"/>
  <c r="AK376" i="1"/>
  <c r="AL379" i="1"/>
  <c r="AL382" i="1"/>
  <c r="R379" i="1"/>
  <c r="R382" i="1"/>
  <c r="AH413" i="1"/>
  <c r="T421" i="1"/>
  <c r="H421" i="1"/>
  <c r="AO434" i="1"/>
  <c r="AO431" i="1"/>
  <c r="AQ436" i="1"/>
  <c r="K445" i="1"/>
  <c r="K454" i="1" s="1"/>
  <c r="AM466" i="1"/>
  <c r="R490" i="1"/>
  <c r="R487" i="1"/>
  <c r="T489" i="1"/>
  <c r="T486" i="1"/>
  <c r="T484" i="1"/>
  <c r="L505" i="1"/>
  <c r="L508" i="1"/>
  <c r="AL497" i="1"/>
  <c r="AP551" i="1"/>
  <c r="T580" i="1"/>
  <c r="T577" i="1"/>
  <c r="AJ586" i="1"/>
  <c r="AJ477" i="1"/>
  <c r="AJ478" i="1" s="1"/>
  <c r="X598" i="1"/>
  <c r="X595" i="1"/>
  <c r="G595" i="1"/>
  <c r="AK607" i="1"/>
  <c r="AN602" i="1"/>
  <c r="AN622" i="1"/>
  <c r="AH605" i="1"/>
  <c r="AH614" i="1" s="1"/>
  <c r="AH606" i="1"/>
  <c r="Y631" i="1"/>
  <c r="Y634" i="1"/>
  <c r="F641" i="1"/>
  <c r="T647" i="1"/>
  <c r="T643" i="1"/>
  <c r="AQ649" i="1"/>
  <c r="AQ652" i="1"/>
  <c r="N655" i="1"/>
  <c r="O666" i="1"/>
  <c r="N663" i="1"/>
  <c r="O669" i="1"/>
  <c r="AP673" i="1"/>
  <c r="AP654" i="1"/>
  <c r="AP655" i="1" s="1"/>
  <c r="AO704" i="1"/>
  <c r="AO701" i="1"/>
  <c r="AP702" i="1"/>
  <c r="AP700" i="1"/>
  <c r="AP705" i="1"/>
  <c r="T706" i="1"/>
  <c r="T703" i="1"/>
  <c r="AE737" i="1"/>
  <c r="AE740" i="1"/>
  <c r="AI738" i="1"/>
  <c r="AI736" i="1"/>
  <c r="AI741" i="1"/>
  <c r="AG757" i="1"/>
  <c r="AG760" i="1"/>
  <c r="AJ802" i="1"/>
  <c r="AL827" i="1"/>
  <c r="AL830" i="1"/>
  <c r="AL826" i="1"/>
  <c r="AO910" i="1"/>
  <c r="AO801" i="1"/>
  <c r="AO802" i="1" s="1"/>
  <c r="AO873" i="1"/>
  <c r="AO874" i="1" s="1"/>
  <c r="AE1013" i="1"/>
  <c r="AG977" i="1"/>
  <c r="AG1015" i="1"/>
  <c r="J12" i="1"/>
  <c r="J13" i="1" s="1"/>
  <c r="J31" i="1"/>
  <c r="M35" i="1"/>
  <c r="M14" i="1"/>
  <c r="H14" i="1" s="1"/>
  <c r="V52" i="1"/>
  <c r="V57" i="1"/>
  <c r="M52" i="1"/>
  <c r="M74" i="1"/>
  <c r="S73" i="1"/>
  <c r="AQ69" i="1"/>
  <c r="AE101" i="1"/>
  <c r="AG47" i="1"/>
  <c r="AG1092" i="1" s="1"/>
  <c r="AM108" i="1"/>
  <c r="O121" i="1"/>
  <c r="O130" i="1" s="1"/>
  <c r="Q126" i="1"/>
  <c r="I127" i="1"/>
  <c r="AM175" i="1"/>
  <c r="AE191" i="1"/>
  <c r="Y202" i="1"/>
  <c r="AN149" i="1"/>
  <c r="AN41" i="1" s="1"/>
  <c r="AN1086" i="1" s="1"/>
  <c r="T216" i="1"/>
  <c r="T214" i="1"/>
  <c r="T219" i="1"/>
  <c r="F227" i="1"/>
  <c r="T269" i="1"/>
  <c r="H274" i="1"/>
  <c r="AP305" i="1"/>
  <c r="AP308" i="1"/>
  <c r="U344" i="1"/>
  <c r="U341" i="1"/>
  <c r="S345" i="1"/>
  <c r="S340" i="1"/>
  <c r="S342" i="1"/>
  <c r="AF364" i="1"/>
  <c r="AI361" i="1"/>
  <c r="AI364" i="1"/>
  <c r="AM380" i="1"/>
  <c r="AM377" i="1"/>
  <c r="AM335" i="1"/>
  <c r="W398" i="1"/>
  <c r="W395" i="1"/>
  <c r="F414" i="1"/>
  <c r="F417" i="1"/>
  <c r="Y415" i="1"/>
  <c r="Y418" i="1"/>
  <c r="AE429" i="1"/>
  <c r="AG432" i="1"/>
  <c r="AG430" i="1"/>
  <c r="K436" i="1"/>
  <c r="K433" i="1"/>
  <c r="X449" i="1"/>
  <c r="X448" i="1"/>
  <c r="N466" i="1"/>
  <c r="AO500" i="1"/>
  <c r="AO521" i="1"/>
  <c r="AO464" i="1"/>
  <c r="AO524" i="1"/>
  <c r="AQ522" i="1"/>
  <c r="AQ465" i="1"/>
  <c r="AQ501" i="1"/>
  <c r="AQ520" i="1"/>
  <c r="AK479" i="1"/>
  <c r="AK497" i="1"/>
  <c r="AK506" i="1" s="1"/>
  <c r="AJ554" i="1"/>
  <c r="AJ593" i="1"/>
  <c r="AJ596" i="1"/>
  <c r="N610" i="1"/>
  <c r="N612" i="1"/>
  <c r="N615" i="1"/>
  <c r="AI673" i="1"/>
  <c r="AL679" i="1"/>
  <c r="AL660" i="1"/>
  <c r="AK682" i="1"/>
  <c r="AK663" i="1"/>
  <c r="AE681" i="1"/>
  <c r="AK684" i="1"/>
  <c r="AP709" i="1"/>
  <c r="AF758" i="1"/>
  <c r="AF713" i="1"/>
  <c r="AE713" i="1" s="1"/>
  <c r="AE749" i="1"/>
  <c r="AF755" i="1"/>
  <c r="AJ759" i="1"/>
  <c r="AJ756" i="1"/>
  <c r="AJ751" i="1"/>
  <c r="AH758" i="1"/>
  <c r="AH755" i="1"/>
  <c r="AH754" i="1"/>
  <c r="AH716" i="1"/>
  <c r="AG800" i="1"/>
  <c r="AE854" i="1"/>
  <c r="AG818" i="1"/>
  <c r="N38" i="1"/>
  <c r="N35" i="1"/>
  <c r="K39" i="1"/>
  <c r="AH48" i="1"/>
  <c r="W57" i="1"/>
  <c r="AE62" i="1"/>
  <c r="H66" i="1"/>
  <c r="I72" i="1"/>
  <c r="H100" i="1"/>
  <c r="N115" i="1"/>
  <c r="J130" i="1"/>
  <c r="J127" i="1"/>
  <c r="R130" i="1"/>
  <c r="N147" i="1"/>
  <c r="F141" i="1"/>
  <c r="AG183" i="1"/>
  <c r="AE218" i="1"/>
  <c r="AF328" i="1"/>
  <c r="AG364" i="1"/>
  <c r="AG361" i="1"/>
  <c r="AJ418" i="1"/>
  <c r="AG431" i="1"/>
  <c r="AE428" i="1"/>
  <c r="AG434" i="1"/>
  <c r="L433" i="1"/>
  <c r="L436" i="1"/>
  <c r="Y445" i="1"/>
  <c r="Y453" i="1"/>
  <c r="Y449" i="1"/>
  <c r="Y448" i="1"/>
  <c r="L490" i="1"/>
  <c r="L487" i="1"/>
  <c r="AI502" i="1"/>
  <c r="AO455" i="1"/>
  <c r="AP521" i="1"/>
  <c r="AP500" i="1"/>
  <c r="AP524" i="1"/>
  <c r="AP464" i="1"/>
  <c r="Y523" i="1"/>
  <c r="Y526" i="1"/>
  <c r="AE530" i="1"/>
  <c r="AG494" i="1"/>
  <c r="AG476" i="1"/>
  <c r="AK557" i="1"/>
  <c r="H565" i="1"/>
  <c r="AG583" i="1"/>
  <c r="AE582" i="1"/>
  <c r="AE583" i="1" s="1"/>
  <c r="AH637" i="1"/>
  <c r="AL682" i="1"/>
  <c r="AL684" i="1"/>
  <c r="AL663" i="1"/>
  <c r="AL687" i="1"/>
  <c r="AM723" i="1"/>
  <c r="AH799" i="1"/>
  <c r="AP871" i="1"/>
  <c r="AO981" i="1"/>
  <c r="AO982" i="1" s="1"/>
  <c r="AO1000" i="1"/>
  <c r="AO783" i="1"/>
  <c r="R28" i="1"/>
  <c r="R9" i="1"/>
  <c r="R10" i="1" s="1"/>
  <c r="O35" i="1"/>
  <c r="P56" i="1"/>
  <c r="N50" i="1"/>
  <c r="N52" i="1" s="1"/>
  <c r="P14" i="1"/>
  <c r="M53" i="1"/>
  <c r="T65" i="1"/>
  <c r="U67" i="1"/>
  <c r="U76" i="1" s="1"/>
  <c r="AK66" i="1"/>
  <c r="AK67" i="1" s="1"/>
  <c r="O71" i="1"/>
  <c r="R72" i="1"/>
  <c r="R75" i="1"/>
  <c r="P72" i="1"/>
  <c r="AN107" i="1"/>
  <c r="AN110" i="1"/>
  <c r="U112" i="1"/>
  <c r="U109" i="1"/>
  <c r="M148" i="1"/>
  <c r="M145" i="1"/>
  <c r="N170" i="1"/>
  <c r="F170" i="1" s="1"/>
  <c r="O172" i="1"/>
  <c r="L183" i="1"/>
  <c r="L180" i="1"/>
  <c r="L178" i="1"/>
  <c r="AJ173" i="1"/>
  <c r="AJ137" i="1"/>
  <c r="AJ139" i="1" s="1"/>
  <c r="T198" i="1"/>
  <c r="T196" i="1"/>
  <c r="AF202" i="1"/>
  <c r="AE206" i="1"/>
  <c r="AN215" i="1"/>
  <c r="AN155" i="1"/>
  <c r="AM211" i="1"/>
  <c r="AM156" i="1"/>
  <c r="AF159" i="1"/>
  <c r="AF219" i="1"/>
  <c r="AF216" i="1"/>
  <c r="AF214" i="1"/>
  <c r="AM215" i="1"/>
  <c r="K223" i="1"/>
  <c r="H222" i="1"/>
  <c r="AL236" i="1"/>
  <c r="AL233" i="1"/>
  <c r="AP247" i="1"/>
  <c r="AP256" i="1" s="1"/>
  <c r="AP138" i="1"/>
  <c r="AP30" i="1" s="1"/>
  <c r="AP228" i="1"/>
  <c r="AF230" i="1"/>
  <c r="AF254" i="1"/>
  <c r="AF251" i="1"/>
  <c r="AJ256" i="1"/>
  <c r="AM272" i="1"/>
  <c r="AM227" i="1"/>
  <c r="AM229" i="1" s="1"/>
  <c r="AL265" i="1"/>
  <c r="AL270" i="1"/>
  <c r="AL273" i="1"/>
  <c r="AF268" i="1"/>
  <c r="AG274" i="1"/>
  <c r="AI287" i="1"/>
  <c r="AI290" i="1"/>
  <c r="N298" i="1"/>
  <c r="AJ282" i="1"/>
  <c r="AJ283" i="1" s="1"/>
  <c r="AN156" i="1"/>
  <c r="AN162" i="1" s="1"/>
  <c r="AG324" i="1"/>
  <c r="AG327" i="1"/>
  <c r="AG285" i="1"/>
  <c r="AG328" i="1"/>
  <c r="M343" i="1"/>
  <c r="AF333" i="1"/>
  <c r="AE351" i="1"/>
  <c r="X385" i="1"/>
  <c r="AK418" i="1"/>
  <c r="F491" i="1"/>
  <c r="AM458" i="1"/>
  <c r="AM494" i="1"/>
  <c r="AF523" i="1"/>
  <c r="AP473" i="1"/>
  <c r="AP474" i="1"/>
  <c r="AP475" i="1" s="1"/>
  <c r="AP529" i="1"/>
  <c r="AI495" i="1"/>
  <c r="AI496" i="1" s="1"/>
  <c r="AI477" i="1"/>
  <c r="AN535" i="1"/>
  <c r="AN544" i="1" s="1"/>
  <c r="AN543" i="1"/>
  <c r="AH474" i="1"/>
  <c r="AH546" i="1"/>
  <c r="AH583" i="1"/>
  <c r="AM589" i="1"/>
  <c r="AM597" i="1"/>
  <c r="AM594" i="1"/>
  <c r="AM552" i="1"/>
  <c r="N601" i="1"/>
  <c r="G614" i="1"/>
  <c r="G611" i="1"/>
  <c r="AN609" i="1"/>
  <c r="AN628" i="1"/>
  <c r="AN630" i="1"/>
  <c r="AE675" i="1"/>
  <c r="AF657" i="1"/>
  <c r="AN686" i="1"/>
  <c r="AN683" i="1"/>
  <c r="AN679" i="1"/>
  <c r="AO723" i="1"/>
  <c r="AO718" i="1"/>
  <c r="AO720" i="1"/>
  <c r="AE744" i="1"/>
  <c r="AE745" i="1" s="1"/>
  <c r="AF708" i="1"/>
  <c r="AF745" i="1"/>
  <c r="AI1039" i="1"/>
  <c r="M7" i="1"/>
  <c r="K28" i="1"/>
  <c r="M31" i="1"/>
  <c r="Y54" i="1"/>
  <c r="Y15" i="1"/>
  <c r="AL66" i="1"/>
  <c r="AL67" i="1" s="1"/>
  <c r="P74" i="1"/>
  <c r="P71" i="1"/>
  <c r="S75" i="1"/>
  <c r="AN60" i="1"/>
  <c r="AN61" i="1" s="1"/>
  <c r="AN79" i="1"/>
  <c r="AO50" i="1"/>
  <c r="F120" i="1"/>
  <c r="F121" i="1" s="1"/>
  <c r="O127" i="1"/>
  <c r="AL168" i="1"/>
  <c r="AL169" i="1" s="1"/>
  <c r="M183" i="1"/>
  <c r="M180" i="1"/>
  <c r="M178" i="1"/>
  <c r="AF178" i="1"/>
  <c r="AG202" i="1"/>
  <c r="AJ200" i="1"/>
  <c r="AG159" i="1"/>
  <c r="AG51" i="1" s="1"/>
  <c r="AG216" i="1"/>
  <c r="AG219" i="1"/>
  <c r="AG214" i="1"/>
  <c r="AN232" i="1"/>
  <c r="H251" i="1"/>
  <c r="H254" i="1"/>
  <c r="V256" i="1"/>
  <c r="V253" i="1"/>
  <c r="AK253" i="1"/>
  <c r="AM265" i="1"/>
  <c r="AM271" i="1" s="1"/>
  <c r="AM270" i="1"/>
  <c r="AM273" i="1"/>
  <c r="AG277" i="1"/>
  <c r="L290" i="1"/>
  <c r="L287" i="1"/>
  <c r="R291" i="1"/>
  <c r="R286" i="1"/>
  <c r="AK275" i="1"/>
  <c r="AK306" i="1"/>
  <c r="AH291" i="1"/>
  <c r="AH328" i="1"/>
  <c r="AO330" i="1"/>
  <c r="AO331" i="1" s="1"/>
  <c r="AI363" i="1"/>
  <c r="AI339" i="1"/>
  <c r="AI360" i="1"/>
  <c r="R391" i="1"/>
  <c r="R396" i="1"/>
  <c r="N390" i="1"/>
  <c r="N396" i="1" s="1"/>
  <c r="R399" i="1"/>
  <c r="M418" i="1"/>
  <c r="M415" i="1"/>
  <c r="AI434" i="1"/>
  <c r="AI431" i="1"/>
  <c r="AI392" i="1"/>
  <c r="Q472" i="1"/>
  <c r="N490" i="1"/>
  <c r="AK502" i="1"/>
  <c r="AQ491" i="1"/>
  <c r="AQ455" i="1"/>
  <c r="AQ437" i="1" s="1"/>
  <c r="K559" i="1"/>
  <c r="K562" i="1"/>
  <c r="W561" i="1"/>
  <c r="W556" i="1"/>
  <c r="K557" i="1"/>
  <c r="AI583" i="1"/>
  <c r="AI546" i="1"/>
  <c r="AI547" i="1" s="1"/>
  <c r="AI474" i="1"/>
  <c r="AI475" i="1" s="1"/>
  <c r="I614" i="1"/>
  <c r="H608" i="1"/>
  <c r="F608" i="1" s="1"/>
  <c r="I611" i="1"/>
  <c r="R613" i="1"/>
  <c r="AM629" i="1"/>
  <c r="AM464" i="1"/>
  <c r="AM632" i="1"/>
  <c r="AM608" i="1"/>
  <c r="AN669" i="1"/>
  <c r="AK701" i="1"/>
  <c r="AK704" i="1"/>
  <c r="AP723" i="1"/>
  <c r="AP718" i="1"/>
  <c r="AP720" i="1"/>
  <c r="AQ795" i="1"/>
  <c r="AQ790" i="1"/>
  <c r="AQ771" i="1"/>
  <c r="AQ792" i="1"/>
  <c r="AO803" i="1"/>
  <c r="AO47" i="1" s="1"/>
  <c r="AO1092" i="1" s="1"/>
  <c r="AO866" i="1"/>
  <c r="AO859" i="1"/>
  <c r="AO865" i="1" s="1"/>
  <c r="AO863" i="1"/>
  <c r="AE957" i="1"/>
  <c r="AE954" i="1"/>
  <c r="AE952" i="1"/>
  <c r="O7" i="1"/>
  <c r="I13" i="1"/>
  <c r="N26" i="1"/>
  <c r="N28" i="1" s="1"/>
  <c r="P28" i="1"/>
  <c r="G15" i="1"/>
  <c r="G34" i="1"/>
  <c r="G39" i="1"/>
  <c r="G36" i="1"/>
  <c r="P53" i="1"/>
  <c r="AM66" i="1"/>
  <c r="AM67" i="1" s="1"/>
  <c r="I75" i="1"/>
  <c r="T88" i="1"/>
  <c r="T90" i="1"/>
  <c r="T93" i="1"/>
  <c r="AP97" i="1"/>
  <c r="AE99" i="1"/>
  <c r="U126" i="1"/>
  <c r="U124" i="1"/>
  <c r="AP131" i="1"/>
  <c r="AM168" i="1"/>
  <c r="AM169" i="1" s="1"/>
  <c r="AK173" i="1"/>
  <c r="AK175" i="1" s="1"/>
  <c r="Y182" i="1"/>
  <c r="Y179" i="1"/>
  <c r="AJ180" i="1"/>
  <c r="AJ183" i="1"/>
  <c r="AM193" i="1"/>
  <c r="AM138" i="1"/>
  <c r="AH202" i="1"/>
  <c r="AK200" i="1"/>
  <c r="M202" i="1"/>
  <c r="AJ208" i="1"/>
  <c r="AJ153" i="1"/>
  <c r="AE153" i="1" s="1"/>
  <c r="AH219" i="1"/>
  <c r="AH159" i="1"/>
  <c r="AH51" i="1" s="1"/>
  <c r="AH216" i="1"/>
  <c r="AH214" i="1"/>
  <c r="I220" i="1"/>
  <c r="M223" i="1"/>
  <c r="T232" i="1"/>
  <c r="S237" i="1"/>
  <c r="AH252" i="1"/>
  <c r="AH272" i="1"/>
  <c r="AH269" i="1"/>
  <c r="AH277" i="1"/>
  <c r="AF280" i="1"/>
  <c r="S288" i="1"/>
  <c r="S286" i="1"/>
  <c r="AL275" i="1"/>
  <c r="AI286" i="1"/>
  <c r="M344" i="1"/>
  <c r="AM330" i="1"/>
  <c r="AM331" i="1" s="1"/>
  <c r="AM349" i="1"/>
  <c r="AP355" i="1"/>
  <c r="AP363" i="1"/>
  <c r="AP360" i="1"/>
  <c r="AP336" i="1"/>
  <c r="AP337" i="1" s="1"/>
  <c r="AI362" i="1"/>
  <c r="AI359" i="1"/>
  <c r="S436" i="1"/>
  <c r="S433" i="1"/>
  <c r="AI466" i="1"/>
  <c r="AI447" i="1"/>
  <c r="J496" i="1"/>
  <c r="O504" i="1"/>
  <c r="O502" i="1"/>
  <c r="AK539" i="1"/>
  <c r="AL632" i="1"/>
  <c r="K655" i="1"/>
  <c r="AO669" i="1"/>
  <c r="AO666" i="1"/>
  <c r="AO664" i="1"/>
  <c r="AM673" i="1"/>
  <c r="AM654" i="1"/>
  <c r="AM655" i="1" s="1"/>
  <c r="N676" i="1"/>
  <c r="AQ718" i="1"/>
  <c r="AQ723" i="1"/>
  <c r="AK798" i="1"/>
  <c r="AK799" i="1" s="1"/>
  <c r="AK853" i="1"/>
  <c r="AE852" i="1"/>
  <c r="AP863" i="1"/>
  <c r="AP803" i="1"/>
  <c r="AP812" i="1" s="1"/>
  <c r="AP866" i="1"/>
  <c r="AP859" i="1"/>
  <c r="AQ869" i="1"/>
  <c r="AQ889" i="1"/>
  <c r="AQ779" i="1"/>
  <c r="AL967" i="1"/>
  <c r="AL973" i="1" s="1"/>
  <c r="AL975" i="1"/>
  <c r="K12" i="1"/>
  <c r="K13" i="1" s="1"/>
  <c r="AO24" i="1"/>
  <c r="R71" i="1"/>
  <c r="R74" i="1"/>
  <c r="AG82" i="1"/>
  <c r="AE81" i="1"/>
  <c r="AG63" i="1"/>
  <c r="AG64" i="1" s="1"/>
  <c r="AO66" i="1"/>
  <c r="AO67" i="1" s="1"/>
  <c r="AF93" i="1"/>
  <c r="AE87" i="1"/>
  <c r="AQ97" i="1"/>
  <c r="AG100" i="1"/>
  <c r="AM107" i="1"/>
  <c r="O125" i="1"/>
  <c r="V129" i="1"/>
  <c r="V126" i="1"/>
  <c r="V124" i="1"/>
  <c r="AM173" i="1"/>
  <c r="AE189" i="1"/>
  <c r="AG198" i="1"/>
  <c r="AG201" i="1"/>
  <c r="AG141" i="1"/>
  <c r="N205" i="1"/>
  <c r="F203" i="1"/>
  <c r="AI214" i="1"/>
  <c r="AN218" i="1"/>
  <c r="H221" i="1"/>
  <c r="F221" i="1" s="1"/>
  <c r="AI251" i="1"/>
  <c r="AF252" i="1"/>
  <c r="O256" i="1"/>
  <c r="AK274" i="1"/>
  <c r="AI276" i="1"/>
  <c r="R288" i="1"/>
  <c r="AM275" i="1"/>
  <c r="Y340" i="1"/>
  <c r="F366" i="1"/>
  <c r="F367" i="1" s="1"/>
  <c r="H367" i="1"/>
  <c r="P382" i="1"/>
  <c r="Q397" i="1"/>
  <c r="Q400" i="1"/>
  <c r="AM387" i="1"/>
  <c r="AM388" i="1" s="1"/>
  <c r="AM406" i="1"/>
  <c r="AG413" i="1"/>
  <c r="AG416" i="1"/>
  <c r="AG412" i="1"/>
  <c r="AG392" i="1"/>
  <c r="AL432" i="1"/>
  <c r="G449" i="1"/>
  <c r="S472" i="1"/>
  <c r="S469" i="1"/>
  <c r="AK496" i="1"/>
  <c r="X504" i="1"/>
  <c r="X499" i="1"/>
  <c r="G503" i="1"/>
  <c r="F500" i="1"/>
  <c r="G506" i="1"/>
  <c r="X503" i="1"/>
  <c r="X506" i="1"/>
  <c r="X502" i="1"/>
  <c r="AP553" i="1"/>
  <c r="M557" i="1"/>
  <c r="M560" i="1"/>
  <c r="N586" i="1"/>
  <c r="AP479" i="1"/>
  <c r="AP481" i="1" s="1"/>
  <c r="AP593" i="1"/>
  <c r="AL602" i="1"/>
  <c r="AQ609" i="1"/>
  <c r="AQ628" i="1"/>
  <c r="AI654" i="1"/>
  <c r="AE696" i="1"/>
  <c r="AF705" i="1"/>
  <c r="AF702" i="1"/>
  <c r="AF660" i="1"/>
  <c r="AF666" i="1" s="1"/>
  <c r="AF697" i="1"/>
  <c r="AH815" i="1"/>
  <c r="AH817" i="1" s="1"/>
  <c r="AH853" i="1"/>
  <c r="AH923" i="1"/>
  <c r="AH779" i="1"/>
  <c r="AH943" i="1"/>
  <c r="AI967" i="1"/>
  <c r="AI929" i="1"/>
  <c r="Y10" i="1"/>
  <c r="L12" i="1"/>
  <c r="L13" i="1" s="1"/>
  <c r="W5" i="1"/>
  <c r="S40" i="1"/>
  <c r="F41" i="1"/>
  <c r="X43" i="1"/>
  <c r="X46" i="1"/>
  <c r="T45" i="1"/>
  <c r="T46" i="1" s="1"/>
  <c r="T50" i="1"/>
  <c r="T52" i="1" s="1"/>
  <c r="S53" i="1"/>
  <c r="Y57" i="1"/>
  <c r="S74" i="1"/>
  <c r="AP85" i="1"/>
  <c r="AP91" i="1" s="1"/>
  <c r="AP66" i="1"/>
  <c r="AO107" i="1"/>
  <c r="AM111" i="1"/>
  <c r="W126" i="1"/>
  <c r="W124" i="1"/>
  <c r="AF139" i="1"/>
  <c r="J163" i="1"/>
  <c r="AN173" i="1"/>
  <c r="AN175" i="1" s="1"/>
  <c r="AF176" i="1"/>
  <c r="O183" i="1"/>
  <c r="AF170" i="1"/>
  <c r="AE188" i="1"/>
  <c r="AJ199" i="1"/>
  <c r="F209" i="1"/>
  <c r="H218" i="1"/>
  <c r="H215" i="1"/>
  <c r="AQ156" i="1"/>
  <c r="AQ211" i="1"/>
  <c r="AQ220" i="1" s="1"/>
  <c r="AK223" i="1"/>
  <c r="J226" i="1"/>
  <c r="L235" i="1"/>
  <c r="Q238" i="1"/>
  <c r="AJ252" i="1"/>
  <c r="AJ231" i="1"/>
  <c r="AJ255" i="1"/>
  <c r="AH279" i="1"/>
  <c r="O290" i="1"/>
  <c r="U286" i="1"/>
  <c r="U291" i="1"/>
  <c r="U288" i="1"/>
  <c r="F332" i="1"/>
  <c r="AK341" i="1"/>
  <c r="O344" i="1"/>
  <c r="AJ332" i="1"/>
  <c r="AJ334" i="1" s="1"/>
  <c r="AQ355" i="1"/>
  <c r="AQ362" i="1"/>
  <c r="Q382" i="1"/>
  <c r="Q379" i="1"/>
  <c r="H384" i="1"/>
  <c r="H385" i="1" s="1"/>
  <c r="J385" i="1"/>
  <c r="AN387" i="1"/>
  <c r="AN388" i="1" s="1"/>
  <c r="AJ389" i="1"/>
  <c r="AJ395" i="1" s="1"/>
  <c r="AJ409" i="1"/>
  <c r="AJ415" i="1" s="1"/>
  <c r="AE407" i="1"/>
  <c r="AJ413" i="1"/>
  <c r="AI417" i="1"/>
  <c r="AI412" i="1"/>
  <c r="N418" i="1"/>
  <c r="N415" i="1"/>
  <c r="N421" i="1"/>
  <c r="AO427" i="1"/>
  <c r="AO436" i="1" s="1"/>
  <c r="AO390" i="1"/>
  <c r="AO391" i="1" s="1"/>
  <c r="AO432" i="1"/>
  <c r="AM432" i="1"/>
  <c r="AM435" i="1"/>
  <c r="AM430" i="1"/>
  <c r="AK435" i="1"/>
  <c r="AP436" i="1"/>
  <c r="L450" i="1"/>
  <c r="L453" i="1"/>
  <c r="I449" i="1"/>
  <c r="AL465" i="1"/>
  <c r="Q490" i="1"/>
  <c r="Q487" i="1"/>
  <c r="AL496" i="1"/>
  <c r="Y503" i="1"/>
  <c r="Y506" i="1"/>
  <c r="O558" i="1"/>
  <c r="O561" i="1"/>
  <c r="T602" i="1"/>
  <c r="AI611" i="1"/>
  <c r="AI614" i="1"/>
  <c r="AM602" i="1"/>
  <c r="M631" i="1"/>
  <c r="M634" i="1"/>
  <c r="F642" i="1"/>
  <c r="N643" i="1"/>
  <c r="W649" i="1"/>
  <c r="W652" i="1"/>
  <c r="G667" i="1"/>
  <c r="G670" i="1"/>
  <c r="AE695" i="1"/>
  <c r="AG659" i="1"/>
  <c r="AG665" i="1" s="1"/>
  <c r="T32" i="1"/>
  <c r="U38" i="1"/>
  <c r="J36" i="1"/>
  <c r="AO60" i="1"/>
  <c r="AO61" i="1" s="1"/>
  <c r="AG65" i="1"/>
  <c r="AP89" i="1"/>
  <c r="AP92" i="1"/>
  <c r="AJ90" i="1"/>
  <c r="AN111" i="1"/>
  <c r="Q125" i="1"/>
  <c r="Q128" i="1"/>
  <c r="Y130" i="1"/>
  <c r="K166" i="1"/>
  <c r="K163" i="1"/>
  <c r="AP169" i="1"/>
  <c r="AJ178" i="1"/>
  <c r="P183" i="1"/>
  <c r="AI198" i="1"/>
  <c r="AI201" i="1"/>
  <c r="AI141" i="1"/>
  <c r="X15" i="1"/>
  <c r="Y20" i="1"/>
  <c r="H28" i="1"/>
  <c r="R12" i="1"/>
  <c r="K34" i="1"/>
  <c r="V34" i="1"/>
  <c r="K36" i="1"/>
  <c r="U53" i="1"/>
  <c r="AP60" i="1"/>
  <c r="AP61" i="1" s="1"/>
  <c r="AH65" i="1"/>
  <c r="Q67" i="1"/>
  <c r="Q76" i="1" s="1"/>
  <c r="I67" i="1"/>
  <c r="I76" i="1" s="1"/>
  <c r="X73" i="1"/>
  <c r="U74" i="1"/>
  <c r="H79" i="1"/>
  <c r="U115" i="1"/>
  <c r="R125" i="1"/>
  <c r="R128" i="1"/>
  <c r="Y129" i="1"/>
  <c r="Y126" i="1"/>
  <c r="G129" i="1"/>
  <c r="F134" i="1"/>
  <c r="F136" i="1" s="1"/>
  <c r="AF135" i="1"/>
  <c r="W145" i="1"/>
  <c r="F153" i="1"/>
  <c r="F154" i="1" s="1"/>
  <c r="L172" i="1"/>
  <c r="AF172" i="1"/>
  <c r="AH176" i="1"/>
  <c r="AH178" i="1" s="1"/>
  <c r="G178" i="1"/>
  <c r="AF180" i="1"/>
  <c r="T182" i="1"/>
  <c r="AQ193" i="1"/>
  <c r="AQ202" i="1" s="1"/>
  <c r="AJ201" i="1"/>
  <c r="P202" i="1"/>
  <c r="AM198" i="1"/>
  <c r="AF199" i="1"/>
  <c r="N211" i="1"/>
  <c r="AL215" i="1"/>
  <c r="AL218" i="1"/>
  <c r="P220" i="1"/>
  <c r="P217" i="1"/>
  <c r="AJ216" i="1"/>
  <c r="T224" i="1"/>
  <c r="AH226" i="1"/>
  <c r="AN227" i="1"/>
  <c r="AN236" i="1" s="1"/>
  <c r="S236" i="1"/>
  <c r="N233" i="1"/>
  <c r="G234" i="1"/>
  <c r="W237" i="1"/>
  <c r="AO224" i="1"/>
  <c r="AF247" i="1"/>
  <c r="AF256" i="1" s="1"/>
  <c r="AG247" i="1"/>
  <c r="AP252" i="1"/>
  <c r="W256" i="1"/>
  <c r="AK273" i="1"/>
  <c r="T278" i="1"/>
  <c r="F278" i="1" s="1"/>
  <c r="AK282" i="1"/>
  <c r="AK283" i="1" s="1"/>
  <c r="AP284" i="1"/>
  <c r="X292" i="1"/>
  <c r="AH288" i="1"/>
  <c r="AG290" i="1"/>
  <c r="AP295" i="1"/>
  <c r="F311" i="1"/>
  <c r="AP335" i="1"/>
  <c r="AL339" i="1"/>
  <c r="O343" i="1"/>
  <c r="AQ329" i="1"/>
  <c r="AE329" i="1" s="1"/>
  <c r="AQ330" i="1"/>
  <c r="AQ331" i="1" s="1"/>
  <c r="AQ349" i="1"/>
  <c r="AL352" i="1"/>
  <c r="T364" i="1"/>
  <c r="AE372" i="1"/>
  <c r="AE373" i="1" s="1"/>
  <c r="AL380" i="1"/>
  <c r="AL377" i="1"/>
  <c r="AM381" i="1"/>
  <c r="AM376" i="1"/>
  <c r="AK377" i="1"/>
  <c r="L385" i="1"/>
  <c r="X391" i="1"/>
  <c r="T390" i="1"/>
  <c r="T391" i="1" s="1"/>
  <c r="G399" i="1"/>
  <c r="F393" i="1"/>
  <c r="G394" i="1"/>
  <c r="G396" i="1"/>
  <c r="X399" i="1"/>
  <c r="X394" i="1"/>
  <c r="V397" i="1"/>
  <c r="AP434" i="1"/>
  <c r="AP431" i="1"/>
  <c r="AP389" i="1"/>
  <c r="AN435" i="1"/>
  <c r="F437" i="1"/>
  <c r="L445" i="1"/>
  <c r="AN465" i="1"/>
  <c r="V472" i="1"/>
  <c r="H469" i="1"/>
  <c r="AG474" i="1"/>
  <c r="AG475" i="1" s="1"/>
  <c r="S490" i="1"/>
  <c r="S487" i="1"/>
  <c r="AO491" i="1"/>
  <c r="I504" i="1"/>
  <c r="I507" i="1"/>
  <c r="I499" i="1"/>
  <c r="AF499" i="1"/>
  <c r="R508" i="1"/>
  <c r="R505" i="1"/>
  <c r="AO483" i="1"/>
  <c r="AO543" i="1"/>
  <c r="AO540" i="1"/>
  <c r="S544" i="1"/>
  <c r="S541" i="1"/>
  <c r="AM542" i="1"/>
  <c r="Q558" i="1"/>
  <c r="Q553" i="1"/>
  <c r="Q561" i="1"/>
  <c r="AN558" i="1"/>
  <c r="AN561" i="1"/>
  <c r="AQ551" i="1"/>
  <c r="AQ553" i="1" s="1"/>
  <c r="AQ461" i="1"/>
  <c r="AN576" i="1"/>
  <c r="AN574" i="1"/>
  <c r="AN579" i="1"/>
  <c r="AN545" i="1"/>
  <c r="AN473" i="1"/>
  <c r="AN583" i="1"/>
  <c r="N597" i="1"/>
  <c r="N594" i="1"/>
  <c r="F591" i="1"/>
  <c r="U601" i="1"/>
  <c r="AE618" i="1"/>
  <c r="AE619" i="1" s="1"/>
  <c r="AG619" i="1"/>
  <c r="AO602" i="1"/>
  <c r="AO622" i="1"/>
  <c r="I631" i="1"/>
  <c r="I634" i="1"/>
  <c r="AO474" i="1"/>
  <c r="AO475" i="1" s="1"/>
  <c r="AO637" i="1"/>
  <c r="AP608" i="1"/>
  <c r="AP650" i="1"/>
  <c r="Y652" i="1"/>
  <c r="Y649" i="1"/>
  <c r="T651" i="1"/>
  <c r="P669" i="1"/>
  <c r="P666" i="1"/>
  <c r="M664" i="1"/>
  <c r="AQ654" i="1"/>
  <c r="AQ655" i="1" s="1"/>
  <c r="AQ673" i="1"/>
  <c r="AE690" i="1"/>
  <c r="AE691" i="1" s="1"/>
  <c r="AF691" i="1"/>
  <c r="AP701" i="1"/>
  <c r="AP704" i="1"/>
  <c r="AQ702" i="1"/>
  <c r="AQ700" i="1"/>
  <c r="AQ705" i="1"/>
  <c r="U703" i="1"/>
  <c r="U706" i="1"/>
  <c r="AF737" i="1"/>
  <c r="AF716" i="1"/>
  <c r="AF740" i="1"/>
  <c r="AL801" i="1"/>
  <c r="AL802" i="1" s="1"/>
  <c r="AE1118" i="1"/>
  <c r="AE1120" i="1" s="1"/>
  <c r="H283" i="1"/>
  <c r="AL301" i="1"/>
  <c r="M325" i="1"/>
  <c r="M328" i="1"/>
  <c r="V344" i="1"/>
  <c r="V341" i="1"/>
  <c r="H339" i="1"/>
  <c r="I345" i="1"/>
  <c r="AM333" i="1"/>
  <c r="AM334" i="1" s="1"/>
  <c r="AM352" i="1"/>
  <c r="AN361" i="1"/>
  <c r="AH406" i="1"/>
  <c r="AH387" i="1"/>
  <c r="AH388" i="1" s="1"/>
  <c r="M452" i="1"/>
  <c r="M449" i="1"/>
  <c r="M448" i="1"/>
  <c r="V453" i="1"/>
  <c r="V448" i="1"/>
  <c r="N467" i="1"/>
  <c r="F464" i="1"/>
  <c r="G502" i="1"/>
  <c r="G504" i="1"/>
  <c r="G507" i="1"/>
  <c r="AK523" i="1"/>
  <c r="N541" i="1"/>
  <c r="AL907" i="1"/>
  <c r="AL798" i="1"/>
  <c r="AL799" i="1" s="1"/>
  <c r="AL870" i="1"/>
  <c r="AL871" i="1" s="1"/>
  <c r="AE906" i="1"/>
  <c r="AH913" i="1"/>
  <c r="AH919" i="1" s="1"/>
  <c r="AH921" i="1"/>
  <c r="AH804" i="1"/>
  <c r="AI1079" i="1"/>
  <c r="AE1076" i="1"/>
  <c r="AI1040" i="1"/>
  <c r="AI1082" i="1"/>
  <c r="AI1078" i="1"/>
  <c r="AK1117" i="1"/>
  <c r="W31" i="1"/>
  <c r="W12" i="1"/>
  <c r="W13" i="1" s="1"/>
  <c r="R36" i="1"/>
  <c r="R34" i="1"/>
  <c r="AF92" i="1"/>
  <c r="AE86" i="1"/>
  <c r="AG107" i="1"/>
  <c r="I125" i="1"/>
  <c r="W172" i="1"/>
  <c r="AP150" i="1"/>
  <c r="J233" i="1"/>
  <c r="AK247" i="1"/>
  <c r="AK256" i="1" s="1"/>
  <c r="H259" i="1"/>
  <c r="AN269" i="1"/>
  <c r="T277" i="1"/>
  <c r="K286" i="1"/>
  <c r="K288" i="1"/>
  <c r="N306" i="1"/>
  <c r="N309" i="1"/>
  <c r="N304" i="1"/>
  <c r="J342" i="1"/>
  <c r="J345" i="1"/>
  <c r="Q385" i="1"/>
  <c r="R418" i="1"/>
  <c r="R415" i="1"/>
  <c r="N449" i="1"/>
  <c r="S504" i="1"/>
  <c r="N498" i="1"/>
  <c r="N499" i="1" s="1"/>
  <c r="S499" i="1"/>
  <c r="S508" i="1" s="1"/>
  <c r="AP514" i="1"/>
  <c r="AP495" i="1"/>
  <c r="AP496" i="1" s="1"/>
  <c r="AP459" i="1"/>
  <c r="AI497" i="1"/>
  <c r="AI521" i="1"/>
  <c r="AO592" i="1"/>
  <c r="AO594" i="1"/>
  <c r="AO593" i="1"/>
  <c r="AK611" i="1"/>
  <c r="AH632" i="1"/>
  <c r="F638" i="1"/>
  <c r="F640" i="1" s="1"/>
  <c r="H640" i="1"/>
  <c r="AJ651" i="1"/>
  <c r="AJ646" i="1"/>
  <c r="AF668" i="1"/>
  <c r="AF665" i="1"/>
  <c r="AQ662" i="1"/>
  <c r="AQ686" i="1"/>
  <c r="AQ683" i="1"/>
  <c r="Y685" i="1"/>
  <c r="Y688" i="1"/>
  <c r="K703" i="1"/>
  <c r="K706" i="1"/>
  <c r="AQ748" i="1"/>
  <c r="AQ477" i="1"/>
  <c r="AQ478" i="1" s="1"/>
  <c r="AH847" i="1"/>
  <c r="AH850" i="1"/>
  <c r="AI1035" i="1"/>
  <c r="AI1036" i="1" s="1"/>
  <c r="AI1054" i="1"/>
  <c r="AI783" i="1"/>
  <c r="AI27" i="1" s="1"/>
  <c r="T29" i="1"/>
  <c r="AQ29" i="1"/>
  <c r="Q35" i="1"/>
  <c r="S38" i="1"/>
  <c r="H50" i="1"/>
  <c r="M57" i="1"/>
  <c r="O54" i="1"/>
  <c r="H62" i="1"/>
  <c r="F84" i="1"/>
  <c r="F85" i="1" s="1"/>
  <c r="F91" i="1" s="1"/>
  <c r="AL41" i="1"/>
  <c r="AL1086" i="1" s="1"/>
  <c r="AE105" i="1"/>
  <c r="L124" i="1"/>
  <c r="L129" i="1"/>
  <c r="Q148" i="1"/>
  <c r="H151" i="1"/>
  <c r="AG152" i="1"/>
  <c r="AG44" i="1" s="1"/>
  <c r="AG1089" i="1" s="1"/>
  <c r="N161" i="1"/>
  <c r="AQ131" i="1"/>
  <c r="AJ176" i="1"/>
  <c r="AK198" i="1"/>
  <c r="AK177" i="1"/>
  <c r="AK141" i="1"/>
  <c r="Q199" i="1"/>
  <c r="Q202" i="1"/>
  <c r="AP167" i="1"/>
  <c r="AP149" i="1"/>
  <c r="AQ205" i="1"/>
  <c r="AQ150" i="1"/>
  <c r="AE207" i="1"/>
  <c r="AE208" i="1" s="1"/>
  <c r="AO158" i="1"/>
  <c r="AO159" i="1"/>
  <c r="AO51" i="1" s="1"/>
  <c r="AO219" i="1"/>
  <c r="AO214" i="1"/>
  <c r="AO177" i="1"/>
  <c r="AG236" i="1"/>
  <c r="U253" i="1"/>
  <c r="N259" i="1"/>
  <c r="AG262" i="1"/>
  <c r="AO273" i="1"/>
  <c r="AO268" i="1"/>
  <c r="S271" i="1"/>
  <c r="N275" i="1"/>
  <c r="V277" i="1"/>
  <c r="X280" i="1"/>
  <c r="H284" i="1"/>
  <c r="L286" i="1"/>
  <c r="I287" i="1"/>
  <c r="I290" i="1"/>
  <c r="AE293" i="1"/>
  <c r="AE294" i="1"/>
  <c r="AE295" i="1" s="1"/>
  <c r="AJ278" i="1"/>
  <c r="AJ280" i="1" s="1"/>
  <c r="AN282" i="1"/>
  <c r="AN283" i="1" s="1"/>
  <c r="T306" i="1"/>
  <c r="T309" i="1"/>
  <c r="AH313" i="1"/>
  <c r="AH323" i="1"/>
  <c r="AJ327" i="1"/>
  <c r="AJ324" i="1"/>
  <c r="AK328" i="1"/>
  <c r="AH331" i="1"/>
  <c r="X337" i="1"/>
  <c r="X341" i="1"/>
  <c r="K342" i="1"/>
  <c r="K345" i="1"/>
  <c r="K340" i="1"/>
  <c r="I342" i="1"/>
  <c r="AJ349" i="1"/>
  <c r="AJ330" i="1"/>
  <c r="AJ331" i="1" s="1"/>
  <c r="AF355" i="1"/>
  <c r="AF361" i="1" s="1"/>
  <c r="AE354" i="1"/>
  <c r="AE374" i="1"/>
  <c r="AH376" i="1"/>
  <c r="AI379" i="1"/>
  <c r="AH380" i="1"/>
  <c r="U391" i="1"/>
  <c r="I395" i="1"/>
  <c r="I394" i="1"/>
  <c r="AF395" i="1"/>
  <c r="AF398" i="1"/>
  <c r="I398" i="1"/>
  <c r="AJ406" i="1"/>
  <c r="AJ387" i="1"/>
  <c r="AJ388" i="1" s="1"/>
  <c r="H409" i="1"/>
  <c r="AN418" i="1"/>
  <c r="H438" i="1"/>
  <c r="X453" i="1"/>
  <c r="F456" i="1"/>
  <c r="F457" i="1" s="1"/>
  <c r="AF502" i="1"/>
  <c r="AF507" i="1"/>
  <c r="L504" i="1"/>
  <c r="AG455" i="1"/>
  <c r="AG437" i="1" s="1"/>
  <c r="AG491" i="1"/>
  <c r="AG456" i="1"/>
  <c r="AG511" i="1"/>
  <c r="AP458" i="1"/>
  <c r="AP494" i="1"/>
  <c r="AJ461" i="1"/>
  <c r="AJ443" i="1" s="1"/>
  <c r="AJ497" i="1"/>
  <c r="AJ521" i="1"/>
  <c r="AJ462" i="1"/>
  <c r="AJ529" i="1"/>
  <c r="AJ474" i="1"/>
  <c r="AJ475" i="1" s="1"/>
  <c r="AK482" i="1"/>
  <c r="AK538" i="1"/>
  <c r="AL483" i="1"/>
  <c r="AL543" i="1"/>
  <c r="AL540" i="1"/>
  <c r="AL538" i="1"/>
  <c r="P541" i="1"/>
  <c r="S550" i="1"/>
  <c r="O559" i="1"/>
  <c r="O562" i="1"/>
  <c r="U598" i="1"/>
  <c r="AO597" i="1"/>
  <c r="AF604" i="1"/>
  <c r="I607" i="1"/>
  <c r="I616" i="1" s="1"/>
  <c r="O614" i="1"/>
  <c r="O611" i="1"/>
  <c r="V610" i="1"/>
  <c r="T609" i="1"/>
  <c r="V615" i="1"/>
  <c r="H629" i="1"/>
  <c r="F623" i="1"/>
  <c r="F632" i="1" s="1"/>
  <c r="H632" i="1"/>
  <c r="AQ444" i="1"/>
  <c r="Q631" i="1"/>
  <c r="J666" i="1"/>
  <c r="J661" i="1"/>
  <c r="AO676" i="1"/>
  <c r="AO657" i="1"/>
  <c r="AO658" i="1" s="1"/>
  <c r="AF685" i="1"/>
  <c r="AF688" i="1"/>
  <c r="AE692" i="1"/>
  <c r="AG656" i="1"/>
  <c r="AE656" i="1" s="1"/>
  <c r="AG694" i="1"/>
  <c r="AQ711" i="1"/>
  <c r="AI727" i="1"/>
  <c r="AI707" i="1"/>
  <c r="AM727" i="1"/>
  <c r="AO740" i="1"/>
  <c r="AO733" i="1"/>
  <c r="AE750" i="1"/>
  <c r="AF751" i="1"/>
  <c r="AF760" i="1" s="1"/>
  <c r="AF756" i="1"/>
  <c r="AO764" i="1"/>
  <c r="AN826" i="1"/>
  <c r="AN831" i="1"/>
  <c r="AN828" i="1"/>
  <c r="AM816" i="1"/>
  <c r="AM817" i="1" s="1"/>
  <c r="AM835" i="1"/>
  <c r="AM780" i="1"/>
  <c r="AO818" i="1"/>
  <c r="AO838" i="1"/>
  <c r="AJ847" i="1"/>
  <c r="AJ850" i="1"/>
  <c r="AJ939" i="1"/>
  <c r="AJ936" i="1"/>
  <c r="AI983" i="1"/>
  <c r="AI989" i="1" s="1"/>
  <c r="AI1028" i="1"/>
  <c r="AI1021" i="1"/>
  <c r="AI1027" i="1" s="1"/>
  <c r="AP1026" i="1"/>
  <c r="AP987" i="1"/>
  <c r="AP1029" i="1"/>
  <c r="AP1024" i="1"/>
  <c r="AE1034" i="1"/>
  <c r="AJ1035" i="1"/>
  <c r="AJ1036" i="1" s="1"/>
  <c r="AJ1054" i="1"/>
  <c r="F306" i="1"/>
  <c r="AE311" i="1"/>
  <c r="AH327" i="1"/>
  <c r="AH324" i="1"/>
  <c r="AF331" i="1"/>
  <c r="AJ362" i="1"/>
  <c r="AJ382" i="1"/>
  <c r="AJ379" i="1"/>
  <c r="S391" i="1"/>
  <c r="X439" i="1"/>
  <c r="K442" i="1"/>
  <c r="O506" i="1"/>
  <c r="X507" i="1"/>
  <c r="AH461" i="1"/>
  <c r="AH443" i="1" s="1"/>
  <c r="AH497" i="1"/>
  <c r="AE515" i="1"/>
  <c r="AH498" i="1"/>
  <c r="AH517" i="1"/>
  <c r="AH462" i="1"/>
  <c r="AI542" i="1"/>
  <c r="AI482" i="1"/>
  <c r="AI538" i="1"/>
  <c r="AJ540" i="1"/>
  <c r="AJ543" i="1"/>
  <c r="AJ538" i="1"/>
  <c r="AF545" i="1"/>
  <c r="AE563" i="1"/>
  <c r="AF455" i="1"/>
  <c r="AO568" i="1"/>
  <c r="AO549" i="1"/>
  <c r="AQ607" i="1"/>
  <c r="S610" i="1"/>
  <c r="S615" i="1"/>
  <c r="Y616" i="1"/>
  <c r="Y613" i="1"/>
  <c r="M655" i="1"/>
  <c r="H661" i="1"/>
  <c r="Y668" i="1"/>
  <c r="Y665" i="1"/>
  <c r="Y664" i="1"/>
  <c r="AH703" i="1"/>
  <c r="AH706" i="1"/>
  <c r="AO715" i="1"/>
  <c r="AG823" i="1"/>
  <c r="AG831" i="1"/>
  <c r="AK816" i="1"/>
  <c r="AK817" i="1" s="1"/>
  <c r="AO824" i="1"/>
  <c r="AO788" i="1"/>
  <c r="AO845" i="1"/>
  <c r="AO844" i="1"/>
  <c r="AE842" i="1"/>
  <c r="I6" i="1"/>
  <c r="P38" i="1"/>
  <c r="O52" i="1"/>
  <c r="F62" i="1"/>
  <c r="AM79" i="1"/>
  <c r="F102" i="1"/>
  <c r="H103" i="1"/>
  <c r="H122" i="1"/>
  <c r="P145" i="1"/>
  <c r="P148" i="1"/>
  <c r="AE192" i="1"/>
  <c r="AI200" i="1"/>
  <c r="AI140" i="1"/>
  <c r="AI176" i="1"/>
  <c r="AI178" i="1" s="1"/>
  <c r="P199" i="1"/>
  <c r="AO167" i="1"/>
  <c r="AO169" i="1" s="1"/>
  <c r="AO149" i="1"/>
  <c r="AO41" i="1" s="1"/>
  <c r="AO1086" i="1" s="1"/>
  <c r="T208" i="1"/>
  <c r="G310" i="1"/>
  <c r="Y310" i="1"/>
  <c r="Y307" i="1"/>
  <c r="AJ325" i="1"/>
  <c r="AI324" i="1"/>
  <c r="AJ328" i="1"/>
  <c r="AF342" i="1"/>
  <c r="AN352" i="1"/>
  <c r="AN333" i="1"/>
  <c r="AN334" i="1" s="1"/>
  <c r="AI386" i="1"/>
  <c r="AE404" i="1"/>
  <c r="AI387" i="1"/>
  <c r="AI388" i="1" s="1"/>
  <c r="AI406" i="1"/>
  <c r="AL392" i="1"/>
  <c r="AL412" i="1"/>
  <c r="AM414" i="1"/>
  <c r="AM393" i="1"/>
  <c r="AE393" i="1" s="1"/>
  <c r="AM417" i="1"/>
  <c r="AM412" i="1"/>
  <c r="AQ434" i="1"/>
  <c r="AQ431" i="1"/>
  <c r="G439" i="1"/>
  <c r="P503" i="1"/>
  <c r="P506" i="1"/>
  <c r="AE510" i="1"/>
  <c r="AE511" i="1" s="1"/>
  <c r="AF511" i="1"/>
  <c r="AF456" i="1"/>
  <c r="AO494" i="1"/>
  <c r="AE494" i="1" s="1"/>
  <c r="AO514" i="1"/>
  <c r="AI462" i="1"/>
  <c r="AI30" i="1" s="1"/>
  <c r="AI498" i="1"/>
  <c r="M561" i="1"/>
  <c r="H555" i="1"/>
  <c r="S595" i="1"/>
  <c r="S598" i="1"/>
  <c r="N611" i="1"/>
  <c r="U612" i="1"/>
  <c r="AJ609" i="1"/>
  <c r="AJ633" i="1"/>
  <c r="AJ628" i="1"/>
  <c r="AN643" i="1"/>
  <c r="AN652" i="1" s="1"/>
  <c r="AN651" i="1"/>
  <c r="AN648" i="1"/>
  <c r="H665" i="1"/>
  <c r="AE698" i="1"/>
  <c r="AF701" i="1"/>
  <c r="AF704" i="1"/>
  <c r="AF700" i="1"/>
  <c r="AG663" i="1"/>
  <c r="AG700" i="1"/>
  <c r="AG705" i="1"/>
  <c r="AP715" i="1"/>
  <c r="AN748" i="1"/>
  <c r="AN710" i="1"/>
  <c r="AN712" i="1" s="1"/>
  <c r="AG871" i="1"/>
  <c r="AE869" i="1"/>
  <c r="AG902" i="1"/>
  <c r="AG878" i="1"/>
  <c r="AE896" i="1"/>
  <c r="AG899" i="1"/>
  <c r="AG898" i="1"/>
  <c r="AG788" i="1"/>
  <c r="AK898" i="1"/>
  <c r="AK879" i="1"/>
  <c r="AK903" i="1"/>
  <c r="AK900" i="1"/>
  <c r="AK789" i="1"/>
  <c r="AI917" i="1"/>
  <c r="AI916" i="1"/>
  <c r="AI806" i="1"/>
  <c r="AM918" i="1"/>
  <c r="AM807" i="1"/>
  <c r="AM916" i="1"/>
  <c r="AI934" i="1"/>
  <c r="AI939" i="1"/>
  <c r="AI936" i="1"/>
  <c r="AL1021" i="1"/>
  <c r="AL984" i="1"/>
  <c r="AL985" i="1" s="1"/>
  <c r="AL1026" i="1"/>
  <c r="K6" i="1"/>
  <c r="K7" i="1" s="1"/>
  <c r="T11" i="1"/>
  <c r="G31" i="1"/>
  <c r="Y12" i="1"/>
  <c r="Y13" i="1" s="1"/>
  <c r="G73" i="1"/>
  <c r="G74" i="1"/>
  <c r="H85" i="1"/>
  <c r="H91" i="1" s="1"/>
  <c r="M91" i="1"/>
  <c r="AM41" i="1"/>
  <c r="AM1086" i="1" s="1"/>
  <c r="K109" i="1"/>
  <c r="M129" i="1"/>
  <c r="M124" i="1"/>
  <c r="T143" i="1"/>
  <c r="T146" i="1"/>
  <c r="O166" i="1"/>
  <c r="X169" i="1"/>
  <c r="G172" i="1"/>
  <c r="H174" i="1"/>
  <c r="H183" i="1" s="1"/>
  <c r="I175" i="1"/>
  <c r="I181" i="1" s="1"/>
  <c r="AQ132" i="1"/>
  <c r="AQ168" i="1"/>
  <c r="AQ169" i="1" s="1"/>
  <c r="T190" i="1"/>
  <c r="H190" i="1"/>
  <c r="AK176" i="1"/>
  <c r="AL141" i="1"/>
  <c r="AL177" i="1"/>
  <c r="AF152" i="1"/>
  <c r="AJ211" i="1"/>
  <c r="U217" i="1"/>
  <c r="U220" i="1"/>
  <c r="S229" i="1"/>
  <c r="S238" i="1" s="1"/>
  <c r="O237" i="1"/>
  <c r="N231" i="1"/>
  <c r="AF221" i="1"/>
  <c r="AE221" i="1" s="1"/>
  <c r="AE240" i="1"/>
  <c r="AE241" i="1" s="1"/>
  <c r="AH244" i="1"/>
  <c r="AL247" i="1"/>
  <c r="AL253" i="1" s="1"/>
  <c r="AL255" i="1"/>
  <c r="AP272" i="1"/>
  <c r="AP268" i="1"/>
  <c r="AP273" i="1"/>
  <c r="AF284" i="1"/>
  <c r="K287" i="1"/>
  <c r="AO281" i="1"/>
  <c r="AO283" i="1" s="1"/>
  <c r="AE303" i="1"/>
  <c r="AF304" i="1"/>
  <c r="P325" i="1"/>
  <c r="L342" i="1"/>
  <c r="L340" i="1"/>
  <c r="AK349" i="1"/>
  <c r="AK330" i="1"/>
  <c r="AK331" i="1" s="1"/>
  <c r="AP332" i="1"/>
  <c r="AP334" i="1" s="1"/>
  <c r="AE353" i="1"/>
  <c r="AF359" i="1"/>
  <c r="AG367" i="1"/>
  <c r="V391" i="1"/>
  <c r="V400" i="1" s="1"/>
  <c r="K397" i="1"/>
  <c r="K400" i="1"/>
  <c r="J398" i="1"/>
  <c r="AK386" i="1"/>
  <c r="AK387" i="1"/>
  <c r="AK388" i="1" s="1"/>
  <c r="AK406" i="1"/>
  <c r="N413" i="1"/>
  <c r="AL413" i="1"/>
  <c r="T440" i="1"/>
  <c r="T444" i="1"/>
  <c r="T450" i="1" s="1"/>
  <c r="P448" i="1"/>
  <c r="P449" i="1"/>
  <c r="Y450" i="1"/>
  <c r="T463" i="1"/>
  <c r="K469" i="1"/>
  <c r="K472" i="1"/>
  <c r="AI492" i="1"/>
  <c r="AI493" i="1" s="1"/>
  <c r="V499" i="1"/>
  <c r="V504" i="1"/>
  <c r="T498" i="1"/>
  <c r="T499" i="1" s="1"/>
  <c r="AH507" i="1"/>
  <c r="AH511" i="1"/>
  <c r="AK461" i="1"/>
  <c r="AK524" i="1"/>
  <c r="AK525" i="1"/>
  <c r="AK498" i="1"/>
  <c r="AK462" i="1"/>
  <c r="AF480" i="1"/>
  <c r="AF535" i="1"/>
  <c r="AE534" i="1"/>
  <c r="AF543" i="1"/>
  <c r="AL539" i="1"/>
  <c r="AL482" i="1"/>
  <c r="AL542" i="1"/>
  <c r="AM538" i="1"/>
  <c r="AM501" i="1"/>
  <c r="AM540" i="1"/>
  <c r="AM483" i="1"/>
  <c r="Q544" i="1"/>
  <c r="AM543" i="1"/>
  <c r="T549" i="1"/>
  <c r="T550" i="1" s="1"/>
  <c r="M556" i="1"/>
  <c r="V557" i="1"/>
  <c r="F583" i="1"/>
  <c r="AQ482" i="1"/>
  <c r="AQ596" i="1"/>
  <c r="AQ597" i="1"/>
  <c r="AQ592" i="1"/>
  <c r="AQ483" i="1"/>
  <c r="V595" i="1"/>
  <c r="V598" i="1"/>
  <c r="AQ593" i="1"/>
  <c r="H603" i="1"/>
  <c r="P611" i="1"/>
  <c r="P614" i="1"/>
  <c r="AO614" i="1"/>
  <c r="AO611" i="1"/>
  <c r="W612" i="1"/>
  <c r="W615" i="1"/>
  <c r="W610" i="1"/>
  <c r="S612" i="1"/>
  <c r="AL630" i="1"/>
  <c r="AL628" i="1"/>
  <c r="AL609" i="1"/>
  <c r="AH629" i="1"/>
  <c r="AJ647" i="1"/>
  <c r="AJ650" i="1"/>
  <c r="R665" i="1"/>
  <c r="N659" i="1"/>
  <c r="J665" i="1"/>
  <c r="J668" i="1"/>
  <c r="AI668" i="1"/>
  <c r="AI665" i="1"/>
  <c r="AN655" i="1"/>
  <c r="AQ697" i="1"/>
  <c r="AQ660" i="1"/>
  <c r="AK709" i="1"/>
  <c r="AN727" i="1"/>
  <c r="AN708" i="1"/>
  <c r="AN709" i="1" s="1"/>
  <c r="AP713" i="1"/>
  <c r="AP740" i="1"/>
  <c r="AP737" i="1"/>
  <c r="AP733" i="1"/>
  <c r="AP742" i="1" s="1"/>
  <c r="AK742" i="1"/>
  <c r="AK739" i="1"/>
  <c r="AF759" i="1"/>
  <c r="AO831" i="1"/>
  <c r="AO828" i="1"/>
  <c r="AO826" i="1"/>
  <c r="AJ815" i="1"/>
  <c r="AE833" i="1"/>
  <c r="AJ779" i="1"/>
  <c r="AN835" i="1"/>
  <c r="AN780" i="1"/>
  <c r="AN816" i="1"/>
  <c r="AN817" i="1" s="1"/>
  <c r="AQ821" i="1"/>
  <c r="AQ830" i="1" s="1"/>
  <c r="AQ841" i="1"/>
  <c r="AQ850" i="1" s="1"/>
  <c r="AQ845" i="1"/>
  <c r="AQ785" i="1"/>
  <c r="AQ848" i="1"/>
  <c r="AF892" i="1"/>
  <c r="AF783" i="1"/>
  <c r="AE891" i="1"/>
  <c r="AE892" i="1" s="1"/>
  <c r="AF873" i="1"/>
  <c r="AI899" i="1"/>
  <c r="AI902" i="1"/>
  <c r="AI878" i="1"/>
  <c r="AI880" i="1" s="1"/>
  <c r="AI788" i="1"/>
  <c r="AM879" i="1"/>
  <c r="AM903" i="1"/>
  <c r="AM898" i="1"/>
  <c r="AM789" i="1"/>
  <c r="AM900" i="1"/>
  <c r="AM1028" i="1"/>
  <c r="AM1025" i="1"/>
  <c r="AM986" i="1"/>
  <c r="AM1024" i="1"/>
  <c r="AN1037" i="1"/>
  <c r="AN1043" i="1" s="1"/>
  <c r="AN1064" i="1"/>
  <c r="AN1057" i="1"/>
  <c r="AN1063" i="1" s="1"/>
  <c r="AQ1061" i="1"/>
  <c r="AQ1040" i="1"/>
  <c r="AQ1042" i="1" s="1"/>
  <c r="AQ1064" i="1"/>
  <c r="N24" i="1"/>
  <c r="I8" i="1"/>
  <c r="M9" i="1"/>
  <c r="M10" i="1" s="1"/>
  <c r="H30" i="1"/>
  <c r="I43" i="1"/>
  <c r="Y43" i="1"/>
  <c r="H65" i="1"/>
  <c r="F65" i="1" s="1"/>
  <c r="AI92" i="1"/>
  <c r="AJ93" i="1"/>
  <c r="AQ45" i="1"/>
  <c r="AQ100" i="1"/>
  <c r="AG110" i="1"/>
  <c r="AG111" i="1"/>
  <c r="L112" i="1"/>
  <c r="L109" i="1"/>
  <c r="H113" i="1"/>
  <c r="F113" i="1" s="1"/>
  <c r="N117" i="1"/>
  <c r="N123" i="1"/>
  <c r="O129" i="1"/>
  <c r="T136" i="1"/>
  <c r="AJ141" i="1"/>
  <c r="P163" i="1"/>
  <c r="P166" i="1"/>
  <c r="Y169" i="1"/>
  <c r="H171" i="1"/>
  <c r="F173" i="1"/>
  <c r="J175" i="1"/>
  <c r="J184" i="1" s="1"/>
  <c r="AL197" i="1"/>
  <c r="AQ199" i="1"/>
  <c r="S199" i="1"/>
  <c r="H205" i="1"/>
  <c r="F204" i="1"/>
  <c r="V220" i="1"/>
  <c r="T228" i="1"/>
  <c r="T229" i="1" s="1"/>
  <c r="P232" i="1"/>
  <c r="AE257" i="1"/>
  <c r="AF149" i="1"/>
  <c r="AF259" i="1"/>
  <c r="AQ272" i="1"/>
  <c r="AQ273" i="1"/>
  <c r="U274" i="1"/>
  <c r="X277" i="1"/>
  <c r="O280" i="1"/>
  <c r="U283" i="1"/>
  <c r="AM280" i="1"/>
  <c r="AM316" i="1"/>
  <c r="G331" i="1"/>
  <c r="AL330" i="1"/>
  <c r="AL331" i="1" s="1"/>
  <c r="AN362" i="1"/>
  <c r="AN338" i="1"/>
  <c r="AO339" i="1"/>
  <c r="AO358" i="1"/>
  <c r="AO360" i="1"/>
  <c r="AO363" i="1"/>
  <c r="F372" i="1"/>
  <c r="F373" i="1" s="1"/>
  <c r="AJ380" i="1"/>
  <c r="AK381" i="1"/>
  <c r="S394" i="1"/>
  <c r="S396" i="1"/>
  <c r="S399" i="1"/>
  <c r="AL406" i="1"/>
  <c r="AL387" i="1"/>
  <c r="AL388" i="1" s="1"/>
  <c r="AP417" i="1"/>
  <c r="AP412" i="1"/>
  <c r="AP393" i="1"/>
  <c r="V418" i="1"/>
  <c r="V415" i="1"/>
  <c r="T485" i="1"/>
  <c r="F482" i="1"/>
  <c r="N493" i="1"/>
  <c r="F513" i="1"/>
  <c r="F514" i="1" s="1"/>
  <c r="H514" i="1"/>
  <c r="AL461" i="1"/>
  <c r="AL443" i="1" s="1"/>
  <c r="AL524" i="1"/>
  <c r="AL462" i="1"/>
  <c r="AL525" i="1"/>
  <c r="O523" i="1"/>
  <c r="O526" i="1"/>
  <c r="AE533" i="1"/>
  <c r="AF497" i="1"/>
  <c r="AF479" i="1"/>
  <c r="AG480" i="1"/>
  <c r="AG481" i="1" s="1"/>
  <c r="AG498" i="1"/>
  <c r="AG535" i="1"/>
  <c r="AM482" i="1"/>
  <c r="AM500" i="1"/>
  <c r="AM539" i="1"/>
  <c r="AI539" i="1"/>
  <c r="N546" i="1"/>
  <c r="N547" i="1" s="1"/>
  <c r="W557" i="1"/>
  <c r="AO552" i="1"/>
  <c r="AO553" i="1" s="1"/>
  <c r="S577" i="1"/>
  <c r="S580" i="1"/>
  <c r="X612" i="1"/>
  <c r="X615" i="1"/>
  <c r="X610" i="1"/>
  <c r="H625" i="1"/>
  <c r="H631" i="1" s="1"/>
  <c r="AM609" i="1"/>
  <c r="AM630" i="1"/>
  <c r="AM628" i="1"/>
  <c r="AI629" i="1"/>
  <c r="AK634" i="1"/>
  <c r="AN474" i="1"/>
  <c r="AN475" i="1" s="1"/>
  <c r="AN637" i="1"/>
  <c r="O655" i="1"/>
  <c r="S658" i="1"/>
  <c r="L661" i="1"/>
  <c r="L666" i="1"/>
  <c r="AQ682" i="1"/>
  <c r="AL708" i="1"/>
  <c r="AL709" i="1" s="1"/>
  <c r="AQ740" i="1"/>
  <c r="AQ733" i="1"/>
  <c r="AQ713" i="1"/>
  <c r="AQ719" i="1" s="1"/>
  <c r="AQ737" i="1"/>
  <c r="AI920" i="1"/>
  <c r="AJ1018" i="1"/>
  <c r="AJ981" i="1"/>
  <c r="AJ982" i="1" s="1"/>
  <c r="AE1017" i="1"/>
  <c r="AI1030" i="1"/>
  <c r="AI326" i="1"/>
  <c r="O334" i="1"/>
  <c r="AL335" i="1"/>
  <c r="AL337" i="1" s="1"/>
  <c r="K379" i="1"/>
  <c r="F384" i="1"/>
  <c r="H415" i="1"/>
  <c r="AE426" i="1"/>
  <c r="AF390" i="1"/>
  <c r="AF435" i="1"/>
  <c r="AN433" i="1"/>
  <c r="I448" i="1"/>
  <c r="H447" i="1"/>
  <c r="N495" i="1"/>
  <c r="N496" i="1" s="1"/>
  <c r="I506" i="1"/>
  <c r="I503" i="1"/>
  <c r="P502" i="1"/>
  <c r="P504" i="1"/>
  <c r="F517" i="1"/>
  <c r="P557" i="1"/>
  <c r="N554" i="1"/>
  <c r="Y561" i="1"/>
  <c r="Y556" i="1"/>
  <c r="Y558" i="1"/>
  <c r="AF576" i="1"/>
  <c r="AL601" i="1"/>
  <c r="AO640" i="1"/>
  <c r="AO603" i="1"/>
  <c r="L664" i="1"/>
  <c r="L668" i="1"/>
  <c r="H686" i="1"/>
  <c r="H683" i="1"/>
  <c r="H679" i="1"/>
  <c r="H685" i="1" s="1"/>
  <c r="F677" i="1"/>
  <c r="F679" i="1" s="1"/>
  <c r="S685" i="1"/>
  <c r="AH705" i="1"/>
  <c r="AH702" i="1"/>
  <c r="AH663" i="1"/>
  <c r="AJ758" i="1"/>
  <c r="AJ754" i="1"/>
  <c r="AJ716" i="1"/>
  <c r="AN756" i="1"/>
  <c r="AN754" i="1"/>
  <c r="AN759" i="1"/>
  <c r="AE846" i="1"/>
  <c r="AE849" i="1"/>
  <c r="AK847" i="1"/>
  <c r="AO853" i="1"/>
  <c r="AO816" i="1"/>
  <c r="AO817" i="1" s="1"/>
  <c r="AF804" i="1"/>
  <c r="AF48" i="1" s="1"/>
  <c r="AE858" i="1"/>
  <c r="AE859" i="1" s="1"/>
  <c r="AF864" i="1"/>
  <c r="AL885" i="1"/>
  <c r="AL882" i="1"/>
  <c r="AK934" i="1"/>
  <c r="AI949" i="1"/>
  <c r="AI957" i="1"/>
  <c r="AI786" i="1"/>
  <c r="AI930" i="1"/>
  <c r="AI931" i="1" s="1"/>
  <c r="AF961" i="1"/>
  <c r="AE959" i="1"/>
  <c r="AF797" i="1"/>
  <c r="AF41" i="1" s="1"/>
  <c r="AF923" i="1"/>
  <c r="AJ961" i="1"/>
  <c r="AJ924" i="1"/>
  <c r="AJ925" i="1" s="1"/>
  <c r="AQ1080" i="1"/>
  <c r="AQ1075" i="1"/>
  <c r="AQ1081" i="1" s="1"/>
  <c r="AQ1083" i="1"/>
  <c r="AQ1038" i="1"/>
  <c r="AQ1039" i="1" s="1"/>
  <c r="AQ804" i="1"/>
  <c r="AE1074" i="1"/>
  <c r="AE1075" i="1" s="1"/>
  <c r="AH1084" i="1"/>
  <c r="AH1081" i="1"/>
  <c r="AE80" i="1"/>
  <c r="AP47" i="1"/>
  <c r="AP1092" i="1" s="1"/>
  <c r="AP103" i="1"/>
  <c r="AP112" i="1" s="1"/>
  <c r="N120" i="1"/>
  <c r="N121" i="1" s="1"/>
  <c r="AQ153" i="1"/>
  <c r="L163" i="1"/>
  <c r="AO134" i="1"/>
  <c r="W199" i="1"/>
  <c r="W202" i="1"/>
  <c r="AG150" i="1"/>
  <c r="AM214" i="1"/>
  <c r="AM177" i="1"/>
  <c r="L236" i="1"/>
  <c r="L233" i="1"/>
  <c r="M234" i="1"/>
  <c r="AI234" i="1"/>
  <c r="AN138" i="1"/>
  <c r="AL268" i="1"/>
  <c r="AL231" i="1"/>
  <c r="N279" i="1"/>
  <c r="N280" i="1" s="1"/>
  <c r="U290" i="1"/>
  <c r="AQ134" i="1"/>
  <c r="AQ279" i="1"/>
  <c r="AQ280" i="1" s="1"/>
  <c r="AK310" i="1"/>
  <c r="M331" i="1"/>
  <c r="W345" i="1"/>
  <c r="T339" i="1"/>
  <c r="AQ344" i="1"/>
  <c r="V364" i="1"/>
  <c r="AG381" i="1"/>
  <c r="AG378" i="1"/>
  <c r="L382" i="1"/>
  <c r="L379" i="1"/>
  <c r="M391" i="1"/>
  <c r="P394" i="1"/>
  <c r="P396" i="1"/>
  <c r="AL389" i="1"/>
  <c r="AK390" i="1"/>
  <c r="AK391" i="1" s="1"/>
  <c r="AK409" i="1"/>
  <c r="AK415" i="1" s="1"/>
  <c r="N416" i="1"/>
  <c r="T412" i="1"/>
  <c r="T414" i="1"/>
  <c r="T417" i="1"/>
  <c r="AF431" i="1"/>
  <c r="AE425" i="1"/>
  <c r="AN431" i="1"/>
  <c r="AO433" i="1"/>
  <c r="J453" i="1"/>
  <c r="I450" i="1"/>
  <c r="AN437" i="1"/>
  <c r="F497" i="1"/>
  <c r="G499" i="1"/>
  <c r="O499" i="1"/>
  <c r="AF506" i="1"/>
  <c r="Q502" i="1"/>
  <c r="Q507" i="1"/>
  <c r="AE528" i="1"/>
  <c r="AF529" i="1"/>
  <c r="AF555" i="1"/>
  <c r="H568" i="1"/>
  <c r="F567" i="1"/>
  <c r="AL578" i="1"/>
  <c r="AL575" i="1"/>
  <c r="AL551" i="1"/>
  <c r="AL557" i="1" s="1"/>
  <c r="AF554" i="1"/>
  <c r="AF578" i="1"/>
  <c r="AQ583" i="1"/>
  <c r="H596" i="1"/>
  <c r="H593" i="1"/>
  <c r="Q614" i="1"/>
  <c r="AM601" i="1"/>
  <c r="AG648" i="1"/>
  <c r="AG646" i="1"/>
  <c r="AE645" i="1"/>
  <c r="AG609" i="1"/>
  <c r="F659" i="1"/>
  <c r="H673" i="1"/>
  <c r="AM683" i="1"/>
  <c r="AM686" i="1"/>
  <c r="AN684" i="1"/>
  <c r="AN682" i="1"/>
  <c r="AN687" i="1"/>
  <c r="M703" i="1"/>
  <c r="AM706" i="1"/>
  <c r="AO738" i="1"/>
  <c r="AO736" i="1"/>
  <c r="AK779" i="1"/>
  <c r="AK761" i="1" s="1"/>
  <c r="AH791" i="1"/>
  <c r="AH794" i="1"/>
  <c r="AH770" i="1"/>
  <c r="AF808" i="1"/>
  <c r="AF810" i="1"/>
  <c r="AG830" i="1"/>
  <c r="AO856" i="1"/>
  <c r="AO800" i="1"/>
  <c r="AK875" i="1"/>
  <c r="AK913" i="1"/>
  <c r="AK922" i="1" s="1"/>
  <c r="AK803" i="1"/>
  <c r="AF946" i="1"/>
  <c r="AF927" i="1"/>
  <c r="AE945" i="1"/>
  <c r="AE946" i="1" s="1"/>
  <c r="AE1049" i="1"/>
  <c r="AH1031" i="1"/>
  <c r="AE1031" i="1" s="1"/>
  <c r="AH1051" i="1"/>
  <c r="AN1082" i="1"/>
  <c r="AN1079" i="1"/>
  <c r="AN803" i="1"/>
  <c r="AN767" i="1" s="1"/>
  <c r="AN769" i="1" s="1"/>
  <c r="AO313" i="1"/>
  <c r="F318" i="1"/>
  <c r="T319" i="1"/>
  <c r="P328" i="1"/>
  <c r="AM336" i="1"/>
  <c r="AM337" i="1" s="1"/>
  <c r="AF378" i="1"/>
  <c r="AG379" i="1"/>
  <c r="AG382" i="1"/>
  <c r="AN394" i="1"/>
  <c r="AM431" i="1"/>
  <c r="R433" i="1"/>
  <c r="AN432" i="1"/>
  <c r="N442" i="1"/>
  <c r="T443" i="1"/>
  <c r="Q493" i="1"/>
  <c r="H524" i="1"/>
  <c r="F515" i="1"/>
  <c r="H521" i="1"/>
  <c r="AJ476" i="1"/>
  <c r="AN479" i="1"/>
  <c r="AN539" i="1"/>
  <c r="Y547" i="1"/>
  <c r="V550" i="1"/>
  <c r="AF634" i="1"/>
  <c r="AL683" i="1"/>
  <c r="AL686" i="1"/>
  <c r="AM682" i="1"/>
  <c r="AM663" i="1"/>
  <c r="AG704" i="1"/>
  <c r="X14" i="1"/>
  <c r="X38" i="1"/>
  <c r="P54" i="1"/>
  <c r="P52" i="1"/>
  <c r="G38" i="1"/>
  <c r="V46" i="1"/>
  <c r="O53" i="1"/>
  <c r="G61" i="1"/>
  <c r="AF59" i="1"/>
  <c r="AK92" i="1"/>
  <c r="AP111" i="1"/>
  <c r="AO135" i="1"/>
  <c r="M166" i="1"/>
  <c r="N171" i="1"/>
  <c r="Q178" i="1"/>
  <c r="AP190" i="1"/>
  <c r="AP135" i="1"/>
  <c r="AG149" i="1"/>
  <c r="AM218" i="1"/>
  <c r="I223" i="1"/>
  <c r="Y223" i="1"/>
  <c r="AP227" i="1"/>
  <c r="AP236" i="1" s="1"/>
  <c r="AO228" i="1"/>
  <c r="AO229" i="1" s="1"/>
  <c r="AQ141" i="1"/>
  <c r="AQ33" i="1" s="1"/>
  <c r="AI262" i="1"/>
  <c r="AP277" i="1"/>
  <c r="G292" i="1"/>
  <c r="G289" i="1"/>
  <c r="AI308" i="1"/>
  <c r="H316" i="1"/>
  <c r="AM324" i="1"/>
  <c r="AM327" i="1"/>
  <c r="R325" i="1"/>
  <c r="N330" i="1"/>
  <c r="R344" i="1"/>
  <c r="AK352" i="1"/>
  <c r="AO336" i="1"/>
  <c r="AO337" i="1" s="1"/>
  <c r="AK367" i="1"/>
  <c r="AG380" i="1"/>
  <c r="AG338" i="1"/>
  <c r="AE338" i="1" s="1"/>
  <c r="M379" i="1"/>
  <c r="AQ378" i="1"/>
  <c r="AQ396" i="1"/>
  <c r="AM389" i="1"/>
  <c r="AM398" i="1" s="1"/>
  <c r="AL417" i="1"/>
  <c r="AL390" i="1"/>
  <c r="AL391" i="1" s="1"/>
  <c r="AF412" i="1"/>
  <c r="AE411" i="1"/>
  <c r="H418" i="1"/>
  <c r="R436" i="1"/>
  <c r="K450" i="1"/>
  <c r="J450" i="1"/>
  <c r="AF464" i="1"/>
  <c r="H489" i="1"/>
  <c r="F480" i="1"/>
  <c r="F481" i="1" s="1"/>
  <c r="H481" i="1"/>
  <c r="H490" i="1" s="1"/>
  <c r="J503" i="1"/>
  <c r="AL459" i="1"/>
  <c r="AL514" i="1"/>
  <c r="AK464" i="1"/>
  <c r="AK32" i="1" s="1"/>
  <c r="AM526" i="1"/>
  <c r="AK521" i="1"/>
  <c r="I547" i="1"/>
  <c r="H546" i="1"/>
  <c r="J562" i="1"/>
  <c r="J559" i="1"/>
  <c r="AK556" i="1"/>
  <c r="AK558" i="1"/>
  <c r="AK561" i="1"/>
  <c r="AK456" i="1"/>
  <c r="AK565" i="1"/>
  <c r="AK546" i="1"/>
  <c r="AK547" i="1" s="1"/>
  <c r="AH555" i="1"/>
  <c r="H589" i="1"/>
  <c r="H595" i="1" s="1"/>
  <c r="AH633" i="1"/>
  <c r="AH630" i="1"/>
  <c r="AH628" i="1"/>
  <c r="AH609" i="1"/>
  <c r="N631" i="1"/>
  <c r="N634" i="1"/>
  <c r="AE644" i="1"/>
  <c r="AF646" i="1"/>
  <c r="AF650" i="1"/>
  <c r="AF647" i="1"/>
  <c r="M649" i="1"/>
  <c r="M652" i="1"/>
  <c r="L652" i="1"/>
  <c r="AL662" i="1"/>
  <c r="AE662" i="1" s="1"/>
  <c r="W666" i="1"/>
  <c r="W669" i="1"/>
  <c r="W664" i="1"/>
  <c r="AJ702" i="1"/>
  <c r="AJ705" i="1"/>
  <c r="AJ663" i="1"/>
  <c r="N703" i="1"/>
  <c r="N706" i="1"/>
  <c r="AL737" i="1"/>
  <c r="AL740" i="1"/>
  <c r="AL716" i="1"/>
  <c r="AL736" i="1"/>
  <c r="AI805" i="1"/>
  <c r="AQ817" i="1"/>
  <c r="AQ797" i="1"/>
  <c r="AQ41" i="1" s="1"/>
  <c r="AQ1086" i="1" s="1"/>
  <c r="AE909" i="1"/>
  <c r="AE910" i="1" s="1"/>
  <c r="AI910" i="1"/>
  <c r="AN922" i="1"/>
  <c r="AN919" i="1"/>
  <c r="AM1034" i="1"/>
  <c r="AM1036" i="1" s="1"/>
  <c r="AM1054" i="1"/>
  <c r="AQ1035" i="1"/>
  <c r="AQ1036" i="1" s="1"/>
  <c r="AQ1054" i="1"/>
  <c r="AQ783" i="1"/>
  <c r="AJ398" i="1"/>
  <c r="R394" i="1"/>
  <c r="H403" i="1"/>
  <c r="F402" i="1"/>
  <c r="F403" i="1" s="1"/>
  <c r="AG386" i="1"/>
  <c r="AG388" i="1" s="1"/>
  <c r="AM390" i="1"/>
  <c r="AM391" i="1" s="1"/>
  <c r="AM409" i="1"/>
  <c r="AE410" i="1"/>
  <c r="AF416" i="1"/>
  <c r="AF413" i="1"/>
  <c r="AG393" i="1"/>
  <c r="T438" i="1"/>
  <c r="AG470" i="1"/>
  <c r="AG467" i="1"/>
  <c r="AG446" i="1"/>
  <c r="V490" i="1"/>
  <c r="N488" i="1"/>
  <c r="T493" i="1"/>
  <c r="L506" i="1"/>
  <c r="L503" i="1"/>
  <c r="I502" i="1"/>
  <c r="K503" i="1"/>
  <c r="AM495" i="1"/>
  <c r="AM496" i="1" s="1"/>
  <c r="AM514" i="1"/>
  <c r="AL521" i="1"/>
  <c r="AL464" i="1"/>
  <c r="AN520" i="1"/>
  <c r="U526" i="1"/>
  <c r="AJ553" i="1"/>
  <c r="AM556" i="1"/>
  <c r="P560" i="1"/>
  <c r="AN444" i="1"/>
  <c r="G601" i="1"/>
  <c r="W601" i="1"/>
  <c r="AI607" i="1"/>
  <c r="AO599" i="1"/>
  <c r="AO600" i="1"/>
  <c r="AO601" i="1" s="1"/>
  <c r="AP631" i="1"/>
  <c r="AP634" i="1"/>
  <c r="AM650" i="1"/>
  <c r="AM647" i="1"/>
  <c r="AG650" i="1"/>
  <c r="AG647" i="1"/>
  <c r="AI648" i="1"/>
  <c r="AI651" i="1"/>
  <c r="AN649" i="1"/>
  <c r="H653" i="1"/>
  <c r="F653" i="1" s="1"/>
  <c r="O668" i="1"/>
  <c r="O665" i="1"/>
  <c r="AM662" i="1"/>
  <c r="X667" i="1"/>
  <c r="X670" i="1"/>
  <c r="AE677" i="1"/>
  <c r="H691" i="1"/>
  <c r="F690" i="1"/>
  <c r="F691" i="1" s="1"/>
  <c r="AL694" i="1"/>
  <c r="AJ701" i="1"/>
  <c r="AJ704" i="1"/>
  <c r="AK700" i="1"/>
  <c r="AK705" i="1"/>
  <c r="AK483" i="1"/>
  <c r="O703" i="1"/>
  <c r="O706" i="1"/>
  <c r="AO719" i="1"/>
  <c r="AM716" i="1"/>
  <c r="AM740" i="1"/>
  <c r="AM737" i="1"/>
  <c r="AM736" i="1"/>
  <c r="AQ741" i="1"/>
  <c r="AQ738" i="1"/>
  <c r="AQ736" i="1"/>
  <c r="AH825" i="1"/>
  <c r="AH849" i="1"/>
  <c r="AH846" i="1"/>
  <c r="AH789" i="1"/>
  <c r="AQ788" i="1"/>
  <c r="AQ902" i="1"/>
  <c r="AE908" i="1"/>
  <c r="AF910" i="1"/>
  <c r="AJ910" i="1"/>
  <c r="AJ873" i="1"/>
  <c r="AJ874" i="1" s="1"/>
  <c r="AO922" i="1"/>
  <c r="AO919" i="1"/>
  <c r="AN923" i="1"/>
  <c r="AN925" i="1" s="1"/>
  <c r="AN943" i="1"/>
  <c r="AK1081" i="1"/>
  <c r="AK1084" i="1"/>
  <c r="AF818" i="1"/>
  <c r="AF782" i="1"/>
  <c r="AE836" i="1"/>
  <c r="AE838" i="1" s="1"/>
  <c r="AJ838" i="1"/>
  <c r="AJ783" i="1"/>
  <c r="AG845" i="1"/>
  <c r="AG848" i="1"/>
  <c r="AJ846" i="1"/>
  <c r="AJ849" i="1"/>
  <c r="AJ789" i="1"/>
  <c r="AJ825" i="1"/>
  <c r="AH863" i="1"/>
  <c r="AE860" i="1"/>
  <c r="AK867" i="1"/>
  <c r="AK807" i="1"/>
  <c r="AK862" i="1"/>
  <c r="AF870" i="1"/>
  <c r="AF780" i="1"/>
  <c r="AF889" i="1"/>
  <c r="AE888" i="1"/>
  <c r="AE889" i="1" s="1"/>
  <c r="AJ956" i="1"/>
  <c r="AJ932" i="1"/>
  <c r="AM957" i="1"/>
  <c r="AM933" i="1"/>
  <c r="AE981" i="1"/>
  <c r="AF984" i="1"/>
  <c r="AE1020" i="1"/>
  <c r="AO1065" i="1"/>
  <c r="AO1060" i="1"/>
  <c r="AO1041" i="1"/>
  <c r="G71" i="1"/>
  <c r="Y72" i="1"/>
  <c r="AF63" i="1"/>
  <c r="AF82" i="1"/>
  <c r="AF97" i="1"/>
  <c r="AE98" i="1"/>
  <c r="T106" i="1"/>
  <c r="K115" i="1"/>
  <c r="F155" i="1"/>
  <c r="F157" i="1" s="1"/>
  <c r="P179" i="1"/>
  <c r="H187" i="1"/>
  <c r="AP137" i="1"/>
  <c r="AP119" i="1" s="1"/>
  <c r="AO138" i="1"/>
  <c r="AO193" i="1"/>
  <c r="AO202" i="1" s="1"/>
  <c r="AN211" i="1"/>
  <c r="AN216" i="1"/>
  <c r="V226" i="1"/>
  <c r="AG255" i="1"/>
  <c r="K256" i="1"/>
  <c r="AG250" i="1"/>
  <c r="AG252" i="1"/>
  <c r="AG273" i="1"/>
  <c r="K274" i="1"/>
  <c r="X291" i="1"/>
  <c r="T295" i="1"/>
  <c r="AE297" i="1"/>
  <c r="AE298" i="1" s="1"/>
  <c r="AF298" i="1"/>
  <c r="AE300" i="1"/>
  <c r="T329" i="1"/>
  <c r="F329" i="1" s="1"/>
  <c r="J341" i="1"/>
  <c r="M345" i="1"/>
  <c r="M342" i="1"/>
  <c r="AF349" i="1"/>
  <c r="AE348" i="1"/>
  <c r="AE349" i="1" s="1"/>
  <c r="AG332" i="1"/>
  <c r="AE332" i="1" s="1"/>
  <c r="AG333" i="1"/>
  <c r="AG334" i="1" s="1"/>
  <c r="AJ355" i="1"/>
  <c r="AJ361" i="1" s="1"/>
  <c r="AK363" i="1"/>
  <c r="AM361" i="1"/>
  <c r="AN378" i="1"/>
  <c r="S382" i="1"/>
  <c r="T392" i="1"/>
  <c r="AN413" i="1"/>
  <c r="AI435" i="1"/>
  <c r="AI432" i="1"/>
  <c r="P493" i="1"/>
  <c r="N491" i="1"/>
  <c r="H494" i="1"/>
  <c r="AP455" i="1"/>
  <c r="AP491" i="1"/>
  <c r="AP492" i="1"/>
  <c r="AP493" i="1" s="1"/>
  <c r="AP456" i="1"/>
  <c r="T524" i="1"/>
  <c r="T521" i="1"/>
  <c r="AG525" i="1"/>
  <c r="AG520" i="1"/>
  <c r="L526" i="1"/>
  <c r="L523" i="1"/>
  <c r="AH542" i="1"/>
  <c r="AI483" i="1"/>
  <c r="AK550" i="1"/>
  <c r="K553" i="1"/>
  <c r="AK553" i="1"/>
  <c r="AK545" i="1"/>
  <c r="AK455" i="1"/>
  <c r="AK437" i="1" s="1"/>
  <c r="AJ565" i="1"/>
  <c r="AJ546" i="1"/>
  <c r="F566" i="1"/>
  <c r="AI552" i="1"/>
  <c r="AI571" i="1"/>
  <c r="AI577" i="1" s="1"/>
  <c r="T605" i="1"/>
  <c r="F605" i="1" s="1"/>
  <c r="U611" i="1"/>
  <c r="AJ607" i="1"/>
  <c r="AN599" i="1"/>
  <c r="AN600" i="1"/>
  <c r="AE621" i="1"/>
  <c r="AE622" i="1" s="1"/>
  <c r="AF459" i="1"/>
  <c r="AO643" i="1"/>
  <c r="AO652" i="1" s="1"/>
  <c r="AK646" i="1"/>
  <c r="AK609" i="1"/>
  <c r="AK651" i="1"/>
  <c r="AO684" i="1"/>
  <c r="AO687" i="1"/>
  <c r="AO682" i="1"/>
  <c r="H694" i="1"/>
  <c r="AL701" i="1"/>
  <c r="AL659" i="1"/>
  <c r="AE659" i="1" s="1"/>
  <c r="AL697" i="1"/>
  <c r="AL703" i="1" s="1"/>
  <c r="AQ701" i="1"/>
  <c r="AQ704" i="1"/>
  <c r="V706" i="1"/>
  <c r="V703" i="1"/>
  <c r="AE729" i="1"/>
  <c r="AE730" i="1" s="1"/>
  <c r="AF711" i="1"/>
  <c r="AF730" i="1"/>
  <c r="AN714" i="1"/>
  <c r="AN715" i="1" s="1"/>
  <c r="AN751" i="1"/>
  <c r="AP759" i="1"/>
  <c r="AP756" i="1"/>
  <c r="AG877" i="1"/>
  <c r="AE876" i="1"/>
  <c r="AO885" i="1"/>
  <c r="AO880" i="1"/>
  <c r="AF872" i="1"/>
  <c r="AE872" i="1" s="1"/>
  <c r="AP943" i="1"/>
  <c r="AP923" i="1"/>
  <c r="AP925" i="1" s="1"/>
  <c r="AP779" i="1"/>
  <c r="AP761" i="1" s="1"/>
  <c r="AM954" i="1"/>
  <c r="AJ1029" i="1"/>
  <c r="AE1023" i="1"/>
  <c r="AI1037" i="1"/>
  <c r="AE1037" i="1" s="1"/>
  <c r="AI1064" i="1"/>
  <c r="AE1055" i="1"/>
  <c r="AI1057" i="1"/>
  <c r="AI1061" i="1"/>
  <c r="AM1065" i="1"/>
  <c r="AM1038" i="1"/>
  <c r="AM1039" i="1" s="1"/>
  <c r="AM1062" i="1"/>
  <c r="AM1057" i="1"/>
  <c r="AL1064" i="1"/>
  <c r="AL1061" i="1"/>
  <c r="AL1060" i="1"/>
  <c r="AL1040" i="1"/>
  <c r="AP1065" i="1"/>
  <c r="AP1060" i="1"/>
  <c r="AP1062" i="1"/>
  <c r="AP1041" i="1"/>
  <c r="AO662" i="1"/>
  <c r="AO683" i="1"/>
  <c r="AP663" i="1"/>
  <c r="AP687" i="1"/>
  <c r="AP682" i="1"/>
  <c r="V688" i="1"/>
  <c r="V685" i="1"/>
  <c r="AF741" i="1"/>
  <c r="AF736" i="1"/>
  <c r="AF717" i="1"/>
  <c r="AP880" i="1"/>
  <c r="AP885" i="1"/>
  <c r="AG1028" i="1"/>
  <c r="AG1025" i="1"/>
  <c r="AE1022" i="1"/>
  <c r="AK1046" i="1"/>
  <c r="AK1043" i="1"/>
  <c r="G67" i="1"/>
  <c r="G76" i="1" s="1"/>
  <c r="AG88" i="1"/>
  <c r="AF106" i="1"/>
  <c r="P126" i="1"/>
  <c r="P124" i="1"/>
  <c r="T157" i="1"/>
  <c r="T166" i="1" s="1"/>
  <c r="AQ208" i="1"/>
  <c r="AQ155" i="1"/>
  <c r="AP156" i="1"/>
  <c r="AP211" i="1"/>
  <c r="AP214" i="1"/>
  <c r="H224" i="1"/>
  <c r="F224" i="1" s="1"/>
  <c r="K237" i="1"/>
  <c r="K232" i="1"/>
  <c r="AI250" i="1"/>
  <c r="W283" i="1"/>
  <c r="W292" i="1" s="1"/>
  <c r="J287" i="1"/>
  <c r="W288" i="1"/>
  <c r="AF295" i="1"/>
  <c r="AK285" i="1"/>
  <c r="P310" i="1"/>
  <c r="P307" i="1"/>
  <c r="H313" i="1"/>
  <c r="N324" i="1"/>
  <c r="I331" i="1"/>
  <c r="N335" i="1"/>
  <c r="N337" i="1" s="1"/>
  <c r="N346" i="1" s="1"/>
  <c r="R337" i="1"/>
  <c r="L344" i="1"/>
  <c r="AK339" i="1"/>
  <c r="O342" i="1"/>
  <c r="J344" i="1"/>
  <c r="AI333" i="1"/>
  <c r="AI334" i="1" s="1"/>
  <c r="AL355" i="1"/>
  <c r="AL361" i="1" s="1"/>
  <c r="R361" i="1"/>
  <c r="AO377" i="1"/>
  <c r="AP376" i="1"/>
  <c r="AP339" i="1"/>
  <c r="H389" i="1"/>
  <c r="H391" i="1" s="1"/>
  <c r="AJ390" i="1"/>
  <c r="AJ391" i="1" s="1"/>
  <c r="AP392" i="1"/>
  <c r="AP413" i="1"/>
  <c r="AJ434" i="1"/>
  <c r="O436" i="1"/>
  <c r="O433" i="1"/>
  <c r="S449" i="1"/>
  <c r="J472" i="1"/>
  <c r="J469" i="1"/>
  <c r="K507" i="1"/>
  <c r="H501" i="1"/>
  <c r="AG501" i="1"/>
  <c r="AE501" i="1" s="1"/>
  <c r="AP498" i="1"/>
  <c r="AP499" i="1" s="1"/>
  <c r="AP517" i="1"/>
  <c r="AI525" i="1"/>
  <c r="AI520" i="1"/>
  <c r="P526" i="1"/>
  <c r="AK474" i="1"/>
  <c r="AK475" i="1" s="1"/>
  <c r="F533" i="1"/>
  <c r="N539" i="1"/>
  <c r="AJ539" i="1"/>
  <c r="AK540" i="1"/>
  <c r="O541" i="1"/>
  <c r="T551" i="1"/>
  <c r="S560" i="1"/>
  <c r="S557" i="1"/>
  <c r="K561" i="1"/>
  <c r="T575" i="1"/>
  <c r="AO477" i="1"/>
  <c r="AO478" i="1" s="1"/>
  <c r="AN482" i="1"/>
  <c r="AN483" i="1"/>
  <c r="AN597" i="1"/>
  <c r="AN594" i="1"/>
  <c r="AM607" i="1"/>
  <c r="X611" i="1"/>
  <c r="X614" i="1"/>
  <c r="AH603" i="1"/>
  <c r="AH604" i="1" s="1"/>
  <c r="AH622" i="1"/>
  <c r="AG632" i="1"/>
  <c r="AG608" i="1"/>
  <c r="AG628" i="1"/>
  <c r="AE626" i="1"/>
  <c r="AI630" i="1"/>
  <c r="AI609" i="1"/>
  <c r="O631" i="1"/>
  <c r="O634" i="1"/>
  <c r="AQ643" i="1"/>
  <c r="Y661" i="1"/>
  <c r="S668" i="1"/>
  <c r="AL655" i="1"/>
  <c r="H676" i="1"/>
  <c r="AI661" i="1"/>
  <c r="AO686" i="1"/>
  <c r="AP707" i="1"/>
  <c r="AE707" i="1" s="1"/>
  <c r="AH767" i="1"/>
  <c r="AF830" i="1"/>
  <c r="AF827" i="1"/>
  <c r="AI764" i="1"/>
  <c r="AM783" i="1"/>
  <c r="AM819" i="1"/>
  <c r="AQ880" i="1"/>
  <c r="AQ885" i="1"/>
  <c r="AQ882" i="1"/>
  <c r="AM956" i="1"/>
  <c r="AM953" i="1"/>
  <c r="AM932" i="1"/>
  <c r="AP933" i="1"/>
  <c r="AP952" i="1"/>
  <c r="AP954" i="1"/>
  <c r="AJ1026" i="1"/>
  <c r="S341" i="1"/>
  <c r="T359" i="1"/>
  <c r="AF387" i="1"/>
  <c r="T393" i="1"/>
  <c r="U396" i="1"/>
  <c r="AE402" i="1"/>
  <c r="AG403" i="1"/>
  <c r="AF386" i="1"/>
  <c r="AE405" i="1"/>
  <c r="AJ417" i="1"/>
  <c r="AQ424" i="1"/>
  <c r="F426" i="1"/>
  <c r="T430" i="1"/>
  <c r="N437" i="1"/>
  <c r="F462" i="1"/>
  <c r="T478" i="1"/>
  <c r="X487" i="1"/>
  <c r="H487" i="1"/>
  <c r="L496" i="1"/>
  <c r="AO499" i="1"/>
  <c r="H511" i="1"/>
  <c r="AE512" i="1"/>
  <c r="AH458" i="1"/>
  <c r="AH440" i="1" s="1"/>
  <c r="AI459" i="1"/>
  <c r="AM461" i="1"/>
  <c r="AM443" i="1" s="1"/>
  <c r="AM497" i="1"/>
  <c r="AM517" i="1"/>
  <c r="AM523" i="1" s="1"/>
  <c r="AM498" i="1"/>
  <c r="AM499" i="1" s="1"/>
  <c r="AM462" i="1"/>
  <c r="AM468" i="1" s="1"/>
  <c r="F519" i="1"/>
  <c r="N520" i="1"/>
  <c r="AE527" i="1"/>
  <c r="AK477" i="1"/>
  <c r="AK478" i="1" s="1"/>
  <c r="AF540" i="1"/>
  <c r="AE537" i="1"/>
  <c r="J544" i="1"/>
  <c r="J541" i="1"/>
  <c r="O550" i="1"/>
  <c r="N549" i="1"/>
  <c r="AN550" i="1"/>
  <c r="Y553" i="1"/>
  <c r="H554" i="1"/>
  <c r="Y560" i="1"/>
  <c r="Y557" i="1"/>
  <c r="P556" i="1"/>
  <c r="N555" i="1"/>
  <c r="P561" i="1"/>
  <c r="P558" i="1"/>
  <c r="H571" i="1"/>
  <c r="H580" i="1" s="1"/>
  <c r="F570" i="1"/>
  <c r="F571" i="1" s="1"/>
  <c r="AI557" i="1"/>
  <c r="AI556" i="1"/>
  <c r="H576" i="1"/>
  <c r="AE588" i="1"/>
  <c r="O607" i="1"/>
  <c r="F617" i="1"/>
  <c r="F619" i="1"/>
  <c r="AE627" i="1"/>
  <c r="J634" i="1"/>
  <c r="AE638" i="1"/>
  <c r="F644" i="1"/>
  <c r="T648" i="1"/>
  <c r="T646" i="1"/>
  <c r="I652" i="1"/>
  <c r="N647" i="1"/>
  <c r="T659" i="1"/>
  <c r="U665" i="1"/>
  <c r="M661" i="1"/>
  <c r="AN661" i="1"/>
  <c r="I666" i="1"/>
  <c r="H663" i="1"/>
  <c r="AF664" i="1"/>
  <c r="AJ676" i="1"/>
  <c r="AQ756" i="1"/>
  <c r="AQ759" i="1"/>
  <c r="AH765" i="1"/>
  <c r="AL873" i="1"/>
  <c r="AN899" i="1"/>
  <c r="AN902" i="1"/>
  <c r="AN788" i="1"/>
  <c r="AN878" i="1"/>
  <c r="AK920" i="1"/>
  <c r="AQ934" i="1"/>
  <c r="AI985" i="1"/>
  <c r="AQ990" i="1"/>
  <c r="AQ988" i="1"/>
  <c r="AQ993" i="1"/>
  <c r="AH977" i="1"/>
  <c r="AH979" i="1" s="1"/>
  <c r="AH997" i="1"/>
  <c r="AL997" i="1"/>
  <c r="AL978" i="1"/>
  <c r="AL979" i="1" s="1"/>
  <c r="AQ1007" i="1"/>
  <c r="AQ983" i="1"/>
  <c r="AQ989" i="1" s="1"/>
  <c r="AQ1010" i="1"/>
  <c r="AQ1003" i="1"/>
  <c r="AO1037" i="1"/>
  <c r="AO1039" i="1" s="1"/>
  <c r="AO1057" i="1"/>
  <c r="AO1064" i="1"/>
  <c r="AE401" i="1"/>
  <c r="AH384" i="1"/>
  <c r="AH385" i="1" s="1"/>
  <c r="AH403" i="1"/>
  <c r="AG406" i="1"/>
  <c r="AJ416" i="1"/>
  <c r="P415" i="1"/>
  <c r="H424" i="1"/>
  <c r="F423" i="1"/>
  <c r="Q445" i="1"/>
  <c r="M450" i="1"/>
  <c r="W472" i="1"/>
  <c r="G493" i="1"/>
  <c r="F492" i="1"/>
  <c r="F493" i="1" s="1"/>
  <c r="F494" i="1"/>
  <c r="AI458" i="1"/>
  <c r="AI440" i="1" s="1"/>
  <c r="AJ459" i="1"/>
  <c r="AJ27" i="1" s="1"/>
  <c r="AN461" i="1"/>
  <c r="AN29" i="1" s="1"/>
  <c r="AN497" i="1"/>
  <c r="AN499" i="1" s="1"/>
  <c r="T522" i="1"/>
  <c r="T525" i="1"/>
  <c r="J523" i="1"/>
  <c r="J526" i="1"/>
  <c r="AE536" i="1"/>
  <c r="AG540" i="1"/>
  <c r="AG538" i="1"/>
  <c r="AF538" i="1"/>
  <c r="P550" i="1"/>
  <c r="I553" i="1"/>
  <c r="AH545" i="1"/>
  <c r="AG546" i="1"/>
  <c r="AG547" i="1" s="1"/>
  <c r="AL583" i="1"/>
  <c r="F585" i="1"/>
  <c r="F586" i="1" s="1"/>
  <c r="AO605" i="1"/>
  <c r="AN606" i="1"/>
  <c r="AN607" i="1" s="1"/>
  <c r="AF633" i="1"/>
  <c r="AF630" i="1"/>
  <c r="AF609" i="1"/>
  <c r="K634" i="1"/>
  <c r="F637" i="1"/>
  <c r="T650" i="1"/>
  <c r="J652" i="1"/>
  <c r="S655" i="1"/>
  <c r="J669" i="1"/>
  <c r="J664" i="1"/>
  <c r="AQ659" i="1"/>
  <c r="AJ727" i="1"/>
  <c r="AJ708" i="1"/>
  <c r="AJ709" i="1" s="1"/>
  <c r="AE726" i="1"/>
  <c r="AE727" i="1" s="1"/>
  <c r="AI792" i="1"/>
  <c r="AI795" i="1"/>
  <c r="AI771" i="1"/>
  <c r="AJ823" i="1"/>
  <c r="AG826" i="1"/>
  <c r="AG828" i="1"/>
  <c r="AI835" i="1"/>
  <c r="AI816" i="1"/>
  <c r="AI817" i="1" s="1"/>
  <c r="AI780" i="1"/>
  <c r="AL844" i="1"/>
  <c r="AL845" i="1"/>
  <c r="AL788" i="1"/>
  <c r="AL848" i="1"/>
  <c r="AO846" i="1"/>
  <c r="AO849" i="1"/>
  <c r="AO789" i="1"/>
  <c r="AI872" i="1"/>
  <c r="AI892" i="1"/>
  <c r="AL895" i="1"/>
  <c r="AL901" i="1" s="1"/>
  <c r="AL899" i="1"/>
  <c r="AL875" i="1"/>
  <c r="AP895" i="1"/>
  <c r="AP876" i="1"/>
  <c r="AP786" i="1"/>
  <c r="AO899" i="1"/>
  <c r="AO902" i="1"/>
  <c r="AO878" i="1"/>
  <c r="AL902" i="1"/>
  <c r="AL877" i="1"/>
  <c r="AQ949" i="1"/>
  <c r="AQ930" i="1"/>
  <c r="AQ931" i="1" s="1"/>
  <c r="AQ954" i="1"/>
  <c r="AQ1025" i="1"/>
  <c r="AQ1021" i="1"/>
  <c r="AL1030" i="1"/>
  <c r="AL1027" i="1"/>
  <c r="AN268" i="1"/>
  <c r="F320" i="1"/>
  <c r="T324" i="1"/>
  <c r="AE350" i="1"/>
  <c r="T377" i="1"/>
  <c r="AI383" i="1"/>
  <c r="AI385" i="1" s="1"/>
  <c r="AK416" i="1"/>
  <c r="AL414" i="1"/>
  <c r="Q415" i="1"/>
  <c r="F422" i="1"/>
  <c r="T427" i="1"/>
  <c r="H427" i="1"/>
  <c r="H433" i="1" s="1"/>
  <c r="R445" i="1"/>
  <c r="R453" i="1"/>
  <c r="W469" i="1"/>
  <c r="T491" i="1"/>
  <c r="H492" i="1"/>
  <c r="H493" i="1" s="1"/>
  <c r="AJ495" i="1"/>
  <c r="AJ496" i="1" s="1"/>
  <c r="J504" i="1"/>
  <c r="J502" i="1"/>
  <c r="AO462" i="1"/>
  <c r="N524" i="1"/>
  <c r="F518" i="1"/>
  <c r="AE519" i="1"/>
  <c r="AF465" i="1"/>
  <c r="AM476" i="1"/>
  <c r="AM44" i="1" s="1"/>
  <c r="AM1089" i="1" s="1"/>
  <c r="AM477" i="1"/>
  <c r="AM478" i="1" s="1"/>
  <c r="AG539" i="1"/>
  <c r="AH544" i="1"/>
  <c r="AG543" i="1"/>
  <c r="R558" i="1"/>
  <c r="R561" i="1"/>
  <c r="AI455" i="1"/>
  <c r="AI437" i="1" s="1"/>
  <c r="H586" i="1"/>
  <c r="Q607" i="1"/>
  <c r="K615" i="1"/>
  <c r="K612" i="1"/>
  <c r="AK622" i="1"/>
  <c r="AO606" i="1"/>
  <c r="AO625" i="1"/>
  <c r="AO634" i="1" s="1"/>
  <c r="AF629" i="1"/>
  <c r="K631" i="1"/>
  <c r="AL643" i="1"/>
  <c r="AL652" i="1" s="1"/>
  <c r="AL606" i="1"/>
  <c r="AL607" i="1" s="1"/>
  <c r="AL648" i="1"/>
  <c r="AF651" i="1"/>
  <c r="AF648" i="1"/>
  <c r="K652" i="1"/>
  <c r="N660" i="1"/>
  <c r="P661" i="1"/>
  <c r="U668" i="1"/>
  <c r="N685" i="1"/>
  <c r="AE725" i="1"/>
  <c r="AO711" i="1"/>
  <c r="AO712" i="1" s="1"/>
  <c r="AK716" i="1"/>
  <c r="AK740" i="1"/>
  <c r="AK737" i="1"/>
  <c r="AN717" i="1"/>
  <c r="AN741" i="1"/>
  <c r="AN738" i="1"/>
  <c r="AN736" i="1"/>
  <c r="AO755" i="1"/>
  <c r="AO754" i="1"/>
  <c r="AO758" i="1"/>
  <c r="AH780" i="1"/>
  <c r="AK787" i="1"/>
  <c r="AL790" i="1"/>
  <c r="AL795" i="1"/>
  <c r="AP809" i="1"/>
  <c r="AL828" i="1"/>
  <c r="AL831" i="1"/>
  <c r="AF815" i="1"/>
  <c r="AE815" i="1" s="1"/>
  <c r="AF835" i="1"/>
  <c r="AQ895" i="1"/>
  <c r="AQ786" i="1"/>
  <c r="AN997" i="1"/>
  <c r="AN978" i="1"/>
  <c r="AN979" i="1" s="1"/>
  <c r="AF1024" i="1"/>
  <c r="AF1026" i="1"/>
  <c r="AF1029" i="1"/>
  <c r="AK1032" i="1"/>
  <c r="AK1033" i="1" s="1"/>
  <c r="AK1051" i="1"/>
  <c r="AE1050" i="1"/>
  <c r="AE1051" i="1" s="1"/>
  <c r="Q290" i="1"/>
  <c r="P291" i="1"/>
  <c r="AM308" i="1"/>
  <c r="AM305" i="1"/>
  <c r="AL327" i="1"/>
  <c r="AL322" i="1"/>
  <c r="W337" i="1"/>
  <c r="AI349" i="1"/>
  <c r="Q396" i="1"/>
  <c r="N435" i="1"/>
  <c r="G453" i="1"/>
  <c r="W453" i="1"/>
  <c r="N481" i="1"/>
  <c r="N487" i="1" s="1"/>
  <c r="G490" i="1"/>
  <c r="G487" i="1"/>
  <c r="W490" i="1"/>
  <c r="W493" i="1"/>
  <c r="T495" i="1"/>
  <c r="T496" i="1" s="1"/>
  <c r="AK492" i="1"/>
  <c r="AK493" i="1" s="1"/>
  <c r="AO459" i="1"/>
  <c r="AE518" i="1"/>
  <c r="AF524" i="1"/>
  <c r="AH525" i="1"/>
  <c r="AH465" i="1"/>
  <c r="AN476" i="1"/>
  <c r="I544" i="1"/>
  <c r="Y541" i="1"/>
  <c r="Y544" i="1"/>
  <c r="AJ545" i="1"/>
  <c r="AM568" i="1"/>
  <c r="AG554" i="1"/>
  <c r="AG579" i="1"/>
  <c r="AG555" i="1"/>
  <c r="AG574" i="1"/>
  <c r="AH589" i="1"/>
  <c r="Y614" i="1"/>
  <c r="AQ619" i="1"/>
  <c r="AE620" i="1"/>
  <c r="AO633" i="1"/>
  <c r="AQ637" i="1"/>
  <c r="AO649" i="1"/>
  <c r="AK658" i="1"/>
  <c r="U661" i="1"/>
  <c r="U667" i="1" s="1"/>
  <c r="T660" i="1"/>
  <c r="T661" i="1" s="1"/>
  <c r="U666" i="1"/>
  <c r="U669" i="1"/>
  <c r="AK660" i="1"/>
  <c r="AK661" i="1" s="1"/>
  <c r="AP662" i="1"/>
  <c r="AP686" i="1"/>
  <c r="AQ663" i="1"/>
  <c r="AI730" i="1"/>
  <c r="AI711" i="1"/>
  <c r="AI712" i="1" s="1"/>
  <c r="AG736" i="1"/>
  <c r="AG717" i="1"/>
  <c r="AG741" i="1"/>
  <c r="AO745" i="1"/>
  <c r="AE743" i="1"/>
  <c r="AP748" i="1"/>
  <c r="AP805" i="1"/>
  <c r="AO820" i="1"/>
  <c r="AI819" i="1"/>
  <c r="AI820" i="1" s="1"/>
  <c r="AI838" i="1"/>
  <c r="AE839" i="1"/>
  <c r="AE841" i="1" s="1"/>
  <c r="AI823" i="1"/>
  <c r="AF848" i="1"/>
  <c r="AF788" i="1"/>
  <c r="AI849" i="1"/>
  <c r="AI846" i="1"/>
  <c r="AI844" i="1"/>
  <c r="AI825" i="1"/>
  <c r="AJ878" i="1"/>
  <c r="AJ902" i="1"/>
  <c r="AJ788" i="1"/>
  <c r="AJ899" i="1"/>
  <c r="AN903" i="1"/>
  <c r="AN898" i="1"/>
  <c r="AN900" i="1"/>
  <c r="AM873" i="1"/>
  <c r="AM874" i="1" s="1"/>
  <c r="AM910" i="1"/>
  <c r="AP913" i="1"/>
  <c r="AP917" i="1"/>
  <c r="AP920" i="1"/>
  <c r="AL946" i="1"/>
  <c r="AL927" i="1"/>
  <c r="AP930" i="1"/>
  <c r="AP949" i="1"/>
  <c r="AO924" i="1"/>
  <c r="AO925" i="1" s="1"/>
  <c r="AO961" i="1"/>
  <c r="AP974" i="1"/>
  <c r="AP971" i="1"/>
  <c r="AP929" i="1"/>
  <c r="AM983" i="1"/>
  <c r="AM1010" i="1"/>
  <c r="AG1018" i="1"/>
  <c r="AE1016" i="1"/>
  <c r="AM1026" i="1"/>
  <c r="J490" i="1"/>
  <c r="J487" i="1"/>
  <c r="T494" i="1"/>
  <c r="Y496" i="1"/>
  <c r="U503" i="1"/>
  <c r="T500" i="1"/>
  <c r="Y504" i="1"/>
  <c r="Y507" i="1"/>
  <c r="AQ476" i="1"/>
  <c r="AQ532" i="1"/>
  <c r="AQ495" i="1"/>
  <c r="AQ496" i="1" s="1"/>
  <c r="AH543" i="1"/>
  <c r="L544" i="1"/>
  <c r="AL565" i="1"/>
  <c r="AJ575" i="1"/>
  <c r="H583" i="1"/>
  <c r="AP596" i="1"/>
  <c r="AP592" i="1"/>
  <c r="V601" i="1"/>
  <c r="K614" i="1"/>
  <c r="O610" i="1"/>
  <c r="AO610" i="1"/>
  <c r="AQ608" i="1"/>
  <c r="AQ629" i="1"/>
  <c r="X634" i="1"/>
  <c r="AQ647" i="1"/>
  <c r="G649" i="1"/>
  <c r="G652" i="1"/>
  <c r="X649" i="1"/>
  <c r="X652" i="1"/>
  <c r="I668" i="1"/>
  <c r="I665" i="1"/>
  <c r="F684" i="1"/>
  <c r="F687" i="1"/>
  <c r="I685" i="1"/>
  <c r="I688" i="1"/>
  <c r="AI705" i="1"/>
  <c r="AI702" i="1"/>
  <c r="AI663" i="1"/>
  <c r="AI700" i="1"/>
  <c r="AJ740" i="1"/>
  <c r="AJ713" i="1"/>
  <c r="AJ715" i="1" s="1"/>
  <c r="AJ733" i="1"/>
  <c r="AJ742" i="1" s="1"/>
  <c r="AM733" i="1"/>
  <c r="AM714" i="1"/>
  <c r="AM715" i="1" s="1"/>
  <c r="AM831" i="1"/>
  <c r="AM826" i="1"/>
  <c r="AE834" i="1"/>
  <c r="AG816" i="1"/>
  <c r="AG780" i="1"/>
  <c r="AH782" i="1"/>
  <c r="AH818" i="1"/>
  <c r="AL783" i="1"/>
  <c r="AI848" i="1"/>
  <c r="AI845" i="1"/>
  <c r="AI821" i="1"/>
  <c r="AI827" i="1" s="1"/>
  <c r="AL786" i="1"/>
  <c r="AL841" i="1"/>
  <c r="AL822" i="1"/>
  <c r="AL823" i="1" s="1"/>
  <c r="AN818" i="1"/>
  <c r="AN856" i="1"/>
  <c r="AQ803" i="1"/>
  <c r="AQ809" i="1" s="1"/>
  <c r="AQ866" i="1"/>
  <c r="AK873" i="1"/>
  <c r="AK874" i="1" s="1"/>
  <c r="AK892" i="1"/>
  <c r="AJ921" i="1"/>
  <c r="AJ916" i="1"/>
  <c r="AJ918" i="1"/>
  <c r="AJ807" i="1"/>
  <c r="AK978" i="1"/>
  <c r="AK979" i="1" s="1"/>
  <c r="AK997" i="1"/>
  <c r="AE996" i="1"/>
  <c r="AE997" i="1" s="1"/>
  <c r="AL980" i="1"/>
  <c r="AL1000" i="1"/>
  <c r="AI1006" i="1"/>
  <c r="AI987" i="1"/>
  <c r="AI1008" i="1"/>
  <c r="AJ1081" i="1"/>
  <c r="AJ1084" i="1"/>
  <c r="G472" i="1"/>
  <c r="AE516" i="1"/>
  <c r="AF517" i="1"/>
  <c r="AF526" i="1" s="1"/>
  <c r="AI524" i="1"/>
  <c r="AK522" i="1"/>
  <c r="AK465" i="1"/>
  <c r="AQ535" i="1"/>
  <c r="Q557" i="1"/>
  <c r="Q560" i="1"/>
  <c r="U561" i="1"/>
  <c r="AH551" i="1"/>
  <c r="AK576" i="1"/>
  <c r="AM580" i="1"/>
  <c r="AE581" i="1"/>
  <c r="AF583" i="1"/>
  <c r="V611" i="1"/>
  <c r="T608" i="1"/>
  <c r="I615" i="1"/>
  <c r="AN632" i="1"/>
  <c r="AE636" i="1"/>
  <c r="AE637" i="1" s="1"/>
  <c r="W668" i="1"/>
  <c r="W665" i="1"/>
  <c r="K664" i="1"/>
  <c r="K669" i="1"/>
  <c r="AP658" i="1"/>
  <c r="X685" i="1"/>
  <c r="X688" i="1"/>
  <c r="AO691" i="1"/>
  <c r="AL704" i="1"/>
  <c r="Q706" i="1"/>
  <c r="Q703" i="1"/>
  <c r="AJ720" i="1"/>
  <c r="AG715" i="1"/>
  <c r="AH709" i="1"/>
  <c r="AO762" i="1"/>
  <c r="AF822" i="1"/>
  <c r="AF786" i="1"/>
  <c r="AF841" i="1"/>
  <c r="AF844" i="1"/>
  <c r="AF846" i="1"/>
  <c r="AF789" i="1"/>
  <c r="AF825" i="1"/>
  <c r="AM847" i="1"/>
  <c r="AM850" i="1"/>
  <c r="AM884" i="1"/>
  <c r="AL917" i="1"/>
  <c r="AL920" i="1"/>
  <c r="AP918" i="1"/>
  <c r="AP921" i="1"/>
  <c r="AP916" i="1"/>
  <c r="AN956" i="1"/>
  <c r="AN929" i="1"/>
  <c r="AN931" i="1" s="1"/>
  <c r="AE974" i="1"/>
  <c r="AI972" i="1"/>
  <c r="AI975" i="1"/>
  <c r="AI970" i="1"/>
  <c r="AI807" i="1"/>
  <c r="AL988" i="1"/>
  <c r="AL990" i="1"/>
  <c r="AL993" i="1"/>
  <c r="AF980" i="1"/>
  <c r="AE998" i="1"/>
  <c r="AF1000" i="1"/>
  <c r="AG1021" i="1"/>
  <c r="AG1026" i="1"/>
  <c r="AF1039" i="1"/>
  <c r="AN1047" i="1"/>
  <c r="AN1044" i="1"/>
  <c r="AN1042" i="1"/>
  <c r="AF1083" i="1"/>
  <c r="AF1078" i="1"/>
  <c r="AF1080" i="1"/>
  <c r="AO393" i="1"/>
  <c r="F476" i="1"/>
  <c r="F478" i="1" s="1"/>
  <c r="AF514" i="1"/>
  <c r="AP477" i="1"/>
  <c r="H540" i="1"/>
  <c r="H535" i="1"/>
  <c r="H544" i="1" s="1"/>
  <c r="F534" i="1"/>
  <c r="F535" i="1" s="1"/>
  <c r="H541" i="1"/>
  <c r="H548" i="1"/>
  <c r="K550" i="1"/>
  <c r="AG548" i="1"/>
  <c r="AF549" i="1"/>
  <c r="AF568" i="1"/>
  <c r="AH552" i="1"/>
  <c r="AH571" i="1"/>
  <c r="AH580" i="1" s="1"/>
  <c r="AL577" i="1"/>
  <c r="AK578" i="1"/>
  <c r="W611" i="1"/>
  <c r="W614" i="1"/>
  <c r="J615" i="1"/>
  <c r="AJ602" i="1"/>
  <c r="AJ603" i="1"/>
  <c r="AL605" i="1"/>
  <c r="AK625" i="1"/>
  <c r="AK631" i="1" s="1"/>
  <c r="AE635" i="1"/>
  <c r="X658" i="1"/>
  <c r="G668" i="1"/>
  <c r="AP691" i="1"/>
  <c r="AE693" i="1"/>
  <c r="AF694" i="1"/>
  <c r="AN705" i="1"/>
  <c r="R706" i="1"/>
  <c r="R703" i="1"/>
  <c r="AO709" i="1"/>
  <c r="AH730" i="1"/>
  <c r="AH711" i="1"/>
  <c r="AH712" i="1" s="1"/>
  <c r="AH715" i="1"/>
  <c r="AI709" i="1"/>
  <c r="AI714" i="1"/>
  <c r="AI715" i="1" s="1"/>
  <c r="AI756" i="1"/>
  <c r="AJ787" i="1"/>
  <c r="AJ768" i="1"/>
  <c r="AH819" i="1"/>
  <c r="AH820" i="1" s="1"/>
  <c r="AH838" i="1"/>
  <c r="AG786" i="1"/>
  <c r="AG792" i="1" s="1"/>
  <c r="AG849" i="1"/>
  <c r="AN850" i="1"/>
  <c r="AN847" i="1"/>
  <c r="AF853" i="1"/>
  <c r="AF798" i="1"/>
  <c r="AP869" i="1"/>
  <c r="AP889" i="1"/>
  <c r="AJ913" i="1"/>
  <c r="AE911" i="1"/>
  <c r="AJ926" i="1"/>
  <c r="AJ928" i="1" s="1"/>
  <c r="AO935" i="1"/>
  <c r="AO927" i="1"/>
  <c r="AO946" i="1"/>
  <c r="AI958" i="1"/>
  <c r="AI955" i="1"/>
  <c r="AF972" i="1"/>
  <c r="AF930" i="1"/>
  <c r="AE966" i="1"/>
  <c r="AE967" i="1" s="1"/>
  <c r="AG984" i="1"/>
  <c r="AG985" i="1" s="1"/>
  <c r="AK1000" i="1"/>
  <c r="AK981" i="1"/>
  <c r="AK982" i="1" s="1"/>
  <c r="AG1063" i="1"/>
  <c r="AG1066" i="1"/>
  <c r="AE509" i="1"/>
  <c r="AQ538" i="1"/>
  <c r="G544" i="1"/>
  <c r="L560" i="1"/>
  <c r="AJ576" i="1"/>
  <c r="AJ574" i="1"/>
  <c r="AQ650" i="1"/>
  <c r="AQ651" i="1"/>
  <c r="V669" i="1"/>
  <c r="V664" i="1"/>
  <c r="T663" i="1"/>
  <c r="AF683" i="1"/>
  <c r="AJ691" i="1"/>
  <c r="AN694" i="1"/>
  <c r="F702" i="1"/>
  <c r="AG722" i="1"/>
  <c r="AP755" i="1"/>
  <c r="AK845" i="1"/>
  <c r="AK824" i="1"/>
  <c r="AK788" i="1"/>
  <c r="AN846" i="1"/>
  <c r="AN849" i="1"/>
  <c r="AK848" i="1"/>
  <c r="AG819" i="1"/>
  <c r="AG856" i="1"/>
  <c r="AG801" i="1"/>
  <c r="AG45" i="1" s="1"/>
  <c r="AG46" i="1" s="1"/>
  <c r="AE914" i="1"/>
  <c r="AN938" i="1"/>
  <c r="AQ946" i="1"/>
  <c r="AH954" i="1"/>
  <c r="AH930" i="1"/>
  <c r="AH786" i="1"/>
  <c r="AH949" i="1"/>
  <c r="AH955" i="1" s="1"/>
  <c r="AQ800" i="1"/>
  <c r="AE962" i="1"/>
  <c r="AE964" i="1" s="1"/>
  <c r="AM997" i="1"/>
  <c r="AM978" i="1"/>
  <c r="AM979" i="1" s="1"/>
  <c r="AH987" i="1"/>
  <c r="AH1006" i="1"/>
  <c r="AH1011" i="1"/>
  <c r="AH1008" i="1"/>
  <c r="AF1040" i="1"/>
  <c r="AF1060" i="1"/>
  <c r="AF1064" i="1"/>
  <c r="AF1061" i="1"/>
  <c r="AE1058" i="1"/>
  <c r="AE1070" i="1"/>
  <c r="AL1072" i="1"/>
  <c r="AL1035" i="1"/>
  <c r="AL1036" i="1" s="1"/>
  <c r="N542" i="1"/>
  <c r="AL571" i="1"/>
  <c r="AL580" i="1" s="1"/>
  <c r="AM575" i="1"/>
  <c r="AK593" i="1"/>
  <c r="AK594" i="1"/>
  <c r="G655" i="1"/>
  <c r="G666" i="1"/>
  <c r="X666" i="1"/>
  <c r="AE674" i="1"/>
  <c r="AH662" i="1"/>
  <c r="AQ708" i="1"/>
  <c r="AQ709" i="1" s="1"/>
  <c r="AQ727" i="1"/>
  <c r="AG813" i="1"/>
  <c r="AP818" i="1"/>
  <c r="AP820" i="1" s="1"/>
  <c r="AP782" i="1"/>
  <c r="AP764" i="1" s="1"/>
  <c r="AO821" i="1"/>
  <c r="AO823" i="1" s="1"/>
  <c r="AM788" i="1"/>
  <c r="AP789" i="1"/>
  <c r="AP844" i="1"/>
  <c r="AM848" i="1"/>
  <c r="AI801" i="1"/>
  <c r="AI856" i="1"/>
  <c r="AG892" i="1"/>
  <c r="AG783" i="1"/>
  <c r="AI898" i="1"/>
  <c r="AI903" i="1"/>
  <c r="AI900" i="1"/>
  <c r="AI921" i="1"/>
  <c r="AI913" i="1"/>
  <c r="AQ938" i="1"/>
  <c r="AQ935" i="1"/>
  <c r="AF929" i="1"/>
  <c r="AE929" i="1" s="1"/>
  <c r="AF785" i="1"/>
  <c r="AF29" i="1" s="1"/>
  <c r="AJ930" i="1"/>
  <c r="AJ931" i="1" s="1"/>
  <c r="AJ954" i="1"/>
  <c r="AJ957" i="1"/>
  <c r="AJ949" i="1"/>
  <c r="AF964" i="1"/>
  <c r="AF801" i="1"/>
  <c r="AF971" i="1"/>
  <c r="AF974" i="1"/>
  <c r="AF932" i="1"/>
  <c r="AJ975" i="1"/>
  <c r="AJ972" i="1"/>
  <c r="AJ970" i="1"/>
  <c r="AO997" i="1"/>
  <c r="AO978" i="1"/>
  <c r="AO979" i="1" s="1"/>
  <c r="AF1010" i="1"/>
  <c r="AF1006" i="1"/>
  <c r="AJ1011" i="1"/>
  <c r="AJ1006" i="1"/>
  <c r="AH1025" i="1"/>
  <c r="AH1028" i="1"/>
  <c r="AK1026" i="1"/>
  <c r="AK1029" i="1"/>
  <c r="O557" i="1"/>
  <c r="AL592" i="1"/>
  <c r="AL555" i="1"/>
  <c r="AL594" i="1"/>
  <c r="N630" i="1"/>
  <c r="H654" i="1"/>
  <c r="I655" i="1"/>
  <c r="V665" i="1"/>
  <c r="T662" i="1"/>
  <c r="Y666" i="1"/>
  <c r="AF673" i="1"/>
  <c r="AG679" i="1"/>
  <c r="H697" i="1"/>
  <c r="AE699" i="1"/>
  <c r="J703" i="1"/>
  <c r="AH751" i="1"/>
  <c r="AH756" i="1"/>
  <c r="AP758" i="1"/>
  <c r="AJ781" i="1"/>
  <c r="AG790" i="1"/>
  <c r="AH808" i="1"/>
  <c r="AH813" i="1"/>
  <c r="AQ782" i="1"/>
  <c r="AQ764" i="1" s="1"/>
  <c r="AQ818" i="1"/>
  <c r="AQ820" i="1" s="1"/>
  <c r="AG797" i="1"/>
  <c r="AG761" i="1" s="1"/>
  <c r="AE851" i="1"/>
  <c r="AG815" i="1"/>
  <c r="AJ798" i="1"/>
  <c r="AJ816" i="1"/>
  <c r="AF800" i="1"/>
  <c r="AO868" i="1"/>
  <c r="AO870" i="1"/>
  <c r="AO871" i="1" s="1"/>
  <c r="AH876" i="1"/>
  <c r="AH877" i="1" s="1"/>
  <c r="AJ898" i="1"/>
  <c r="AJ903" i="1"/>
  <c r="AF920" i="1"/>
  <c r="AF917" i="1"/>
  <c r="AF875" i="1"/>
  <c r="AF881" i="1" s="1"/>
  <c r="AF803" i="1"/>
  <c r="AF812" i="1" s="1"/>
  <c r="AH928" i="1"/>
  <c r="AH957" i="1"/>
  <c r="AJ987" i="1"/>
  <c r="AP997" i="1"/>
  <c r="AP978" i="1"/>
  <c r="AG1003" i="1"/>
  <c r="AE1002" i="1"/>
  <c r="AG1011" i="1"/>
  <c r="AK1011" i="1"/>
  <c r="AK1006" i="1"/>
  <c r="AJ1008" i="1"/>
  <c r="AH983" i="1"/>
  <c r="AH985" i="1" s="1"/>
  <c r="AE1019" i="1"/>
  <c r="AK984" i="1"/>
  <c r="AK985" i="1" s="1"/>
  <c r="AK1021" i="1"/>
  <c r="AK1027" i="1" s="1"/>
  <c r="AK804" i="1"/>
  <c r="AK805" i="1" s="1"/>
  <c r="H702" i="1"/>
  <c r="AL748" i="1"/>
  <c r="AM815" i="1"/>
  <c r="AM779" i="1"/>
  <c r="AM761" i="1" s="1"/>
  <c r="AP816" i="1"/>
  <c r="AP817" i="1" s="1"/>
  <c r="AP835" i="1"/>
  <c r="AP780" i="1"/>
  <c r="AK782" i="1"/>
  <c r="AK764" i="1" s="1"/>
  <c r="AE857" i="1"/>
  <c r="AH867" i="1"/>
  <c r="AH862" i="1"/>
  <c r="AP907" i="1"/>
  <c r="AE915" i="1"/>
  <c r="AF916" i="1"/>
  <c r="AF879" i="1"/>
  <c r="AF918" i="1"/>
  <c r="AE960" i="1"/>
  <c r="AG961" i="1"/>
  <c r="AG924" i="1"/>
  <c r="AG925" i="1" s="1"/>
  <c r="AG798" i="1"/>
  <c r="AG932" i="1"/>
  <c r="AG974" i="1"/>
  <c r="AK970" i="1"/>
  <c r="AK972" i="1"/>
  <c r="AL981" i="1"/>
  <c r="AJ983" i="1"/>
  <c r="AJ985" i="1" s="1"/>
  <c r="AJ1007" i="1"/>
  <c r="AN1003" i="1"/>
  <c r="AN984" i="1"/>
  <c r="AN985" i="1" s="1"/>
  <c r="AG1024" i="1"/>
  <c r="AG1029" i="1"/>
  <c r="AN1027" i="1"/>
  <c r="AN1030" i="1"/>
  <c r="AO1051" i="1"/>
  <c r="AO1032" i="1"/>
  <c r="AO1033" i="1" s="1"/>
  <c r="AF1072" i="1"/>
  <c r="AE1071" i="1"/>
  <c r="U670" i="1"/>
  <c r="H687" i="1"/>
  <c r="T691" i="1"/>
  <c r="T704" i="1"/>
  <c r="AQ710" i="1"/>
  <c r="AH737" i="1"/>
  <c r="AH740" i="1"/>
  <c r="AP745" i="1"/>
  <c r="AP802" i="1"/>
  <c r="AN779" i="1"/>
  <c r="AN761" i="1" s="1"/>
  <c r="AQ835" i="1"/>
  <c r="AQ780" i="1"/>
  <c r="AL846" i="1"/>
  <c r="AN873" i="1"/>
  <c r="AN874" i="1" s="1"/>
  <c r="AN892" i="1"/>
  <c r="AN895" i="1"/>
  <c r="AE894" i="1"/>
  <c r="AE895" i="1" s="1"/>
  <c r="AN876" i="1"/>
  <c r="AL878" i="1"/>
  <c r="AP900" i="1"/>
  <c r="AP898" i="1"/>
  <c r="AQ907" i="1"/>
  <c r="AG916" i="1"/>
  <c r="AG918" i="1"/>
  <c r="AO943" i="1"/>
  <c r="AP788" i="1"/>
  <c r="AP932" i="1"/>
  <c r="AG955" i="1"/>
  <c r="AH961" i="1"/>
  <c r="AH924" i="1"/>
  <c r="AH925" i="1" s="1"/>
  <c r="AH932" i="1"/>
  <c r="AH974" i="1"/>
  <c r="AH970" i="1"/>
  <c r="AL972" i="1"/>
  <c r="AK983" i="1"/>
  <c r="AK1003" i="1"/>
  <c r="AO1003" i="1"/>
  <c r="AO984" i="1"/>
  <c r="AO985" i="1" s="1"/>
  <c r="AH1024" i="1"/>
  <c r="AH1029" i="1"/>
  <c r="AH1026" i="1"/>
  <c r="AO1030" i="1"/>
  <c r="AI1033" i="1"/>
  <c r="AL1031" i="1"/>
  <c r="AL1033" i="1" s="1"/>
  <c r="AP1051" i="1"/>
  <c r="AP1032" i="1"/>
  <c r="AP1033" i="1" s="1"/>
  <c r="AH1041" i="1"/>
  <c r="AH1065" i="1"/>
  <c r="AH1062" i="1"/>
  <c r="AE1059" i="1"/>
  <c r="AI737" i="1"/>
  <c r="AI716" i="1"/>
  <c r="AL738" i="1"/>
  <c r="AL717" i="1"/>
  <c r="AQ745" i="1"/>
  <c r="AE752" i="1"/>
  <c r="AG767" i="1"/>
  <c r="AM822" i="1"/>
  <c r="AO815" i="1"/>
  <c r="AO779" i="1"/>
  <c r="AQ838" i="1"/>
  <c r="AM849" i="1"/>
  <c r="AN798" i="1"/>
  <c r="AN799" i="1" s="1"/>
  <c r="AN853" i="1"/>
  <c r="AI803" i="1"/>
  <c r="AI767" i="1" s="1"/>
  <c r="AL804" i="1"/>
  <c r="AL805" i="1" s="1"/>
  <c r="AL859" i="1"/>
  <c r="AL865" i="1" s="1"/>
  <c r="AG866" i="1"/>
  <c r="AG862" i="1"/>
  <c r="AG863" i="1"/>
  <c r="AG806" i="1"/>
  <c r="AE806" i="1" s="1"/>
  <c r="AJ862" i="1"/>
  <c r="AJ867" i="1"/>
  <c r="AH871" i="1"/>
  <c r="AH881" i="1"/>
  <c r="AQ870" i="1"/>
  <c r="AQ871" i="1" s="1"/>
  <c r="AL872" i="1"/>
  <c r="AO895" i="1"/>
  <c r="AO901" i="1" s="1"/>
  <c r="AO876" i="1"/>
  <c r="AM899" i="1"/>
  <c r="AM902" i="1"/>
  <c r="AQ900" i="1"/>
  <c r="AQ898" i="1"/>
  <c r="AP903" i="1"/>
  <c r="AE912" i="1"/>
  <c r="AE913" i="1" s="1"/>
  <c r="AH922" i="1"/>
  <c r="AQ929" i="1"/>
  <c r="AQ953" i="1"/>
  <c r="AQ956" i="1"/>
  <c r="AI961" i="1"/>
  <c r="AI924" i="1"/>
  <c r="AN981" i="1"/>
  <c r="AN982" i="1" s="1"/>
  <c r="AN1000" i="1"/>
  <c r="AP1003" i="1"/>
  <c r="AP1009" i="1" s="1"/>
  <c r="AP984" i="1"/>
  <c r="AP985" i="1" s="1"/>
  <c r="AP1011" i="1"/>
  <c r="AN1012" i="1"/>
  <c r="AN1009" i="1"/>
  <c r="AI1018" i="1"/>
  <c r="AF1028" i="1"/>
  <c r="AF1025" i="1"/>
  <c r="AM1031" i="1"/>
  <c r="AQ1051" i="1"/>
  <c r="AQ1032" i="1"/>
  <c r="AQ1033" i="1" s="1"/>
  <c r="AI1041" i="1"/>
  <c r="AI1065" i="1"/>
  <c r="AI1062" i="1"/>
  <c r="AI1060" i="1"/>
  <c r="AH1072" i="1"/>
  <c r="AH1035" i="1"/>
  <c r="AH1036" i="1" s="1"/>
  <c r="AK727" i="1"/>
  <c r="AJ737" i="1"/>
  <c r="AM738" i="1"/>
  <c r="AI758" i="1"/>
  <c r="AL759" i="1"/>
  <c r="AL754" i="1"/>
  <c r="AN810" i="1"/>
  <c r="AN813" i="1"/>
  <c r="AG782" i="1"/>
  <c r="AK783" i="1"/>
  <c r="AJ797" i="1"/>
  <c r="AJ41" i="1" s="1"/>
  <c r="AJ1086" i="1" s="1"/>
  <c r="AM853" i="1"/>
  <c r="AL900" i="1"/>
  <c r="AL903" i="1"/>
  <c r="AK910" i="1"/>
  <c r="AM876" i="1"/>
  <c r="AM877" i="1" s="1"/>
  <c r="AM913" i="1"/>
  <c r="AG982" i="1"/>
  <c r="AJ992" i="1"/>
  <c r="AJ989" i="1"/>
  <c r="AM1064" i="1"/>
  <c r="AM1060" i="1"/>
  <c r="AM1061" i="1"/>
  <c r="AE746" i="1"/>
  <c r="AI748" i="1"/>
  <c r="AL779" i="1"/>
  <c r="AL761" i="1" s="1"/>
  <c r="AO835" i="1"/>
  <c r="AN819" i="1"/>
  <c r="AN783" i="1"/>
  <c r="AK841" i="1"/>
  <c r="AK850" i="1" s="1"/>
  <c r="AK846" i="1"/>
  <c r="AG844" i="1"/>
  <c r="AG846" i="1"/>
  <c r="AI863" i="1"/>
  <c r="AK884" i="1"/>
  <c r="AO900" i="1"/>
  <c r="AM946" i="1"/>
  <c r="AK932" i="1"/>
  <c r="AK953" i="1"/>
  <c r="AN952" i="1"/>
  <c r="AN957" i="1"/>
  <c r="AN933" i="1"/>
  <c r="AI1000" i="1"/>
  <c r="AK1010" i="1"/>
  <c r="AK1007" i="1"/>
  <c r="AK986" i="1"/>
  <c r="AK988" i="1" s="1"/>
  <c r="AO1006" i="1"/>
  <c r="AO1008" i="1"/>
  <c r="AO987" i="1"/>
  <c r="AO1011" i="1"/>
  <c r="AP1028" i="1"/>
  <c r="AP1025" i="1"/>
  <c r="AN1025" i="1"/>
  <c r="AN986" i="1"/>
  <c r="AN1028" i="1"/>
  <c r="AL1034" i="1"/>
  <c r="AL1054" i="1"/>
  <c r="AP1035" i="1"/>
  <c r="AP1036" i="1" s="1"/>
  <c r="AP1054" i="1"/>
  <c r="AN1069" i="1"/>
  <c r="AN1032" i="1"/>
  <c r="AN1033" i="1" s="1"/>
  <c r="AK809" i="1"/>
  <c r="AJ835" i="1"/>
  <c r="AH824" i="1"/>
  <c r="AE824" i="1" s="1"/>
  <c r="AK825" i="1"/>
  <c r="AK849" i="1"/>
  <c r="AG853" i="1"/>
  <c r="AP800" i="1"/>
  <c r="AJ863" i="1"/>
  <c r="AM864" i="1"/>
  <c r="AK889" i="1"/>
  <c r="AE890" i="1"/>
  <c r="AK957" i="1"/>
  <c r="AK930" i="1"/>
  <c r="AK931" i="1" s="1"/>
  <c r="AN964" i="1"/>
  <c r="AN926" i="1"/>
  <c r="AE926" i="1" s="1"/>
  <c r="AQ964" i="1"/>
  <c r="AP967" i="1"/>
  <c r="AP976" i="1" s="1"/>
  <c r="AN976" i="1"/>
  <c r="AH1010" i="1"/>
  <c r="AH986" i="1"/>
  <c r="AH1057" i="1"/>
  <c r="AH1063" i="1" s="1"/>
  <c r="AH1038" i="1"/>
  <c r="AH1039" i="1" s="1"/>
  <c r="AL849" i="1"/>
  <c r="AJ871" i="1"/>
  <c r="AL889" i="1"/>
  <c r="AI873" i="1"/>
  <c r="AL938" i="1"/>
  <c r="AL930" i="1"/>
  <c r="AL931" i="1" s="1"/>
  <c r="AH953" i="1"/>
  <c r="AO964" i="1"/>
  <c r="AO926" i="1"/>
  <c r="AQ967" i="1"/>
  <c r="AQ973" i="1" s="1"/>
  <c r="AM1011" i="1"/>
  <c r="AM1006" i="1"/>
  <c r="AM1029" i="1"/>
  <c r="AJ1069" i="1"/>
  <c r="AE1068" i="1"/>
  <c r="AE1069" i="1" s="1"/>
  <c r="AJ1032" i="1"/>
  <c r="AJ1033" i="1" s="1"/>
  <c r="AJ845" i="1"/>
  <c r="AE855" i="1"/>
  <c r="AE856" i="1" s="1"/>
  <c r="AQ859" i="1"/>
  <c r="AL806" i="1"/>
  <c r="AO864" i="1"/>
  <c r="AK870" i="1"/>
  <c r="AK871" i="1" s="1"/>
  <c r="AG900" i="1"/>
  <c r="AG903" i="1"/>
  <c r="AH879" i="1"/>
  <c r="AH900" i="1"/>
  <c r="AH898" i="1"/>
  <c r="AH910" i="1"/>
  <c r="AE944" i="1"/>
  <c r="AI956" i="1"/>
  <c r="AI932" i="1"/>
  <c r="AL957" i="1"/>
  <c r="AL952" i="1"/>
  <c r="AL933" i="1"/>
  <c r="AI953" i="1"/>
  <c r="AH1000" i="1"/>
  <c r="AF983" i="1"/>
  <c r="AF989" i="1" s="1"/>
  <c r="AE1001" i="1"/>
  <c r="AE1007" i="1" s="1"/>
  <c r="AN1011" i="1"/>
  <c r="AN1008" i="1"/>
  <c r="AF1051" i="1"/>
  <c r="AF1032" i="1"/>
  <c r="AI871" i="1"/>
  <c r="AM889" i="1"/>
  <c r="AO913" i="1"/>
  <c r="AL916" i="1"/>
  <c r="AL921" i="1"/>
  <c r="AO957" i="1"/>
  <c r="AO933" i="1"/>
  <c r="AO952" i="1"/>
  <c r="AI971" i="1"/>
  <c r="AI974" i="1"/>
  <c r="AM972" i="1"/>
  <c r="AM970" i="1"/>
  <c r="AP989" i="1"/>
  <c r="AP992" i="1"/>
  <c r="AL1029" i="1"/>
  <c r="AG1046" i="1"/>
  <c r="AG1043" i="1"/>
  <c r="AJ1064" i="1"/>
  <c r="AJ1037" i="1"/>
  <c r="AJ1061" i="1"/>
  <c r="AM1080" i="1"/>
  <c r="AM1041" i="1"/>
  <c r="AM1083" i="1"/>
  <c r="AM1078" i="1"/>
  <c r="AK1114" i="1"/>
  <c r="AL1117" i="1"/>
  <c r="AE905" i="1"/>
  <c r="AI907" i="1"/>
  <c r="AJ917" i="1"/>
  <c r="AN918" i="1"/>
  <c r="AE941" i="1"/>
  <c r="AI943" i="1"/>
  <c r="AG946" i="1"/>
  <c r="AN953" i="1"/>
  <c r="AQ952" i="1"/>
  <c r="AQ957" i="1"/>
  <c r="AM967" i="1"/>
  <c r="AK971" i="1"/>
  <c r="AK974" i="1"/>
  <c r="AO972" i="1"/>
  <c r="AO970" i="1"/>
  <c r="AQ992" i="1"/>
  <c r="AP977" i="1"/>
  <c r="AP1012" i="1"/>
  <c r="AP1015" i="1"/>
  <c r="AI1031" i="1"/>
  <c r="AL1051" i="1"/>
  <c r="AN1054" i="1"/>
  <c r="AN1035" i="1"/>
  <c r="AN1036" i="1" s="1"/>
  <c r="AE1067" i="1"/>
  <c r="AK1069" i="1"/>
  <c r="AG879" i="1"/>
  <c r="AJ907" i="1"/>
  <c r="AK917" i="1"/>
  <c r="AG927" i="1"/>
  <c r="AG928" i="1" s="1"/>
  <c r="AH946" i="1"/>
  <c r="AN967" i="1"/>
  <c r="AN973" i="1" s="1"/>
  <c r="AL974" i="1"/>
  <c r="AQ977" i="1"/>
  <c r="AQ979" i="1" s="1"/>
  <c r="AE999" i="1"/>
  <c r="AF1003" i="1"/>
  <c r="AF1011" i="1"/>
  <c r="AF1008" i="1"/>
  <c r="AE1005" i="1"/>
  <c r="AG987" i="1"/>
  <c r="AG1006" i="1"/>
  <c r="AG1008" i="1"/>
  <c r="AQ1012" i="1"/>
  <c r="AQ1009" i="1"/>
  <c r="AJ1040" i="1"/>
  <c r="AO1054" i="1"/>
  <c r="AO1035" i="1"/>
  <c r="AO1036" i="1" s="1"/>
  <c r="AL1069" i="1"/>
  <c r="AM1079" i="1"/>
  <c r="AP1081" i="1"/>
  <c r="AP1084" i="1"/>
  <c r="AP848" i="1"/>
  <c r="AE897" i="1"/>
  <c r="AE950" i="1"/>
  <c r="AF970" i="1"/>
  <c r="AE969" i="1"/>
  <c r="AO989" i="1"/>
  <c r="AO992" i="1"/>
  <c r="AQ985" i="1"/>
  <c r="AQ1015" i="1"/>
  <c r="AI1025" i="1"/>
  <c r="AF1035" i="1"/>
  <c r="AE1053" i="1"/>
  <c r="AE1054" i="1" s="1"/>
  <c r="AF1054" i="1"/>
  <c r="AN1066" i="1"/>
  <c r="AQ1060" i="1"/>
  <c r="AN1061" i="1"/>
  <c r="AE1073" i="1"/>
  <c r="AF1079" i="1"/>
  <c r="AG1078" i="1"/>
  <c r="AG1080" i="1"/>
  <c r="AG1083" i="1"/>
  <c r="AE887" i="1"/>
  <c r="AF898" i="1"/>
  <c r="AJ952" i="1"/>
  <c r="AM961" i="1"/>
  <c r="AG970" i="1"/>
  <c r="AG975" i="1"/>
  <c r="AQ980" i="1"/>
  <c r="AQ982" i="1" s="1"/>
  <c r="AJ1025" i="1"/>
  <c r="AJ1047" i="1"/>
  <c r="AJ1044" i="1"/>
  <c r="AG1054" i="1"/>
  <c r="AG1035" i="1"/>
  <c r="AG1036" i="1" s="1"/>
  <c r="AE1056" i="1"/>
  <c r="AH1083" i="1"/>
  <c r="AM895" i="1"/>
  <c r="AE965" i="1"/>
  <c r="AE971" i="1" s="1"/>
  <c r="AG979" i="1"/>
  <c r="AK1042" i="1"/>
  <c r="AP1043" i="1"/>
  <c r="AP1061" i="1"/>
  <c r="AK1072" i="1"/>
  <c r="AI1080" i="1"/>
  <c r="AQ1084" i="1"/>
  <c r="AL1007" i="1"/>
  <c r="AL1006" i="1"/>
  <c r="AP1008" i="1"/>
  <c r="AH1015" i="1"/>
  <c r="AE1014" i="1"/>
  <c r="AJ1031" i="1"/>
  <c r="AM1032" i="1"/>
  <c r="AM1033" i="1" s="1"/>
  <c r="AM1051" i="1"/>
  <c r="AK1062" i="1"/>
  <c r="AK1038" i="1"/>
  <c r="AF1062" i="1"/>
  <c r="AF1041" i="1"/>
  <c r="AN1081" i="1"/>
  <c r="AO967" i="1"/>
  <c r="AJ971" i="1"/>
  <c r="AN972" i="1"/>
  <c r="AI979" i="1"/>
  <c r="AL986" i="1"/>
  <c r="AE995" i="1"/>
  <c r="AJ997" i="1"/>
  <c r="AM1007" i="1"/>
  <c r="AQ1008" i="1"/>
  <c r="AI1015" i="1"/>
  <c r="AL1025" i="1"/>
  <c r="AO1026" i="1"/>
  <c r="AO1078" i="1"/>
  <c r="AN1083" i="1"/>
  <c r="AJ1015" i="1"/>
  <c r="AK1025" i="1"/>
  <c r="AN1026" i="1"/>
  <c r="AN1051" i="1"/>
  <c r="AL1038" i="1"/>
  <c r="AL1039" i="1" s="1"/>
  <c r="AG1062" i="1"/>
  <c r="AG1041" i="1"/>
  <c r="AJ1063" i="1"/>
  <c r="AL1062" i="1"/>
  <c r="AH1064" i="1"/>
  <c r="AO974" i="1"/>
  <c r="AM1075" i="1"/>
  <c r="AI1083" i="1"/>
  <c r="AJ1062" i="1"/>
  <c r="AN1075" i="1"/>
  <c r="AN1084" i="1" s="1"/>
  <c r="AJ1083" i="1"/>
  <c r="AI1111" i="1"/>
  <c r="AJ967" i="1"/>
  <c r="AF987" i="1"/>
  <c r="AQ1028" i="1"/>
  <c r="AJ1111" i="1"/>
  <c r="H20" i="1" l="1"/>
  <c r="H17" i="1"/>
  <c r="AL1094" i="1"/>
  <c r="AL14" i="1"/>
  <c r="AL38" i="1"/>
  <c r="AN508" i="1"/>
  <c r="AN505" i="1"/>
  <c r="AH57" i="1"/>
  <c r="AH52" i="1"/>
  <c r="AH54" i="1"/>
  <c r="AN166" i="1"/>
  <c r="AN163" i="1"/>
  <c r="AI28" i="1"/>
  <c r="AQ1094" i="1"/>
  <c r="AQ14" i="1"/>
  <c r="AQ35" i="1"/>
  <c r="AQ38" i="1"/>
  <c r="AP12" i="1"/>
  <c r="AF1086" i="1"/>
  <c r="AE41" i="1"/>
  <c r="AE1086" i="1" s="1"/>
  <c r="AM289" i="1"/>
  <c r="AM292" i="1"/>
  <c r="AN559" i="1"/>
  <c r="AN562" i="1"/>
  <c r="AF25" i="1"/>
  <c r="AF6" i="1"/>
  <c r="AQ36" i="1"/>
  <c r="AQ39" i="1"/>
  <c r="AQ34" i="1"/>
  <c r="AQ15" i="1"/>
  <c r="AQ1048" i="1"/>
  <c r="AQ1045" i="1"/>
  <c r="AE502" i="1"/>
  <c r="AE507" i="1"/>
  <c r="N58" i="1"/>
  <c r="N55" i="1"/>
  <c r="AG490" i="1"/>
  <c r="AG487" i="1"/>
  <c r="AK994" i="1"/>
  <c r="AK991" i="1"/>
  <c r="AI31" i="1"/>
  <c r="AI12" i="1"/>
  <c r="AH184" i="1"/>
  <c r="AH181" i="1"/>
  <c r="F611" i="1"/>
  <c r="F614" i="1"/>
  <c r="AN1094" i="1"/>
  <c r="AN35" i="1"/>
  <c r="AN38" i="1"/>
  <c r="AN14" i="1"/>
  <c r="AK1094" i="1"/>
  <c r="F74" i="1"/>
  <c r="F71" i="1"/>
  <c r="AO57" i="1"/>
  <c r="AO54" i="1"/>
  <c r="AO52" i="1"/>
  <c r="AI883" i="1"/>
  <c r="AI886" i="1"/>
  <c r="AE665" i="1"/>
  <c r="AE668" i="1"/>
  <c r="AE341" i="1"/>
  <c r="AE344" i="1"/>
  <c r="AF1091" i="1"/>
  <c r="AF11" i="1"/>
  <c r="AN1091" i="1"/>
  <c r="AN11" i="1"/>
  <c r="AN1093" i="1" s="1"/>
  <c r="AG57" i="1"/>
  <c r="AG52" i="1"/>
  <c r="AG54" i="1"/>
  <c r="AJ28" i="1"/>
  <c r="AJ9" i="1"/>
  <c r="AJ10" i="1" s="1"/>
  <c r="AI181" i="1"/>
  <c r="AI184" i="1"/>
  <c r="AN289" i="1"/>
  <c r="AN292" i="1"/>
  <c r="AJ1094" i="1"/>
  <c r="AJ14" i="1"/>
  <c r="AM36" i="1"/>
  <c r="AM15" i="1"/>
  <c r="AM39" i="1"/>
  <c r="AJ117" i="1"/>
  <c r="AJ118" i="1" s="1"/>
  <c r="AF560" i="1"/>
  <c r="AE554" i="1"/>
  <c r="AF557" i="1"/>
  <c r="AG128" i="1"/>
  <c r="AG125" i="1"/>
  <c r="AL290" i="1"/>
  <c r="AL287" i="1"/>
  <c r="AN139" i="1"/>
  <c r="AN120" i="1"/>
  <c r="F602" i="1"/>
  <c r="AL395" i="1"/>
  <c r="AL398" i="1"/>
  <c r="AL394" i="1"/>
  <c r="AI472" i="1"/>
  <c r="AI469" i="1"/>
  <c r="AI395" i="1"/>
  <c r="AI398" i="1"/>
  <c r="AO437" i="1"/>
  <c r="AO23" i="1"/>
  <c r="AE432" i="1"/>
  <c r="AE430" i="1"/>
  <c r="AE435" i="1"/>
  <c r="N505" i="1"/>
  <c r="N508" i="1"/>
  <c r="AN47" i="1"/>
  <c r="AN1092" i="1" s="1"/>
  <c r="AN119" i="1"/>
  <c r="AI505" i="1"/>
  <c r="AI508" i="1"/>
  <c r="T472" i="1"/>
  <c r="T469" i="1"/>
  <c r="AQ256" i="1"/>
  <c r="AQ253" i="1"/>
  <c r="AG50" i="1"/>
  <c r="T180" i="1"/>
  <c r="T178" i="1"/>
  <c r="T183" i="1"/>
  <c r="AK164" i="1"/>
  <c r="AJ307" i="1"/>
  <c r="AJ310" i="1"/>
  <c r="AI112" i="1"/>
  <c r="AI109" i="1"/>
  <c r="N182" i="1"/>
  <c r="N179" i="1"/>
  <c r="AH400" i="1"/>
  <c r="AH397" i="1"/>
  <c r="AP307" i="1"/>
  <c r="AP310" i="1"/>
  <c r="AH9" i="1"/>
  <c r="AH28" i="1"/>
  <c r="AJ1088" i="1"/>
  <c r="AJ8" i="1"/>
  <c r="AJ1090" i="1" s="1"/>
  <c r="AO1081" i="1"/>
  <c r="AO1084" i="1"/>
  <c r="AG973" i="1"/>
  <c r="AG976" i="1"/>
  <c r="AO936" i="1"/>
  <c r="AO939" i="1"/>
  <c r="AO934" i="1"/>
  <c r="AL884" i="1"/>
  <c r="AL881" i="1"/>
  <c r="AH939" i="1"/>
  <c r="AH936" i="1"/>
  <c r="AH931" i="1"/>
  <c r="AH553" i="1"/>
  <c r="AO607" i="1"/>
  <c r="AO612" i="1"/>
  <c r="F629" i="1"/>
  <c r="T436" i="1"/>
  <c r="T433" i="1"/>
  <c r="AF233" i="1"/>
  <c r="AE230" i="1"/>
  <c r="AF236" i="1"/>
  <c r="AF232" i="1"/>
  <c r="AQ504" i="1"/>
  <c r="AQ507" i="1"/>
  <c r="AQ502" i="1"/>
  <c r="AG463" i="1"/>
  <c r="AG472" i="1" s="1"/>
  <c r="AG444" i="1"/>
  <c r="AG471" i="1"/>
  <c r="H496" i="1"/>
  <c r="F495" i="1"/>
  <c r="F496" i="1" s="1"/>
  <c r="AN57" i="1"/>
  <c r="AN52" i="1"/>
  <c r="AP484" i="1"/>
  <c r="AP486" i="1"/>
  <c r="AP489" i="1"/>
  <c r="AH76" i="1"/>
  <c r="AH73" i="1"/>
  <c r="AQ343" i="1"/>
  <c r="AQ346" i="1"/>
  <c r="AI61" i="1"/>
  <c r="AI116" i="1"/>
  <c r="AI118" i="1" s="1"/>
  <c r="AI26" i="1"/>
  <c r="AE134" i="1"/>
  <c r="AO119" i="1"/>
  <c r="AO29" i="1"/>
  <c r="F11" i="1"/>
  <c r="AM122" i="1"/>
  <c r="AM1042" i="1"/>
  <c r="AM1044" i="1"/>
  <c r="AM1047" i="1"/>
  <c r="AI874" i="1"/>
  <c r="AQ976" i="1"/>
  <c r="AN1045" i="1"/>
  <c r="AN1048" i="1"/>
  <c r="AM935" i="1"/>
  <c r="AM938" i="1"/>
  <c r="AP438" i="1"/>
  <c r="AP439" i="1" s="1"/>
  <c r="AP457" i="1"/>
  <c r="AL649" i="1"/>
  <c r="AI787" i="1"/>
  <c r="AI768" i="1"/>
  <c r="AI769" i="1" s="1"/>
  <c r="N234" i="1"/>
  <c r="N232" i="1"/>
  <c r="N237" i="1"/>
  <c r="AI812" i="1"/>
  <c r="AI809" i="1"/>
  <c r="U346" i="1"/>
  <c r="V613" i="1"/>
  <c r="V616" i="1"/>
  <c r="V454" i="1"/>
  <c r="V451" i="1"/>
  <c r="AF27" i="1"/>
  <c r="AF136" i="1"/>
  <c r="AE135" i="1"/>
  <c r="AF117" i="1"/>
  <c r="F506" i="1"/>
  <c r="F503" i="1"/>
  <c r="H12" i="1"/>
  <c r="H13" i="1" s="1"/>
  <c r="AF709" i="1"/>
  <c r="AE708" i="1"/>
  <c r="AE709" i="1" s="1"/>
  <c r="AP237" i="1"/>
  <c r="AP234" i="1"/>
  <c r="AP229" i="1"/>
  <c r="AQ471" i="1"/>
  <c r="AQ468" i="1"/>
  <c r="AQ447" i="1"/>
  <c r="AQ466" i="1"/>
  <c r="N94" i="1"/>
  <c r="N91" i="1"/>
  <c r="AJ364" i="1"/>
  <c r="J22" i="1"/>
  <c r="J19" i="1"/>
  <c r="AQ26" i="1"/>
  <c r="M18" i="1"/>
  <c r="M16" i="1"/>
  <c r="M21" i="1"/>
  <c r="M400" i="1"/>
  <c r="M397" i="1"/>
  <c r="AG655" i="1"/>
  <c r="AE654" i="1"/>
  <c r="AE655" i="1" s="1"/>
  <c r="AK460" i="1"/>
  <c r="AK441" i="1"/>
  <c r="AK442" i="1" s="1"/>
  <c r="AG1088" i="1"/>
  <c r="AG8" i="1"/>
  <c r="AG1090" i="1" s="1"/>
  <c r="AE227" i="1"/>
  <c r="AP116" i="1"/>
  <c r="AP26" i="1"/>
  <c r="AJ955" i="1"/>
  <c r="AJ958" i="1"/>
  <c r="AN820" i="1"/>
  <c r="AI1063" i="1"/>
  <c r="AI1066" i="1"/>
  <c r="AO877" i="1"/>
  <c r="AO886" i="1" s="1"/>
  <c r="AO882" i="1"/>
  <c r="AF935" i="1"/>
  <c r="AE932" i="1"/>
  <c r="AF938" i="1"/>
  <c r="AH668" i="1"/>
  <c r="AH665" i="1"/>
  <c r="AQ812" i="1"/>
  <c r="AE549" i="1"/>
  <c r="AE550" i="1" s="1"/>
  <c r="AF550" i="1"/>
  <c r="AI706" i="1"/>
  <c r="AI703" i="1"/>
  <c r="AG253" i="1"/>
  <c r="AG256" i="1"/>
  <c r="AE1018" i="1"/>
  <c r="AM992" i="1"/>
  <c r="AM988" i="1"/>
  <c r="AM989" i="1"/>
  <c r="AI922" i="1"/>
  <c r="AI919" i="1"/>
  <c r="AJ634" i="1"/>
  <c r="AJ631" i="1"/>
  <c r="AK485" i="1"/>
  <c r="AK488" i="1"/>
  <c r="AQ48" i="1"/>
  <c r="AQ157" i="1"/>
  <c r="AI47" i="1"/>
  <c r="AI1092" i="1" s="1"/>
  <c r="AJ344" i="1"/>
  <c r="AF128" i="1"/>
  <c r="AF125" i="1"/>
  <c r="AE552" i="1"/>
  <c r="AF553" i="1"/>
  <c r="AG154" i="1"/>
  <c r="AL70" i="1"/>
  <c r="AL75" i="1"/>
  <c r="AL72" i="1"/>
  <c r="AH484" i="1"/>
  <c r="AH489" i="1"/>
  <c r="AH486" i="1"/>
  <c r="U58" i="1"/>
  <c r="U55" i="1"/>
  <c r="AM26" i="1"/>
  <c r="AM116" i="1"/>
  <c r="H179" i="1"/>
  <c r="F176" i="1"/>
  <c r="H182" i="1"/>
  <c r="H178" i="1"/>
  <c r="AF901" i="1"/>
  <c r="AF904" i="1"/>
  <c r="AL919" i="1"/>
  <c r="AL922" i="1"/>
  <c r="AH1042" i="1"/>
  <c r="AH1047" i="1"/>
  <c r="AH1044" i="1"/>
  <c r="AL595" i="1"/>
  <c r="AL598" i="1"/>
  <c r="AI901" i="1"/>
  <c r="AI904" i="1"/>
  <c r="AF768" i="1"/>
  <c r="AE786" i="1"/>
  <c r="AF787" i="1"/>
  <c r="AF1027" i="1"/>
  <c r="AF1030" i="1"/>
  <c r="AL791" i="1"/>
  <c r="AL770" i="1"/>
  <c r="AL794" i="1"/>
  <c r="AQ794" i="1"/>
  <c r="AQ770" i="1"/>
  <c r="AQ772" i="1" s="1"/>
  <c r="AQ791" i="1"/>
  <c r="AM559" i="1"/>
  <c r="AK812" i="1"/>
  <c r="AK767" i="1"/>
  <c r="AF561" i="1"/>
  <c r="AF558" i="1"/>
  <c r="AF556" i="1"/>
  <c r="AE555" i="1"/>
  <c r="AQ805" i="1"/>
  <c r="AE751" i="1"/>
  <c r="AP41" i="1"/>
  <c r="AP1086" i="1" s="1"/>
  <c r="M670" i="1"/>
  <c r="M667" i="1"/>
  <c r="AL256" i="1"/>
  <c r="V37" i="1"/>
  <c r="V40" i="1"/>
  <c r="AQ761" i="1"/>
  <c r="N6" i="1"/>
  <c r="N7" i="1" s="1"/>
  <c r="H395" i="1"/>
  <c r="AF123" i="1"/>
  <c r="AF144" i="1"/>
  <c r="AF147" i="1"/>
  <c r="AE141" i="1"/>
  <c r="AF142" i="1"/>
  <c r="AE274" i="1"/>
  <c r="AE271" i="1"/>
  <c r="S451" i="1"/>
  <c r="S454" i="1"/>
  <c r="T385" i="1"/>
  <c r="F383" i="1"/>
  <c r="F385" i="1" s="1"/>
  <c r="G13" i="1"/>
  <c r="F12" i="1"/>
  <c r="F13" i="1" s="1"/>
  <c r="F440" i="1"/>
  <c r="F442" i="1" s="1"/>
  <c r="AI394" i="1"/>
  <c r="AG120" i="1"/>
  <c r="AG121" i="1" s="1"/>
  <c r="AE138" i="1"/>
  <c r="AG30" i="1"/>
  <c r="AG139" i="1"/>
  <c r="AO142" i="1"/>
  <c r="AO123" i="1"/>
  <c r="AO144" i="1"/>
  <c r="AO147" i="1"/>
  <c r="AP580" i="1"/>
  <c r="AP577" i="1"/>
  <c r="H499" i="1"/>
  <c r="F498" i="1"/>
  <c r="F499" i="1" s="1"/>
  <c r="AJ438" i="1"/>
  <c r="AJ439" i="1" s="1"/>
  <c r="AE754" i="1"/>
  <c r="AE756" i="1"/>
  <c r="AE759" i="1"/>
  <c r="AP485" i="1"/>
  <c r="AP488" i="1"/>
  <c r="K18" i="1"/>
  <c r="AG1009" i="1"/>
  <c r="AG1012" i="1"/>
  <c r="AE1072" i="1"/>
  <c r="AN935" i="1"/>
  <c r="J508" i="1"/>
  <c r="J505" i="1"/>
  <c r="AK340" i="1"/>
  <c r="AK345" i="1"/>
  <c r="AK342" i="1"/>
  <c r="AP437" i="1"/>
  <c r="AH790" i="1"/>
  <c r="AH792" i="1"/>
  <c r="AH771" i="1"/>
  <c r="AH795" i="1"/>
  <c r="AF652" i="1"/>
  <c r="AF649" i="1"/>
  <c r="AE646" i="1"/>
  <c r="AE651" i="1"/>
  <c r="AE648" i="1"/>
  <c r="AK937" i="1"/>
  <c r="AK940" i="1"/>
  <c r="F447" i="1"/>
  <c r="H450" i="1"/>
  <c r="H453" i="1"/>
  <c r="H448" i="1"/>
  <c r="AE309" i="1"/>
  <c r="AE304" i="1"/>
  <c r="AE306" i="1"/>
  <c r="AK795" i="1"/>
  <c r="AK790" i="1"/>
  <c r="AK792" i="1"/>
  <c r="AK771" i="1"/>
  <c r="AO827" i="1"/>
  <c r="AO830" i="1"/>
  <c r="H598" i="1"/>
  <c r="AM440" i="1"/>
  <c r="AL661" i="1"/>
  <c r="AP253" i="1"/>
  <c r="AP445" i="1"/>
  <c r="X55" i="1"/>
  <c r="X58" i="1"/>
  <c r="AO44" i="1"/>
  <c r="AO1089" i="1" s="1"/>
  <c r="AN70" i="1"/>
  <c r="AN75" i="1"/>
  <c r="AN72" i="1"/>
  <c r="AN325" i="1"/>
  <c r="AN328" i="1"/>
  <c r="P343" i="1"/>
  <c r="P346" i="1"/>
  <c r="AP45" i="1"/>
  <c r="AP46" i="1" s="1"/>
  <c r="AP154" i="1"/>
  <c r="G235" i="1"/>
  <c r="G238" i="1"/>
  <c r="N652" i="1"/>
  <c r="N649" i="1"/>
  <c r="AE551" i="1"/>
  <c r="AE970" i="1"/>
  <c r="AE972" i="1"/>
  <c r="AE975" i="1"/>
  <c r="AE1003" i="1"/>
  <c r="AF802" i="1"/>
  <c r="AE801" i="1"/>
  <c r="AE920" i="1"/>
  <c r="AE917" i="1"/>
  <c r="AN928" i="1"/>
  <c r="AL765" i="1"/>
  <c r="AL766" i="1" s="1"/>
  <c r="AL784" i="1"/>
  <c r="AH781" i="1"/>
  <c r="AH762" i="1"/>
  <c r="AL847" i="1"/>
  <c r="AL850" i="1"/>
  <c r="AN881" i="1"/>
  <c r="AN884" i="1"/>
  <c r="AE924" i="1"/>
  <c r="AE925" i="1" s="1"/>
  <c r="AK877" i="1"/>
  <c r="AK881" i="1"/>
  <c r="AO361" i="1"/>
  <c r="AO364" i="1"/>
  <c r="AJ706" i="1"/>
  <c r="S613" i="1"/>
  <c r="S616" i="1"/>
  <c r="AE907" i="1"/>
  <c r="Q559" i="1"/>
  <c r="Q562" i="1"/>
  <c r="AM120" i="1"/>
  <c r="AM139" i="1"/>
  <c r="AG441" i="1"/>
  <c r="AG442" i="1" s="1"/>
  <c r="AG460" i="1"/>
  <c r="AO805" i="1"/>
  <c r="AO811" i="1" s="1"/>
  <c r="AP922" i="1"/>
  <c r="AP919" i="1"/>
  <c r="AL904" i="1"/>
  <c r="AI781" i="1"/>
  <c r="AI762" i="1"/>
  <c r="AI763" i="1" s="1"/>
  <c r="AK919" i="1"/>
  <c r="AK649" i="1"/>
  <c r="AK652" i="1"/>
  <c r="AF820" i="1"/>
  <c r="AE818" i="1"/>
  <c r="AJ664" i="1"/>
  <c r="AJ669" i="1"/>
  <c r="AJ666" i="1"/>
  <c r="P58" i="1"/>
  <c r="P55" i="1"/>
  <c r="AO904" i="1"/>
  <c r="AM610" i="1"/>
  <c r="AM612" i="1"/>
  <c r="AM615" i="1"/>
  <c r="AQ598" i="1"/>
  <c r="AQ595" i="1"/>
  <c r="AE224" i="1"/>
  <c r="F643" i="1"/>
  <c r="AM202" i="1"/>
  <c r="AM199" i="1"/>
  <c r="AH395" i="1"/>
  <c r="AH398" i="1"/>
  <c r="Q20" i="1"/>
  <c r="Q17" i="1"/>
  <c r="AO122" i="1"/>
  <c r="AO146" i="1"/>
  <c r="AO143" i="1"/>
  <c r="AL399" i="1"/>
  <c r="AK604" i="1"/>
  <c r="AQ226" i="1"/>
  <c r="AJ169" i="1"/>
  <c r="AK74" i="1"/>
  <c r="AK71" i="1"/>
  <c r="O37" i="1"/>
  <c r="O40" i="1"/>
  <c r="AE60" i="1"/>
  <c r="AF61" i="1"/>
  <c r="AE458" i="1"/>
  <c r="AF440" i="1"/>
  <c r="AE440" i="1" s="1"/>
  <c r="AF26" i="1"/>
  <c r="G58" i="1"/>
  <c r="AK503" i="1"/>
  <c r="AN165" i="1"/>
  <c r="AM119" i="1"/>
  <c r="AG1081" i="1"/>
  <c r="AG1084" i="1"/>
  <c r="AH904" i="1"/>
  <c r="AH901" i="1"/>
  <c r="AH989" i="1"/>
  <c r="AH992" i="1"/>
  <c r="AE986" i="1"/>
  <c r="AK935" i="1"/>
  <c r="AK938" i="1"/>
  <c r="AG764" i="1"/>
  <c r="AH958" i="1"/>
  <c r="AF877" i="1"/>
  <c r="AP938" i="1"/>
  <c r="AP935" i="1"/>
  <c r="AQ762" i="1"/>
  <c r="AQ781" i="1"/>
  <c r="AP979" i="1"/>
  <c r="AJ817" i="1"/>
  <c r="AE702" i="1"/>
  <c r="AE700" i="1"/>
  <c r="AE705" i="1"/>
  <c r="AI802" i="1"/>
  <c r="AL868" i="1"/>
  <c r="AJ739" i="1"/>
  <c r="T611" i="1"/>
  <c r="T614" i="1"/>
  <c r="AH764" i="1"/>
  <c r="AH784" i="1"/>
  <c r="O616" i="1"/>
  <c r="O613" i="1"/>
  <c r="T503" i="1"/>
  <c r="T506" i="1"/>
  <c r="AQ847" i="1"/>
  <c r="AO760" i="1"/>
  <c r="AO757" i="1"/>
  <c r="AN271" i="1"/>
  <c r="AN274" i="1"/>
  <c r="AP768" i="1"/>
  <c r="AP769" i="1" s="1"/>
  <c r="AP787" i="1"/>
  <c r="AG544" i="1"/>
  <c r="AG541" i="1"/>
  <c r="Q454" i="1"/>
  <c r="Q451" i="1"/>
  <c r="AI559" i="1"/>
  <c r="AI562" i="1"/>
  <c r="AE403" i="1"/>
  <c r="AP220" i="1"/>
  <c r="AP217" i="1"/>
  <c r="AP1066" i="1"/>
  <c r="AP1063" i="1"/>
  <c r="AN220" i="1"/>
  <c r="AN217" i="1"/>
  <c r="AO1047" i="1"/>
  <c r="AO1042" i="1"/>
  <c r="AO1044" i="1"/>
  <c r="AK868" i="1"/>
  <c r="AK865" i="1"/>
  <c r="AE821" i="1"/>
  <c r="AE830" i="1" s="1"/>
  <c r="AH826" i="1"/>
  <c r="AH828" i="1"/>
  <c r="AH831" i="1"/>
  <c r="AN526" i="1"/>
  <c r="AN523" i="1"/>
  <c r="T439" i="1"/>
  <c r="AO631" i="1"/>
  <c r="Q505" i="1"/>
  <c r="Q508" i="1"/>
  <c r="AO26" i="1"/>
  <c r="AO116" i="1"/>
  <c r="AJ719" i="1"/>
  <c r="AJ718" i="1"/>
  <c r="AJ722" i="1"/>
  <c r="AE479" i="1"/>
  <c r="AN341" i="1"/>
  <c r="AN344" i="1"/>
  <c r="P238" i="1"/>
  <c r="P235" i="1"/>
  <c r="H31" i="1"/>
  <c r="AM904" i="1"/>
  <c r="AM901" i="1"/>
  <c r="AL631" i="1"/>
  <c r="AL634" i="1"/>
  <c r="AE284" i="1"/>
  <c r="AF290" i="1"/>
  <c r="AF287" i="1"/>
  <c r="AE152" i="1"/>
  <c r="AE154" i="1" s="1"/>
  <c r="AF44" i="1"/>
  <c r="M127" i="1"/>
  <c r="M130" i="1"/>
  <c r="AH1066" i="1"/>
  <c r="AK880" i="1"/>
  <c r="AK885" i="1"/>
  <c r="AK882" i="1"/>
  <c r="AG703" i="1"/>
  <c r="AG706" i="1"/>
  <c r="AO550" i="1"/>
  <c r="AK123" i="1"/>
  <c r="AK142" i="1"/>
  <c r="AK147" i="1"/>
  <c r="AK144" i="1"/>
  <c r="AK33" i="1"/>
  <c r="AO598" i="1"/>
  <c r="AO595" i="1"/>
  <c r="N310" i="1"/>
  <c r="N307" i="1"/>
  <c r="U292" i="1"/>
  <c r="U289" i="1"/>
  <c r="AE190" i="1"/>
  <c r="AM614" i="1"/>
  <c r="AM611" i="1"/>
  <c r="AH547" i="1"/>
  <c r="AF274" i="1"/>
  <c r="AF271" i="1"/>
  <c r="L181" i="1"/>
  <c r="L184" i="1"/>
  <c r="N469" i="1"/>
  <c r="N472" i="1"/>
  <c r="AQ75" i="1"/>
  <c r="AQ72" i="1"/>
  <c r="AQ70" i="1"/>
  <c r="AP703" i="1"/>
  <c r="AP706" i="1"/>
  <c r="AE205" i="1"/>
  <c r="AM604" i="1"/>
  <c r="N344" i="1"/>
  <c r="AP331" i="1"/>
  <c r="AH233" i="1"/>
  <c r="AH236" i="1"/>
  <c r="AH232" i="1"/>
  <c r="AN30" i="1"/>
  <c r="AL175" i="1"/>
  <c r="Q58" i="1"/>
  <c r="Q55" i="1"/>
  <c r="AK665" i="1"/>
  <c r="AK668" i="1"/>
  <c r="AQ503" i="1"/>
  <c r="AQ506" i="1"/>
  <c r="AJ48" i="1"/>
  <c r="AJ668" i="1"/>
  <c r="AJ665" i="1"/>
  <c r="AE222" i="1"/>
  <c r="AE223" i="1" s="1"/>
  <c r="G559" i="1"/>
  <c r="G562" i="1"/>
  <c r="AN805" i="1"/>
  <c r="AE514" i="1"/>
  <c r="AP44" i="1"/>
  <c r="AP1089" i="1" s="1"/>
  <c r="AN122" i="1"/>
  <c r="AN146" i="1"/>
  <c r="AN143" i="1"/>
  <c r="AL117" i="1"/>
  <c r="AL118" i="1" s="1"/>
  <c r="AL136" i="1"/>
  <c r="AG23" i="1"/>
  <c r="U559" i="1"/>
  <c r="Q670" i="1"/>
  <c r="Q667" i="1"/>
  <c r="AL396" i="1"/>
  <c r="AH114" i="1"/>
  <c r="AH115" i="1" s="1"/>
  <c r="AH133" i="1"/>
  <c r="AP160" i="1"/>
  <c r="AP51" i="1"/>
  <c r="AP165" i="1"/>
  <c r="AP162" i="1"/>
  <c r="AM74" i="1"/>
  <c r="AM71" i="1"/>
  <c r="U7" i="1"/>
  <c r="T6" i="1"/>
  <c r="AO234" i="1"/>
  <c r="AE65" i="1"/>
  <c r="AJ114" i="1"/>
  <c r="AJ133" i="1"/>
  <c r="AJ24" i="1"/>
  <c r="AQ398" i="1"/>
  <c r="AQ394" i="1"/>
  <c r="AQ395" i="1"/>
  <c r="AQ561" i="1"/>
  <c r="AQ556" i="1"/>
  <c r="AQ558" i="1"/>
  <c r="AH237" i="1"/>
  <c r="AH234" i="1"/>
  <c r="H612" i="1"/>
  <c r="H615" i="1"/>
  <c r="H610" i="1"/>
  <c r="AN391" i="1"/>
  <c r="AN397" i="1" s="1"/>
  <c r="AN399" i="1"/>
  <c r="AN396" i="1"/>
  <c r="AO113" i="1"/>
  <c r="AF488" i="1"/>
  <c r="AF485" i="1"/>
  <c r="AE482" i="1"/>
  <c r="AH526" i="1"/>
  <c r="AH523" i="1"/>
  <c r="AG307" i="1"/>
  <c r="AG310" i="1"/>
  <c r="AN382" i="1"/>
  <c r="AN379" i="1"/>
  <c r="AE323" i="1"/>
  <c r="AE326" i="1"/>
  <c r="AE710" i="1"/>
  <c r="AG489" i="1"/>
  <c r="AK116" i="1"/>
  <c r="AK118" i="1" s="1"/>
  <c r="AF116" i="1"/>
  <c r="H506" i="1"/>
  <c r="H503" i="1"/>
  <c r="AG550" i="1"/>
  <c r="AN291" i="1"/>
  <c r="AN485" i="1"/>
  <c r="AN488" i="1"/>
  <c r="AE545" i="1"/>
  <c r="AF547" i="1"/>
  <c r="K343" i="1"/>
  <c r="K346" i="1"/>
  <c r="V130" i="1"/>
  <c r="V127" i="1"/>
  <c r="S17" i="1"/>
  <c r="S20" i="1"/>
  <c r="AJ12" i="1"/>
  <c r="AO151" i="1"/>
  <c r="AO42" i="1"/>
  <c r="AO43" i="1" s="1"/>
  <c r="U181" i="1"/>
  <c r="U184" i="1"/>
  <c r="AO45" i="1"/>
  <c r="AO154" i="1"/>
  <c r="AN343" i="1"/>
  <c r="AN346" i="1"/>
  <c r="AK28" i="1"/>
  <c r="AO286" i="1"/>
  <c r="AO288" i="1"/>
  <c r="AO291" i="1"/>
  <c r="F54" i="1"/>
  <c r="F57" i="1"/>
  <c r="AG1030" i="1"/>
  <c r="AG1027" i="1"/>
  <c r="AE803" i="1"/>
  <c r="AE809" i="1" s="1"/>
  <c r="T668" i="1"/>
  <c r="T665" i="1"/>
  <c r="V667" i="1"/>
  <c r="V670" i="1"/>
  <c r="AF791" i="1"/>
  <c r="AF794" i="1"/>
  <c r="AF770" i="1"/>
  <c r="AE788" i="1"/>
  <c r="AE546" i="1"/>
  <c r="AE547" i="1" s="1"/>
  <c r="AP345" i="1"/>
  <c r="AP342" i="1"/>
  <c r="AP340" i="1"/>
  <c r="F197" i="1"/>
  <c r="F200" i="1"/>
  <c r="AM939" i="1"/>
  <c r="AM936" i="1"/>
  <c r="AM934" i="1"/>
  <c r="AE797" i="1"/>
  <c r="AL444" i="1"/>
  <c r="AL445" i="1" s="1"/>
  <c r="AL463" i="1"/>
  <c r="AI937" i="1"/>
  <c r="AI940" i="1"/>
  <c r="F662" i="1"/>
  <c r="O55" i="1"/>
  <c r="O58" i="1"/>
  <c r="AL541" i="1"/>
  <c r="AL544" i="1"/>
  <c r="AI1084" i="1"/>
  <c r="AI1081" i="1"/>
  <c r="AP290" i="1"/>
  <c r="AP287" i="1"/>
  <c r="AE660" i="1"/>
  <c r="AE661" i="1" s="1"/>
  <c r="AF661" i="1"/>
  <c r="AF667" i="1" s="1"/>
  <c r="AI478" i="1"/>
  <c r="AI45" i="1"/>
  <c r="AI46" i="1" s="1"/>
  <c r="AG286" i="1"/>
  <c r="AG288" i="1"/>
  <c r="AG291" i="1"/>
  <c r="AM157" i="1"/>
  <c r="AM166" i="1" s="1"/>
  <c r="AM165" i="1"/>
  <c r="AM162" i="1"/>
  <c r="AJ217" i="1"/>
  <c r="AJ220" i="1"/>
  <c r="AH418" i="1"/>
  <c r="AH415" i="1"/>
  <c r="AE279" i="1"/>
  <c r="AE280" i="1" s="1"/>
  <c r="F43" i="1"/>
  <c r="AH723" i="1"/>
  <c r="AH720" i="1"/>
  <c r="AH718" i="1"/>
  <c r="N364" i="1"/>
  <c r="N361" i="1"/>
  <c r="L18" i="1"/>
  <c r="L16" i="1"/>
  <c r="L21" i="1"/>
  <c r="AN457" i="1"/>
  <c r="AN438" i="1"/>
  <c r="AN439" i="1" s="1"/>
  <c r="AM787" i="1"/>
  <c r="AM768" i="1"/>
  <c r="AM769" i="1" s="1"/>
  <c r="S130" i="1"/>
  <c r="S127" i="1"/>
  <c r="AJ397" i="1"/>
  <c r="AJ400" i="1"/>
  <c r="AM290" i="1"/>
  <c r="AM287" i="1"/>
  <c r="AL42" i="1"/>
  <c r="AL43" i="1" s="1"/>
  <c r="AL151" i="1"/>
  <c r="AE383" i="1"/>
  <c r="AH337" i="1"/>
  <c r="AM274" i="1"/>
  <c r="AP468" i="1"/>
  <c r="AP471" i="1"/>
  <c r="AP447" i="1"/>
  <c r="AP466" i="1"/>
  <c r="J238" i="1"/>
  <c r="J235" i="1"/>
  <c r="AJ74" i="1"/>
  <c r="AJ71" i="1"/>
  <c r="AO507" i="1"/>
  <c r="AO504" i="1"/>
  <c r="AO502" i="1"/>
  <c r="AF47" i="1"/>
  <c r="AJ812" i="1"/>
  <c r="AJ805" i="1"/>
  <c r="AO976" i="1"/>
  <c r="AO973" i="1"/>
  <c r="AG850" i="1"/>
  <c r="AG847" i="1"/>
  <c r="AQ904" i="1"/>
  <c r="AQ901" i="1"/>
  <c r="AI719" i="1"/>
  <c r="AI722" i="1"/>
  <c r="AG768" i="1"/>
  <c r="AG795" i="1"/>
  <c r="AG787" i="1"/>
  <c r="AF826" i="1"/>
  <c r="AE825" i="1"/>
  <c r="AF831" i="1"/>
  <c r="AF828" i="1"/>
  <c r="F463" i="1"/>
  <c r="AF814" i="1"/>
  <c r="AF811" i="1"/>
  <c r="AP990" i="1"/>
  <c r="AP988" i="1"/>
  <c r="AP993" i="1"/>
  <c r="AH162" i="1"/>
  <c r="AH160" i="1"/>
  <c r="AH165" i="1"/>
  <c r="AQ793" i="1"/>
  <c r="AQ796" i="1"/>
  <c r="N669" i="1"/>
  <c r="N666" i="1"/>
  <c r="N664" i="1"/>
  <c r="AK382" i="1"/>
  <c r="AK379" i="1"/>
  <c r="W238" i="1"/>
  <c r="W235" i="1"/>
  <c r="AQ237" i="1"/>
  <c r="AQ234" i="1"/>
  <c r="AQ229" i="1"/>
  <c r="M508" i="1"/>
  <c r="M505" i="1"/>
  <c r="AM475" i="1"/>
  <c r="AM438" i="1"/>
  <c r="AM439" i="1" s="1"/>
  <c r="AO1095" i="1"/>
  <c r="AO56" i="1"/>
  <c r="AO53" i="1"/>
  <c r="AL685" i="1"/>
  <c r="AL688" i="1"/>
  <c r="AP615" i="1"/>
  <c r="AP612" i="1"/>
  <c r="AP610" i="1"/>
  <c r="AL505" i="1"/>
  <c r="AL508" i="1"/>
  <c r="X37" i="1"/>
  <c r="X40" i="1"/>
  <c r="F389" i="1"/>
  <c r="F466" i="1"/>
  <c r="F468" i="1"/>
  <c r="F471" i="1"/>
  <c r="T449" i="1"/>
  <c r="F446" i="1"/>
  <c r="T452" i="1"/>
  <c r="F63" i="1"/>
  <c r="F64" i="1" s="1"/>
  <c r="F593" i="1"/>
  <c r="F596" i="1"/>
  <c r="AK397" i="1"/>
  <c r="AK400" i="1"/>
  <c r="N577" i="1"/>
  <c r="N580" i="1"/>
  <c r="AF121" i="1"/>
  <c r="AE605" i="1"/>
  <c r="AF611" i="1"/>
  <c r="H658" i="1"/>
  <c r="F657" i="1"/>
  <c r="F658" i="1" s="1"/>
  <c r="Q343" i="1"/>
  <c r="Q346" i="1"/>
  <c r="T163" i="1"/>
  <c r="F146" i="1"/>
  <c r="F139" i="1"/>
  <c r="AJ1095" i="1"/>
  <c r="F28" i="1"/>
  <c r="AK1039" i="1"/>
  <c r="AK1045" i="1" s="1"/>
  <c r="AK1047" i="1"/>
  <c r="AL936" i="1"/>
  <c r="AL934" i="1"/>
  <c r="AL939" i="1"/>
  <c r="AE1060" i="1"/>
  <c r="AE1065" i="1"/>
  <c r="AE1062" i="1"/>
  <c r="AK830" i="1"/>
  <c r="AK827" i="1"/>
  <c r="P559" i="1"/>
  <c r="P562" i="1"/>
  <c r="H504" i="1"/>
  <c r="H507" i="1"/>
  <c r="H502" i="1"/>
  <c r="AI553" i="1"/>
  <c r="AI561" i="1"/>
  <c r="F600" i="1"/>
  <c r="F601" i="1" s="1"/>
  <c r="AL739" i="1"/>
  <c r="AL742" i="1"/>
  <c r="AM486" i="1"/>
  <c r="AM489" i="1"/>
  <c r="AM484" i="1"/>
  <c r="L343" i="1"/>
  <c r="L346" i="1"/>
  <c r="AI485" i="1"/>
  <c r="AI488" i="1"/>
  <c r="AI446" i="1"/>
  <c r="AL486" i="1"/>
  <c r="AL489" i="1"/>
  <c r="AL484" i="1"/>
  <c r="AE1082" i="1"/>
  <c r="AE1079" i="1"/>
  <c r="AM48" i="1"/>
  <c r="AM49" i="1" s="1"/>
  <c r="T453" i="1"/>
  <c r="AI742" i="1"/>
  <c r="AI739" i="1"/>
  <c r="AQ120" i="1"/>
  <c r="AQ121" i="1" s="1"/>
  <c r="AQ139" i="1"/>
  <c r="AQ30" i="1"/>
  <c r="AM441" i="1"/>
  <c r="AF761" i="1"/>
  <c r="AL1042" i="1"/>
  <c r="AL1047" i="1"/>
  <c r="AL1044" i="1"/>
  <c r="N288" i="1"/>
  <c r="N291" i="1"/>
  <c r="N286" i="1"/>
  <c r="AM827" i="1"/>
  <c r="AM830" i="1"/>
  <c r="AH457" i="1"/>
  <c r="AH438" i="1"/>
  <c r="AH439" i="1" s="1"/>
  <c r="AQ160" i="1"/>
  <c r="AQ165" i="1"/>
  <c r="AQ162" i="1"/>
  <c r="AE156" i="1"/>
  <c r="L400" i="1"/>
  <c r="L397" i="1"/>
  <c r="S505" i="1"/>
  <c r="AH437" i="1"/>
  <c r="AE255" i="1"/>
  <c r="AE252" i="1"/>
  <c r="AE250" i="1"/>
  <c r="AN765" i="1"/>
  <c r="AN766" i="1" s="1"/>
  <c r="AN784" i="1"/>
  <c r="AL982" i="1"/>
  <c r="AG796" i="1"/>
  <c r="AG793" i="1"/>
  <c r="AJ577" i="1"/>
  <c r="AJ580" i="1"/>
  <c r="AF850" i="1"/>
  <c r="AF847" i="1"/>
  <c r="AQ939" i="1"/>
  <c r="AF928" i="1"/>
  <c r="AE927" i="1"/>
  <c r="AE928" i="1" s="1"/>
  <c r="F568" i="1"/>
  <c r="H604" i="1"/>
  <c r="AQ799" i="1"/>
  <c r="AO850" i="1"/>
  <c r="AO847" i="1"/>
  <c r="AK544" i="1"/>
  <c r="AK541" i="1"/>
  <c r="AQ151" i="1"/>
  <c r="AQ42" i="1"/>
  <c r="AQ43" i="1" s="1"/>
  <c r="AP42" i="1"/>
  <c r="AP43" i="1" s="1"/>
  <c r="AP151" i="1"/>
  <c r="AQ51" i="1"/>
  <c r="AI655" i="1"/>
  <c r="AO784" i="1"/>
  <c r="AO765" i="1"/>
  <c r="AO766" i="1" s="1"/>
  <c r="AI119" i="1"/>
  <c r="AI29" i="1"/>
  <c r="AE137" i="1"/>
  <c r="AM809" i="1"/>
  <c r="AM812" i="1"/>
  <c r="AE173" i="1"/>
  <c r="AE175" i="1" s="1"/>
  <c r="R58" i="1"/>
  <c r="R55" i="1"/>
  <c r="AM45" i="1"/>
  <c r="AM46" i="1" s="1"/>
  <c r="AJ109" i="1"/>
  <c r="AJ112" i="1"/>
  <c r="AF346" i="1"/>
  <c r="AF343" i="1"/>
  <c r="AO287" i="1"/>
  <c r="AO290" i="1"/>
  <c r="F231" i="1"/>
  <c r="AM503" i="1"/>
  <c r="AM506" i="1"/>
  <c r="AI122" i="1"/>
  <c r="AI143" i="1"/>
  <c r="AI32" i="1"/>
  <c r="AI146" i="1"/>
  <c r="AM133" i="1"/>
  <c r="AM114" i="1"/>
  <c r="AM115" i="1" s="1"/>
  <c r="U10" i="1"/>
  <c r="N72" i="1"/>
  <c r="M13" i="1"/>
  <c r="AQ271" i="1"/>
  <c r="N40" i="1"/>
  <c r="N37" i="1"/>
  <c r="AK718" i="1"/>
  <c r="AK720" i="1"/>
  <c r="AK723" i="1"/>
  <c r="K22" i="1"/>
  <c r="K19" i="1"/>
  <c r="AI938" i="1"/>
  <c r="AI935" i="1"/>
  <c r="AK976" i="1"/>
  <c r="AK973" i="1"/>
  <c r="AE1040" i="1"/>
  <c r="AF1046" i="1"/>
  <c r="AF1043" i="1"/>
  <c r="AI664" i="1"/>
  <c r="AI666" i="1"/>
  <c r="AI669" i="1"/>
  <c r="AK768" i="1"/>
  <c r="AK769" i="1" s="1"/>
  <c r="AO463" i="1"/>
  <c r="AO444" i="1"/>
  <c r="AO445" i="1" s="1"/>
  <c r="AK1030" i="1"/>
  <c r="AN541" i="1"/>
  <c r="AI253" i="1"/>
  <c r="AI256" i="1"/>
  <c r="F660" i="1"/>
  <c r="F661" i="1" s="1"/>
  <c r="AE63" i="1"/>
  <c r="AE64" i="1" s="1"/>
  <c r="AF64" i="1"/>
  <c r="AM220" i="1"/>
  <c r="AM217" i="1"/>
  <c r="AM485" i="1"/>
  <c r="AM488" i="1"/>
  <c r="AM541" i="1"/>
  <c r="AM544" i="1"/>
  <c r="AO794" i="1"/>
  <c r="AO770" i="1"/>
  <c r="AO791" i="1"/>
  <c r="AE330" i="1"/>
  <c r="AE331" i="1" s="1"/>
  <c r="H398" i="1"/>
  <c r="M454" i="1"/>
  <c r="M451" i="1"/>
  <c r="AK990" i="1"/>
  <c r="AE90" i="1"/>
  <c r="AE88" i="1"/>
  <c r="AE93" i="1"/>
  <c r="W562" i="1"/>
  <c r="W559" i="1"/>
  <c r="AP24" i="1"/>
  <c r="AE384" i="1"/>
  <c r="AE385" i="1" s="1"/>
  <c r="AK762" i="1"/>
  <c r="AK763" i="1" s="1"/>
  <c r="AK781" i="1"/>
  <c r="AH274" i="1"/>
  <c r="AH271" i="1"/>
  <c r="AG468" i="1"/>
  <c r="AH47" i="1"/>
  <c r="AH1092" i="1" s="1"/>
  <c r="T607" i="1"/>
  <c r="AN665" i="1"/>
  <c r="AN668" i="1"/>
  <c r="AO488" i="1"/>
  <c r="AO485" i="1"/>
  <c r="AQ136" i="1"/>
  <c r="AQ117" i="1"/>
  <c r="AQ118" i="1" s="1"/>
  <c r="AQ27" i="1"/>
  <c r="AH577" i="1"/>
  <c r="AE140" i="1"/>
  <c r="AE495" i="1"/>
  <c r="AE496" i="1" s="1"/>
  <c r="AF496" i="1"/>
  <c r="F26" i="1"/>
  <c r="AQ283" i="1"/>
  <c r="AE251" i="1"/>
  <c r="AE254" i="1"/>
  <c r="AQ955" i="1"/>
  <c r="AQ958" i="1"/>
  <c r="AG765" i="1"/>
  <c r="AG766" i="1" s="1"/>
  <c r="AG784" i="1"/>
  <c r="J667" i="1"/>
  <c r="J670" i="1"/>
  <c r="AO665" i="1"/>
  <c r="AO668" i="1"/>
  <c r="AF470" i="1"/>
  <c r="AF467" i="1"/>
  <c r="AF446" i="1"/>
  <c r="AE464" i="1"/>
  <c r="AF32" i="1"/>
  <c r="L670" i="1"/>
  <c r="L667" i="1"/>
  <c r="AM631" i="1"/>
  <c r="AM634" i="1"/>
  <c r="AJ610" i="1"/>
  <c r="AJ612" i="1"/>
  <c r="AJ615" i="1"/>
  <c r="AE193" i="1"/>
  <c r="AH499" i="1"/>
  <c r="AH504" i="1"/>
  <c r="AE377" i="1"/>
  <c r="AE380" i="1"/>
  <c r="G400" i="1"/>
  <c r="G397" i="1"/>
  <c r="AL471" i="1"/>
  <c r="AL468" i="1"/>
  <c r="AL447" i="1"/>
  <c r="AL466" i="1"/>
  <c r="F310" i="1"/>
  <c r="AG144" i="1"/>
  <c r="AG33" i="1"/>
  <c r="AG147" i="1"/>
  <c r="AG123" i="1"/>
  <c r="AG142" i="1"/>
  <c r="R289" i="1"/>
  <c r="R292" i="1"/>
  <c r="AO721" i="1"/>
  <c r="AO724" i="1"/>
  <c r="AL48" i="1"/>
  <c r="AL49" i="1" s="1"/>
  <c r="U616" i="1"/>
  <c r="U613" i="1"/>
  <c r="T274" i="1"/>
  <c r="T271" i="1"/>
  <c r="Q73" i="1"/>
  <c r="AE579" i="1"/>
  <c r="AE576" i="1"/>
  <c r="AE574" i="1"/>
  <c r="AP164" i="1"/>
  <c r="AP161" i="1"/>
  <c r="AP50" i="1"/>
  <c r="AE477" i="1"/>
  <c r="AE478" i="1" s="1"/>
  <c r="AF478" i="1"/>
  <c r="AI396" i="1"/>
  <c r="AM345" i="1"/>
  <c r="AQ143" i="1"/>
  <c r="AQ146" i="1"/>
  <c r="AQ122" i="1"/>
  <c r="AM94" i="1"/>
  <c r="AM91" i="1"/>
  <c r="AI151" i="1"/>
  <c r="AH113" i="1"/>
  <c r="AH23" i="1"/>
  <c r="G10" i="1"/>
  <c r="AE1015" i="1"/>
  <c r="AG988" i="1"/>
  <c r="AG990" i="1"/>
  <c r="AG993" i="1"/>
  <c r="AN958" i="1"/>
  <c r="AN955" i="1"/>
  <c r="AI1047" i="1"/>
  <c r="AI1044" i="1"/>
  <c r="AI1042" i="1"/>
  <c r="AQ544" i="1"/>
  <c r="AQ541" i="1"/>
  <c r="F548" i="1"/>
  <c r="H550" i="1"/>
  <c r="AO763" i="1"/>
  <c r="AO615" i="1"/>
  <c r="AI441" i="1"/>
  <c r="AI442" i="1" s="1"/>
  <c r="AI460" i="1"/>
  <c r="AP1047" i="1"/>
  <c r="AP1042" i="1"/>
  <c r="AP1044" i="1"/>
  <c r="AK612" i="1"/>
  <c r="AK610" i="1"/>
  <c r="AK615" i="1"/>
  <c r="AF764" i="1"/>
  <c r="AE782" i="1"/>
  <c r="AE647" i="1"/>
  <c r="AE650" i="1"/>
  <c r="AG649" i="1"/>
  <c r="AG652" i="1"/>
  <c r="T418" i="1"/>
  <c r="T415" i="1"/>
  <c r="AK936" i="1"/>
  <c r="AN760" i="1"/>
  <c r="AN757" i="1"/>
  <c r="I454" i="1"/>
  <c r="I451" i="1"/>
  <c r="AJ147" i="1"/>
  <c r="AJ123" i="1"/>
  <c r="AJ142" i="1"/>
  <c r="AJ144" i="1"/>
  <c r="AJ33" i="1"/>
  <c r="AQ489" i="1"/>
  <c r="AQ484" i="1"/>
  <c r="AQ486" i="1"/>
  <c r="AJ444" i="1"/>
  <c r="AJ445" i="1" s="1"/>
  <c r="AJ463" i="1"/>
  <c r="AO271" i="1"/>
  <c r="AO274" i="1"/>
  <c r="F399" i="1"/>
  <c r="F396" i="1"/>
  <c r="R13" i="1"/>
  <c r="AH611" i="1"/>
  <c r="AE955" i="1"/>
  <c r="AE958" i="1"/>
  <c r="AG162" i="1"/>
  <c r="AG160" i="1"/>
  <c r="AG165" i="1"/>
  <c r="AI992" i="1"/>
  <c r="AM344" i="1"/>
  <c r="AM341" i="1"/>
  <c r="AL762" i="1"/>
  <c r="AL763" i="1" s="1"/>
  <c r="AL781" i="1"/>
  <c r="AE285" i="1"/>
  <c r="AF288" i="1"/>
  <c r="AF291" i="1"/>
  <c r="AF286" i="1"/>
  <c r="T558" i="1"/>
  <c r="AJ556" i="1"/>
  <c r="AJ558" i="1"/>
  <c r="AJ561" i="1"/>
  <c r="AH485" i="1"/>
  <c r="AH488" i="1"/>
  <c r="AH41" i="1"/>
  <c r="AH1086" i="1" s="1"/>
  <c r="AH24" i="1"/>
  <c r="F48" i="1"/>
  <c r="F49" i="1" s="1"/>
  <c r="AE69" i="1"/>
  <c r="F285" i="1"/>
  <c r="H291" i="1"/>
  <c r="H286" i="1"/>
  <c r="H288" i="1"/>
  <c r="AQ217" i="1"/>
  <c r="AJ883" i="1"/>
  <c r="AJ886" i="1"/>
  <c r="T291" i="1"/>
  <c r="T286" i="1"/>
  <c r="T288" i="1"/>
  <c r="AE359" i="1"/>
  <c r="AE362" i="1"/>
  <c r="AE358" i="1"/>
  <c r="AE316" i="1"/>
  <c r="AH1091" i="1"/>
  <c r="AH11" i="1"/>
  <c r="AH1093" i="1" s="1"/>
  <c r="AN91" i="1"/>
  <c r="AN94" i="1"/>
  <c r="AH1088" i="1"/>
  <c r="AH8" i="1"/>
  <c r="AH1090" i="1" s="1"/>
  <c r="AI399" i="1"/>
  <c r="AM342" i="1"/>
  <c r="AQ418" i="1"/>
  <c r="AQ415" i="1"/>
  <c r="T280" i="1"/>
  <c r="AI236" i="1"/>
  <c r="AI233" i="1"/>
  <c r="Y400" i="1"/>
  <c r="Y397" i="1"/>
  <c r="AH120" i="1"/>
  <c r="AH30" i="1"/>
  <c r="AH139" i="1"/>
  <c r="AL51" i="1"/>
  <c r="AM457" i="1"/>
  <c r="AI74" i="1"/>
  <c r="AI71" i="1"/>
  <c r="AG488" i="1"/>
  <c r="AG485" i="1"/>
  <c r="AQ391" i="1"/>
  <c r="AQ399" i="1"/>
  <c r="H344" i="1"/>
  <c r="H341" i="1"/>
  <c r="AM233" i="1"/>
  <c r="AM236" i="1"/>
  <c r="AL30" i="1"/>
  <c r="O21" i="1"/>
  <c r="O16" i="1"/>
  <c r="N15" i="1"/>
  <c r="O18" i="1"/>
  <c r="N277" i="1"/>
  <c r="V181" i="1"/>
  <c r="V184" i="1"/>
  <c r="F168" i="1"/>
  <c r="F169" i="1" s="1"/>
  <c r="AE474" i="1"/>
  <c r="AE475" i="1" s="1"/>
  <c r="AN42" i="1"/>
  <c r="AN43" i="1" s="1"/>
  <c r="AN151" i="1"/>
  <c r="AK757" i="1"/>
  <c r="AK760" i="1"/>
  <c r="AF976" i="1"/>
  <c r="AF973" i="1"/>
  <c r="AK784" i="1"/>
  <c r="AK765" i="1"/>
  <c r="AK766" i="1" s="1"/>
  <c r="AE800" i="1"/>
  <c r="AE517" i="1"/>
  <c r="F326" i="1"/>
  <c r="F323" i="1"/>
  <c r="AN791" i="1"/>
  <c r="AN770" i="1"/>
  <c r="AN772" i="1" s="1"/>
  <c r="AN794" i="1"/>
  <c r="AE1024" i="1"/>
  <c r="AE1029" i="1"/>
  <c r="AE1026" i="1"/>
  <c r="AM795" i="1"/>
  <c r="AM771" i="1"/>
  <c r="AM792" i="1"/>
  <c r="AM790" i="1"/>
  <c r="AE355" i="1"/>
  <c r="AF722" i="1"/>
  <c r="AE716" i="1"/>
  <c r="AF719" i="1"/>
  <c r="AO30" i="1"/>
  <c r="H223" i="1"/>
  <c r="F222" i="1"/>
  <c r="F223" i="1" s="1"/>
  <c r="AQ467" i="1"/>
  <c r="AQ446" i="1"/>
  <c r="AQ470" i="1"/>
  <c r="AJ467" i="1"/>
  <c r="AJ470" i="1"/>
  <c r="AJ446" i="1"/>
  <c r="T561" i="1"/>
  <c r="AE197" i="1"/>
  <c r="AE200" i="1"/>
  <c r="R346" i="1"/>
  <c r="R343" i="1"/>
  <c r="I292" i="1"/>
  <c r="I289" i="1"/>
  <c r="AE155" i="1"/>
  <c r="AH119" i="1"/>
  <c r="K451" i="1"/>
  <c r="AL74" i="1"/>
  <c r="AL71" i="1"/>
  <c r="T442" i="1"/>
  <c r="AQ577" i="1"/>
  <c r="AQ580" i="1"/>
  <c r="AO560" i="1"/>
  <c r="AO557" i="1"/>
  <c r="AH506" i="1"/>
  <c r="AE500" i="1"/>
  <c r="AH502" i="1"/>
  <c r="AH503" i="1"/>
  <c r="AN133" i="1"/>
  <c r="AN114" i="1"/>
  <c r="I184" i="1"/>
  <c r="AE244" i="1"/>
  <c r="AE225" i="1"/>
  <c r="AE226" i="1" s="1"/>
  <c r="F648" i="1"/>
  <c r="F646" i="1"/>
  <c r="F651" i="1"/>
  <c r="AE956" i="1"/>
  <c r="AE953" i="1"/>
  <c r="AG1047" i="1"/>
  <c r="AG1042" i="1"/>
  <c r="AG1044" i="1"/>
  <c r="AL989" i="1"/>
  <c r="AL992" i="1"/>
  <c r="AL1009" i="1"/>
  <c r="AL1012" i="1"/>
  <c r="AE903" i="1"/>
  <c r="AE900" i="1"/>
  <c r="AE898" i="1"/>
  <c r="AE1032" i="1"/>
  <c r="AE1033" i="1" s="1"/>
  <c r="AF1033" i="1"/>
  <c r="AN990" i="1"/>
  <c r="AM823" i="1"/>
  <c r="AM829" i="1" s="1"/>
  <c r="AM828" i="1"/>
  <c r="AP791" i="1"/>
  <c r="AP770" i="1"/>
  <c r="AP794" i="1"/>
  <c r="AH1033" i="1"/>
  <c r="AI830" i="1"/>
  <c r="AJ762" i="1"/>
  <c r="AJ763" i="1" s="1"/>
  <c r="AJ799" i="1"/>
  <c r="H706" i="1"/>
  <c r="H703" i="1"/>
  <c r="AH1009" i="1"/>
  <c r="AH1012" i="1"/>
  <c r="AQ827" i="1"/>
  <c r="AJ604" i="1"/>
  <c r="AG781" i="1"/>
  <c r="AG762" i="1"/>
  <c r="AG763" i="1" s="1"/>
  <c r="AP931" i="1"/>
  <c r="AI826" i="1"/>
  <c r="AI828" i="1"/>
  <c r="AI831" i="1"/>
  <c r="AG720" i="1"/>
  <c r="AG723" i="1"/>
  <c r="AG718" i="1"/>
  <c r="AL328" i="1"/>
  <c r="AL325" i="1"/>
  <c r="AQ768" i="1"/>
  <c r="AQ769" i="1" s="1"/>
  <c r="AQ787" i="1"/>
  <c r="AP877" i="1"/>
  <c r="F424" i="1"/>
  <c r="AI558" i="1"/>
  <c r="AP882" i="1"/>
  <c r="AF460" i="1"/>
  <c r="AE459" i="1"/>
  <c r="AE460" i="1" s="1"/>
  <c r="AF441" i="1"/>
  <c r="AO1066" i="1"/>
  <c r="AO1063" i="1"/>
  <c r="AK810" i="1"/>
  <c r="AK813" i="1"/>
  <c r="AK808" i="1"/>
  <c r="AQ739" i="1"/>
  <c r="AQ742" i="1"/>
  <c r="AL446" i="1"/>
  <c r="AL470" i="1"/>
  <c r="AL467" i="1"/>
  <c r="AG399" i="1"/>
  <c r="AG396" i="1"/>
  <c r="AG394" i="1"/>
  <c r="F552" i="1"/>
  <c r="F553" i="1" s="1"/>
  <c r="N331" i="1"/>
  <c r="F330" i="1"/>
  <c r="F331" i="1" s="1"/>
  <c r="AG41" i="1"/>
  <c r="AG1086" i="1" s="1"/>
  <c r="F319" i="1"/>
  <c r="F324" i="1"/>
  <c r="F327" i="1"/>
  <c r="AQ116" i="1"/>
  <c r="AP973" i="1"/>
  <c r="AJ760" i="1"/>
  <c r="AJ757" i="1"/>
  <c r="AE390" i="1"/>
  <c r="AF391" i="1"/>
  <c r="X613" i="1"/>
  <c r="X616" i="1"/>
  <c r="AE497" i="1"/>
  <c r="AF503" i="1"/>
  <c r="AP394" i="1"/>
  <c r="AP399" i="1"/>
  <c r="AP396" i="1"/>
  <c r="N124" i="1"/>
  <c r="N129" i="1"/>
  <c r="N126" i="1"/>
  <c r="F123" i="1"/>
  <c r="AN762" i="1"/>
  <c r="AN763" i="1" s="1"/>
  <c r="AN781" i="1"/>
  <c r="AE535" i="1"/>
  <c r="F279" i="1"/>
  <c r="F280" i="1" s="1"/>
  <c r="AO199" i="1"/>
  <c r="AK904" i="1"/>
  <c r="AK901" i="1"/>
  <c r="AG669" i="1"/>
  <c r="AG664" i="1"/>
  <c r="AG666" i="1"/>
  <c r="AE663" i="1"/>
  <c r="F122" i="1"/>
  <c r="H125" i="1"/>
  <c r="H128" i="1"/>
  <c r="H124" i="1"/>
  <c r="AJ764" i="1"/>
  <c r="AK183" i="1"/>
  <c r="AK180" i="1"/>
  <c r="AK178" i="1"/>
  <c r="R40" i="1"/>
  <c r="R37" i="1"/>
  <c r="X21" i="1"/>
  <c r="X18" i="1"/>
  <c r="X16" i="1"/>
  <c r="AP29" i="1"/>
  <c r="AE170" i="1"/>
  <c r="AH761" i="1"/>
  <c r="AE779" i="1"/>
  <c r="AG27" i="1"/>
  <c r="T234" i="1"/>
  <c r="AL364" i="1"/>
  <c r="AF184" i="1"/>
  <c r="AF181" i="1"/>
  <c r="AH475" i="1"/>
  <c r="X451" i="1"/>
  <c r="X454" i="1"/>
  <c r="AL832" i="1"/>
  <c r="AL829" i="1"/>
  <c r="H634" i="1"/>
  <c r="V17" i="1"/>
  <c r="V20" i="1"/>
  <c r="T14" i="1"/>
  <c r="F14" i="1" s="1"/>
  <c r="AN398" i="1"/>
  <c r="AJ341" i="1"/>
  <c r="U238" i="1"/>
  <c r="U235" i="1"/>
  <c r="AE738" i="1"/>
  <c r="AH342" i="1"/>
  <c r="AH345" i="1"/>
  <c r="AE339" i="1"/>
  <c r="AH340" i="1"/>
  <c r="AE686" i="1"/>
  <c r="AE683" i="1"/>
  <c r="T448" i="1"/>
  <c r="AE324" i="1"/>
  <c r="AE322" i="1"/>
  <c r="AE327" i="1"/>
  <c r="AE220" i="1"/>
  <c r="AE217" i="1"/>
  <c r="AQ71" i="1"/>
  <c r="AQ74" i="1"/>
  <c r="F377" i="1"/>
  <c r="F380" i="1"/>
  <c r="N439" i="1"/>
  <c r="AF809" i="1"/>
  <c r="AN179" i="1"/>
  <c r="AN182" i="1"/>
  <c r="Q37" i="1"/>
  <c r="Q40" i="1"/>
  <c r="AK157" i="1"/>
  <c r="T49" i="1"/>
  <c r="T58" i="1" s="1"/>
  <c r="T54" i="1"/>
  <c r="N400" i="1"/>
  <c r="N397" i="1"/>
  <c r="Y292" i="1"/>
  <c r="Y289" i="1"/>
  <c r="AQ722" i="1"/>
  <c r="T604" i="1"/>
  <c r="AG157" i="1"/>
  <c r="AO237" i="1"/>
  <c r="AG440" i="1"/>
  <c r="H61" i="1"/>
  <c r="F60" i="1"/>
  <c r="F61" i="1" s="1"/>
  <c r="AE1111" i="1"/>
  <c r="AO32" i="1"/>
  <c r="AJ23" i="1"/>
  <c r="AJ113" i="1"/>
  <c r="T67" i="1"/>
  <c r="T73" i="1" s="1"/>
  <c r="AN136" i="1"/>
  <c r="AN117" i="1"/>
  <c r="AN118" i="1" s="1"/>
  <c r="AN27" i="1"/>
  <c r="AG506" i="1"/>
  <c r="AG503" i="1"/>
  <c r="O397" i="1"/>
  <c r="O400" i="1"/>
  <c r="F233" i="1"/>
  <c r="F236" i="1"/>
  <c r="AK50" i="1"/>
  <c r="AK14" i="1" s="1"/>
  <c r="M613" i="1"/>
  <c r="M616" i="1"/>
  <c r="AJ70" i="1"/>
  <c r="AE360" i="1"/>
  <c r="U37" i="1"/>
  <c r="AE281" i="1"/>
  <c r="AN113" i="1"/>
  <c r="AN23" i="1"/>
  <c r="AE79" i="1"/>
  <c r="F166" i="1"/>
  <c r="F163" i="1"/>
  <c r="R670" i="1"/>
  <c r="R667" i="1"/>
  <c r="AL161" i="1"/>
  <c r="AL164" i="1"/>
  <c r="AL50" i="1"/>
  <c r="N382" i="1"/>
  <c r="N379" i="1"/>
  <c r="AM172" i="1"/>
  <c r="AO418" i="1"/>
  <c r="AO415" i="1"/>
  <c r="AP344" i="1"/>
  <c r="AP341" i="1"/>
  <c r="AK75" i="1"/>
  <c r="AK70" i="1"/>
  <c r="AK72" i="1"/>
  <c r="AK41" i="1"/>
  <c r="AK1086" i="1" s="1"/>
  <c r="AN868" i="1"/>
  <c r="AN865" i="1"/>
  <c r="N343" i="1"/>
  <c r="AQ179" i="1"/>
  <c r="AG809" i="1"/>
  <c r="AG812" i="1"/>
  <c r="AG808" i="1"/>
  <c r="AH1030" i="1"/>
  <c r="AH1027" i="1"/>
  <c r="AF882" i="1"/>
  <c r="AF880" i="1"/>
  <c r="AE879" i="1"/>
  <c r="AF885" i="1"/>
  <c r="AF1012" i="1"/>
  <c r="AF1009" i="1"/>
  <c r="AM770" i="1"/>
  <c r="AM791" i="1"/>
  <c r="AM794" i="1"/>
  <c r="AE819" i="1"/>
  <c r="AG820" i="1"/>
  <c r="AP598" i="1"/>
  <c r="AP595" i="1"/>
  <c r="AM765" i="1"/>
  <c r="AM784" i="1"/>
  <c r="AE416" i="1"/>
  <c r="AE413" i="1"/>
  <c r="AM669" i="1"/>
  <c r="AM664" i="1"/>
  <c r="AM666" i="1"/>
  <c r="P397" i="1"/>
  <c r="P400" i="1"/>
  <c r="AQ685" i="1"/>
  <c r="AQ688" i="1"/>
  <c r="AI884" i="1"/>
  <c r="AI881" i="1"/>
  <c r="AK179" i="1"/>
  <c r="AK182" i="1"/>
  <c r="AM396" i="1"/>
  <c r="AM399" i="1"/>
  <c r="AM394" i="1"/>
  <c r="AO178" i="1"/>
  <c r="AO180" i="1"/>
  <c r="AO183" i="1"/>
  <c r="AQ665" i="1"/>
  <c r="AQ668" i="1"/>
  <c r="K289" i="1"/>
  <c r="K292" i="1"/>
  <c r="G181" i="1"/>
  <c r="G184" i="1"/>
  <c r="AJ234" i="1"/>
  <c r="AJ237" i="1"/>
  <c r="AJ232" i="1"/>
  <c r="AE231" i="1"/>
  <c r="AI345" i="1"/>
  <c r="AI342" i="1"/>
  <c r="AI340" i="1"/>
  <c r="P20" i="1"/>
  <c r="P17" i="1"/>
  <c r="P184" i="1"/>
  <c r="P181" i="1"/>
  <c r="AK47" i="1"/>
  <c r="AK1092" i="1" s="1"/>
  <c r="AK119" i="1"/>
  <c r="AE119" i="1" s="1"/>
  <c r="AO379" i="1"/>
  <c r="AO382" i="1"/>
  <c r="W17" i="1"/>
  <c r="W20" i="1"/>
  <c r="AP286" i="1"/>
  <c r="AP291" i="1"/>
  <c r="AP288" i="1"/>
  <c r="AQ1095" i="1"/>
  <c r="AQ53" i="1"/>
  <c r="AQ56" i="1"/>
  <c r="AK113" i="1"/>
  <c r="AK23" i="1"/>
  <c r="AI443" i="1"/>
  <c r="AI467" i="1"/>
  <c r="AI114" i="1"/>
  <c r="AI24" i="1"/>
  <c r="AI133" i="1"/>
  <c r="AO1012" i="1"/>
  <c r="AO1009" i="1"/>
  <c r="AG919" i="1"/>
  <c r="AG922" i="1"/>
  <c r="AG577" i="1"/>
  <c r="AG580" i="1"/>
  <c r="AO809" i="1"/>
  <c r="F647" i="1"/>
  <c r="F650" i="1"/>
  <c r="AJ828" i="1"/>
  <c r="AJ826" i="1"/>
  <c r="AJ831" i="1"/>
  <c r="N172" i="1"/>
  <c r="AF805" i="1"/>
  <c r="AE804" i="1"/>
  <c r="AQ1043" i="1"/>
  <c r="AQ1046" i="1"/>
  <c r="M559" i="1"/>
  <c r="M562" i="1"/>
  <c r="P451" i="1"/>
  <c r="P454" i="1"/>
  <c r="AE899" i="1"/>
  <c r="AE902" i="1"/>
  <c r="AI444" i="1"/>
  <c r="AI463" i="1"/>
  <c r="AN229" i="1"/>
  <c r="AN238" i="1" s="1"/>
  <c r="AO484" i="1"/>
  <c r="AO486" i="1"/>
  <c r="AO489" i="1"/>
  <c r="G40" i="1"/>
  <c r="G37" i="1"/>
  <c r="P289" i="1"/>
  <c r="P292" i="1"/>
  <c r="AL614" i="1"/>
  <c r="AL611" i="1"/>
  <c r="T502" i="1"/>
  <c r="T507" i="1"/>
  <c r="T504" i="1"/>
  <c r="T598" i="1"/>
  <c r="T595" i="1"/>
  <c r="F391" i="1"/>
  <c r="S13" i="1"/>
  <c r="S18" i="1"/>
  <c r="AL113" i="1"/>
  <c r="AL23" i="1"/>
  <c r="AO70" i="1"/>
  <c r="AO75" i="1"/>
  <c r="AO72" i="1"/>
  <c r="AG114" i="1"/>
  <c r="AG115" i="1" s="1"/>
  <c r="AG24" i="1"/>
  <c r="AG133" i="1"/>
  <c r="H74" i="1"/>
  <c r="H71" i="1"/>
  <c r="AF46" i="1"/>
  <c r="O76" i="1"/>
  <c r="O73" i="1"/>
  <c r="AI169" i="1"/>
  <c r="AE168" i="1"/>
  <c r="AE169" i="1" s="1"/>
  <c r="AF113" i="1"/>
  <c r="AF23" i="1"/>
  <c r="AE131" i="1"/>
  <c r="AN446" i="1"/>
  <c r="AN467" i="1"/>
  <c r="AN470" i="1"/>
  <c r="AH154" i="1"/>
  <c r="AE229" i="1"/>
  <c r="J76" i="1"/>
  <c r="J73" i="1"/>
  <c r="T344" i="1"/>
  <c r="T341" i="1"/>
  <c r="F686" i="1"/>
  <c r="F683" i="1"/>
  <c r="AG345" i="1"/>
  <c r="AG337" i="1"/>
  <c r="AG342" i="1"/>
  <c r="AE336" i="1"/>
  <c r="AE337" i="1" s="1"/>
  <c r="AO526" i="1"/>
  <c r="AO523" i="1"/>
  <c r="AE983" i="1"/>
  <c r="AF992" i="1"/>
  <c r="AK992" i="1"/>
  <c r="AK989" i="1"/>
  <c r="AG865" i="1"/>
  <c r="AG868" i="1"/>
  <c r="AO394" i="1"/>
  <c r="AO399" i="1"/>
  <c r="AO396" i="1"/>
  <c r="AQ1030" i="1"/>
  <c r="AQ1027" i="1"/>
  <c r="AI784" i="1"/>
  <c r="AI765" i="1"/>
  <c r="AI766" i="1" s="1"/>
  <c r="F501" i="1"/>
  <c r="S21" i="1"/>
  <c r="AP113" i="1"/>
  <c r="AP115" i="1" s="1"/>
  <c r="AP23" i="1"/>
  <c r="X130" i="1"/>
  <c r="X127" i="1"/>
  <c r="AJ165" i="1"/>
  <c r="AJ160" i="1"/>
  <c r="AJ162" i="1"/>
  <c r="AJ288" i="1"/>
  <c r="AJ291" i="1"/>
  <c r="AJ286" i="1"/>
  <c r="AF1036" i="1"/>
  <c r="AE1035" i="1"/>
  <c r="AE1036" i="1" s="1"/>
  <c r="AM1081" i="1"/>
  <c r="AM1084" i="1"/>
  <c r="AO958" i="1"/>
  <c r="AO955" i="1"/>
  <c r="AH865" i="1"/>
  <c r="AH868" i="1"/>
  <c r="H655" i="1"/>
  <c r="F654" i="1"/>
  <c r="F655" i="1" s="1"/>
  <c r="AJ976" i="1"/>
  <c r="AJ973" i="1"/>
  <c r="AE1061" i="1"/>
  <c r="AE1064" i="1"/>
  <c r="AK791" i="1"/>
  <c r="AK770" i="1"/>
  <c r="AK794" i="1"/>
  <c r="AF1084" i="1"/>
  <c r="AF1081" i="1"/>
  <c r="AI976" i="1"/>
  <c r="AI973" i="1"/>
  <c r="P505" i="1"/>
  <c r="P508" i="1"/>
  <c r="AF765" i="1"/>
  <c r="AE783" i="1"/>
  <c r="AE784" i="1" s="1"/>
  <c r="AF784" i="1"/>
  <c r="AE848" i="1"/>
  <c r="AE845" i="1"/>
  <c r="AE844" i="1"/>
  <c r="H688" i="1"/>
  <c r="H290" i="1"/>
  <c r="H287" i="1"/>
  <c r="F284" i="1"/>
  <c r="S289" i="1"/>
  <c r="S292" i="1"/>
  <c r="AN48" i="1"/>
  <c r="AN54" i="1" s="1"/>
  <c r="AN157" i="1"/>
  <c r="F198" i="1"/>
  <c r="F201" i="1"/>
  <c r="F196" i="1"/>
  <c r="AQ802" i="1"/>
  <c r="F628" i="1"/>
  <c r="F633" i="1"/>
  <c r="F630" i="1"/>
  <c r="AP133" i="1"/>
  <c r="AF463" i="1"/>
  <c r="AE462" i="1"/>
  <c r="AE463" i="1" s="1"/>
  <c r="AF444" i="1"/>
  <c r="AF30" i="1"/>
  <c r="N14" i="1"/>
  <c r="AN877" i="1"/>
  <c r="AN882" i="1"/>
  <c r="AJ904" i="1"/>
  <c r="AJ901" i="1"/>
  <c r="AF817" i="1"/>
  <c r="K670" i="1"/>
  <c r="K667" i="1"/>
  <c r="AL722" i="1"/>
  <c r="AL719" i="1"/>
  <c r="AM1030" i="1"/>
  <c r="AM1027" i="1"/>
  <c r="AI220" i="1"/>
  <c r="AI217" i="1"/>
  <c r="F144" i="1"/>
  <c r="F147" i="1"/>
  <c r="F142" i="1"/>
  <c r="AM447" i="1"/>
  <c r="AF936" i="1"/>
  <c r="AE933" i="1"/>
  <c r="AF939" i="1"/>
  <c r="AF934" i="1"/>
  <c r="AO541" i="1"/>
  <c r="AO544" i="1"/>
  <c r="AJ47" i="1"/>
  <c r="AJ1092" i="1" s="1"/>
  <c r="AP560" i="1"/>
  <c r="AP557" i="1"/>
  <c r="AE132" i="1"/>
  <c r="AE133" i="1" s="1"/>
  <c r="AF114" i="1"/>
  <c r="AF133" i="1"/>
  <c r="AE483" i="1"/>
  <c r="AM29" i="1"/>
  <c r="AL553" i="1"/>
  <c r="AO109" i="1"/>
  <c r="AO112" i="1"/>
  <c r="AG931" i="1"/>
  <c r="AG936" i="1"/>
  <c r="AH460" i="1"/>
  <c r="AH441" i="1"/>
  <c r="AH442" i="1" s="1"/>
  <c r="AO344" i="1"/>
  <c r="AO341" i="1"/>
  <c r="AO74" i="1"/>
  <c r="AO71" i="1"/>
  <c r="AE282" i="1"/>
  <c r="AG283" i="1"/>
  <c r="AG802" i="1"/>
  <c r="AI847" i="1"/>
  <c r="AI850" i="1"/>
  <c r="AN739" i="1"/>
  <c r="AN742" i="1"/>
  <c r="AQ1047" i="1"/>
  <c r="AL874" i="1"/>
  <c r="T399" i="1"/>
  <c r="T396" i="1"/>
  <c r="T394" i="1"/>
  <c r="AQ886" i="1"/>
  <c r="AQ883" i="1"/>
  <c r="AP395" i="1"/>
  <c r="AP398" i="1"/>
  <c r="AP48" i="1"/>
  <c r="AP49" i="1" s="1"/>
  <c r="AP157" i="1"/>
  <c r="AL1046" i="1"/>
  <c r="AL1043" i="1"/>
  <c r="AI486" i="1"/>
  <c r="AI484" i="1"/>
  <c r="AI489" i="1"/>
  <c r="F322" i="1"/>
  <c r="AO139" i="1"/>
  <c r="AO120" i="1"/>
  <c r="AO121" i="1" s="1"/>
  <c r="W670" i="1"/>
  <c r="W667" i="1"/>
  <c r="H547" i="1"/>
  <c r="F546" i="1"/>
  <c r="F547" i="1" s="1"/>
  <c r="AE414" i="1"/>
  <c r="AE412" i="1"/>
  <c r="AE417" i="1"/>
  <c r="AP136" i="1"/>
  <c r="AP117" i="1"/>
  <c r="AP118" i="1" s="1"/>
  <c r="AP27" i="1"/>
  <c r="X17" i="1"/>
  <c r="X20" i="1"/>
  <c r="AO496" i="1"/>
  <c r="AQ154" i="1"/>
  <c r="AL880" i="1"/>
  <c r="AE427" i="1"/>
  <c r="AP418" i="1"/>
  <c r="AP415" i="1"/>
  <c r="N118" i="1"/>
  <c r="F117" i="1"/>
  <c r="F118" i="1" s="1"/>
  <c r="H8" i="1"/>
  <c r="F8" i="1" s="1"/>
  <c r="I10" i="1"/>
  <c r="AM885" i="1"/>
  <c r="AM882" i="1"/>
  <c r="AM880" i="1"/>
  <c r="AQ485" i="1"/>
  <c r="AQ488" i="1"/>
  <c r="N452" i="1"/>
  <c r="AL178" i="1"/>
  <c r="AL180" i="1"/>
  <c r="AL183" i="1"/>
  <c r="AG794" i="1"/>
  <c r="AG770" i="1"/>
  <c r="AG791" i="1"/>
  <c r="AG32" i="1"/>
  <c r="AF703" i="1"/>
  <c r="AF706" i="1"/>
  <c r="H556" i="1"/>
  <c r="H558" i="1"/>
  <c r="F555" i="1"/>
  <c r="H561" i="1"/>
  <c r="AM415" i="1"/>
  <c r="AM418" i="1"/>
  <c r="H109" i="1"/>
  <c r="H112" i="1"/>
  <c r="AE455" i="1"/>
  <c r="AF437" i="1"/>
  <c r="AQ715" i="1"/>
  <c r="AQ724" i="1" s="1"/>
  <c r="H53" i="1"/>
  <c r="F50" i="1"/>
  <c r="F52" i="1" s="1"/>
  <c r="H56" i="1"/>
  <c r="H52" i="1"/>
  <c r="AN447" i="1"/>
  <c r="AN468" i="1"/>
  <c r="AN471" i="1"/>
  <c r="AN466" i="1"/>
  <c r="AI147" i="1"/>
  <c r="AI123" i="1"/>
  <c r="AI33" i="1"/>
  <c r="AI142" i="1"/>
  <c r="AI144" i="1"/>
  <c r="AH280" i="1"/>
  <c r="T53" i="1"/>
  <c r="T56" i="1"/>
  <c r="AM179" i="1"/>
  <c r="AM182" i="1"/>
  <c r="AE82" i="1"/>
  <c r="O505" i="1"/>
  <c r="O508" i="1"/>
  <c r="AP364" i="1"/>
  <c r="AP361" i="1"/>
  <c r="T238" i="1"/>
  <c r="T235" i="1"/>
  <c r="AM446" i="1"/>
  <c r="AM467" i="1"/>
  <c r="AM470" i="1"/>
  <c r="M181" i="1"/>
  <c r="M184" i="1"/>
  <c r="Y18" i="1"/>
  <c r="Y16" i="1"/>
  <c r="Y21" i="1"/>
  <c r="AF658" i="1"/>
  <c r="AE657" i="1"/>
  <c r="AE658" i="1" s="1"/>
  <c r="AL560" i="1"/>
  <c r="AE352" i="1"/>
  <c r="AF220" i="1"/>
  <c r="AF217" i="1"/>
  <c r="T71" i="1"/>
  <c r="T74" i="1"/>
  <c r="AM720" i="1"/>
  <c r="AE431" i="1"/>
  <c r="AE434" i="1"/>
  <c r="N616" i="1"/>
  <c r="N613" i="1"/>
  <c r="T220" i="1"/>
  <c r="T217" i="1"/>
  <c r="F313" i="1"/>
  <c r="V238" i="1"/>
  <c r="V235" i="1"/>
  <c r="T127" i="1"/>
  <c r="T130" i="1"/>
  <c r="AE739" i="1"/>
  <c r="AE742" i="1"/>
  <c r="M292" i="1"/>
  <c r="M289" i="1"/>
  <c r="T226" i="1"/>
  <c r="AQ493" i="1"/>
  <c r="AF1095" i="1"/>
  <c r="AF53" i="1"/>
  <c r="AF56" i="1"/>
  <c r="F90" i="1"/>
  <c r="AJ688" i="1"/>
  <c r="AJ685" i="1"/>
  <c r="AQ831" i="1"/>
  <c r="AQ828" i="1"/>
  <c r="AQ826" i="1"/>
  <c r="AE473" i="1"/>
  <c r="T560" i="1"/>
  <c r="T557" i="1"/>
  <c r="T556" i="1"/>
  <c r="AJ493" i="1"/>
  <c r="AE376" i="1"/>
  <c r="AE378" i="1"/>
  <c r="AE381" i="1"/>
  <c r="AI229" i="1"/>
  <c r="AH112" i="1"/>
  <c r="AH109" i="1"/>
  <c r="AH341" i="1"/>
  <c r="F193" i="1"/>
  <c r="P40" i="1"/>
  <c r="P37" i="1"/>
  <c r="F333" i="1"/>
  <c r="F334" i="1" s="1"/>
  <c r="AJ440" i="1"/>
  <c r="AQ290" i="1"/>
  <c r="AL27" i="1"/>
  <c r="AG443" i="1"/>
  <c r="AG449" i="1" s="1"/>
  <c r="AE461" i="1"/>
  <c r="N450" i="1"/>
  <c r="N453" i="1"/>
  <c r="N448" i="1"/>
  <c r="AK133" i="1"/>
  <c r="AK114" i="1"/>
  <c r="AK24" i="1"/>
  <c r="AP328" i="1"/>
  <c r="AP325" i="1"/>
  <c r="AM32" i="1"/>
  <c r="AO235" i="1"/>
  <c r="AO238" i="1"/>
  <c r="AL91" i="1"/>
  <c r="AL94" i="1"/>
  <c r="AE862" i="1"/>
  <c r="AE867" i="1"/>
  <c r="AE864" i="1"/>
  <c r="AQ560" i="1"/>
  <c r="AQ557" i="1"/>
  <c r="W73" i="1"/>
  <c r="W76" i="1"/>
  <c r="AF443" i="1"/>
  <c r="AM493" i="1"/>
  <c r="N398" i="1"/>
  <c r="F392" i="1"/>
  <c r="N395" i="1"/>
  <c r="AO767" i="1"/>
  <c r="AO769" i="1" s="1"/>
  <c r="AO787" i="1"/>
  <c r="AL457" i="1"/>
  <c r="AL438" i="1"/>
  <c r="AL439" i="1" s="1"/>
  <c r="AP143" i="1"/>
  <c r="AP32" i="1"/>
  <c r="AP146" i="1"/>
  <c r="AP122" i="1"/>
  <c r="F609" i="1"/>
  <c r="AE363" i="1"/>
  <c r="X238" i="1"/>
  <c r="X235" i="1"/>
  <c r="K73" i="1"/>
  <c r="K76" i="1"/>
  <c r="AQ441" i="1"/>
  <c r="AQ442" i="1" s="1"/>
  <c r="AQ460" i="1"/>
  <c r="AH470" i="1"/>
  <c r="AH467" i="1"/>
  <c r="AH446" i="1"/>
  <c r="F338" i="1"/>
  <c r="S235" i="1"/>
  <c r="AE596" i="1"/>
  <c r="G343" i="1"/>
  <c r="T685" i="1"/>
  <c r="T688" i="1"/>
  <c r="F376" i="1"/>
  <c r="F381" i="1"/>
  <c r="F378" i="1"/>
  <c r="AM136" i="1"/>
  <c r="AM117" i="1"/>
  <c r="AM118" i="1" s="1"/>
  <c r="AM27" i="1"/>
  <c r="AK109" i="1"/>
  <c r="AK112" i="1"/>
  <c r="AN827" i="1"/>
  <c r="AN830" i="1"/>
  <c r="I613" i="1"/>
  <c r="AN288" i="1"/>
  <c r="AQ1066" i="1"/>
  <c r="AQ1063" i="1"/>
  <c r="AM976" i="1"/>
  <c r="AM973" i="1"/>
  <c r="AH830" i="1"/>
  <c r="AH827" i="1"/>
  <c r="AE785" i="1"/>
  <c r="AF767" i="1"/>
  <c r="AE767" i="1" s="1"/>
  <c r="T669" i="1"/>
  <c r="T666" i="1"/>
  <c r="T664" i="1"/>
  <c r="AI988" i="1"/>
  <c r="AI993" i="1"/>
  <c r="AI990" i="1"/>
  <c r="R454" i="1"/>
  <c r="R451" i="1"/>
  <c r="AF615" i="1"/>
  <c r="AE609" i="1"/>
  <c r="AF612" i="1"/>
  <c r="AF610" i="1"/>
  <c r="AI526" i="1"/>
  <c r="AI523" i="1"/>
  <c r="AF720" i="1"/>
  <c r="AF718" i="1"/>
  <c r="AF723" i="1"/>
  <c r="AE717" i="1"/>
  <c r="T395" i="1"/>
  <c r="T398" i="1"/>
  <c r="AF985" i="1"/>
  <c r="AE984" i="1"/>
  <c r="AM739" i="1"/>
  <c r="AM742" i="1"/>
  <c r="AH631" i="1"/>
  <c r="AH634" i="1"/>
  <c r="Q184" i="1"/>
  <c r="Q181" i="1"/>
  <c r="AN688" i="1"/>
  <c r="AN685" i="1"/>
  <c r="AL237" i="1"/>
  <c r="AL234" i="1"/>
  <c r="AL232" i="1"/>
  <c r="AH664" i="1"/>
  <c r="AH669" i="1"/>
  <c r="AH666" i="1"/>
  <c r="AK463" i="1"/>
  <c r="AK444" i="1"/>
  <c r="AI499" i="1"/>
  <c r="AI507" i="1"/>
  <c r="AQ113" i="1"/>
  <c r="AQ23" i="1"/>
  <c r="AQ25" i="1" s="1"/>
  <c r="AQ706" i="1"/>
  <c r="AQ703" i="1"/>
  <c r="AM379" i="1"/>
  <c r="AM382" i="1"/>
  <c r="AG415" i="1"/>
  <c r="AG418" i="1"/>
  <c r="AK436" i="1"/>
  <c r="AK433" i="1"/>
  <c r="H226" i="1"/>
  <c r="F225" i="1"/>
  <c r="F226" i="1" s="1"/>
  <c r="AF39" i="1"/>
  <c r="AF34" i="1"/>
  <c r="AF36" i="1"/>
  <c r="AI721" i="1"/>
  <c r="AI724" i="1"/>
  <c r="AO325" i="1"/>
  <c r="AO328" i="1"/>
  <c r="AP868" i="1"/>
  <c r="AP865" i="1"/>
  <c r="AN161" i="1"/>
  <c r="AN50" i="1"/>
  <c r="AN164" i="1"/>
  <c r="AE167" i="1"/>
  <c r="N178" i="1"/>
  <c r="N180" i="1"/>
  <c r="N183" i="1"/>
  <c r="F177" i="1"/>
  <c r="H70" i="1"/>
  <c r="H72" i="1"/>
  <c r="F69" i="1"/>
  <c r="H75" i="1"/>
  <c r="AH116" i="1"/>
  <c r="AH118" i="1" s="1"/>
  <c r="H400" i="1"/>
  <c r="H397" i="1"/>
  <c r="AI76" i="1"/>
  <c r="AI73" i="1"/>
  <c r="AE987" i="1"/>
  <c r="AF990" i="1"/>
  <c r="AF988" i="1"/>
  <c r="AF993" i="1"/>
  <c r="AL718" i="1"/>
  <c r="AL720" i="1"/>
  <c r="AL723" i="1"/>
  <c r="AF919" i="1"/>
  <c r="AF922" i="1"/>
  <c r="AI1012" i="1"/>
  <c r="AI1009" i="1"/>
  <c r="AQ669" i="1"/>
  <c r="AQ664" i="1"/>
  <c r="AQ666" i="1"/>
  <c r="AN723" i="1"/>
  <c r="AN718" i="1"/>
  <c r="AN720" i="1"/>
  <c r="AF742" i="1"/>
  <c r="AF739" i="1"/>
  <c r="AE982" i="1"/>
  <c r="AL668" i="1"/>
  <c r="AL665" i="1"/>
  <c r="AM688" i="1"/>
  <c r="AM685" i="1"/>
  <c r="AL271" i="1"/>
  <c r="AL274" i="1"/>
  <c r="AE923" i="1"/>
  <c r="N560" i="1"/>
  <c r="N557" i="1"/>
  <c r="AK499" i="1"/>
  <c r="AK505" i="1" s="1"/>
  <c r="AK504" i="1"/>
  <c r="AK507" i="1"/>
  <c r="AE701" i="1"/>
  <c r="AE704" i="1"/>
  <c r="AJ541" i="1"/>
  <c r="AJ544" i="1"/>
  <c r="AP1030" i="1"/>
  <c r="AP1027" i="1"/>
  <c r="AG457" i="1"/>
  <c r="AG438" i="1"/>
  <c r="AG439" i="1" s="1"/>
  <c r="AO217" i="1"/>
  <c r="AO220" i="1"/>
  <c r="AQ1091" i="1"/>
  <c r="AQ11" i="1"/>
  <c r="AQ1093" i="1" s="1"/>
  <c r="H340" i="1"/>
  <c r="H342" i="1"/>
  <c r="H345" i="1"/>
  <c r="AH182" i="1"/>
  <c r="AH179" i="1"/>
  <c r="AI471" i="1"/>
  <c r="AH217" i="1"/>
  <c r="AH220" i="1"/>
  <c r="AN631" i="1"/>
  <c r="AN634" i="1"/>
  <c r="AE159" i="1"/>
  <c r="AF165" i="1"/>
  <c r="AF162" i="1"/>
  <c r="AF160" i="1"/>
  <c r="AF51" i="1"/>
  <c r="N56" i="1"/>
  <c r="N53" i="1"/>
  <c r="AP506" i="1"/>
  <c r="AP503" i="1"/>
  <c r="AJ557" i="1"/>
  <c r="AJ560" i="1"/>
  <c r="AG433" i="1"/>
  <c r="AG436" i="1"/>
  <c r="V58" i="1"/>
  <c r="V55" i="1"/>
  <c r="F486" i="1"/>
  <c r="F484" i="1"/>
  <c r="F489" i="1"/>
  <c r="S58" i="1"/>
  <c r="S55" i="1"/>
  <c r="AI49" i="1"/>
  <c r="AI283" i="1"/>
  <c r="AI289" i="1" s="1"/>
  <c r="AI288" i="1"/>
  <c r="AL133" i="1"/>
  <c r="AL114" i="1"/>
  <c r="AL115" i="1" s="1"/>
  <c r="AL24" i="1"/>
  <c r="AQ865" i="1"/>
  <c r="AQ868" i="1"/>
  <c r="I22" i="1"/>
  <c r="I19" i="1"/>
  <c r="AN307" i="1"/>
  <c r="AN310" i="1"/>
  <c r="H39" i="1"/>
  <c r="F33" i="1"/>
  <c r="H36" i="1"/>
  <c r="H34" i="1"/>
  <c r="AE918" i="1"/>
  <c r="AE916" i="1"/>
  <c r="AE921" i="1"/>
  <c r="AE875" i="1"/>
  <c r="AE877" i="1" s="1"/>
  <c r="AF884" i="1"/>
  <c r="AE930" i="1"/>
  <c r="AE931" i="1" s="1"/>
  <c r="AF931" i="1"/>
  <c r="AL994" i="1"/>
  <c r="AL991" i="1"/>
  <c r="AE1010" i="1"/>
  <c r="AG556" i="1"/>
  <c r="AG561" i="1"/>
  <c r="AG558" i="1"/>
  <c r="AI774" i="1"/>
  <c r="AI777" i="1"/>
  <c r="AI615" i="1"/>
  <c r="AI610" i="1"/>
  <c r="AI612" i="1"/>
  <c r="H577" i="1"/>
  <c r="AP382" i="1"/>
  <c r="AP379" i="1"/>
  <c r="AK291" i="1"/>
  <c r="AK286" i="1"/>
  <c r="AK288" i="1"/>
  <c r="P127" i="1"/>
  <c r="P130" i="1"/>
  <c r="AG526" i="1"/>
  <c r="AG523" i="1"/>
  <c r="F164" i="1"/>
  <c r="F161" i="1"/>
  <c r="AJ795" i="1"/>
  <c r="AJ790" i="1"/>
  <c r="AJ771" i="1"/>
  <c r="AJ792" i="1"/>
  <c r="AM668" i="1"/>
  <c r="AM665" i="1"/>
  <c r="I505" i="1"/>
  <c r="I508" i="1"/>
  <c r="AK470" i="1"/>
  <c r="AK446" i="1"/>
  <c r="AK467" i="1"/>
  <c r="AO832" i="1"/>
  <c r="AO829" i="1"/>
  <c r="T445" i="1"/>
  <c r="F444" i="1"/>
  <c r="F445" i="1" s="1"/>
  <c r="AG884" i="1"/>
  <c r="AG881" i="1"/>
  <c r="AE878" i="1"/>
  <c r="AL415" i="1"/>
  <c r="AL418" i="1"/>
  <c r="Y667" i="1"/>
  <c r="Y670" i="1"/>
  <c r="AG493" i="1"/>
  <c r="AE491" i="1"/>
  <c r="G505" i="1"/>
  <c r="G508" i="1"/>
  <c r="AN577" i="1"/>
  <c r="AN580" i="1"/>
  <c r="AJ184" i="1"/>
  <c r="AJ181" i="1"/>
  <c r="X505" i="1"/>
  <c r="X508" i="1"/>
  <c r="AO25" i="1"/>
  <c r="AI450" i="1"/>
  <c r="AI448" i="1"/>
  <c r="G18" i="1"/>
  <c r="G16" i="1"/>
  <c r="G21" i="1"/>
  <c r="H614" i="1"/>
  <c r="H611" i="1"/>
  <c r="AL344" i="1"/>
  <c r="AN615" i="1"/>
  <c r="AN610" i="1"/>
  <c r="AN612" i="1"/>
  <c r="AL664" i="1"/>
  <c r="AL669" i="1"/>
  <c r="AL666" i="1"/>
  <c r="AH49" i="1"/>
  <c r="S346" i="1"/>
  <c r="S343" i="1"/>
  <c r="M20" i="1"/>
  <c r="M17" i="1"/>
  <c r="AP649" i="1"/>
  <c r="AP652" i="1"/>
  <c r="AF607" i="1"/>
  <c r="AE606" i="1"/>
  <c r="AI165" i="1"/>
  <c r="AI160" i="1"/>
  <c r="AI162" i="1"/>
  <c r="AL119" i="1"/>
  <c r="AL29" i="1"/>
  <c r="Q289" i="1"/>
  <c r="Q292" i="1"/>
  <c r="AQ810" i="1"/>
  <c r="AQ808" i="1"/>
  <c r="AQ813" i="1"/>
  <c r="T12" i="1"/>
  <c r="T13" i="1" s="1"/>
  <c r="U13" i="1"/>
  <c r="AG73" i="1"/>
  <c r="AG76" i="1"/>
  <c r="T634" i="1"/>
  <c r="T631" i="1"/>
  <c r="F220" i="1"/>
  <c r="F217" i="1"/>
  <c r="AO34" i="1"/>
  <c r="AO36" i="1"/>
  <c r="AO39" i="1"/>
  <c r="AO15" i="1"/>
  <c r="AE66" i="1"/>
  <c r="AE67" i="1" s="1"/>
  <c r="AF67" i="1"/>
  <c r="AF73" i="1" s="1"/>
  <c r="AF75" i="1"/>
  <c r="AE640" i="1"/>
  <c r="AP810" i="1"/>
  <c r="AP813" i="1"/>
  <c r="AP808" i="1"/>
  <c r="AJ290" i="1"/>
  <c r="AJ287" i="1"/>
  <c r="AE578" i="1"/>
  <c r="AE575" i="1"/>
  <c r="J37" i="1"/>
  <c r="J40" i="1"/>
  <c r="S181" i="1"/>
  <c r="S184" i="1"/>
  <c r="AO471" i="1"/>
  <c r="AO447" i="1"/>
  <c r="AO468" i="1"/>
  <c r="AO466" i="1"/>
  <c r="AO114" i="1"/>
  <c r="W343" i="1"/>
  <c r="W346" i="1"/>
  <c r="AJ490" i="1"/>
  <c r="AJ487" i="1"/>
  <c r="AF1047" i="1"/>
  <c r="AE1041" i="1"/>
  <c r="AF1042" i="1"/>
  <c r="AF1044" i="1"/>
  <c r="AE978" i="1"/>
  <c r="AE979" i="1" s="1"/>
  <c r="AL809" i="1"/>
  <c r="AL812" i="1"/>
  <c r="AP904" i="1"/>
  <c r="AP901" i="1"/>
  <c r="F656" i="1"/>
  <c r="AI813" i="1"/>
  <c r="AI808" i="1"/>
  <c r="AI810" i="1"/>
  <c r="AP665" i="1"/>
  <c r="AP668" i="1"/>
  <c r="AQ994" i="1"/>
  <c r="AQ991" i="1"/>
  <c r="N523" i="1"/>
  <c r="N526" i="1"/>
  <c r="AM722" i="1"/>
  <c r="AM719" i="1"/>
  <c r="AO117" i="1"/>
  <c r="AO118" i="1" s="1"/>
  <c r="AO136" i="1"/>
  <c r="AO27" i="1"/>
  <c r="I73" i="1"/>
  <c r="AE873" i="1"/>
  <c r="AE874" i="1" s="1"/>
  <c r="AF874" i="1"/>
  <c r="AM922" i="1"/>
  <c r="AM919" i="1"/>
  <c r="I400" i="1"/>
  <c r="I397" i="1"/>
  <c r="AO162" i="1"/>
  <c r="AO160" i="1"/>
  <c r="AO165" i="1"/>
  <c r="T38" i="1"/>
  <c r="T35" i="1"/>
  <c r="AQ721" i="1"/>
  <c r="AI292" i="1"/>
  <c r="AK30" i="1"/>
  <c r="AK120" i="1"/>
  <c r="AK139" i="1"/>
  <c r="AE177" i="1"/>
  <c r="T31" i="1"/>
  <c r="N290" i="1"/>
  <c r="N287" i="1"/>
  <c r="AM30" i="1"/>
  <c r="H15" i="1"/>
  <c r="F363" i="1"/>
  <c r="F360" i="1"/>
  <c r="F358" i="1"/>
  <c r="L40" i="1"/>
  <c r="L37" i="1"/>
  <c r="AN547" i="1"/>
  <c r="AO94" i="1"/>
  <c r="AO91" i="1"/>
  <c r="F576" i="1"/>
  <c r="F574" i="1"/>
  <c r="F579" i="1"/>
  <c r="N128" i="1"/>
  <c r="N125" i="1"/>
  <c r="AI51" i="1"/>
  <c r="R18" i="1"/>
  <c r="R21" i="1"/>
  <c r="R16" i="1"/>
  <c r="AM161" i="1"/>
  <c r="AM164" i="1"/>
  <c r="AK151" i="1"/>
  <c r="AK42" i="1"/>
  <c r="AK43" i="1" s="1"/>
  <c r="AN560" i="1"/>
  <c r="AN557" i="1"/>
  <c r="AJ43" i="1"/>
  <c r="AN503" i="1"/>
  <c r="AN506" i="1"/>
  <c r="H35" i="1"/>
  <c r="H38" i="1"/>
  <c r="W505" i="1"/>
  <c r="W508" i="1"/>
  <c r="AE198" i="1"/>
  <c r="AE196" i="1"/>
  <c r="AE201" i="1"/>
  <c r="AP502" i="1"/>
  <c r="AP507" i="1"/>
  <c r="AP504" i="1"/>
  <c r="AH43" i="1"/>
  <c r="N388" i="1"/>
  <c r="F387" i="1"/>
  <c r="F388" i="1" s="1"/>
  <c r="AH814" i="1"/>
  <c r="AH787" i="1"/>
  <c r="AH768" i="1"/>
  <c r="AH769" i="1" s="1"/>
  <c r="AF790" i="1"/>
  <c r="AF792" i="1"/>
  <c r="AF771" i="1"/>
  <c r="AE789" i="1"/>
  <c r="AF795" i="1"/>
  <c r="AG560" i="1"/>
  <c r="AG557" i="1"/>
  <c r="AK722" i="1"/>
  <c r="AK719" i="1"/>
  <c r="AF471" i="1"/>
  <c r="AF468" i="1"/>
  <c r="AF466" i="1"/>
  <c r="AF447" i="1"/>
  <c r="AE465" i="1"/>
  <c r="AO792" i="1"/>
  <c r="AO771" i="1"/>
  <c r="AO795" i="1"/>
  <c r="AO790" i="1"/>
  <c r="AN443" i="1"/>
  <c r="AN445" i="1" s="1"/>
  <c r="AN463" i="1"/>
  <c r="AF669" i="1"/>
  <c r="AE633" i="1"/>
  <c r="AE630" i="1"/>
  <c r="AE628" i="1"/>
  <c r="N558" i="1"/>
  <c r="N556" i="1"/>
  <c r="N561" i="1"/>
  <c r="F520" i="1"/>
  <c r="F522" i="1"/>
  <c r="F525" i="1"/>
  <c r="AP958" i="1"/>
  <c r="AP955" i="1"/>
  <c r="AO812" i="1"/>
  <c r="AE632" i="1"/>
  <c r="AE629" i="1"/>
  <c r="AG507" i="1"/>
  <c r="AG502" i="1"/>
  <c r="AG504" i="1"/>
  <c r="AF112" i="1"/>
  <c r="AF109" i="1"/>
  <c r="T112" i="1"/>
  <c r="T109" i="1"/>
  <c r="AJ935" i="1"/>
  <c r="AJ938" i="1"/>
  <c r="AJ767" i="1"/>
  <c r="AJ769" i="1" s="1"/>
  <c r="AH556" i="1"/>
  <c r="AH561" i="1"/>
  <c r="AH558" i="1"/>
  <c r="AL460" i="1"/>
  <c r="AL441" i="1"/>
  <c r="AL442" i="1" s="1"/>
  <c r="AF385" i="1"/>
  <c r="AF813" i="1"/>
  <c r="F32" i="1"/>
  <c r="S400" i="1"/>
  <c r="S397" i="1"/>
  <c r="AK443" i="1"/>
  <c r="AK29" i="1"/>
  <c r="H436" i="1"/>
  <c r="AQ133" i="1"/>
  <c r="AQ114" i="1"/>
  <c r="AM813" i="1"/>
  <c r="AM810" i="1"/>
  <c r="AM808" i="1"/>
  <c r="AF457" i="1"/>
  <c r="AF438" i="1"/>
  <c r="AE456" i="1"/>
  <c r="H6" i="1"/>
  <c r="I7" i="1"/>
  <c r="AI544" i="1"/>
  <c r="AI541" i="1"/>
  <c r="AN832" i="1"/>
  <c r="AN829" i="1"/>
  <c r="X346" i="1"/>
  <c r="X343" i="1"/>
  <c r="L292" i="1"/>
  <c r="L289" i="1"/>
  <c r="AO164" i="1"/>
  <c r="AO161" i="1"/>
  <c r="AJ652" i="1"/>
  <c r="AJ649" i="1"/>
  <c r="AI1046" i="1"/>
  <c r="AI1043" i="1"/>
  <c r="F470" i="1"/>
  <c r="F467" i="1"/>
  <c r="AQ443" i="1"/>
  <c r="AQ445" i="1" s="1"/>
  <c r="AQ463" i="1"/>
  <c r="AQ361" i="1"/>
  <c r="AQ364" i="1"/>
  <c r="W130" i="1"/>
  <c r="W127" i="1"/>
  <c r="T5" i="1"/>
  <c r="F5" i="1" s="1"/>
  <c r="W7" i="1"/>
  <c r="S16" i="1"/>
  <c r="AI468" i="1"/>
  <c r="U130" i="1"/>
  <c r="U127" i="1"/>
  <c r="AQ523" i="1"/>
  <c r="AQ526" i="1"/>
  <c r="AE308" i="1"/>
  <c r="AE305" i="1"/>
  <c r="T34" i="1"/>
  <c r="T39" i="1"/>
  <c r="T36" i="1"/>
  <c r="AL813" i="1"/>
  <c r="AL810" i="1"/>
  <c r="AL808" i="1"/>
  <c r="AM868" i="1"/>
  <c r="AM865" i="1"/>
  <c r="AP541" i="1"/>
  <c r="AP544" i="1"/>
  <c r="AP178" i="1"/>
  <c r="AP180" i="1"/>
  <c r="AP183" i="1"/>
  <c r="AQ291" i="1"/>
  <c r="AQ288" i="1"/>
  <c r="AQ286" i="1"/>
  <c r="AM328" i="1"/>
  <c r="AM325" i="1"/>
  <c r="F29" i="1"/>
  <c r="F31" i="1" s="1"/>
  <c r="AN199" i="1"/>
  <c r="AN202" i="1"/>
  <c r="N220" i="1"/>
  <c r="N217" i="1"/>
  <c r="J400" i="1"/>
  <c r="J397" i="1"/>
  <c r="AE421" i="1"/>
  <c r="AO561" i="1"/>
  <c r="AO556" i="1"/>
  <c r="AO558" i="1"/>
  <c r="AP523" i="1"/>
  <c r="AP526" i="1"/>
  <c r="AK1044" i="1"/>
  <c r="AJ1046" i="1"/>
  <c r="AJ1043" i="1"/>
  <c r="AL793" i="1"/>
  <c r="AL796" i="1"/>
  <c r="AE522" i="1"/>
  <c r="AE520" i="1"/>
  <c r="AE525" i="1"/>
  <c r="AJ441" i="1"/>
  <c r="AJ442" i="1" s="1"/>
  <c r="AJ460" i="1"/>
  <c r="AM444" i="1"/>
  <c r="AM445" i="1" s="1"/>
  <c r="AM463" i="1"/>
  <c r="AM469" i="1" s="1"/>
  <c r="AP939" i="1"/>
  <c r="AP934" i="1"/>
  <c r="AP936" i="1"/>
  <c r="AG634" i="1"/>
  <c r="AG631" i="1"/>
  <c r="AG94" i="1"/>
  <c r="AG91" i="1"/>
  <c r="AP688" i="1"/>
  <c r="AP685" i="1"/>
  <c r="AO688" i="1"/>
  <c r="AO685" i="1"/>
  <c r="AE807" i="1"/>
  <c r="AQ46" i="1"/>
  <c r="T615" i="1"/>
  <c r="T610" i="1"/>
  <c r="T612" i="1"/>
  <c r="U400" i="1"/>
  <c r="U397" i="1"/>
  <c r="AE697" i="1"/>
  <c r="AJ154" i="1"/>
  <c r="AJ45" i="1"/>
  <c r="AJ46" i="1" s="1"/>
  <c r="AK48" i="1"/>
  <c r="AN796" i="1"/>
  <c r="AN793" i="1"/>
  <c r="AE600" i="1"/>
  <c r="AE601" i="1" s="1"/>
  <c r="AP33" i="1"/>
  <c r="AP142" i="1"/>
  <c r="AP144" i="1"/>
  <c r="AP147" i="1"/>
  <c r="AP123" i="1"/>
  <c r="J21" i="1"/>
  <c r="AL182" i="1"/>
  <c r="N166" i="1"/>
  <c r="N163" i="1"/>
  <c r="K10" i="1"/>
  <c r="H9" i="1"/>
  <c r="AN45" i="1"/>
  <c r="AN46" i="1" s="1"/>
  <c r="AN154" i="1"/>
  <c r="AK1088" i="1"/>
  <c r="AK8" i="1"/>
  <c r="AK1090" i="1" s="1"/>
  <c r="AM42" i="1"/>
  <c r="AM43" i="1" s="1"/>
  <c r="AM151" i="1"/>
  <c r="AG116" i="1"/>
  <c r="AG118" i="1" s="1"/>
  <c r="AG235" i="1"/>
  <c r="AG238" i="1"/>
  <c r="AN180" i="1"/>
  <c r="AN178" i="1"/>
  <c r="AN183" i="1"/>
  <c r="AJ504" i="1"/>
  <c r="AJ502" i="1"/>
  <c r="AJ507" i="1"/>
  <c r="H235" i="1"/>
  <c r="H238" i="1"/>
  <c r="AO577" i="1"/>
  <c r="AO580" i="1"/>
  <c r="AK1048" i="1"/>
  <c r="AL958" i="1"/>
  <c r="AL955" i="1"/>
  <c r="AH976" i="1"/>
  <c r="AH973" i="1"/>
  <c r="AE694" i="1"/>
  <c r="AL787" i="1"/>
  <c r="AL768" i="1"/>
  <c r="AL769" i="1" s="1"/>
  <c r="AN901" i="1"/>
  <c r="AN904" i="1"/>
  <c r="AL771" i="1"/>
  <c r="F521" i="1"/>
  <c r="F524" i="1"/>
  <c r="H664" i="1"/>
  <c r="H666" i="1"/>
  <c r="F663" i="1"/>
  <c r="H669" i="1"/>
  <c r="F427" i="1"/>
  <c r="F432" i="1"/>
  <c r="AG614" i="1"/>
  <c r="AE608" i="1"/>
  <c r="AG611" i="1"/>
  <c r="R397" i="1"/>
  <c r="R400" i="1"/>
  <c r="AE59" i="1"/>
  <c r="AH773" i="1"/>
  <c r="AH776" i="1"/>
  <c r="F171" i="1"/>
  <c r="F172" i="1" s="1"/>
  <c r="H172" i="1"/>
  <c r="F174" i="1"/>
  <c r="F175" i="1" s="1"/>
  <c r="H175" i="1"/>
  <c r="H180" i="1"/>
  <c r="AI179" i="1"/>
  <c r="AI182" i="1"/>
  <c r="L130" i="1"/>
  <c r="L127" i="1"/>
  <c r="X400" i="1"/>
  <c r="X397" i="1"/>
  <c r="AE100" i="1"/>
  <c r="AP724" i="1"/>
  <c r="AP721" i="1"/>
  <c r="H94" i="1"/>
  <c r="AE684" i="1"/>
  <c r="AE687" i="1"/>
  <c r="AE682" i="1"/>
  <c r="H364" i="1"/>
  <c r="H361" i="1"/>
  <c r="AK220" i="1"/>
  <c r="AK217" i="1"/>
  <c r="N199" i="1"/>
  <c r="N202" i="1"/>
  <c r="F276" i="1"/>
  <c r="F277" i="1" s="1"/>
  <c r="AE1083" i="1"/>
  <c r="AE1080" i="1"/>
  <c r="AE1078" i="1"/>
  <c r="O292" i="1"/>
  <c r="O289" i="1"/>
  <c r="AL288" i="1"/>
  <c r="AL286" i="1"/>
  <c r="AL291" i="1"/>
  <c r="AI580" i="1"/>
  <c r="AI23" i="1"/>
  <c r="AI42" i="1"/>
  <c r="AI43" i="1" s="1"/>
  <c r="AO398" i="1"/>
  <c r="AO395" i="1"/>
  <c r="AN142" i="1"/>
  <c r="AN123" i="1"/>
  <c r="AN147" i="1"/>
  <c r="AN144" i="1"/>
  <c r="AJ471" i="1"/>
  <c r="AJ447" i="1"/>
  <c r="AJ466" i="1"/>
  <c r="AJ468" i="1"/>
  <c r="AM256" i="1"/>
  <c r="AM253" i="1"/>
  <c r="K21" i="1"/>
  <c r="AG882" i="1"/>
  <c r="AG880" i="1"/>
  <c r="AG885" i="1"/>
  <c r="AK1009" i="1"/>
  <c r="AK1012" i="1"/>
  <c r="AL556" i="1"/>
  <c r="AL561" i="1"/>
  <c r="AL558" i="1"/>
  <c r="AF1066" i="1"/>
  <c r="AF1063" i="1"/>
  <c r="AO928" i="1"/>
  <c r="AK466" i="1"/>
  <c r="AK447" i="1"/>
  <c r="AK471" i="1"/>
  <c r="AK468" i="1"/>
  <c r="AL792" i="1"/>
  <c r="AQ940" i="1"/>
  <c r="AQ937" i="1"/>
  <c r="F282" i="1"/>
  <c r="F283" i="1" s="1"/>
  <c r="AP666" i="1"/>
  <c r="AP664" i="1"/>
  <c r="AP669" i="1"/>
  <c r="AJ547" i="1"/>
  <c r="AJ784" i="1"/>
  <c r="AJ765" i="1"/>
  <c r="AJ766" i="1" s="1"/>
  <c r="AK484" i="1"/>
  <c r="AK489" i="1"/>
  <c r="AK486" i="1"/>
  <c r="AK457" i="1"/>
  <c r="AK438" i="1"/>
  <c r="AK439" i="1" s="1"/>
  <c r="AG341" i="1"/>
  <c r="AG344" i="1"/>
  <c r="AG340" i="1"/>
  <c r="AQ142" i="1"/>
  <c r="AQ144" i="1"/>
  <c r="AQ147" i="1"/>
  <c r="AQ123" i="1"/>
  <c r="AM178" i="1"/>
  <c r="AM183" i="1"/>
  <c r="AM180" i="1"/>
  <c r="AI504" i="1"/>
  <c r="AM504" i="1"/>
  <c r="AM502" i="1"/>
  <c r="AM507" i="1"/>
  <c r="AE389" i="1"/>
  <c r="AH463" i="1"/>
  <c r="AH444" i="1"/>
  <c r="AH445" i="1" s="1"/>
  <c r="AF508" i="1"/>
  <c r="AF505" i="1"/>
  <c r="AE111" i="1"/>
  <c r="AE108" i="1"/>
  <c r="AE106" i="1"/>
  <c r="AH805" i="1"/>
  <c r="AH811" i="1" s="1"/>
  <c r="AH810" i="1"/>
  <c r="AK993" i="1"/>
  <c r="AQ634" i="1"/>
  <c r="AQ631" i="1"/>
  <c r="AM395" i="1"/>
  <c r="AO670" i="1"/>
  <c r="AO667" i="1"/>
  <c r="AI307" i="1"/>
  <c r="AG220" i="1"/>
  <c r="AG217" i="1"/>
  <c r="AM553" i="1"/>
  <c r="AM562" i="1" s="1"/>
  <c r="AM561" i="1"/>
  <c r="AP120" i="1"/>
  <c r="AP121" i="1" s="1"/>
  <c r="AP139" i="1"/>
  <c r="Y454" i="1"/>
  <c r="Y451" i="1"/>
  <c r="AK664" i="1"/>
  <c r="AK669" i="1"/>
  <c r="AK666" i="1"/>
  <c r="AM51" i="1"/>
  <c r="AE977" i="1"/>
  <c r="AM471" i="1"/>
  <c r="AH147" i="1"/>
  <c r="AH33" i="1"/>
  <c r="AH123" i="1"/>
  <c r="AH144" i="1"/>
  <c r="AH142" i="1"/>
  <c r="AF955" i="1"/>
  <c r="AF958" i="1"/>
  <c r="AG453" i="1"/>
  <c r="AG448" i="1"/>
  <c r="AG450" i="1"/>
  <c r="AN233" i="1"/>
  <c r="AN774" i="1"/>
  <c r="AN777" i="1"/>
  <c r="AM50" i="1"/>
  <c r="AL1084" i="1"/>
  <c r="AL1081" i="1"/>
  <c r="AO706" i="1"/>
  <c r="AO703" i="1"/>
  <c r="W451" i="1"/>
  <c r="W454" i="1"/>
  <c r="AP202" i="1"/>
  <c r="AP199" i="1"/>
  <c r="AI121" i="1"/>
  <c r="J18" i="1"/>
  <c r="AL166" i="1"/>
  <c r="AL163" i="1"/>
  <c r="AL122" i="1"/>
  <c r="AL146" i="1"/>
  <c r="AL143" i="1"/>
  <c r="AN290" i="1"/>
  <c r="AN287" i="1"/>
  <c r="M40" i="1"/>
  <c r="M37" i="1"/>
  <c r="AQ328" i="1"/>
  <c r="AQ325" i="1"/>
  <c r="AN71" i="1"/>
  <c r="AN74" i="1"/>
  <c r="N253" i="1"/>
  <c r="N256" i="1"/>
  <c r="AF490" i="1"/>
  <c r="AM142" i="1"/>
  <c r="AM123" i="1"/>
  <c r="AM144" i="1"/>
  <c r="AM147" i="1"/>
  <c r="AO307" i="1"/>
  <c r="AO310" i="1"/>
  <c r="AP561" i="1"/>
  <c r="AP556" i="1"/>
  <c r="AP558" i="1"/>
  <c r="F274" i="1"/>
  <c r="F271" i="1"/>
  <c r="AN936" i="1"/>
  <c r="AN939" i="1"/>
  <c r="AN934" i="1"/>
  <c r="AH938" i="1"/>
  <c r="AH935" i="1"/>
  <c r="AH934" i="1"/>
  <c r="AP762" i="1"/>
  <c r="AP763" i="1" s="1"/>
  <c r="AP781" i="1"/>
  <c r="AQ936" i="1"/>
  <c r="H560" i="1"/>
  <c r="H557" i="1"/>
  <c r="F554" i="1"/>
  <c r="AE780" i="1"/>
  <c r="AF781" i="1"/>
  <c r="AF762" i="1"/>
  <c r="AQ784" i="1"/>
  <c r="AQ765" i="1"/>
  <c r="AQ766" i="1" s="1"/>
  <c r="AG615" i="1"/>
  <c r="AG612" i="1"/>
  <c r="AG610" i="1"/>
  <c r="T340" i="1"/>
  <c r="T342" i="1"/>
  <c r="T345" i="1"/>
  <c r="AQ767" i="1"/>
  <c r="AF307" i="1"/>
  <c r="AF310" i="1"/>
  <c r="AM24" i="1"/>
  <c r="AJ934" i="1"/>
  <c r="AH382" i="1"/>
  <c r="AH379" i="1"/>
  <c r="AI418" i="1"/>
  <c r="AI415" i="1"/>
  <c r="AP67" i="1"/>
  <c r="AP75" i="1"/>
  <c r="AP72" i="1"/>
  <c r="AQ610" i="1"/>
  <c r="AQ612" i="1"/>
  <c r="AQ615" i="1"/>
  <c r="AN24" i="1"/>
  <c r="T202" i="1"/>
  <c r="T199" i="1"/>
  <c r="AK688" i="1"/>
  <c r="AK685" i="1"/>
  <c r="U451" i="1"/>
  <c r="U454" i="1"/>
  <c r="AM760" i="1"/>
  <c r="AM757" i="1"/>
  <c r="AL45" i="1"/>
  <c r="AL46" i="1" s="1"/>
  <c r="N75" i="1"/>
  <c r="AM72" i="1"/>
  <c r="AM70" i="1"/>
  <c r="AM75" i="1"/>
  <c r="AJ51" i="1"/>
  <c r="AH595" i="1"/>
  <c r="AH598" i="1"/>
  <c r="AJ523" i="1"/>
  <c r="AJ526" i="1"/>
  <c r="U21" i="1"/>
  <c r="U16" i="1"/>
  <c r="T15" i="1"/>
  <c r="U18" i="1"/>
  <c r="AI50" i="1"/>
  <c r="F273" i="1"/>
  <c r="AN1046" i="1"/>
  <c r="AF757" i="1"/>
  <c r="AE1038" i="1"/>
  <c r="AE1039" i="1" s="1"/>
  <c r="AE822" i="1"/>
  <c r="AE823" i="1" s="1"/>
  <c r="AF823" i="1"/>
  <c r="AJ813" i="1"/>
  <c r="AJ810" i="1"/>
  <c r="AJ808" i="1"/>
  <c r="AQ611" i="1"/>
  <c r="AQ614" i="1"/>
  <c r="AJ791" i="1"/>
  <c r="AJ794" i="1"/>
  <c r="AJ770" i="1"/>
  <c r="AO881" i="1"/>
  <c r="AO884" i="1"/>
  <c r="I559" i="1"/>
  <c r="I562" i="1"/>
  <c r="AE406" i="1"/>
  <c r="AF925" i="1"/>
  <c r="K238" i="1"/>
  <c r="K235" i="1"/>
  <c r="AE870" i="1"/>
  <c r="AE871" i="1" s="1"/>
  <c r="AF871" i="1"/>
  <c r="AK706" i="1"/>
  <c r="AK703" i="1"/>
  <c r="AM558" i="1"/>
  <c r="AG151" i="1"/>
  <c r="AG42" i="1"/>
  <c r="F488" i="1"/>
  <c r="F485" i="1"/>
  <c r="R20" i="1"/>
  <c r="AG668" i="1"/>
  <c r="K37" i="1"/>
  <c r="K40" i="1"/>
  <c r="AH722" i="1"/>
  <c r="AH719" i="1"/>
  <c r="AO467" i="1"/>
  <c r="AO446" i="1"/>
  <c r="AO470" i="1"/>
  <c r="AK160" i="1"/>
  <c r="AK162" i="1"/>
  <c r="AK165" i="1"/>
  <c r="T148" i="1"/>
  <c r="T145" i="1"/>
  <c r="AJ345" i="1"/>
  <c r="AJ342" i="1"/>
  <c r="AJ340" i="1"/>
  <c r="AF715" i="1"/>
  <c r="AJ595" i="1"/>
  <c r="AJ598" i="1"/>
  <c r="AH557" i="1"/>
  <c r="AH560" i="1"/>
  <c r="N271" i="1"/>
  <c r="N274" i="1"/>
  <c r="AM113" i="1"/>
  <c r="AM23" i="1"/>
  <c r="AE247" i="1"/>
  <c r="AM237" i="1"/>
  <c r="AM234" i="1"/>
  <c r="AM232" i="1"/>
  <c r="S670" i="1"/>
  <c r="S667" i="1"/>
  <c r="AH46" i="1"/>
  <c r="AM764" i="1"/>
  <c r="AN989" i="1"/>
  <c r="AN992" i="1"/>
  <c r="AN988" i="1"/>
  <c r="AI925" i="1"/>
  <c r="AG935" i="1"/>
  <c r="AG934" i="1"/>
  <c r="AG938" i="1"/>
  <c r="AE589" i="1"/>
  <c r="AE386" i="1"/>
  <c r="AE1028" i="1"/>
  <c r="AE1025" i="1"/>
  <c r="AN880" i="1"/>
  <c r="AK559" i="1"/>
  <c r="AK562" i="1"/>
  <c r="AE529" i="1"/>
  <c r="AO604" i="1"/>
  <c r="AG499" i="1"/>
  <c r="AE498" i="1"/>
  <c r="AE499" i="1" s="1"/>
  <c r="AE149" i="1"/>
  <c r="AL485" i="1"/>
  <c r="AL488" i="1"/>
  <c r="F443" i="1"/>
  <c r="H439" i="1"/>
  <c r="F438" i="1"/>
  <c r="F439" i="1" s="1"/>
  <c r="AE89" i="1"/>
  <c r="AE92" i="1"/>
  <c r="AO48" i="1"/>
  <c r="AO49" i="1" s="1"/>
  <c r="T91" i="1"/>
  <c r="T94" i="1"/>
  <c r="N391" i="1"/>
  <c r="AJ119" i="1"/>
  <c r="AJ125" i="1" s="1"/>
  <c r="AJ29" i="1"/>
  <c r="AJ38" i="1" s="1"/>
  <c r="AH757" i="1"/>
  <c r="AH760" i="1"/>
  <c r="AK232" i="1"/>
  <c r="AK237" i="1"/>
  <c r="AK234" i="1"/>
  <c r="AQ181" i="1"/>
  <c r="AQ184" i="1"/>
  <c r="AE586" i="1"/>
  <c r="AE714" i="1"/>
  <c r="AE715" i="1" s="1"/>
  <c r="AO493" i="1"/>
  <c r="K184" i="1"/>
  <c r="K181" i="1"/>
  <c r="F578" i="1"/>
  <c r="F575" i="1"/>
  <c r="AE1057" i="1"/>
  <c r="AE1008" i="1"/>
  <c r="AE1011" i="1"/>
  <c r="AE1006" i="1"/>
  <c r="AM1012" i="1"/>
  <c r="AM1009" i="1"/>
  <c r="AO761" i="1"/>
  <c r="AO781" i="1"/>
  <c r="AG799" i="1"/>
  <c r="AJ922" i="1"/>
  <c r="AJ919" i="1"/>
  <c r="AO613" i="1"/>
  <c r="AO616" i="1"/>
  <c r="AJ884" i="1"/>
  <c r="AJ881" i="1"/>
  <c r="AH466" i="1"/>
  <c r="AH468" i="1"/>
  <c r="AH447" i="1"/>
  <c r="AH471" i="1"/>
  <c r="N661" i="1"/>
  <c r="AF544" i="1"/>
  <c r="AF541" i="1"/>
  <c r="F549" i="1"/>
  <c r="N550" i="1"/>
  <c r="AE711" i="1"/>
  <c r="AF712" i="1"/>
  <c r="AN885" i="1"/>
  <c r="AO739" i="1"/>
  <c r="AO742" i="1"/>
  <c r="AK939" i="1"/>
  <c r="AO340" i="1"/>
  <c r="AO342" i="1"/>
  <c r="AO345" i="1"/>
  <c r="AP719" i="1"/>
  <c r="AP722" i="1"/>
  <c r="AL610" i="1"/>
  <c r="AL612" i="1"/>
  <c r="AL615" i="1"/>
  <c r="AE603" i="1"/>
  <c r="AE604" i="1" s="1"/>
  <c r="F435" i="1"/>
  <c r="H307" i="1"/>
  <c r="F594" i="1"/>
  <c r="F597" i="1"/>
  <c r="F592" i="1"/>
  <c r="AL342" i="1"/>
  <c r="AL340" i="1"/>
  <c r="AL345" i="1"/>
  <c r="Y346" i="1"/>
  <c r="Y343" i="1"/>
  <c r="AN664" i="1"/>
  <c r="AO506" i="1"/>
  <c r="AO503" i="1"/>
  <c r="AF151" i="1"/>
  <c r="AF42" i="1"/>
  <c r="AE150" i="1"/>
  <c r="AL120" i="1"/>
  <c r="AL139" i="1"/>
  <c r="AO457" i="1"/>
  <c r="AO438" i="1"/>
  <c r="AO439" i="1" s="1"/>
  <c r="AN706" i="1"/>
  <c r="AN703" i="1"/>
  <c r="W37" i="1"/>
  <c r="W40" i="1"/>
  <c r="AK45" i="1"/>
  <c r="AK46" i="1" s="1"/>
  <c r="AN33" i="1"/>
  <c r="AH885" i="1"/>
  <c r="AH882" i="1"/>
  <c r="AH880" i="1"/>
  <c r="AN993" i="1"/>
  <c r="AM990" i="1"/>
  <c r="AG939" i="1"/>
  <c r="AE961" i="1"/>
  <c r="AJ988" i="1"/>
  <c r="AJ993" i="1"/>
  <c r="AJ990" i="1"/>
  <c r="AG688" i="1"/>
  <c r="AG685" i="1"/>
  <c r="AJ1009" i="1"/>
  <c r="AJ1012" i="1"/>
  <c r="AP847" i="1"/>
  <c r="AP850" i="1"/>
  <c r="AH993" i="1"/>
  <c r="AH990" i="1"/>
  <c r="AH988" i="1"/>
  <c r="AE798" i="1"/>
  <c r="AE799" i="1" s="1"/>
  <c r="AF799" i="1"/>
  <c r="AG817" i="1"/>
  <c r="AE816" i="1"/>
  <c r="AE817" i="1" s="1"/>
  <c r="F603" i="1"/>
  <c r="AL928" i="1"/>
  <c r="AG742" i="1"/>
  <c r="AG739" i="1"/>
  <c r="AE521" i="1"/>
  <c r="AE524" i="1"/>
  <c r="AE542" i="1"/>
  <c r="AE539" i="1"/>
  <c r="AJ1042" i="1"/>
  <c r="AE1000" i="1"/>
  <c r="AM993" i="1"/>
  <c r="AK831" i="1"/>
  <c r="AK826" i="1"/>
  <c r="AK828" i="1"/>
  <c r="AO990" i="1"/>
  <c r="AO993" i="1"/>
  <c r="AO988" i="1"/>
  <c r="AM1066" i="1"/>
  <c r="AM1063" i="1"/>
  <c r="AL760" i="1"/>
  <c r="AL757" i="1"/>
  <c r="AJ865" i="1"/>
  <c r="AJ868" i="1"/>
  <c r="AE755" i="1"/>
  <c r="AE758" i="1"/>
  <c r="AJ830" i="1"/>
  <c r="AP739" i="1"/>
  <c r="AP792" i="1"/>
  <c r="AP771" i="1"/>
  <c r="AP795" i="1"/>
  <c r="AP790" i="1"/>
  <c r="AP478" i="1"/>
  <c r="AE980" i="1"/>
  <c r="AF982" i="1"/>
  <c r="AP881" i="1"/>
  <c r="AE835" i="1"/>
  <c r="F682" i="1"/>
  <c r="AO460" i="1"/>
  <c r="AO441" i="1"/>
  <c r="AO442" i="1" s="1"/>
  <c r="AQ1044" i="1"/>
  <c r="AG829" i="1"/>
  <c r="AG832" i="1"/>
  <c r="AH766" i="1"/>
  <c r="T649" i="1"/>
  <c r="T652" i="1"/>
  <c r="AE543" i="1"/>
  <c r="AE538" i="1"/>
  <c r="AE540" i="1"/>
  <c r="AE387" i="1"/>
  <c r="AF388" i="1"/>
  <c r="AM820" i="1"/>
  <c r="AN486" i="1"/>
  <c r="AN489" i="1"/>
  <c r="AN484" i="1"/>
  <c r="AQ47" i="1"/>
  <c r="AQ1092" i="1" s="1"/>
  <c r="AP883" i="1"/>
  <c r="AP886" i="1"/>
  <c r="AL1066" i="1"/>
  <c r="AL1063" i="1"/>
  <c r="AN601" i="1"/>
  <c r="AE301" i="1"/>
  <c r="AE1021" i="1"/>
  <c r="AE866" i="1"/>
  <c r="AE863" i="1"/>
  <c r="AH612" i="1"/>
  <c r="AH610" i="1"/>
  <c r="AH615" i="1"/>
  <c r="AF415" i="1"/>
  <c r="AF418" i="1"/>
  <c r="AL706" i="1"/>
  <c r="Y559" i="1"/>
  <c r="Y562" i="1"/>
  <c r="F205" i="1"/>
  <c r="N25" i="1"/>
  <c r="F24" i="1"/>
  <c r="F25" i="1" s="1"/>
  <c r="AI770" i="1"/>
  <c r="AI794" i="1"/>
  <c r="AI791" i="1"/>
  <c r="AI790" i="1"/>
  <c r="AJ761" i="1"/>
  <c r="AQ661" i="1"/>
  <c r="W616" i="1"/>
  <c r="W613" i="1"/>
  <c r="AF481" i="1"/>
  <c r="AF487" i="1" s="1"/>
  <c r="AE480" i="1"/>
  <c r="AP274" i="1"/>
  <c r="AP271" i="1"/>
  <c r="AL144" i="1"/>
  <c r="AL142" i="1"/>
  <c r="AL123" i="1"/>
  <c r="AL147" i="1"/>
  <c r="AL33" i="1"/>
  <c r="AG901" i="1"/>
  <c r="AG904" i="1"/>
  <c r="F103" i="1"/>
  <c r="F111" i="1"/>
  <c r="F108" i="1"/>
  <c r="AE492" i="1"/>
  <c r="AE493" i="1" s="1"/>
  <c r="AM781" i="1"/>
  <c r="AM762" i="1"/>
  <c r="AM763" i="1" s="1"/>
  <c r="AQ712" i="1"/>
  <c r="AI470" i="1"/>
  <c r="AP440" i="1"/>
  <c r="AJ179" i="1"/>
  <c r="AJ182" i="1"/>
  <c r="AP460" i="1"/>
  <c r="AP441" i="1"/>
  <c r="AP442" i="1" s="1"/>
  <c r="AP611" i="1"/>
  <c r="AP614" i="1"/>
  <c r="AM436" i="1"/>
  <c r="AM433" i="1"/>
  <c r="AF179" i="1"/>
  <c r="AE176" i="1"/>
  <c r="AF182" i="1"/>
  <c r="AG395" i="1"/>
  <c r="AG398" i="1"/>
  <c r="AE392" i="1"/>
  <c r="AI277" i="1"/>
  <c r="AE276" i="1"/>
  <c r="AE277" i="1" s="1"/>
  <c r="AE171" i="1"/>
  <c r="AE853" i="1"/>
  <c r="AE676" i="1"/>
  <c r="AF334" i="1"/>
  <c r="AE333" i="1"/>
  <c r="AE334" i="1" s="1"/>
  <c r="AM718" i="1"/>
  <c r="AP467" i="1"/>
  <c r="AP446" i="1"/>
  <c r="AP470" i="1"/>
  <c r="H67" i="1"/>
  <c r="F66" i="1"/>
  <c r="F67" i="1" s="1"/>
  <c r="M55" i="1"/>
  <c r="M58" i="1"/>
  <c r="AH607" i="1"/>
  <c r="T487" i="1"/>
  <c r="T490" i="1"/>
  <c r="AH143" i="1"/>
  <c r="AH146" i="1"/>
  <c r="AH32" i="1"/>
  <c r="AH122" i="1"/>
  <c r="V16" i="1"/>
  <c r="V21" i="1"/>
  <c r="V18" i="1"/>
  <c r="N668" i="1"/>
  <c r="N665" i="1"/>
  <c r="AK395" i="1"/>
  <c r="AK398" i="1"/>
  <c r="F339" i="1"/>
  <c r="AE741" i="1"/>
  <c r="AQ457" i="1"/>
  <c r="AQ438" i="1"/>
  <c r="AQ439" i="1" s="1"/>
  <c r="W16" i="1"/>
  <c r="W18" i="1"/>
  <c r="W21" i="1"/>
  <c r="AN460" i="1"/>
  <c r="AN441" i="1"/>
  <c r="AN442" i="1" s="1"/>
  <c r="AE158" i="1"/>
  <c r="F93" i="1"/>
  <c r="AH164" i="1"/>
  <c r="AH742" i="1"/>
  <c r="AH739" i="1"/>
  <c r="AE110" i="1"/>
  <c r="AE107" i="1"/>
  <c r="Q21" i="1"/>
  <c r="Q16" i="1"/>
  <c r="Q18" i="1"/>
  <c r="AP109" i="1"/>
  <c r="P21" i="1"/>
  <c r="P16" i="1"/>
  <c r="P18" i="1"/>
  <c r="AE1114" i="1"/>
  <c r="AP784" i="1"/>
  <c r="AP765" i="1"/>
  <c r="AP766" i="1" s="1"/>
  <c r="AE313" i="1"/>
  <c r="AQ161" i="1"/>
  <c r="H46" i="1"/>
  <c r="F45" i="1"/>
  <c r="F46" i="1" s="1"/>
  <c r="N399" i="1"/>
  <c r="AH50" i="1"/>
  <c r="O454" i="1"/>
  <c r="O451" i="1"/>
  <c r="AL307" i="1"/>
  <c r="AL310" i="1"/>
  <c r="AK169" i="1"/>
  <c r="T125" i="1"/>
  <c r="T128" i="1"/>
  <c r="AG29" i="1"/>
  <c r="AO1046" i="1"/>
  <c r="AI113" i="1"/>
  <c r="AP828" i="1"/>
  <c r="AP831" i="1"/>
  <c r="AP826" i="1"/>
  <c r="H607" i="1"/>
  <c r="F606" i="1"/>
  <c r="F607" i="1" s="1"/>
  <c r="AL26" i="1"/>
  <c r="AK64" i="1"/>
  <c r="F413" i="1"/>
  <c r="F416" i="1"/>
  <c r="AN26" i="1"/>
  <c r="AN116" i="1"/>
  <c r="F540" i="1"/>
  <c r="G613" i="1"/>
  <c r="G616" i="1"/>
  <c r="F359" i="1"/>
  <c r="F362" i="1"/>
  <c r="AP233" i="1"/>
  <c r="AN604" i="1"/>
  <c r="F336" i="1"/>
  <c r="F337" i="1" s="1"/>
  <c r="AH74" i="1"/>
  <c r="AH71" i="1"/>
  <c r="AE68" i="1"/>
  <c r="AN809" i="1"/>
  <c r="AN808" i="1"/>
  <c r="AN812" i="1"/>
  <c r="AI457" i="1"/>
  <c r="AK136" i="1"/>
  <c r="F58" i="1" l="1"/>
  <c r="F55" i="1"/>
  <c r="AN775" i="1"/>
  <c r="AN778" i="1"/>
  <c r="AK1096" i="1"/>
  <c r="AQ775" i="1"/>
  <c r="AQ778" i="1"/>
  <c r="F17" i="1"/>
  <c r="F20" i="1"/>
  <c r="AG343" i="1"/>
  <c r="AG346" i="1"/>
  <c r="AH55" i="1"/>
  <c r="AH58" i="1"/>
  <c r="AL1096" i="1"/>
  <c r="AE688" i="1"/>
  <c r="AE685" i="1"/>
  <c r="AK235" i="1"/>
  <c r="AK238" i="1"/>
  <c r="AG613" i="1"/>
  <c r="AG616" i="1"/>
  <c r="AE109" i="1"/>
  <c r="AE112" i="1"/>
  <c r="AF472" i="1"/>
  <c r="AF469" i="1"/>
  <c r="AQ811" i="1"/>
  <c r="AQ814" i="1"/>
  <c r="AM28" i="1"/>
  <c r="AM9" i="1"/>
  <c r="AM10" i="1" s="1"/>
  <c r="AN448" i="1"/>
  <c r="AN450" i="1"/>
  <c r="AN453" i="1"/>
  <c r="AJ452" i="1"/>
  <c r="AJ449" i="1"/>
  <c r="AJ145" i="1"/>
  <c r="AJ148" i="1"/>
  <c r="AI776" i="1"/>
  <c r="AI773" i="1"/>
  <c r="AH994" i="1"/>
  <c r="AH991" i="1"/>
  <c r="AL613" i="1"/>
  <c r="AL616" i="1"/>
  <c r="AM76" i="1"/>
  <c r="AM73" i="1"/>
  <c r="AN940" i="1"/>
  <c r="AN937" i="1"/>
  <c r="F398" i="1"/>
  <c r="F395" i="1"/>
  <c r="AE664" i="1"/>
  <c r="AE666" i="1"/>
  <c r="AE669" i="1"/>
  <c r="AJ124" i="1"/>
  <c r="AJ129" i="1"/>
  <c r="AJ126" i="1"/>
  <c r="AI670" i="1"/>
  <c r="AI667" i="1"/>
  <c r="AE488" i="1"/>
  <c r="AE485" i="1"/>
  <c r="AE976" i="1"/>
  <c r="AE973" i="1"/>
  <c r="AQ505" i="1"/>
  <c r="AQ508" i="1"/>
  <c r="AH128" i="1"/>
  <c r="AH125" i="1"/>
  <c r="AK49" i="1"/>
  <c r="N559" i="1"/>
  <c r="N562" i="1"/>
  <c r="AK31" i="1"/>
  <c r="AK12" i="1"/>
  <c r="AQ667" i="1"/>
  <c r="AQ670" i="1"/>
  <c r="AK829" i="1"/>
  <c r="AK832" i="1"/>
  <c r="AN991" i="1"/>
  <c r="AN994" i="1"/>
  <c r="AG454" i="1"/>
  <c r="F669" i="1"/>
  <c r="F666" i="1"/>
  <c r="F664" i="1"/>
  <c r="F523" i="1"/>
  <c r="F526" i="1"/>
  <c r="AI454" i="1"/>
  <c r="AI451" i="1"/>
  <c r="AF724" i="1"/>
  <c r="AF721" i="1"/>
  <c r="AM1094" i="1"/>
  <c r="AM35" i="1"/>
  <c r="AM14" i="1"/>
  <c r="AM38" i="1"/>
  <c r="AE143" i="1"/>
  <c r="AE146" i="1"/>
  <c r="AQ562" i="1"/>
  <c r="AQ559" i="1"/>
  <c r="AM613" i="1"/>
  <c r="AM616" i="1"/>
  <c r="AE161" i="1"/>
  <c r="AE164" i="1"/>
  <c r="AL36" i="1"/>
  <c r="AL15" i="1"/>
  <c r="AL39" i="1"/>
  <c r="AL34" i="1"/>
  <c r="AE526" i="1"/>
  <c r="AE523" i="1"/>
  <c r="AK121" i="1"/>
  <c r="AJ774" i="1"/>
  <c r="AJ777" i="1"/>
  <c r="AJ772" i="1"/>
  <c r="H58" i="1"/>
  <c r="H55" i="1"/>
  <c r="AO397" i="1"/>
  <c r="AO400" i="1"/>
  <c r="AE757" i="1"/>
  <c r="AE760" i="1"/>
  <c r="AH487" i="1"/>
  <c r="AH490" i="1"/>
  <c r="AF9" i="1"/>
  <c r="AE27" i="1"/>
  <c r="AF28" i="1"/>
  <c r="AK1091" i="1"/>
  <c r="AK11" i="1"/>
  <c r="AK1093" i="1" s="1"/>
  <c r="AO448" i="1"/>
  <c r="AO453" i="1"/>
  <c r="AO450" i="1"/>
  <c r="AE884" i="1"/>
  <c r="AE881" i="1"/>
  <c r="H346" i="1"/>
  <c r="H343" i="1"/>
  <c r="AG1094" i="1"/>
  <c r="AG14" i="1"/>
  <c r="AG35" i="1"/>
  <c r="AG38" i="1"/>
  <c r="AE850" i="1"/>
  <c r="AE847" i="1"/>
  <c r="AJ832" i="1"/>
  <c r="AJ829" i="1"/>
  <c r="AP400" i="1"/>
  <c r="AP397" i="1"/>
  <c r="AJ562" i="1"/>
  <c r="AJ559" i="1"/>
  <c r="AM18" i="1"/>
  <c r="AG1091" i="1"/>
  <c r="AG11" i="1"/>
  <c r="AG1093" i="1" s="1"/>
  <c r="AE919" i="1"/>
  <c r="AE922" i="1"/>
  <c r="AK6" i="1"/>
  <c r="AK25" i="1"/>
  <c r="T397" i="1"/>
  <c r="T400" i="1"/>
  <c r="AM667" i="1"/>
  <c r="AM670" i="1"/>
  <c r="AG670" i="1"/>
  <c r="AG667" i="1"/>
  <c r="AH166" i="1"/>
  <c r="AH163" i="1"/>
  <c r="AQ400" i="1"/>
  <c r="AQ397" i="1"/>
  <c r="AO940" i="1"/>
  <c r="AO937" i="1"/>
  <c r="AL397" i="1"/>
  <c r="AL400" i="1"/>
  <c r="AG58" i="1"/>
  <c r="AG55" i="1"/>
  <c r="AL148" i="1"/>
  <c r="AL145" i="1"/>
  <c r="AL1091" i="1"/>
  <c r="AL11" i="1"/>
  <c r="AL1093" i="1" s="1"/>
  <c r="AK115" i="1"/>
  <c r="AG469" i="1"/>
  <c r="AE325" i="1"/>
  <c r="AE328" i="1"/>
  <c r="X22" i="1"/>
  <c r="X19" i="1"/>
  <c r="AF292" i="1"/>
  <c r="AF289" i="1"/>
  <c r="AP1048" i="1"/>
  <c r="AP1045" i="1"/>
  <c r="AP1095" i="1"/>
  <c r="AP53" i="1"/>
  <c r="AP56" i="1"/>
  <c r="AE1046" i="1"/>
  <c r="AE1043" i="1"/>
  <c r="AF76" i="1"/>
  <c r="AF1088" i="1"/>
  <c r="AE26" i="1"/>
  <c r="AE1088" i="1" s="1"/>
  <c r="AF8" i="1"/>
  <c r="F453" i="1"/>
  <c r="F450" i="1"/>
  <c r="F448" i="1"/>
  <c r="AL73" i="1"/>
  <c r="AL76" i="1"/>
  <c r="AE172" i="1"/>
  <c r="AE762" i="1"/>
  <c r="AE763" i="1" s="1"/>
  <c r="AF763" i="1"/>
  <c r="AP508" i="1"/>
  <c r="AP505" i="1"/>
  <c r="H40" i="1"/>
  <c r="H37" i="1"/>
  <c r="AI235" i="1"/>
  <c r="AI238" i="1"/>
  <c r="AG129" i="1"/>
  <c r="AG126" i="1"/>
  <c r="AG124" i="1"/>
  <c r="AE120" i="1"/>
  <c r="AE121" i="1" s="1"/>
  <c r="AK883" i="1"/>
  <c r="AK886" i="1"/>
  <c r="AL773" i="1"/>
  <c r="AL776" i="1"/>
  <c r="AQ16" i="1"/>
  <c r="AI1095" i="1"/>
  <c r="AI56" i="1"/>
  <c r="AI53" i="1"/>
  <c r="AL883" i="1"/>
  <c r="AL886" i="1"/>
  <c r="T451" i="1"/>
  <c r="T454" i="1"/>
  <c r="AQ238" i="1"/>
  <c r="AQ235" i="1"/>
  <c r="AE236" i="1"/>
  <c r="AE233" i="1"/>
  <c r="AE812" i="1"/>
  <c r="AL343" i="1"/>
  <c r="AL346" i="1"/>
  <c r="AE781" i="1"/>
  <c r="AK450" i="1"/>
  <c r="AK448" i="1"/>
  <c r="AK453" i="1"/>
  <c r="F34" i="1"/>
  <c r="F39" i="1"/>
  <c r="F36" i="1"/>
  <c r="T508" i="1"/>
  <c r="T505" i="1"/>
  <c r="AK128" i="1"/>
  <c r="AM397" i="1"/>
  <c r="AM400" i="1"/>
  <c r="AJ76" i="1"/>
  <c r="AJ73" i="1"/>
  <c r="H289" i="1"/>
  <c r="H292" i="1"/>
  <c r="AJ613" i="1"/>
  <c r="AJ616" i="1"/>
  <c r="N289" i="1"/>
  <c r="N292" i="1"/>
  <c r="AJ115" i="1"/>
  <c r="AE553" i="1"/>
  <c r="AJ35" i="1"/>
  <c r="AE398" i="1"/>
  <c r="AE395" i="1"/>
  <c r="AE481" i="1"/>
  <c r="F688" i="1"/>
  <c r="F685" i="1"/>
  <c r="T18" i="1"/>
  <c r="T16" i="1"/>
  <c r="T21" i="1"/>
  <c r="H7" i="1"/>
  <c r="F6" i="1"/>
  <c r="F7" i="1" s="1"/>
  <c r="AE199" i="1"/>
  <c r="AE202" i="1"/>
  <c r="F487" i="1"/>
  <c r="F490" i="1"/>
  <c r="AE939" i="1"/>
  <c r="AE934" i="1"/>
  <c r="AE936" i="1"/>
  <c r="AG811" i="1"/>
  <c r="AG814" i="1"/>
  <c r="AE391" i="1"/>
  <c r="AE256" i="1"/>
  <c r="AE253" i="1"/>
  <c r="AL490" i="1"/>
  <c r="AL487" i="1"/>
  <c r="AJ56" i="1"/>
  <c r="AP613" i="1"/>
  <c r="AP616" i="1"/>
  <c r="L19" i="1"/>
  <c r="L22" i="1"/>
  <c r="AP490" i="1"/>
  <c r="AP487" i="1"/>
  <c r="AN814" i="1"/>
  <c r="AN811" i="1"/>
  <c r="Q19" i="1"/>
  <c r="Q22" i="1"/>
  <c r="AG43" i="1"/>
  <c r="U19" i="1"/>
  <c r="U22" i="1"/>
  <c r="AM6" i="1"/>
  <c r="AM25" i="1"/>
  <c r="AM508" i="1"/>
  <c r="AM505" i="1"/>
  <c r="AE1081" i="1"/>
  <c r="AE1084" i="1"/>
  <c r="T616" i="1"/>
  <c r="T613" i="1"/>
  <c r="AE457" i="1"/>
  <c r="AF777" i="1"/>
  <c r="AF772" i="1"/>
  <c r="AE771" i="1"/>
  <c r="AF774" i="1"/>
  <c r="AE1047" i="1"/>
  <c r="AE1042" i="1"/>
  <c r="AE1044" i="1"/>
  <c r="AO883" i="1"/>
  <c r="AF37" i="1"/>
  <c r="AF40" i="1"/>
  <c r="AG25" i="1"/>
  <c r="AG6" i="1"/>
  <c r="AE232" i="1"/>
  <c r="AE237" i="1"/>
  <c r="AE234" i="1"/>
  <c r="AH343" i="1"/>
  <c r="AH346" i="1"/>
  <c r="AK184" i="1"/>
  <c r="AK181" i="1"/>
  <c r="AL449" i="1"/>
  <c r="AL452" i="1"/>
  <c r="N16" i="1"/>
  <c r="N21" i="1"/>
  <c r="N18" i="1"/>
  <c r="F291" i="1"/>
  <c r="F286" i="1"/>
  <c r="F288" i="1"/>
  <c r="AI128" i="1"/>
  <c r="AI125" i="1"/>
  <c r="AF148" i="1"/>
  <c r="AF145" i="1"/>
  <c r="F182" i="1"/>
  <c r="F179" i="1"/>
  <c r="AK490" i="1"/>
  <c r="AK487" i="1"/>
  <c r="AE438" i="1"/>
  <c r="AE439" i="1" s="1"/>
  <c r="AF439" i="1"/>
  <c r="AO796" i="1"/>
  <c r="AO793" i="1"/>
  <c r="AP1094" i="1"/>
  <c r="AP35" i="1"/>
  <c r="AP14" i="1"/>
  <c r="AP38" i="1"/>
  <c r="AI39" i="1"/>
  <c r="AI36" i="1"/>
  <c r="AI15" i="1"/>
  <c r="AI34" i="1"/>
  <c r="AM1091" i="1"/>
  <c r="AM11" i="1"/>
  <c r="AM1093" i="1" s="1"/>
  <c r="AK57" i="1"/>
  <c r="N238" i="1"/>
  <c r="N235" i="1"/>
  <c r="AE24" i="1"/>
  <c r="AL1088" i="1"/>
  <c r="AL8" i="1"/>
  <c r="AL1090" i="1" s="1"/>
  <c r="AM1085" i="1"/>
  <c r="AM5" i="1"/>
  <c r="AM1087" i="1" s="1"/>
  <c r="AM52" i="1"/>
  <c r="AM54" i="1"/>
  <c r="AM57" i="1"/>
  <c r="AE614" i="1"/>
  <c r="AE611" i="1"/>
  <c r="AM31" i="1"/>
  <c r="AM12" i="1"/>
  <c r="AM832" i="1"/>
  <c r="AE865" i="1"/>
  <c r="AE868" i="1"/>
  <c r="F145" i="1"/>
  <c r="F148" i="1"/>
  <c r="AK52" i="1"/>
  <c r="AP289" i="1"/>
  <c r="AP292" i="1"/>
  <c r="AH121" i="1"/>
  <c r="AL450" i="1"/>
  <c r="AL453" i="1"/>
  <c r="AL448" i="1"/>
  <c r="AI449" i="1"/>
  <c r="AI452" i="1"/>
  <c r="AE433" i="1"/>
  <c r="AE436" i="1"/>
  <c r="AK35" i="1"/>
  <c r="AE388" i="1"/>
  <c r="F604" i="1"/>
  <c r="AI54" i="1"/>
  <c r="AI52" i="1"/>
  <c r="AI57" i="1"/>
  <c r="AK54" i="1"/>
  <c r="AE820" i="1"/>
  <c r="AK814" i="1"/>
  <c r="AK811" i="1"/>
  <c r="AH505" i="1"/>
  <c r="AH508" i="1"/>
  <c r="AE361" i="1"/>
  <c r="AE364" i="1"/>
  <c r="AQ490" i="1"/>
  <c r="AQ487" i="1"/>
  <c r="AG31" i="1"/>
  <c r="AG12" i="1"/>
  <c r="AG13" i="1" s="1"/>
  <c r="AL121" i="1"/>
  <c r="AG937" i="1"/>
  <c r="AG940" i="1"/>
  <c r="AK163" i="1"/>
  <c r="AK166" i="1"/>
  <c r="AJ814" i="1"/>
  <c r="AJ811" i="1"/>
  <c r="AN6" i="1"/>
  <c r="AN25" i="1"/>
  <c r="AM124" i="1"/>
  <c r="AM126" i="1"/>
  <c r="AM129" i="1"/>
  <c r="AL125" i="1"/>
  <c r="AL128" i="1"/>
  <c r="AN124" i="1"/>
  <c r="AN129" i="1"/>
  <c r="AN126" i="1"/>
  <c r="AP148" i="1"/>
  <c r="AP145" i="1"/>
  <c r="AN400" i="1"/>
  <c r="AF670" i="1"/>
  <c r="AH559" i="1"/>
  <c r="AH562" i="1"/>
  <c r="AK292" i="1"/>
  <c r="AK289" i="1"/>
  <c r="AH452" i="1"/>
  <c r="AH449" i="1"/>
  <c r="AN469" i="1"/>
  <c r="AN472" i="1"/>
  <c r="F558" i="1"/>
  <c r="F556" i="1"/>
  <c r="F561" i="1"/>
  <c r="AF115" i="1"/>
  <c r="AE114" i="1"/>
  <c r="AE115" i="1" s="1"/>
  <c r="N17" i="1"/>
  <c r="N20" i="1"/>
  <c r="AO76" i="1"/>
  <c r="AO73" i="1"/>
  <c r="H127" i="1"/>
  <c r="H130" i="1"/>
  <c r="AE506" i="1"/>
  <c r="AE503" i="1"/>
  <c r="AM796" i="1"/>
  <c r="AM793" i="1"/>
  <c r="AQ128" i="1"/>
  <c r="AQ125" i="1"/>
  <c r="AE467" i="1"/>
  <c r="AE470" i="1"/>
  <c r="AO773" i="1"/>
  <c r="AO776" i="1"/>
  <c r="AK724" i="1"/>
  <c r="AK721" i="1"/>
  <c r="AE761" i="1"/>
  <c r="N670" i="1"/>
  <c r="N667" i="1"/>
  <c r="AE826" i="1"/>
  <c r="AE831" i="1"/>
  <c r="AE828" i="1"/>
  <c r="AO505" i="1"/>
  <c r="AO508" i="1"/>
  <c r="AQ774" i="1"/>
  <c r="AN125" i="1"/>
  <c r="AN128" i="1"/>
  <c r="AE290" i="1"/>
  <c r="AE287" i="1"/>
  <c r="AG452" i="1"/>
  <c r="AE139" i="1"/>
  <c r="AE123" i="1"/>
  <c r="AF129" i="1"/>
  <c r="AF124" i="1"/>
  <c r="AF126" i="1"/>
  <c r="AP1088" i="1"/>
  <c r="AP8" i="1"/>
  <c r="AP1090" i="1" s="1"/>
  <c r="T181" i="1"/>
  <c r="T184" i="1"/>
  <c r="AO1085" i="1"/>
  <c r="AO5" i="1"/>
  <c r="AO1087" i="1" s="1"/>
  <c r="AE396" i="1"/>
  <c r="AK38" i="1"/>
  <c r="AI9" i="1"/>
  <c r="F577" i="1"/>
  <c r="F580" i="1"/>
  <c r="F128" i="1"/>
  <c r="F125" i="1"/>
  <c r="AP773" i="1"/>
  <c r="AP776" i="1"/>
  <c r="AM487" i="1"/>
  <c r="AM490" i="1"/>
  <c r="AM940" i="1"/>
  <c r="AM937" i="1"/>
  <c r="AL811" i="1"/>
  <c r="AL814" i="1"/>
  <c r="AK76" i="1"/>
  <c r="AK73" i="1"/>
  <c r="AF442" i="1"/>
  <c r="AE441" i="1"/>
  <c r="AE442" i="1" s="1"/>
  <c r="T292" i="1"/>
  <c r="T289" i="1"/>
  <c r="AP6" i="1"/>
  <c r="AP25" i="1"/>
  <c r="AE1066" i="1"/>
  <c r="AE1063" i="1"/>
  <c r="AH796" i="1"/>
  <c r="AH793" i="1"/>
  <c r="AI1085" i="1"/>
  <c r="AI5" i="1"/>
  <c r="AI1087" i="1" s="1"/>
  <c r="AO487" i="1"/>
  <c r="AO490" i="1"/>
  <c r="AQ166" i="1"/>
  <c r="AQ163" i="1"/>
  <c r="F469" i="1"/>
  <c r="F472" i="1"/>
  <c r="AH1045" i="1"/>
  <c r="AH1048" i="1"/>
  <c r="AH1094" i="1"/>
  <c r="AH14" i="1"/>
  <c r="AH35" i="1"/>
  <c r="AH38" i="1"/>
  <c r="AN670" i="1"/>
  <c r="AN667" i="1"/>
  <c r="F53" i="1"/>
  <c r="F56" i="1"/>
  <c r="AE1027" i="1"/>
  <c r="AE1030" i="1"/>
  <c r="AM34" i="1"/>
  <c r="H10" i="1"/>
  <c r="F9" i="1"/>
  <c r="F10" i="1" s="1"/>
  <c r="AL667" i="1"/>
  <c r="AL670" i="1"/>
  <c r="AF883" i="1"/>
  <c r="AF886" i="1"/>
  <c r="AQ452" i="1"/>
  <c r="AQ449" i="1"/>
  <c r="AG145" i="1"/>
  <c r="AG148" i="1"/>
  <c r="P22" i="1"/>
  <c r="P19" i="1"/>
  <c r="AL292" i="1"/>
  <c r="AL289" i="1"/>
  <c r="F70" i="1"/>
  <c r="F72" i="1"/>
  <c r="F75" i="1"/>
  <c r="F382" i="1"/>
  <c r="F379" i="1"/>
  <c r="AG991" i="1"/>
  <c r="AG994" i="1"/>
  <c r="AP450" i="1"/>
  <c r="AP453" i="1"/>
  <c r="AP448" i="1"/>
  <c r="AJ31" i="1"/>
  <c r="AM121" i="1"/>
  <c r="AO346" i="1"/>
  <c r="AO343" i="1"/>
  <c r="AH129" i="1"/>
  <c r="AH124" i="1"/>
  <c r="AH126" i="1"/>
  <c r="F38" i="1"/>
  <c r="F35" i="1"/>
  <c r="AN616" i="1"/>
  <c r="AN613" i="1"/>
  <c r="AE615" i="1"/>
  <c r="AE610" i="1"/>
  <c r="AE612" i="1"/>
  <c r="N451" i="1"/>
  <c r="N454" i="1"/>
  <c r="AE437" i="1"/>
  <c r="AJ670" i="1"/>
  <c r="AJ667" i="1"/>
  <c r="AP235" i="1"/>
  <c r="AP238" i="1"/>
  <c r="AN490" i="1"/>
  <c r="AN487" i="1"/>
  <c r="AN883" i="1"/>
  <c r="AN886" i="1"/>
  <c r="H76" i="1"/>
  <c r="H73" i="1"/>
  <c r="AE765" i="1"/>
  <c r="AE766" i="1" s="1"/>
  <c r="AF766" i="1"/>
  <c r="AF400" i="1"/>
  <c r="AF397" i="1"/>
  <c r="AE580" i="1"/>
  <c r="AE577" i="1"/>
  <c r="H184" i="1"/>
  <c r="H181" i="1"/>
  <c r="AN121" i="1"/>
  <c r="AJ940" i="1"/>
  <c r="AJ937" i="1"/>
  <c r="AP940" i="1"/>
  <c r="AP937" i="1"/>
  <c r="AE795" i="1"/>
  <c r="AE792" i="1"/>
  <c r="AE790" i="1"/>
  <c r="AF1045" i="1"/>
  <c r="AF1048" i="1"/>
  <c r="AE162" i="1"/>
  <c r="AE160" i="1"/>
  <c r="AE165" i="1"/>
  <c r="AJ121" i="1"/>
  <c r="AK508" i="1"/>
  <c r="AL184" i="1"/>
  <c r="AL181" i="1"/>
  <c r="AK125" i="1"/>
  <c r="AM766" i="1"/>
  <c r="AE61" i="1"/>
  <c r="AI13" i="1"/>
  <c r="F598" i="1"/>
  <c r="F595" i="1"/>
  <c r="AJ448" i="1"/>
  <c r="AJ450" i="1"/>
  <c r="AJ453" i="1"/>
  <c r="F183" i="1"/>
  <c r="F178" i="1"/>
  <c r="F180" i="1"/>
  <c r="AI148" i="1"/>
  <c r="AI145" i="1"/>
  <c r="AN115" i="1"/>
  <c r="AO289" i="1"/>
  <c r="AO292" i="1"/>
  <c r="AE44" i="1"/>
  <c r="AE1089" i="1" s="1"/>
  <c r="AF1089" i="1"/>
  <c r="AE992" i="1"/>
  <c r="AE989" i="1"/>
  <c r="AO126" i="1"/>
  <c r="AO129" i="1"/>
  <c r="AO124" i="1"/>
  <c r="AM1048" i="1"/>
  <c r="AM1045" i="1"/>
  <c r="F340" i="1"/>
  <c r="F345" i="1"/>
  <c r="F342" i="1"/>
  <c r="AP129" i="1"/>
  <c r="AP126" i="1"/>
  <c r="AP124" i="1"/>
  <c r="H18" i="1"/>
  <c r="H21" i="1"/>
  <c r="H16" i="1"/>
  <c r="AK452" i="1"/>
  <c r="AK449" i="1"/>
  <c r="AL721" i="1"/>
  <c r="AL724" i="1"/>
  <c r="AK445" i="1"/>
  <c r="T562" i="1"/>
  <c r="T559" i="1"/>
  <c r="AM450" i="1"/>
  <c r="AM448" i="1"/>
  <c r="AM453" i="1"/>
  <c r="T76" i="1"/>
  <c r="AJ235" i="1"/>
  <c r="AJ238" i="1"/>
  <c r="AL1095" i="1"/>
  <c r="AL53" i="1"/>
  <c r="AL56" i="1"/>
  <c r="AE722" i="1"/>
  <c r="AE719" i="1"/>
  <c r="O22" i="1"/>
  <c r="O19" i="1"/>
  <c r="AH31" i="1"/>
  <c r="AH12" i="1"/>
  <c r="AH13" i="1" s="1"/>
  <c r="AE70" i="1"/>
  <c r="AE72" i="1"/>
  <c r="AE75" i="1"/>
  <c r="AL469" i="1"/>
  <c r="AL472" i="1"/>
  <c r="F665" i="1"/>
  <c r="F668" i="1"/>
  <c r="T7" i="1"/>
  <c r="AO1045" i="1"/>
  <c r="AO1048" i="1"/>
  <c r="AK774" i="1"/>
  <c r="AK777" i="1"/>
  <c r="AK772" i="1"/>
  <c r="AE147" i="1"/>
  <c r="AE144" i="1"/>
  <c r="AE142" i="1"/>
  <c r="AE787" i="1"/>
  <c r="AE122" i="1"/>
  <c r="AE827" i="1"/>
  <c r="AE598" i="1"/>
  <c r="AE595" i="1"/>
  <c r="AO559" i="1"/>
  <c r="AO562" i="1"/>
  <c r="AM452" i="1"/>
  <c r="AM449" i="1"/>
  <c r="AP9" i="1"/>
  <c r="AP10" i="1" s="1"/>
  <c r="AP28" i="1"/>
  <c r="AE489" i="1"/>
  <c r="AE484" i="1"/>
  <c r="AE486" i="1"/>
  <c r="AM472" i="1"/>
  <c r="AK9" i="1"/>
  <c r="AK10" i="1" s="1"/>
  <c r="AK36" i="1"/>
  <c r="AK39" i="1"/>
  <c r="AK34" i="1"/>
  <c r="AK15" i="1"/>
  <c r="AE712" i="1"/>
  <c r="G22" i="1"/>
  <c r="G19" i="1"/>
  <c r="AF991" i="1"/>
  <c r="AF994" i="1"/>
  <c r="AG724" i="1"/>
  <c r="AG721" i="1"/>
  <c r="AL31" i="1"/>
  <c r="AL12" i="1"/>
  <c r="AL13" i="1" s="1"/>
  <c r="AH25" i="1"/>
  <c r="AH6" i="1"/>
  <c r="F232" i="1"/>
  <c r="F234" i="1"/>
  <c r="F237" i="1"/>
  <c r="AL1048" i="1"/>
  <c r="AL1045" i="1"/>
  <c r="AF1092" i="1"/>
  <c r="AE47" i="1"/>
  <c r="AE1092" i="1" s="1"/>
  <c r="AH721" i="1"/>
  <c r="AH724" i="1"/>
  <c r="AE703" i="1"/>
  <c r="AE706" i="1"/>
  <c r="AE802" i="1"/>
  <c r="AK793" i="1"/>
  <c r="AK796" i="1"/>
  <c r="AM1088" i="1"/>
  <c r="AM8" i="1"/>
  <c r="AM1090" i="1" s="1"/>
  <c r="AQ1088" i="1"/>
  <c r="AQ8" i="1"/>
  <c r="AQ1090" i="1" s="1"/>
  <c r="AO1091" i="1"/>
  <c r="AO11" i="1"/>
  <c r="AO1093" i="1" s="1"/>
  <c r="AE399" i="1"/>
  <c r="AP449" i="1"/>
  <c r="AP452" i="1"/>
  <c r="AE544" i="1"/>
  <c r="AE541" i="1"/>
  <c r="F550" i="1"/>
  <c r="AH940" i="1"/>
  <c r="AH937" i="1"/>
  <c r="AM148" i="1"/>
  <c r="AM145" i="1"/>
  <c r="AM184" i="1"/>
  <c r="AM181" i="1"/>
  <c r="AL559" i="1"/>
  <c r="AL562" i="1"/>
  <c r="AN148" i="1"/>
  <c r="AN145" i="1"/>
  <c r="F433" i="1"/>
  <c r="F436" i="1"/>
  <c r="AP15" i="1"/>
  <c r="AP36" i="1"/>
  <c r="AP34" i="1"/>
  <c r="AP39" i="1"/>
  <c r="S19" i="1"/>
  <c r="S22" i="1"/>
  <c r="AE466" i="1"/>
  <c r="AE468" i="1"/>
  <c r="AE471" i="1"/>
  <c r="F15" i="1"/>
  <c r="AE990" i="1"/>
  <c r="AE993" i="1"/>
  <c r="AE988" i="1"/>
  <c r="AH670" i="1"/>
  <c r="AH667" i="1"/>
  <c r="AE720" i="1"/>
  <c r="AE718" i="1"/>
  <c r="AE723" i="1"/>
  <c r="AI994" i="1"/>
  <c r="AI991" i="1"/>
  <c r="AQ829" i="1"/>
  <c r="AQ832" i="1"/>
  <c r="AE283" i="1"/>
  <c r="AN235" i="1"/>
  <c r="AE30" i="1"/>
  <c r="AF31" i="1"/>
  <c r="AF12" i="1"/>
  <c r="F287" i="1"/>
  <c r="F290" i="1"/>
  <c r="AE23" i="1"/>
  <c r="AE1085" i="1" s="1"/>
  <c r="AF5" i="1"/>
  <c r="AF1085" i="1"/>
  <c r="AL1085" i="1"/>
  <c r="AL5" i="1"/>
  <c r="AL1087" i="1" s="1"/>
  <c r="AE805" i="1"/>
  <c r="AI6" i="1"/>
  <c r="AI7" i="1" s="1"/>
  <c r="AI25" i="1"/>
  <c r="AG166" i="1"/>
  <c r="AG163" i="1"/>
  <c r="AJ39" i="1"/>
  <c r="AJ36" i="1"/>
  <c r="AJ15" i="1"/>
  <c r="AJ34" i="1"/>
  <c r="AI1045" i="1"/>
  <c r="AI1048" i="1"/>
  <c r="AF452" i="1"/>
  <c r="AE446" i="1"/>
  <c r="AF449" i="1"/>
  <c r="AM442" i="1"/>
  <c r="F452" i="1"/>
  <c r="F449" i="1"/>
  <c r="AF829" i="1"/>
  <c r="AF832" i="1"/>
  <c r="AN31" i="1"/>
  <c r="AN12" i="1"/>
  <c r="AN13" i="1" s="1"/>
  <c r="AK145" i="1"/>
  <c r="AK148" i="1"/>
  <c r="AQ49" i="1"/>
  <c r="AF118" i="1"/>
  <c r="AE117" i="1"/>
  <c r="AE557" i="1"/>
  <c r="AE560" i="1"/>
  <c r="AE394" i="1"/>
  <c r="T55" i="1"/>
  <c r="AM163" i="1"/>
  <c r="AF49" i="1"/>
  <c r="AM721" i="1"/>
  <c r="AM724" i="1"/>
  <c r="AP774" i="1"/>
  <c r="AP777" i="1"/>
  <c r="AP772" i="1"/>
  <c r="AQ613" i="1"/>
  <c r="AQ616" i="1"/>
  <c r="AO472" i="1"/>
  <c r="AO469" i="1"/>
  <c r="AP57" i="1"/>
  <c r="AP52" i="1"/>
  <c r="AP54" i="1"/>
  <c r="AN1096" i="1"/>
  <c r="AN17" i="1"/>
  <c r="AN20" i="1"/>
  <c r="V19" i="1"/>
  <c r="V22" i="1"/>
  <c r="AH886" i="1"/>
  <c r="AH883" i="1"/>
  <c r="AE1012" i="1"/>
  <c r="AE1009" i="1"/>
  <c r="AN28" i="1"/>
  <c r="AN9" i="1"/>
  <c r="AN10" i="1" s="1"/>
  <c r="AI832" i="1"/>
  <c r="AI829" i="1"/>
  <c r="AK613" i="1"/>
  <c r="AK616" i="1"/>
  <c r="AG769" i="1"/>
  <c r="AG777" i="1"/>
  <c r="AG774" i="1"/>
  <c r="AP166" i="1"/>
  <c r="AP163" i="1"/>
  <c r="AQ763" i="1"/>
  <c r="H454" i="1"/>
  <c r="H451" i="1"/>
  <c r="AE504" i="1"/>
  <c r="AQ145" i="1"/>
  <c r="AQ148" i="1"/>
  <c r="AG883" i="1"/>
  <c r="AG886" i="1"/>
  <c r="H667" i="1"/>
  <c r="H670" i="1"/>
  <c r="AJ793" i="1"/>
  <c r="AJ796" i="1"/>
  <c r="AK1085" i="1"/>
  <c r="AK5" i="1"/>
  <c r="AK1087" i="1" s="1"/>
  <c r="AN1085" i="1"/>
  <c r="AN5" i="1"/>
  <c r="AN1087" i="1" s="1"/>
  <c r="T17" i="1"/>
  <c r="T20" i="1"/>
  <c r="AQ9" i="1"/>
  <c r="AQ10" i="1" s="1"/>
  <c r="AQ28" i="1"/>
  <c r="AQ776" i="1"/>
  <c r="AQ773" i="1"/>
  <c r="AQ469" i="1"/>
  <c r="AQ472" i="1"/>
  <c r="AE505" i="1"/>
  <c r="AE508" i="1"/>
  <c r="AL124" i="1"/>
  <c r="AL129" i="1"/>
  <c r="AL126" i="1"/>
  <c r="AH450" i="1"/>
  <c r="AH453" i="1"/>
  <c r="AH448" i="1"/>
  <c r="AJ1091" i="1"/>
  <c r="AJ11" i="1"/>
  <c r="AJ1093" i="1" s="1"/>
  <c r="AO814" i="1"/>
  <c r="AP76" i="1"/>
  <c r="AP73" i="1"/>
  <c r="AO28" i="1"/>
  <c r="AO9" i="1"/>
  <c r="AO10" i="1" s="1"/>
  <c r="AO6" i="1"/>
  <c r="AI613" i="1"/>
  <c r="AI616" i="1"/>
  <c r="Y22" i="1"/>
  <c r="Y19" i="1"/>
  <c r="AJ166" i="1"/>
  <c r="AJ163" i="1"/>
  <c r="AE882" i="1"/>
  <c r="AE880" i="1"/>
  <c r="AE885" i="1"/>
  <c r="AP1091" i="1"/>
  <c r="AP11" i="1"/>
  <c r="AP1093" i="1" s="1"/>
  <c r="AL940" i="1"/>
  <c r="AL937" i="1"/>
  <c r="AO128" i="1"/>
  <c r="AO125" i="1"/>
  <c r="AQ450" i="1"/>
  <c r="AQ453" i="1"/>
  <c r="AQ448" i="1"/>
  <c r="AJ1045" i="1"/>
  <c r="AJ1048" i="1"/>
  <c r="AN15" i="1"/>
  <c r="AN39" i="1"/>
  <c r="AN36" i="1"/>
  <c r="AN34" i="1"/>
  <c r="AH148" i="1"/>
  <c r="AH145" i="1"/>
  <c r="AE634" i="1"/>
  <c r="AE631" i="1"/>
  <c r="AF57" i="1"/>
  <c r="AE51" i="1"/>
  <c r="AF52" i="1"/>
  <c r="AF54" i="1"/>
  <c r="AF616" i="1"/>
  <c r="AF613" i="1"/>
  <c r="AE443" i="1"/>
  <c r="AG773" i="1"/>
  <c r="AG776" i="1"/>
  <c r="AG772" i="1"/>
  <c r="AE45" i="1"/>
  <c r="AE46" i="1" s="1"/>
  <c r="AG400" i="1"/>
  <c r="AG397" i="1"/>
  <c r="F649" i="1"/>
  <c r="F652" i="1"/>
  <c r="AP472" i="1"/>
  <c r="AP469" i="1"/>
  <c r="AE938" i="1"/>
  <c r="AE935" i="1"/>
  <c r="AF235" i="1"/>
  <c r="AF238" i="1"/>
  <c r="AH469" i="1"/>
  <c r="AH472" i="1"/>
  <c r="AL777" i="1"/>
  <c r="AL772" i="1"/>
  <c r="AL774" i="1"/>
  <c r="AI772" i="1"/>
  <c r="AF163" i="1"/>
  <c r="AF166" i="1"/>
  <c r="AE50" i="1"/>
  <c r="F631" i="1"/>
  <c r="F634" i="1"/>
  <c r="AI445" i="1"/>
  <c r="AO184" i="1"/>
  <c r="AO181" i="1"/>
  <c r="AN776" i="1"/>
  <c r="AN773" i="1"/>
  <c r="F394" i="1"/>
  <c r="AE91" i="1"/>
  <c r="AE94" i="1"/>
  <c r="AP343" i="1"/>
  <c r="AP346" i="1"/>
  <c r="AE116" i="1"/>
  <c r="AJ25" i="1"/>
  <c r="AJ6" i="1"/>
  <c r="AJ7" i="1" s="1"/>
  <c r="AH832" i="1"/>
  <c r="AH829" i="1"/>
  <c r="AH763" i="1"/>
  <c r="AK346" i="1"/>
  <c r="AK343" i="1"/>
  <c r="AO55" i="1"/>
  <c r="AO58" i="1"/>
  <c r="AP31" i="1"/>
  <c r="W22" i="1"/>
  <c r="W19" i="1"/>
  <c r="AJ346" i="1"/>
  <c r="AJ343" i="1"/>
  <c r="AJ505" i="1"/>
  <c r="AJ508" i="1"/>
  <c r="T37" i="1"/>
  <c r="T40" i="1"/>
  <c r="AQ1085" i="1"/>
  <c r="AQ5" i="1"/>
  <c r="AQ1087" i="1" s="1"/>
  <c r="AF940" i="1"/>
  <c r="AF937" i="1"/>
  <c r="AI346" i="1"/>
  <c r="AI343" i="1"/>
  <c r="AJ1085" i="1"/>
  <c r="AJ5" i="1"/>
  <c r="AJ1087" i="1" s="1"/>
  <c r="AP991" i="1"/>
  <c r="AP994" i="1"/>
  <c r="AJ49" i="1"/>
  <c r="AM991" i="1"/>
  <c r="AM994" i="1"/>
  <c r="AJ1096" i="1"/>
  <c r="AJ17" i="1"/>
  <c r="AN1088" i="1"/>
  <c r="AN8" i="1"/>
  <c r="AN1090" i="1" s="1"/>
  <c r="AM238" i="1"/>
  <c r="AM235" i="1"/>
  <c r="AP559" i="1"/>
  <c r="AP562" i="1"/>
  <c r="AH39" i="1"/>
  <c r="AH34" i="1"/>
  <c r="AH36" i="1"/>
  <c r="AH15" i="1"/>
  <c r="AQ292" i="1"/>
  <c r="AQ289" i="1"/>
  <c r="AG505" i="1"/>
  <c r="AG508" i="1"/>
  <c r="F364" i="1"/>
  <c r="F361" i="1"/>
  <c r="AI166" i="1"/>
  <c r="AI163" i="1"/>
  <c r="F612" i="1"/>
  <c r="F610" i="1"/>
  <c r="F615" i="1"/>
  <c r="F328" i="1"/>
  <c r="F325" i="1"/>
  <c r="F199" i="1"/>
  <c r="F202" i="1"/>
  <c r="AP1085" i="1"/>
  <c r="AP5" i="1"/>
  <c r="AP1087" i="1" s="1"/>
  <c r="AO1094" i="1"/>
  <c r="AO35" i="1"/>
  <c r="AO14" i="1"/>
  <c r="AO16" i="1" s="1"/>
  <c r="AO38" i="1"/>
  <c r="AE901" i="1"/>
  <c r="AE904" i="1"/>
  <c r="AE291" i="1"/>
  <c r="AE288" i="1"/>
  <c r="AE286" i="1"/>
  <c r="AG39" i="1"/>
  <c r="AG34" i="1"/>
  <c r="AG15" i="1"/>
  <c r="AG36" i="1"/>
  <c r="AI1094" i="1"/>
  <c r="AI38" i="1"/>
  <c r="AI35" i="1"/>
  <c r="AI14" i="1"/>
  <c r="AE29" i="1"/>
  <c r="AE1091" i="1" s="1"/>
  <c r="AJ776" i="1"/>
  <c r="AJ773" i="1"/>
  <c r="F557" i="1"/>
  <c r="F560" i="1"/>
  <c r="AK469" i="1"/>
  <c r="AK472" i="1"/>
  <c r="AJ472" i="1"/>
  <c r="AJ469" i="1"/>
  <c r="AQ6" i="1"/>
  <c r="AQ7" i="1" s="1"/>
  <c r="AF15" i="1"/>
  <c r="AP128" i="1"/>
  <c r="AP125" i="1"/>
  <c r="AE382" i="1"/>
  <c r="AE379" i="1"/>
  <c r="AO12" i="1"/>
  <c r="AO13" i="1" s="1"/>
  <c r="AO31" i="1"/>
  <c r="AO37" i="1" s="1"/>
  <c r="AL54" i="1"/>
  <c r="AL52" i="1"/>
  <c r="AL57" i="1"/>
  <c r="AH1085" i="1"/>
  <c r="AH5" i="1"/>
  <c r="AH1087" i="1" s="1"/>
  <c r="H508" i="1"/>
  <c r="H505" i="1"/>
  <c r="AG1085" i="1"/>
  <c r="AG5" i="1"/>
  <c r="AG1087" i="1" s="1"/>
  <c r="AQ73" i="1"/>
  <c r="AQ76" i="1"/>
  <c r="AF1093" i="1"/>
  <c r="AN184" i="1"/>
  <c r="AN181" i="1"/>
  <c r="R19" i="1"/>
  <c r="R22" i="1"/>
  <c r="AE607" i="1"/>
  <c r="AI490" i="1"/>
  <c r="AI487" i="1"/>
  <c r="AJ53" i="1"/>
  <c r="AE794" i="1"/>
  <c r="AE791" i="1"/>
  <c r="AJ721" i="1"/>
  <c r="AJ724" i="1"/>
  <c r="AE652" i="1"/>
  <c r="AE649" i="1"/>
  <c r="AE558" i="1"/>
  <c r="AE561" i="1"/>
  <c r="AE556" i="1"/>
  <c r="AN55" i="1"/>
  <c r="AN58" i="1"/>
  <c r="AL35" i="1"/>
  <c r="AM1095" i="1"/>
  <c r="AM56" i="1"/>
  <c r="AM53" i="1"/>
  <c r="AO166" i="1"/>
  <c r="AO163" i="1"/>
  <c r="AG562" i="1"/>
  <c r="AG559" i="1"/>
  <c r="AE985" i="1"/>
  <c r="F502" i="1"/>
  <c r="F504" i="1"/>
  <c r="F507" i="1"/>
  <c r="AK1095" i="1"/>
  <c r="AK56" i="1"/>
  <c r="AK53" i="1"/>
  <c r="AE340" i="1"/>
  <c r="AE345" i="1"/>
  <c r="AE342" i="1"/>
  <c r="AI1091" i="1"/>
  <c r="AI11" i="1"/>
  <c r="AI1093" i="1" s="1"/>
  <c r="AG289" i="1"/>
  <c r="AG292" i="1"/>
  <c r="AF773" i="1"/>
  <c r="AE770" i="1"/>
  <c r="AF776" i="1"/>
  <c r="H613" i="1"/>
  <c r="H616" i="1"/>
  <c r="AO148" i="1"/>
  <c r="AO145" i="1"/>
  <c r="AF559" i="1"/>
  <c r="AF562" i="1"/>
  <c r="M19" i="1"/>
  <c r="M22" i="1"/>
  <c r="AM125" i="1"/>
  <c r="AM128" i="1"/>
  <c r="AJ128" i="1"/>
  <c r="AQ1096" i="1"/>
  <c r="AQ17" i="1"/>
  <c r="AQ20" i="1"/>
  <c r="AE71" i="1"/>
  <c r="AE74" i="1"/>
  <c r="AH1095" i="1"/>
  <c r="AH53" i="1"/>
  <c r="AH56" i="1"/>
  <c r="AH616" i="1"/>
  <c r="AH613" i="1"/>
  <c r="AF796" i="1"/>
  <c r="AF793" i="1"/>
  <c r="AE33" i="1"/>
  <c r="AL9" i="1"/>
  <c r="AL10" i="1" s="1"/>
  <c r="AL28" i="1"/>
  <c r="AI129" i="1"/>
  <c r="AI124" i="1"/>
  <c r="AI126" i="1"/>
  <c r="AN49" i="1"/>
  <c r="AE768" i="1"/>
  <c r="AE769" i="1" s="1"/>
  <c r="AF769" i="1"/>
  <c r="AE182" i="1"/>
  <c r="AE179" i="1"/>
  <c r="AO994" i="1"/>
  <c r="AO991" i="1"/>
  <c r="AJ994" i="1"/>
  <c r="AJ991" i="1"/>
  <c r="AE808" i="1"/>
  <c r="AE813" i="1"/>
  <c r="AE810" i="1"/>
  <c r="AP181" i="1"/>
  <c r="AP184" i="1"/>
  <c r="AM814" i="1"/>
  <c r="AM811" i="1"/>
  <c r="AO772" i="1"/>
  <c r="AO774" i="1"/>
  <c r="AO777" i="1"/>
  <c r="AP814" i="1"/>
  <c r="AP811" i="1"/>
  <c r="N181" i="1"/>
  <c r="N184" i="1"/>
  <c r="F344" i="1"/>
  <c r="F341" i="1"/>
  <c r="AM886" i="1"/>
  <c r="AM883" i="1"/>
  <c r="AN452" i="1"/>
  <c r="AN449" i="1"/>
  <c r="F129" i="1"/>
  <c r="F126" i="1"/>
  <c r="F124" i="1"/>
  <c r="AF1094" i="1"/>
  <c r="AF38" i="1"/>
  <c r="AF14" i="1"/>
  <c r="AF35" i="1"/>
  <c r="AE32" i="1"/>
  <c r="AO8" i="1"/>
  <c r="AO1090" i="1" s="1"/>
  <c r="AO1088" i="1"/>
  <c r="AP832" i="1"/>
  <c r="AP829" i="1"/>
  <c r="F109" i="1"/>
  <c r="F112" i="1"/>
  <c r="AI793" i="1"/>
  <c r="AI796" i="1"/>
  <c r="AP796" i="1"/>
  <c r="AP793" i="1"/>
  <c r="AE151" i="1"/>
  <c r="AK670" i="1"/>
  <c r="AK667" i="1"/>
  <c r="AF43" i="1"/>
  <c r="AE42" i="1"/>
  <c r="AE43" i="1" s="1"/>
  <c r="AO449" i="1"/>
  <c r="AO452" i="1"/>
  <c r="AJ54" i="1"/>
  <c r="AJ57" i="1"/>
  <c r="AJ52" i="1"/>
  <c r="T346" i="1"/>
  <c r="T343" i="1"/>
  <c r="AQ129" i="1"/>
  <c r="AQ126" i="1"/>
  <c r="AQ124" i="1"/>
  <c r="AP670" i="1"/>
  <c r="AP667" i="1"/>
  <c r="AQ115" i="1"/>
  <c r="AF448" i="1"/>
  <c r="AF453" i="1"/>
  <c r="AE447" i="1"/>
  <c r="AF450" i="1"/>
  <c r="AE183" i="1"/>
  <c r="AE180" i="1"/>
  <c r="AE178" i="1"/>
  <c r="AI811" i="1"/>
  <c r="AI814" i="1"/>
  <c r="AO115" i="1"/>
  <c r="AI453" i="1"/>
  <c r="AL6" i="1"/>
  <c r="AL25" i="1"/>
  <c r="AN721" i="1"/>
  <c r="AN724" i="1"/>
  <c r="AN1095" i="1"/>
  <c r="AN56" i="1"/>
  <c r="AN53" i="1"/>
  <c r="AL238" i="1"/>
  <c r="AL235" i="1"/>
  <c r="T670" i="1"/>
  <c r="T667" i="1"/>
  <c r="H562" i="1"/>
  <c r="H559" i="1"/>
  <c r="AE415" i="1"/>
  <c r="AE418" i="1"/>
  <c r="AE444" i="1"/>
  <c r="AF445" i="1"/>
  <c r="AK776" i="1"/>
  <c r="AK773" i="1"/>
  <c r="AJ292" i="1"/>
  <c r="AJ289" i="1"/>
  <c r="AE113" i="1"/>
  <c r="AI115" i="1"/>
  <c r="AM773" i="1"/>
  <c r="AM776" i="1"/>
  <c r="AG9" i="1"/>
  <c r="AG10" i="1" s="1"/>
  <c r="AG28" i="1"/>
  <c r="N127" i="1"/>
  <c r="N130" i="1"/>
  <c r="AG1045" i="1"/>
  <c r="AG1048" i="1"/>
  <c r="AM772" i="1"/>
  <c r="AM777" i="1"/>
  <c r="AM774" i="1"/>
  <c r="AE764" i="1"/>
  <c r="AQ52" i="1"/>
  <c r="AQ54" i="1"/>
  <c r="AQ57" i="1"/>
  <c r="AE157" i="1"/>
  <c r="AQ12" i="1"/>
  <c r="AQ13" i="1" s="1"/>
  <c r="AQ31" i="1"/>
  <c r="AQ40" i="1" s="1"/>
  <c r="AQ777" i="1"/>
  <c r="AO46" i="1"/>
  <c r="AH235" i="1"/>
  <c r="AH238" i="1"/>
  <c r="AK126" i="1"/>
  <c r="AK124" i="1"/>
  <c r="AK129" i="1"/>
  <c r="AN76" i="1"/>
  <c r="AN73" i="1"/>
  <c r="AE310" i="1"/>
  <c r="AE307" i="1"/>
  <c r="AH772" i="1"/>
  <c r="AH777" i="1"/>
  <c r="AH774" i="1"/>
  <c r="AI400" i="1"/>
  <c r="AI397" i="1"/>
  <c r="AE136" i="1"/>
  <c r="AI1088" i="1"/>
  <c r="AI8" i="1"/>
  <c r="AI1090" i="1" s="1"/>
  <c r="AG445" i="1"/>
  <c r="AG451" i="1" s="1"/>
  <c r="AH10" i="1"/>
  <c r="AG1095" i="1"/>
  <c r="AG56" i="1"/>
  <c r="AG53" i="1"/>
  <c r="AE48" i="1"/>
  <c r="AO22" i="1" l="1"/>
  <c r="AO19" i="1"/>
  <c r="AO40" i="1"/>
  <c r="AE490" i="1"/>
  <c r="AE487" i="1"/>
  <c r="AE181" i="1"/>
  <c r="AE184" i="1"/>
  <c r="AN127" i="1"/>
  <c r="AN130" i="1"/>
  <c r="AO451" i="1"/>
  <c r="AO454" i="1"/>
  <c r="AE883" i="1"/>
  <c r="AE886" i="1"/>
  <c r="F40" i="1"/>
  <c r="F37" i="1"/>
  <c r="AF18" i="1"/>
  <c r="AE15" i="1"/>
  <c r="AF16" i="1"/>
  <c r="AF21" i="1"/>
  <c r="AG775" i="1"/>
  <c r="AG778" i="1"/>
  <c r="F76" i="1"/>
  <c r="F73" i="1"/>
  <c r="AI18" i="1"/>
  <c r="AI16" i="1"/>
  <c r="AI21" i="1"/>
  <c r="AF1096" i="1"/>
  <c r="AF20" i="1"/>
  <c r="AE14" i="1"/>
  <c r="AF17" i="1"/>
  <c r="AH454" i="1"/>
  <c r="AH451" i="1"/>
  <c r="AE238" i="1"/>
  <c r="AE235" i="1"/>
  <c r="AK451" i="1"/>
  <c r="AK454" i="1"/>
  <c r="AL37" i="1"/>
  <c r="AL40" i="1"/>
  <c r="AF454" i="1"/>
  <c r="AF451" i="1"/>
  <c r="F397" i="1"/>
  <c r="F400" i="1"/>
  <c r="AG7" i="1"/>
  <c r="AH778" i="1"/>
  <c r="AH775" i="1"/>
  <c r="AO778" i="1"/>
  <c r="AO775" i="1"/>
  <c r="F613" i="1"/>
  <c r="F616" i="1"/>
  <c r="AJ127" i="1"/>
  <c r="AJ130" i="1"/>
  <c r="AQ454" i="1"/>
  <c r="AQ451" i="1"/>
  <c r="AE400" i="1"/>
  <c r="AE397" i="1"/>
  <c r="AF1087" i="1"/>
  <c r="AE5" i="1"/>
  <c r="AE1087" i="1" s="1"/>
  <c r="AK18" i="1"/>
  <c r="AK16" i="1"/>
  <c r="AK21" i="1"/>
  <c r="AK20" i="1"/>
  <c r="AG1096" i="1"/>
  <c r="AG20" i="1"/>
  <c r="AG17" i="1"/>
  <c r="AP58" i="1"/>
  <c r="AP55" i="1"/>
  <c r="AE991" i="1"/>
  <c r="AE994" i="1"/>
  <c r="AE128" i="1"/>
  <c r="AE125" i="1"/>
  <c r="F346" i="1"/>
  <c r="F343" i="1"/>
  <c r="AF127" i="1"/>
  <c r="AF130" i="1"/>
  <c r="AM7" i="1"/>
  <c r="T19" i="1"/>
  <c r="T22" i="1"/>
  <c r="AE667" i="1"/>
  <c r="AE670" i="1"/>
  <c r="AE1095" i="1"/>
  <c r="AE53" i="1"/>
  <c r="AE56" i="1"/>
  <c r="AK778" i="1"/>
  <c r="AK775" i="1"/>
  <c r="AO127" i="1"/>
  <c r="AO130" i="1"/>
  <c r="AE777" i="1"/>
  <c r="AE772" i="1"/>
  <c r="AE774" i="1"/>
  <c r="AF1090" i="1"/>
  <c r="AE8" i="1"/>
  <c r="AE1090" i="1" s="1"/>
  <c r="AJ454" i="1"/>
  <c r="AJ451" i="1"/>
  <c r="AF775" i="1"/>
  <c r="AF778" i="1"/>
  <c r="AE1094" i="1"/>
  <c r="AE38" i="1"/>
  <c r="AE35" i="1"/>
  <c r="AL775" i="1"/>
  <c r="AL778" i="1"/>
  <c r="AM37" i="1"/>
  <c r="AM40" i="1"/>
  <c r="AI40" i="1"/>
  <c r="AI37" i="1"/>
  <c r="AP40" i="1"/>
  <c r="AP37" i="1"/>
  <c r="AG40" i="1"/>
  <c r="AG37" i="1"/>
  <c r="AH127" i="1"/>
  <c r="AH130" i="1"/>
  <c r="AE724" i="1"/>
  <c r="AE721" i="1"/>
  <c r="AM127" i="1"/>
  <c r="AM130" i="1"/>
  <c r="AE292" i="1"/>
  <c r="AE289" i="1"/>
  <c r="AP13" i="1"/>
  <c r="AK7" i="1"/>
  <c r="AL21" i="1"/>
  <c r="AL18" i="1"/>
  <c r="AL16" i="1"/>
  <c r="AK17" i="1"/>
  <c r="AQ55" i="1"/>
  <c r="AQ58" i="1"/>
  <c r="F130" i="1"/>
  <c r="F127" i="1"/>
  <c r="AE449" i="1"/>
  <c r="AE452" i="1"/>
  <c r="AE829" i="1"/>
  <c r="AE832" i="1"/>
  <c r="AN7" i="1"/>
  <c r="AP1096" i="1"/>
  <c r="AP17" i="1"/>
  <c r="AP20" i="1"/>
  <c r="AI130" i="1"/>
  <c r="AI127" i="1"/>
  <c r="AQ130" i="1"/>
  <c r="AQ127" i="1"/>
  <c r="AO7" i="1"/>
  <c r="AQ37" i="1"/>
  <c r="AF55" i="1"/>
  <c r="AF58" i="1"/>
  <c r="AO21" i="1"/>
  <c r="AE118" i="1"/>
  <c r="AE73" i="1"/>
  <c r="AE76" i="1"/>
  <c r="AF7" i="1"/>
  <c r="AP451" i="1"/>
  <c r="AP454" i="1"/>
  <c r="F670" i="1"/>
  <c r="F667" i="1"/>
  <c r="AE616" i="1"/>
  <c r="AE613" i="1"/>
  <c r="AG130" i="1"/>
  <c r="AG127" i="1"/>
  <c r="AI1096" i="1"/>
  <c r="AI17" i="1"/>
  <c r="AI20" i="1"/>
  <c r="AI10" i="1"/>
  <c r="AE940" i="1"/>
  <c r="AE937" i="1"/>
  <c r="AM13" i="1"/>
  <c r="AM1096" i="1"/>
  <c r="AM20" i="1"/>
  <c r="AM17" i="1"/>
  <c r="AN16" i="1"/>
  <c r="AN21" i="1"/>
  <c r="AN18" i="1"/>
  <c r="AE773" i="1"/>
  <c r="AE776" i="1"/>
  <c r="AP21" i="1"/>
  <c r="AP16" i="1"/>
  <c r="AP18" i="1"/>
  <c r="AF10" i="1"/>
  <c r="AE9" i="1"/>
  <c r="AE10" i="1" s="1"/>
  <c r="AQ21" i="1"/>
  <c r="AM55" i="1"/>
  <c r="AM58" i="1"/>
  <c r="F289" i="1"/>
  <c r="F292" i="1"/>
  <c r="AQ22" i="1"/>
  <c r="AQ19" i="1"/>
  <c r="AK40" i="1"/>
  <c r="AK37" i="1"/>
  <c r="AM451" i="1"/>
  <c r="AM454" i="1"/>
  <c r="AL127" i="1"/>
  <c r="AL130" i="1"/>
  <c r="AL55" i="1"/>
  <c r="AL58" i="1"/>
  <c r="AJ13" i="1"/>
  <c r="AE54" i="1"/>
  <c r="AE57" i="1"/>
  <c r="AE52" i="1"/>
  <c r="AJ37" i="1"/>
  <c r="AJ40" i="1"/>
  <c r="AE12" i="1"/>
  <c r="AE13" i="1" s="1"/>
  <c r="AF13" i="1"/>
  <c r="F235" i="1"/>
  <c r="F238" i="1"/>
  <c r="AE145" i="1"/>
  <c r="AE148" i="1"/>
  <c r="AE6" i="1"/>
  <c r="AE7" i="1" s="1"/>
  <c r="F184" i="1"/>
  <c r="F181" i="1"/>
  <c r="AE163" i="1"/>
  <c r="AE166" i="1"/>
  <c r="AH1096" i="1"/>
  <c r="AH20" i="1"/>
  <c r="AH17" i="1"/>
  <c r="AE126" i="1"/>
  <c r="AE124" i="1"/>
  <c r="AE129" i="1"/>
  <c r="AK58" i="1"/>
  <c r="AK55" i="1"/>
  <c r="N22" i="1"/>
  <c r="N19" i="1"/>
  <c r="AE1048" i="1"/>
  <c r="AE1045" i="1"/>
  <c r="F454" i="1"/>
  <c r="F451" i="1"/>
  <c r="AM21" i="1"/>
  <c r="AL20" i="1"/>
  <c r="AE814" i="1"/>
  <c r="AE811" i="1"/>
  <c r="AE346" i="1"/>
  <c r="AE343" i="1"/>
  <c r="AE31" i="1"/>
  <c r="AJ55" i="1"/>
  <c r="AJ58" i="1"/>
  <c r="AJ778" i="1"/>
  <c r="AJ775" i="1"/>
  <c r="AE562" i="1"/>
  <c r="AE559" i="1"/>
  <c r="AP775" i="1"/>
  <c r="AP778" i="1"/>
  <c r="AE472" i="1"/>
  <c r="AE469" i="1"/>
  <c r="AE793" i="1"/>
  <c r="AE796" i="1"/>
  <c r="AE11" i="1"/>
  <c r="AE1093" i="1" s="1"/>
  <c r="AH18" i="1"/>
  <c r="AH16" i="1"/>
  <c r="AH21" i="1"/>
  <c r="AI778" i="1"/>
  <c r="AI775" i="1"/>
  <c r="F559" i="1"/>
  <c r="F562" i="1"/>
  <c r="AN37" i="1"/>
  <c r="AN40" i="1"/>
  <c r="H22" i="1"/>
  <c r="H19" i="1"/>
  <c r="AH37" i="1"/>
  <c r="AH40" i="1"/>
  <c r="AE453" i="1"/>
  <c r="AE448" i="1"/>
  <c r="AE450" i="1"/>
  <c r="F505" i="1"/>
  <c r="F508" i="1"/>
  <c r="AG18" i="1"/>
  <c r="AG21" i="1"/>
  <c r="AG16" i="1"/>
  <c r="AP127" i="1"/>
  <c r="AP130" i="1"/>
  <c r="AE28" i="1"/>
  <c r="AL451" i="1"/>
  <c r="AL454" i="1"/>
  <c r="AQ18" i="1"/>
  <c r="AK13" i="1"/>
  <c r="AE49" i="1"/>
  <c r="AL7" i="1"/>
  <c r="AM775" i="1"/>
  <c r="AM778" i="1"/>
  <c r="AE445" i="1"/>
  <c r="AK127" i="1"/>
  <c r="AK130" i="1"/>
  <c r="AE34" i="1"/>
  <c r="AE39" i="1"/>
  <c r="AE36" i="1"/>
  <c r="AO1096" i="1"/>
  <c r="AO20" i="1"/>
  <c r="AO17" i="1"/>
  <c r="AJ20" i="1"/>
  <c r="AO18" i="1"/>
  <c r="AJ21" i="1"/>
  <c r="AJ18" i="1"/>
  <c r="AJ16" i="1"/>
  <c r="F16" i="1"/>
  <c r="F18" i="1"/>
  <c r="F21" i="1"/>
  <c r="AH7" i="1"/>
  <c r="AP7" i="1"/>
  <c r="AI55" i="1"/>
  <c r="AI58" i="1"/>
  <c r="AE25" i="1"/>
  <c r="AM16" i="1"/>
  <c r="AN451" i="1"/>
  <c r="AN454" i="1"/>
  <c r="AL17" i="1"/>
  <c r="AI22" i="1" l="1"/>
  <c r="AI19" i="1"/>
  <c r="AN19" i="1"/>
  <c r="AN22" i="1"/>
  <c r="AE40" i="1"/>
  <c r="AE37" i="1"/>
  <c r="AE130" i="1"/>
  <c r="AE127" i="1"/>
  <c r="AE454" i="1"/>
  <c r="AE451" i="1"/>
  <c r="AJ19" i="1"/>
  <c r="AJ22" i="1"/>
  <c r="AE1096" i="1"/>
  <c r="AE17" i="1"/>
  <c r="AE20" i="1"/>
  <c r="AP22" i="1"/>
  <c r="AP19" i="1"/>
  <c r="AL19" i="1"/>
  <c r="AL22" i="1"/>
  <c r="AM22" i="1"/>
  <c r="AM19" i="1"/>
  <c r="AG19" i="1"/>
  <c r="AG22" i="1"/>
  <c r="AH19" i="1"/>
  <c r="AH22" i="1"/>
  <c r="AE58" i="1"/>
  <c r="AE55" i="1"/>
  <c r="AF22" i="1"/>
  <c r="AF19" i="1"/>
  <c r="F22" i="1"/>
  <c r="F19" i="1"/>
  <c r="AK22" i="1"/>
  <c r="AK19" i="1"/>
  <c r="AE778" i="1"/>
  <c r="AE775" i="1"/>
  <c r="AE18" i="1"/>
  <c r="AE16" i="1"/>
  <c r="AE21" i="1"/>
  <c r="AE22" i="1" l="1"/>
  <c r="AE19" i="1"/>
</calcChain>
</file>

<file path=xl/sharedStrings.xml><?xml version="1.0" encoding="utf-8"?>
<sst xmlns="http://schemas.openxmlformats.org/spreadsheetml/2006/main" count="2599" uniqueCount="98">
  <si>
    <t>Ⅰ-1. Budget by Segment</t>
    <phoneticPr fontId="4" type="noConversion"/>
  </si>
  <si>
    <t>Ⅰ-2. Budget by Monthly</t>
    <phoneticPr fontId="4" type="noConversion"/>
  </si>
  <si>
    <t xml:space="preserve"> ⑴ WRH</t>
    <phoneticPr fontId="4" type="noConversion"/>
  </si>
  <si>
    <t>＊Unit : USD</t>
    <phoneticPr fontId="3" type="noConversion"/>
  </si>
  <si>
    <t>Total</t>
    <phoneticPr fontId="3" type="noConversion"/>
  </si>
  <si>
    <t>Contract</t>
  </si>
  <si>
    <t>Group</t>
    <phoneticPr fontId="3" type="noConversion"/>
  </si>
  <si>
    <t>WholeSale</t>
    <phoneticPr fontId="3" type="noConversion"/>
  </si>
  <si>
    <t>Trensient</t>
    <phoneticPr fontId="3" type="noConversion"/>
  </si>
  <si>
    <t>Total</t>
  </si>
  <si>
    <t>Sub TL</t>
    <phoneticPr fontId="3" type="noConversion"/>
  </si>
  <si>
    <t>Korea</t>
    <phoneticPr fontId="3" type="noConversion"/>
  </si>
  <si>
    <t>Japan</t>
    <phoneticPr fontId="3" type="noConversion"/>
  </si>
  <si>
    <t>China</t>
    <phoneticPr fontId="3" type="noConversion"/>
  </si>
  <si>
    <t>US</t>
    <phoneticPr fontId="3" type="noConversion"/>
  </si>
  <si>
    <t>Others</t>
    <phoneticPr fontId="3" type="noConversion"/>
  </si>
  <si>
    <t>Korea</t>
  </si>
  <si>
    <t>Japan</t>
  </si>
  <si>
    <t>China</t>
  </si>
  <si>
    <t>US</t>
  </si>
  <si>
    <t>Others</t>
  </si>
  <si>
    <t>H/P</t>
    <phoneticPr fontId="3" type="noConversion"/>
  </si>
  <si>
    <t>OTA-D</t>
    <phoneticPr fontId="3" type="noConversion"/>
  </si>
  <si>
    <t>OTA-I</t>
    <phoneticPr fontId="3" type="noConversion"/>
  </si>
  <si>
    <t>Affiliate</t>
    <phoneticPr fontId="3" type="noConversion"/>
  </si>
  <si>
    <t>Annual</t>
    <phoneticPr fontId="3" type="noConversion"/>
  </si>
  <si>
    <t>Total</t>
    <phoneticPr fontId="3" type="noConversion"/>
  </si>
  <si>
    <t>23Y</t>
    <phoneticPr fontId="9" type="noConversion"/>
  </si>
  <si>
    <t>RN</t>
    <phoneticPr fontId="3" type="noConversion"/>
  </si>
  <si>
    <t>Rev</t>
    <phoneticPr fontId="3" type="noConversion"/>
  </si>
  <si>
    <t>ADR</t>
  </si>
  <si>
    <t>24Y</t>
    <phoneticPr fontId="9" type="noConversion"/>
  </si>
  <si>
    <t>RN</t>
  </si>
  <si>
    <t>Rev</t>
  </si>
  <si>
    <t>25Y</t>
    <phoneticPr fontId="9" type="noConversion"/>
  </si>
  <si>
    <t>26Y
Budget</t>
    <phoneticPr fontId="9" type="noConversion"/>
  </si>
  <si>
    <t>Variance</t>
    <phoneticPr fontId="3" type="noConversion"/>
  </si>
  <si>
    <t>Growth(%)</t>
    <phoneticPr fontId="3" type="noConversion"/>
  </si>
  <si>
    <t>Weekday</t>
    <phoneticPr fontId="3" type="noConversion"/>
  </si>
  <si>
    <t>23Y</t>
  </si>
  <si>
    <t>24Y</t>
  </si>
  <si>
    <t>25Y</t>
  </si>
  <si>
    <t>26Y
Budget</t>
  </si>
  <si>
    <t>Variance</t>
  </si>
  <si>
    <t>Growth(%)</t>
  </si>
  <si>
    <t>Weekend</t>
    <phoneticPr fontId="3" type="noConversion"/>
  </si>
  <si>
    <t>January</t>
    <phoneticPr fontId="3" type="noConversion"/>
  </si>
  <si>
    <t>Contract</t>
    <phoneticPr fontId="3" type="noConversion"/>
  </si>
  <si>
    <t>Weekday</t>
  </si>
  <si>
    <t>Weekend</t>
  </si>
  <si>
    <t>Febrary</t>
    <phoneticPr fontId="3" type="noConversion"/>
  </si>
  <si>
    <t>Group Total</t>
    <phoneticPr fontId="3" type="noConversion"/>
  </si>
  <si>
    <t>March</t>
    <phoneticPr fontId="3" type="noConversion"/>
  </si>
  <si>
    <t>Korea</t>
    <phoneticPr fontId="3" type="noConversion"/>
  </si>
  <si>
    <t>April</t>
    <phoneticPr fontId="3" type="noConversion"/>
  </si>
  <si>
    <t>Japan</t>
    <phoneticPr fontId="3" type="noConversion"/>
  </si>
  <si>
    <t>May</t>
    <phoneticPr fontId="3" type="noConversion"/>
  </si>
  <si>
    <t>China</t>
    <phoneticPr fontId="3" type="noConversion"/>
  </si>
  <si>
    <t>June</t>
    <phoneticPr fontId="3" type="noConversion"/>
  </si>
  <si>
    <t>US</t>
    <phoneticPr fontId="3" type="noConversion"/>
  </si>
  <si>
    <t>July</t>
    <phoneticPr fontId="3" type="noConversion"/>
  </si>
  <si>
    <t>Others</t>
    <phoneticPr fontId="3" type="noConversion"/>
  </si>
  <si>
    <t>August</t>
    <phoneticPr fontId="3" type="noConversion"/>
  </si>
  <si>
    <t>Wholesale Total</t>
    <phoneticPr fontId="3" type="noConversion"/>
  </si>
  <si>
    <t>September</t>
    <phoneticPr fontId="3" type="noConversion"/>
  </si>
  <si>
    <t>Korea</t>
    <phoneticPr fontId="3" type="noConversion"/>
  </si>
  <si>
    <t>October</t>
    <phoneticPr fontId="3" type="noConversion"/>
  </si>
  <si>
    <t>Japan</t>
    <phoneticPr fontId="3" type="noConversion"/>
  </si>
  <si>
    <t>November</t>
    <phoneticPr fontId="3" type="noConversion"/>
  </si>
  <si>
    <t>December</t>
    <phoneticPr fontId="3" type="noConversion"/>
  </si>
  <si>
    <t>Others</t>
    <phoneticPr fontId="3" type="noConversion"/>
  </si>
  <si>
    <t>Trensient Total</t>
    <phoneticPr fontId="3" type="noConversion"/>
  </si>
  <si>
    <t>Homepage</t>
    <phoneticPr fontId="3" type="noConversion"/>
  </si>
  <si>
    <t>OTA-Domestic</t>
    <phoneticPr fontId="3" type="noConversion"/>
  </si>
  <si>
    <t>OTA-International</t>
    <phoneticPr fontId="3" type="noConversion"/>
  </si>
  <si>
    <t>Affiliate</t>
    <phoneticPr fontId="3" type="noConversion"/>
  </si>
  <si>
    <t>OCC Detail</t>
    <phoneticPr fontId="3" type="noConversion"/>
  </si>
  <si>
    <t>OCC</t>
    <phoneticPr fontId="3" type="noConversion"/>
  </si>
  <si>
    <t>23Y</t>
    <phoneticPr fontId="3" type="noConversion"/>
  </si>
  <si>
    <t>W/D</t>
    <phoneticPr fontId="3" type="noConversion"/>
  </si>
  <si>
    <t>W/E</t>
    <phoneticPr fontId="3" type="noConversion"/>
  </si>
  <si>
    <t>Total</t>
    <phoneticPr fontId="3" type="noConversion"/>
  </si>
  <si>
    <t>24Y</t>
    <phoneticPr fontId="3" type="noConversion"/>
  </si>
  <si>
    <t>W/D</t>
  </si>
  <si>
    <t>W/E</t>
  </si>
  <si>
    <t>25Y</t>
    <phoneticPr fontId="3" type="noConversion"/>
  </si>
  <si>
    <t>26Y
Budget</t>
    <phoneticPr fontId="3" type="noConversion"/>
  </si>
  <si>
    <t>Days</t>
    <phoneticPr fontId="3" type="noConversion"/>
  </si>
  <si>
    <t>A Rooms</t>
    <phoneticPr fontId="3" type="noConversion"/>
  </si>
  <si>
    <t>실수</t>
  </si>
  <si>
    <t>2023Y</t>
    <phoneticPr fontId="3" type="noConversion"/>
  </si>
  <si>
    <t>2022Y</t>
  </si>
  <si>
    <t>2024Y</t>
    <phoneticPr fontId="3" type="noConversion"/>
  </si>
  <si>
    <t>2023Y</t>
  </si>
  <si>
    <t>2025Y</t>
    <phoneticPr fontId="3" type="noConversion"/>
  </si>
  <si>
    <t>2024Y</t>
  </si>
  <si>
    <t>2026Y Budget</t>
    <phoneticPr fontId="3" type="noConversion"/>
  </si>
  <si>
    <t>2025Y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</si>
</sst>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176" formatCode="[$-409]mmm"/>
    <numFmt numFmtId="177" formatCode="#,##0&quot;RN&quot;;[Red]\-#,##0&quot;RN&quot;;&quot;&quot;"/>
    <numFmt numFmtId="178" formatCode="#,##0;[Red]\-#,##0;&quot;&quot;"/>
    <numFmt numFmtId="179" formatCode="#,##0&quot;실&quot;;[Red]\-#,##0&quot;실&quot;;&quot;&quot;"/>
    <numFmt numFmtId="180" formatCode="#,##0.00;[Red]\-#,##0.00;&quot;&quot;"/>
    <numFmt numFmtId="181" formatCode="#,##0;[Red]\(#,##0\)"/>
    <numFmt numFmtId="182" formatCode="0%;[Red]\-0%"/>
    <numFmt numFmtId="183" formatCode="##&quot;월&quot;"/>
    <numFmt numFmtId="184" formatCode="#,##0_);[Red]\(#,##0\)"/>
    <numFmt numFmtId="185" formatCode="#&quot;월&quot;"/>
    <numFmt numFmtId="186" formatCode="0.0%"/>
    <numFmt numFmtId="187" formatCode="0%;[Red]\-0%;&quot;&quot;"/>
    <numFmt numFmtId="188" formatCode="#,##0&quot;D&quot;;[Red]\-#,##0&quot;D&quot;;&quot;&quot;"/>
  </numFmts>
  <fonts count="12" x14ac:knownFonts="1">
    <font>
      <sz val="10"/>
      <color theme="1"/>
      <name val="대명체 보통"/>
      <family val="2"/>
      <charset val="129"/>
    </font>
    <font>
      <sz val="10"/>
      <name val="새굴림"/>
      <family val="1"/>
      <charset val="129"/>
    </font>
    <font>
      <sz val="10"/>
      <name val="대명체 굵게"/>
      <family val="3"/>
      <charset val="129"/>
    </font>
    <font>
      <sz val="8"/>
      <name val="대명체 보통"/>
      <family val="2"/>
      <charset val="129"/>
    </font>
    <font>
      <sz val="8"/>
      <name val="새굴림"/>
      <family val="1"/>
      <charset val="129"/>
    </font>
    <font>
      <sz val="9"/>
      <name val="대명체 굵게"/>
      <family val="3"/>
      <charset val="129"/>
    </font>
    <font>
      <sz val="8"/>
      <color theme="0" tint="-0.34998626667073579"/>
      <name val="대명체 굵게"/>
      <family val="3"/>
      <charset val="129"/>
    </font>
    <font>
      <sz val="9"/>
      <name val="대명체 보통"/>
      <family val="3"/>
      <charset val="129"/>
    </font>
    <font>
      <sz val="8"/>
      <name val="대명체 보통"/>
      <family val="3"/>
      <charset val="129"/>
    </font>
    <font>
      <sz val="8"/>
      <name val="맑은 고딕"/>
      <family val="2"/>
      <charset val="129"/>
      <scheme val="minor"/>
    </font>
    <font>
      <sz val="9"/>
      <color theme="1" tint="0.249977111117893"/>
      <name val="대명체 보통"/>
      <family val="3"/>
      <charset val="129"/>
    </font>
    <font>
      <sz val="8"/>
      <color theme="1" tint="0.249977111117893"/>
      <name val="대명체 보통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/>
      <diagonal/>
    </border>
    <border>
      <left style="thin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/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medium">
        <color theme="1" tint="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1" tint="0.24994659260841701"/>
      </top>
      <bottom/>
      <diagonal/>
    </border>
    <border>
      <left style="thin">
        <color theme="0" tint="-0.24994659260841701"/>
      </left>
      <right/>
      <top style="medium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0" tint="-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/>
      <bottom style="thin">
        <color theme="1" tint="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1" tint="0.24994659260841701"/>
      </bottom>
      <diagonal/>
    </border>
    <border>
      <left style="thin">
        <color theme="0" tint="-0.24994659260841701"/>
      </left>
      <right/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1" tint="0.24994659260841701"/>
      </top>
      <bottom style="thin">
        <color theme="0" tint="-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1" tint="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24994659260841701"/>
      </top>
      <bottom/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0" tint="-0.24994659260841701"/>
      </left>
      <right/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1" tint="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1" tint="0.24994659260841701"/>
      </right>
      <top/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0" tint="-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1" tint="0.24994659260841701"/>
      </right>
      <top style="thin">
        <color theme="0" tint="-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0" tint="-0.24994659260841701"/>
      </top>
      <bottom/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1" tint="0.24994659260841701"/>
      </right>
      <top style="thin">
        <color theme="0" tint="-0.49998474074526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0" tint="-0.499984740745262"/>
      </top>
      <bottom/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/>
      <diagonal/>
    </border>
    <border>
      <left style="thin">
        <color theme="0" tint="-0.24994659260841701"/>
      </left>
      <right style="thin">
        <color theme="1" tint="0.24994659260841701"/>
      </right>
      <top style="thin">
        <color theme="0" tint="-0.499984740745262"/>
      </top>
      <bottom/>
      <diagonal/>
    </border>
    <border>
      <left style="thin">
        <color theme="0" tint="-0.24994659260841701"/>
      </left>
      <right/>
      <top style="thin">
        <color theme="0" tint="-0.499984740745262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 style="thin">
        <color theme="0" tint="-0.24994659260841701"/>
      </top>
      <bottom style="medium">
        <color theme="1" tint="0.24994659260841701"/>
      </bottom>
      <diagonal/>
    </border>
    <border>
      <left/>
      <right style="thin">
        <color theme="1" tint="0.24994659260841701"/>
      </right>
      <top/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0" tint="-0.24994659260841701"/>
      </right>
      <top/>
      <bottom style="medium">
        <color theme="1" tint="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1" tint="0.24994659260841701"/>
      </bottom>
      <diagonal/>
    </border>
    <border>
      <left style="thin">
        <color theme="0" tint="-0.24994659260841701"/>
      </left>
      <right style="thin">
        <color theme="1" tint="0.24994659260841701"/>
      </right>
      <top/>
      <bottom style="medium">
        <color theme="1" tint="0.24994659260841701"/>
      </bottom>
      <diagonal/>
    </border>
    <border>
      <left style="thin">
        <color theme="0" tint="-0.24994659260841701"/>
      </left>
      <right/>
      <top/>
      <bottom style="medium">
        <color theme="1" tint="0.24994659260841701"/>
      </bottom>
      <diagonal/>
    </border>
    <border>
      <left/>
      <right style="thin">
        <color theme="1" tint="0.24994659260841701"/>
      </right>
      <top style="double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double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double">
        <color theme="1" tint="0.24994659260841701"/>
      </top>
      <bottom/>
      <diagonal/>
    </border>
    <border>
      <left style="thin">
        <color theme="1" tint="0.24994659260841701"/>
      </left>
      <right style="thin">
        <color theme="0" tint="-0.24994659260841701"/>
      </right>
      <top style="double">
        <color theme="1" tint="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1" tint="0.24994659260841701"/>
      </top>
      <bottom/>
      <diagonal/>
    </border>
    <border>
      <left style="thin">
        <color theme="0" tint="-0.24994659260841701"/>
      </left>
      <right/>
      <top style="double">
        <color theme="1" tint="0.24994659260841701"/>
      </top>
      <bottom/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 style="thin">
        <color theme="1" tint="0.24994659260841701"/>
      </left>
      <right/>
      <top/>
      <bottom style="medium">
        <color theme="1" tint="0.2499465926084170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43">
    <xf numFmtId="0" fontId="0" fillId="0" borderId="0" xfId="0">
      <alignment vertical="center"/>
    </xf>
    <xf numFmtId="49" fontId="2" fillId="0" borderId="0" xfId="1" applyNumberFormat="1" applyFont="1" applyBorder="1">
      <alignment vertical="center"/>
    </xf>
    <xf numFmtId="0" fontId="5" fillId="0" borderId="0" xfId="2" applyFont="1" applyAlignment="1">
      <alignment vertical="center" textRotation="255"/>
    </xf>
    <xf numFmtId="0" fontId="5" fillId="0" borderId="0" xfId="2" applyFont="1" applyAlignment="1">
      <alignment horizontal="center" vertical="center"/>
    </xf>
    <xf numFmtId="0" fontId="5" fillId="0" borderId="0" xfId="2" applyFont="1">
      <alignment vertical="center"/>
    </xf>
    <xf numFmtId="41" fontId="5" fillId="0" borderId="0" xfId="2" applyNumberFormat="1" applyFont="1">
      <alignment vertical="center"/>
    </xf>
    <xf numFmtId="0" fontId="5" fillId="0" borderId="0" xfId="2" applyFont="1" applyAlignment="1">
      <alignment horizontal="center" vertical="center" textRotation="255"/>
    </xf>
    <xf numFmtId="0" fontId="6" fillId="0" borderId="0" xfId="2" applyFont="1" applyAlignment="1">
      <alignment horizontal="right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176" fontId="5" fillId="2" borderId="6" xfId="2" applyNumberFormat="1" applyFont="1" applyFill="1" applyBorder="1" applyAlignment="1">
      <alignment horizontal="center" vertical="center"/>
    </xf>
    <xf numFmtId="176" fontId="5" fillId="2" borderId="7" xfId="2" applyNumberFormat="1" applyFont="1" applyFill="1" applyBorder="1" applyAlignment="1">
      <alignment horizontal="center" vertical="center"/>
    </xf>
    <xf numFmtId="176" fontId="5" fillId="2" borderId="8" xfId="2" applyNumberFormat="1" applyFont="1" applyFill="1" applyBorder="1" applyAlignment="1">
      <alignment horizontal="center" vertical="center"/>
    </xf>
    <xf numFmtId="0" fontId="5" fillId="2" borderId="9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vertical="center"/>
    </xf>
    <xf numFmtId="176" fontId="5" fillId="2" borderId="16" xfId="2" applyNumberFormat="1" applyFont="1" applyFill="1" applyBorder="1" applyAlignment="1">
      <alignment horizontal="center" vertical="center"/>
    </xf>
    <xf numFmtId="176" fontId="5" fillId="2" borderId="17" xfId="2" applyNumberFormat="1" applyFont="1" applyFill="1" applyBorder="1" applyAlignment="1">
      <alignment horizontal="center" vertical="center"/>
    </xf>
    <xf numFmtId="176" fontId="5" fillId="2" borderId="18" xfId="2" applyNumberFormat="1" applyFont="1" applyFill="1" applyBorder="1" applyAlignment="1">
      <alignment horizontal="center" vertical="center"/>
    </xf>
    <xf numFmtId="0" fontId="7" fillId="0" borderId="0" xfId="2" applyFont="1">
      <alignment vertical="center"/>
    </xf>
    <xf numFmtId="0" fontId="7" fillId="3" borderId="9" xfId="2" applyFont="1" applyFill="1" applyBorder="1" applyAlignment="1">
      <alignment horizontal="center" vertical="center" textRotation="255"/>
    </xf>
    <xf numFmtId="0" fontId="7" fillId="3" borderId="19" xfId="2" applyFont="1" applyFill="1" applyBorder="1" applyAlignment="1">
      <alignment horizontal="center" vertical="center" textRotation="255"/>
    </xf>
    <xf numFmtId="0" fontId="8" fillId="3" borderId="20" xfId="2" applyFont="1" applyFill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shrinkToFit="1"/>
    </xf>
    <xf numFmtId="177" fontId="8" fillId="3" borderId="21" xfId="1" applyNumberFormat="1" applyFont="1" applyFill="1" applyBorder="1" applyAlignment="1">
      <alignment vertical="center" shrinkToFit="1"/>
    </xf>
    <xf numFmtId="177" fontId="8" fillId="3" borderId="22" xfId="1" applyNumberFormat="1" applyFont="1" applyFill="1" applyBorder="1" applyAlignment="1">
      <alignment vertical="center" shrinkToFit="1"/>
    </xf>
    <xf numFmtId="177" fontId="8" fillId="3" borderId="23" xfId="1" applyNumberFormat="1" applyFont="1" applyFill="1" applyBorder="1" applyAlignment="1">
      <alignment vertical="center" shrinkToFit="1"/>
    </xf>
    <xf numFmtId="177" fontId="8" fillId="3" borderId="24" xfId="1" applyNumberFormat="1" applyFont="1" applyFill="1" applyBorder="1" applyAlignment="1">
      <alignment vertical="center" shrinkToFit="1"/>
    </xf>
    <xf numFmtId="177" fontId="8" fillId="3" borderId="25" xfId="1" applyNumberFormat="1" applyFont="1" applyFill="1" applyBorder="1" applyAlignment="1">
      <alignment vertical="center" shrinkToFit="1"/>
    </xf>
    <xf numFmtId="177" fontId="8" fillId="4" borderId="21" xfId="1" applyNumberFormat="1" applyFont="1" applyFill="1" applyBorder="1" applyAlignment="1">
      <alignment vertical="center" shrinkToFit="1"/>
    </xf>
    <xf numFmtId="177" fontId="8" fillId="4" borderId="22" xfId="1" applyNumberFormat="1" applyFont="1" applyFill="1" applyBorder="1" applyAlignment="1">
      <alignment vertical="center" shrinkToFit="1"/>
    </xf>
    <xf numFmtId="177" fontId="8" fillId="4" borderId="23" xfId="1" applyNumberFormat="1" applyFont="1" applyFill="1" applyBorder="1" applyAlignment="1">
      <alignment vertical="center" shrinkToFit="1"/>
    </xf>
    <xf numFmtId="177" fontId="8" fillId="4" borderId="25" xfId="1" applyNumberFormat="1" applyFont="1" applyFill="1" applyBorder="1" applyAlignment="1">
      <alignment vertical="center" shrinkToFit="1"/>
    </xf>
    <xf numFmtId="41" fontId="7" fillId="0" borderId="0" xfId="2" applyNumberFormat="1" applyFont="1">
      <alignment vertical="center"/>
    </xf>
    <xf numFmtId="0" fontId="7" fillId="3" borderId="26" xfId="2" applyFont="1" applyFill="1" applyBorder="1" applyAlignment="1">
      <alignment horizontal="center" vertical="center" textRotation="255"/>
    </xf>
    <xf numFmtId="0" fontId="8" fillId="3" borderId="27" xfId="2" applyFont="1" applyFill="1" applyBorder="1" applyAlignment="1">
      <alignment horizontal="center" vertical="center"/>
    </xf>
    <xf numFmtId="41" fontId="8" fillId="3" borderId="28" xfId="2" applyNumberFormat="1" applyFont="1" applyFill="1" applyBorder="1" applyAlignment="1">
      <alignment horizontal="center" vertical="center" shrinkToFit="1"/>
    </xf>
    <xf numFmtId="178" fontId="8" fillId="3" borderId="28" xfId="1" applyNumberFormat="1" applyFont="1" applyFill="1" applyBorder="1" applyAlignment="1">
      <alignment vertical="center" shrinkToFit="1"/>
    </xf>
    <xf numFmtId="178" fontId="8" fillId="3" borderId="29" xfId="1" applyNumberFormat="1" applyFont="1" applyFill="1" applyBorder="1" applyAlignment="1">
      <alignment vertical="center" shrinkToFit="1"/>
    </xf>
    <xf numFmtId="178" fontId="8" fillId="3" borderId="30" xfId="1" applyNumberFormat="1" applyFont="1" applyFill="1" applyBorder="1" applyAlignment="1">
      <alignment vertical="center" shrinkToFit="1"/>
    </xf>
    <xf numFmtId="178" fontId="8" fillId="3" borderId="31" xfId="1" applyNumberFormat="1" applyFont="1" applyFill="1" applyBorder="1" applyAlignment="1">
      <alignment vertical="center" shrinkToFit="1"/>
    </xf>
    <xf numFmtId="178" fontId="8" fillId="3" borderId="32" xfId="1" applyNumberFormat="1" applyFont="1" applyFill="1" applyBorder="1" applyAlignment="1">
      <alignment vertical="center" shrinkToFit="1"/>
    </xf>
    <xf numFmtId="178" fontId="8" fillId="4" borderId="28" xfId="1" applyNumberFormat="1" applyFont="1" applyFill="1" applyBorder="1" applyAlignment="1">
      <alignment vertical="center" shrinkToFit="1"/>
    </xf>
    <xf numFmtId="179" fontId="8" fillId="4" borderId="29" xfId="1" applyNumberFormat="1" applyFont="1" applyFill="1" applyBorder="1" applyAlignment="1">
      <alignment vertical="center" shrinkToFit="1"/>
    </xf>
    <xf numFmtId="179" fontId="8" fillId="4" borderId="30" xfId="1" applyNumberFormat="1" applyFont="1" applyFill="1" applyBorder="1" applyAlignment="1">
      <alignment vertical="center" shrinkToFit="1"/>
    </xf>
    <xf numFmtId="179" fontId="8" fillId="4" borderId="32" xfId="1" applyNumberFormat="1" applyFont="1" applyFill="1" applyBorder="1" applyAlignment="1">
      <alignment vertical="center" shrinkToFit="1"/>
    </xf>
    <xf numFmtId="0" fontId="8" fillId="3" borderId="33" xfId="2" applyFont="1" applyFill="1" applyBorder="1" applyAlignment="1">
      <alignment horizontal="center" vertical="center"/>
    </xf>
    <xf numFmtId="0" fontId="8" fillId="3" borderId="34" xfId="2" applyFont="1" applyFill="1" applyBorder="1" applyAlignment="1">
      <alignment horizontal="center" vertical="center" shrinkToFit="1"/>
    </xf>
    <xf numFmtId="180" fontId="8" fillId="3" borderId="34" xfId="1" applyNumberFormat="1" applyFont="1" applyFill="1" applyBorder="1" applyAlignment="1">
      <alignment vertical="center" shrinkToFit="1"/>
    </xf>
    <xf numFmtId="180" fontId="8" fillId="3" borderId="35" xfId="1" applyNumberFormat="1" applyFont="1" applyFill="1" applyBorder="1" applyAlignment="1">
      <alignment vertical="center" shrinkToFit="1"/>
    </xf>
    <xf numFmtId="180" fontId="8" fillId="3" borderId="36" xfId="1" applyNumberFormat="1" applyFont="1" applyFill="1" applyBorder="1" applyAlignment="1">
      <alignment vertical="center" shrinkToFit="1"/>
    </xf>
    <xf numFmtId="180" fontId="8" fillId="3" borderId="37" xfId="1" applyNumberFormat="1" applyFont="1" applyFill="1" applyBorder="1" applyAlignment="1">
      <alignment vertical="center" shrinkToFit="1"/>
    </xf>
    <xf numFmtId="180" fontId="8" fillId="3" borderId="38" xfId="1" applyNumberFormat="1" applyFont="1" applyFill="1" applyBorder="1" applyAlignment="1">
      <alignment vertical="center" shrinkToFit="1"/>
    </xf>
    <xf numFmtId="180" fontId="8" fillId="4" borderId="34" xfId="1" applyNumberFormat="1" applyFont="1" applyFill="1" applyBorder="1" applyAlignment="1">
      <alignment vertical="center" shrinkToFit="1"/>
    </xf>
    <xf numFmtId="180" fontId="8" fillId="4" borderId="35" xfId="1" applyNumberFormat="1" applyFont="1" applyFill="1" applyBorder="1" applyAlignment="1">
      <alignment vertical="center" shrinkToFit="1"/>
    </xf>
    <xf numFmtId="180" fontId="8" fillId="4" borderId="36" xfId="1" applyNumberFormat="1" applyFont="1" applyFill="1" applyBorder="1" applyAlignment="1">
      <alignment vertical="center" shrinkToFit="1"/>
    </xf>
    <xf numFmtId="180" fontId="8" fillId="4" borderId="38" xfId="1" applyNumberFormat="1" applyFont="1" applyFill="1" applyBorder="1" applyAlignment="1">
      <alignment vertical="center" shrinkToFit="1"/>
    </xf>
    <xf numFmtId="0" fontId="8" fillId="3" borderId="39" xfId="2" applyFont="1" applyFill="1" applyBorder="1" applyAlignment="1">
      <alignment horizontal="center" vertical="center" wrapText="1"/>
    </xf>
    <xf numFmtId="0" fontId="8" fillId="3" borderId="40" xfId="2" applyFont="1" applyFill="1" applyBorder="1" applyAlignment="1">
      <alignment horizontal="center" vertical="center" shrinkToFit="1"/>
    </xf>
    <xf numFmtId="177" fontId="8" fillId="3" borderId="40" xfId="1" applyNumberFormat="1" applyFont="1" applyFill="1" applyBorder="1" applyAlignment="1">
      <alignment vertical="center" shrinkToFit="1"/>
    </xf>
    <xf numFmtId="177" fontId="8" fillId="3" borderId="41" xfId="1" applyNumberFormat="1" applyFont="1" applyFill="1" applyBorder="1" applyAlignment="1">
      <alignment vertical="center" shrinkToFit="1"/>
    </xf>
    <xf numFmtId="177" fontId="8" fillId="3" borderId="42" xfId="1" applyNumberFormat="1" applyFont="1" applyFill="1" applyBorder="1" applyAlignment="1">
      <alignment vertical="center" shrinkToFit="1"/>
    </xf>
    <xf numFmtId="177" fontId="8" fillId="3" borderId="43" xfId="1" applyNumberFormat="1" applyFont="1" applyFill="1" applyBorder="1" applyAlignment="1">
      <alignment vertical="center" shrinkToFit="1"/>
    </xf>
    <xf numFmtId="177" fontId="8" fillId="3" borderId="44" xfId="1" applyNumberFormat="1" applyFont="1" applyFill="1" applyBorder="1" applyAlignment="1">
      <alignment vertical="center" shrinkToFit="1"/>
    </xf>
    <xf numFmtId="177" fontId="8" fillId="4" borderId="40" xfId="1" applyNumberFormat="1" applyFont="1" applyFill="1" applyBorder="1" applyAlignment="1">
      <alignment vertical="center" shrinkToFit="1"/>
    </xf>
    <xf numFmtId="177" fontId="8" fillId="4" borderId="41" xfId="1" applyNumberFormat="1" applyFont="1" applyFill="1" applyBorder="1" applyAlignment="1">
      <alignment vertical="center" shrinkToFit="1"/>
    </xf>
    <xf numFmtId="177" fontId="8" fillId="4" borderId="42" xfId="1" applyNumberFormat="1" applyFont="1" applyFill="1" applyBorder="1" applyAlignment="1">
      <alignment vertical="center" shrinkToFit="1"/>
    </xf>
    <xf numFmtId="177" fontId="8" fillId="4" borderId="44" xfId="1" applyNumberFormat="1" applyFont="1" applyFill="1" applyBorder="1" applyAlignment="1">
      <alignment vertical="center" shrinkToFit="1"/>
    </xf>
    <xf numFmtId="0" fontId="8" fillId="5" borderId="39" xfId="2" applyFont="1" applyFill="1" applyBorder="1" applyAlignment="1">
      <alignment horizontal="center" vertical="center" wrapText="1"/>
    </xf>
    <xf numFmtId="0" fontId="8" fillId="5" borderId="40" xfId="2" applyFont="1" applyFill="1" applyBorder="1" applyAlignment="1">
      <alignment horizontal="center" vertical="center" shrinkToFit="1"/>
    </xf>
    <xf numFmtId="177" fontId="8" fillId="5" borderId="40" xfId="1" applyNumberFormat="1" applyFont="1" applyFill="1" applyBorder="1" applyAlignment="1">
      <alignment vertical="center" shrinkToFit="1"/>
    </xf>
    <xf numFmtId="177" fontId="8" fillId="5" borderId="41" xfId="1" applyNumberFormat="1" applyFont="1" applyFill="1" applyBorder="1" applyAlignment="1">
      <alignment vertical="center" shrinkToFit="1"/>
    </xf>
    <xf numFmtId="177" fontId="8" fillId="5" borderId="42" xfId="1" applyNumberFormat="1" applyFont="1" applyFill="1" applyBorder="1" applyAlignment="1">
      <alignment vertical="center" shrinkToFit="1"/>
    </xf>
    <xf numFmtId="177" fontId="8" fillId="5" borderId="43" xfId="1" applyNumberFormat="1" applyFont="1" applyFill="1" applyBorder="1" applyAlignment="1">
      <alignment vertical="center" shrinkToFit="1"/>
    </xf>
    <xf numFmtId="177" fontId="8" fillId="5" borderId="44" xfId="1" applyNumberFormat="1" applyFont="1" applyFill="1" applyBorder="1" applyAlignment="1">
      <alignment vertical="center" shrinkToFit="1"/>
    </xf>
    <xf numFmtId="177" fontId="8" fillId="6" borderId="40" xfId="1" applyNumberFormat="1" applyFont="1" applyFill="1" applyBorder="1" applyAlignment="1">
      <alignment vertical="center" shrinkToFit="1"/>
    </xf>
    <xf numFmtId="177" fontId="8" fillId="6" borderId="41" xfId="1" applyNumberFormat="1" applyFont="1" applyFill="1" applyBorder="1" applyAlignment="1">
      <alignment vertical="center" shrinkToFit="1"/>
    </xf>
    <xf numFmtId="177" fontId="8" fillId="6" borderId="42" xfId="1" applyNumberFormat="1" applyFont="1" applyFill="1" applyBorder="1" applyAlignment="1">
      <alignment vertical="center" shrinkToFit="1"/>
    </xf>
    <xf numFmtId="177" fontId="8" fillId="6" borderId="44" xfId="1" applyNumberFormat="1" applyFont="1" applyFill="1" applyBorder="1" applyAlignment="1">
      <alignment vertical="center" shrinkToFit="1"/>
    </xf>
    <xf numFmtId="0" fontId="8" fillId="5" borderId="27" xfId="2" applyFont="1" applyFill="1" applyBorder="1" applyAlignment="1">
      <alignment horizontal="center" vertical="center"/>
    </xf>
    <xf numFmtId="41" fontId="8" fillId="5" borderId="28" xfId="2" applyNumberFormat="1" applyFont="1" applyFill="1" applyBorder="1" applyAlignment="1">
      <alignment horizontal="center" vertical="center" shrinkToFit="1"/>
    </xf>
    <xf numFmtId="178" fontId="8" fillId="5" borderId="28" xfId="1" applyNumberFormat="1" applyFont="1" applyFill="1" applyBorder="1" applyAlignment="1">
      <alignment vertical="center" shrinkToFit="1"/>
    </xf>
    <xf numFmtId="178" fontId="8" fillId="5" borderId="29" xfId="1" applyNumberFormat="1" applyFont="1" applyFill="1" applyBorder="1" applyAlignment="1">
      <alignment vertical="center" shrinkToFit="1"/>
    </xf>
    <xf numFmtId="178" fontId="8" fillId="5" borderId="30" xfId="1" applyNumberFormat="1" applyFont="1" applyFill="1" applyBorder="1" applyAlignment="1">
      <alignment vertical="center" shrinkToFit="1"/>
    </xf>
    <xf numFmtId="178" fontId="8" fillId="5" borderId="31" xfId="1" applyNumberFormat="1" applyFont="1" applyFill="1" applyBorder="1" applyAlignment="1">
      <alignment vertical="center" shrinkToFit="1"/>
    </xf>
    <xf numFmtId="178" fontId="8" fillId="5" borderId="32" xfId="1" applyNumberFormat="1" applyFont="1" applyFill="1" applyBorder="1" applyAlignment="1">
      <alignment vertical="center" shrinkToFit="1"/>
    </xf>
    <xf numFmtId="178" fontId="8" fillId="6" borderId="28" xfId="1" applyNumberFormat="1" applyFont="1" applyFill="1" applyBorder="1" applyAlignment="1">
      <alignment vertical="center" shrinkToFit="1"/>
    </xf>
    <xf numFmtId="179" fontId="8" fillId="6" borderId="29" xfId="1" applyNumberFormat="1" applyFont="1" applyFill="1" applyBorder="1" applyAlignment="1">
      <alignment vertical="center" shrinkToFit="1"/>
    </xf>
    <xf numFmtId="179" fontId="8" fillId="6" borderId="30" xfId="1" applyNumberFormat="1" applyFont="1" applyFill="1" applyBorder="1" applyAlignment="1">
      <alignment vertical="center" shrinkToFit="1"/>
    </xf>
    <xf numFmtId="179" fontId="8" fillId="6" borderId="32" xfId="1" applyNumberFormat="1" applyFont="1" applyFill="1" applyBorder="1" applyAlignment="1">
      <alignment vertical="center" shrinkToFit="1"/>
    </xf>
    <xf numFmtId="0" fontId="8" fillId="5" borderId="33" xfId="2" applyFont="1" applyFill="1" applyBorder="1" applyAlignment="1">
      <alignment horizontal="center" vertical="center"/>
    </xf>
    <xf numFmtId="0" fontId="8" fillId="5" borderId="34" xfId="2" applyFont="1" applyFill="1" applyBorder="1" applyAlignment="1">
      <alignment horizontal="center" vertical="center" shrinkToFit="1"/>
    </xf>
    <xf numFmtId="180" fontId="8" fillId="5" borderId="34" xfId="1" applyNumberFormat="1" applyFont="1" applyFill="1" applyBorder="1" applyAlignment="1">
      <alignment vertical="center" shrinkToFit="1"/>
    </xf>
    <xf numFmtId="180" fontId="8" fillId="5" borderId="35" xfId="1" applyNumberFormat="1" applyFont="1" applyFill="1" applyBorder="1" applyAlignment="1">
      <alignment vertical="center" shrinkToFit="1"/>
    </xf>
    <xf numFmtId="180" fontId="8" fillId="5" borderId="36" xfId="1" applyNumberFormat="1" applyFont="1" applyFill="1" applyBorder="1" applyAlignment="1">
      <alignment vertical="center" shrinkToFit="1"/>
    </xf>
    <xf numFmtId="180" fontId="8" fillId="5" borderId="37" xfId="1" applyNumberFormat="1" applyFont="1" applyFill="1" applyBorder="1" applyAlignment="1">
      <alignment vertical="center" shrinkToFit="1"/>
    </xf>
    <xf numFmtId="180" fontId="8" fillId="5" borderId="38" xfId="1" applyNumberFormat="1" applyFont="1" applyFill="1" applyBorder="1" applyAlignment="1">
      <alignment vertical="center" shrinkToFit="1"/>
    </xf>
    <xf numFmtId="180" fontId="8" fillId="6" borderId="34" xfId="1" applyNumberFormat="1" applyFont="1" applyFill="1" applyBorder="1" applyAlignment="1">
      <alignment vertical="center" shrinkToFit="1"/>
    </xf>
    <xf numFmtId="180" fontId="8" fillId="6" borderId="35" xfId="1" applyNumberFormat="1" applyFont="1" applyFill="1" applyBorder="1" applyAlignment="1">
      <alignment vertical="center" shrinkToFit="1"/>
    </xf>
    <xf numFmtId="180" fontId="8" fillId="6" borderId="36" xfId="1" applyNumberFormat="1" applyFont="1" applyFill="1" applyBorder="1" applyAlignment="1">
      <alignment vertical="center" shrinkToFit="1"/>
    </xf>
    <xf numFmtId="180" fontId="8" fillId="6" borderId="38" xfId="1" applyNumberFormat="1" applyFont="1" applyFill="1" applyBorder="1" applyAlignment="1">
      <alignment vertical="center" shrinkToFit="1"/>
    </xf>
    <xf numFmtId="0" fontId="8" fillId="3" borderId="39" xfId="2" applyFont="1" applyFill="1" applyBorder="1" applyAlignment="1">
      <alignment horizontal="center" vertical="center" shrinkToFit="1"/>
    </xf>
    <xf numFmtId="0" fontId="8" fillId="3" borderId="27" xfId="2" applyFont="1" applyFill="1" applyBorder="1" applyAlignment="1">
      <alignment horizontal="center" vertical="center" shrinkToFit="1"/>
    </xf>
    <xf numFmtId="181" fontId="8" fillId="3" borderId="28" xfId="2" applyNumberFormat="1" applyFont="1" applyFill="1" applyBorder="1" applyAlignment="1">
      <alignment horizontal="center" vertical="center" shrinkToFit="1"/>
    </xf>
    <xf numFmtId="181" fontId="7" fillId="0" borderId="0" xfId="2" applyNumberFormat="1" applyFont="1">
      <alignment vertical="center"/>
    </xf>
    <xf numFmtId="178" fontId="8" fillId="4" borderId="29" xfId="1" applyNumberFormat="1" applyFont="1" applyFill="1" applyBorder="1" applyAlignment="1">
      <alignment vertical="center" shrinkToFit="1"/>
    </xf>
    <xf numFmtId="178" fontId="8" fillId="4" borderId="30" xfId="1" applyNumberFormat="1" applyFont="1" applyFill="1" applyBorder="1" applyAlignment="1">
      <alignment vertical="center" shrinkToFit="1"/>
    </xf>
    <xf numFmtId="178" fontId="8" fillId="4" borderId="32" xfId="1" applyNumberFormat="1" applyFont="1" applyFill="1" applyBorder="1" applyAlignment="1">
      <alignment vertical="center" shrinkToFit="1"/>
    </xf>
    <xf numFmtId="0" fontId="8" fillId="3" borderId="33" xfId="2" applyFont="1" applyFill="1" applyBorder="1" applyAlignment="1">
      <alignment horizontal="center" vertical="center" shrinkToFit="1"/>
    </xf>
    <xf numFmtId="182" fontId="8" fillId="3" borderId="40" xfId="3" applyNumberFormat="1" applyFont="1" applyFill="1" applyBorder="1" applyAlignment="1">
      <alignment vertical="center" shrinkToFit="1"/>
    </xf>
    <xf numFmtId="182" fontId="8" fillId="3" borderId="41" xfId="3" applyNumberFormat="1" applyFont="1" applyFill="1" applyBorder="1" applyAlignment="1">
      <alignment vertical="center" shrinkToFit="1"/>
    </xf>
    <xf numFmtId="182" fontId="8" fillId="3" borderId="42" xfId="3" applyNumberFormat="1" applyFont="1" applyFill="1" applyBorder="1" applyAlignment="1">
      <alignment vertical="center" shrinkToFit="1"/>
    </xf>
    <xf numFmtId="182" fontId="8" fillId="3" borderId="43" xfId="3" applyNumberFormat="1" applyFont="1" applyFill="1" applyBorder="1" applyAlignment="1">
      <alignment vertical="center" shrinkToFit="1"/>
    </xf>
    <xf numFmtId="182" fontId="8" fillId="3" borderId="44" xfId="3" applyNumberFormat="1" applyFont="1" applyFill="1" applyBorder="1" applyAlignment="1">
      <alignment vertical="center" shrinkToFit="1"/>
    </xf>
    <xf numFmtId="182" fontId="8" fillId="4" borderId="40" xfId="3" applyNumberFormat="1" applyFont="1" applyFill="1" applyBorder="1" applyAlignment="1">
      <alignment vertical="center" shrinkToFit="1"/>
    </xf>
    <xf numFmtId="182" fontId="8" fillId="4" borderId="41" xfId="3" applyNumberFormat="1" applyFont="1" applyFill="1" applyBorder="1" applyAlignment="1">
      <alignment vertical="center" shrinkToFit="1"/>
    </xf>
    <xf numFmtId="182" fontId="8" fillId="4" borderId="42" xfId="3" applyNumberFormat="1" applyFont="1" applyFill="1" applyBorder="1" applyAlignment="1">
      <alignment vertical="center" shrinkToFit="1"/>
    </xf>
    <xf numFmtId="182" fontId="8" fillId="4" borderId="44" xfId="3" applyNumberFormat="1" applyFont="1" applyFill="1" applyBorder="1" applyAlignment="1">
      <alignment vertical="center" shrinkToFit="1"/>
    </xf>
    <xf numFmtId="0" fontId="8" fillId="3" borderId="28" xfId="2" applyFont="1" applyFill="1" applyBorder="1" applyAlignment="1">
      <alignment horizontal="center" vertical="center" shrinkToFit="1"/>
    </xf>
    <xf numFmtId="182" fontId="8" fillId="3" borderId="28" xfId="3" applyNumberFormat="1" applyFont="1" applyFill="1" applyBorder="1" applyAlignment="1">
      <alignment vertical="center" shrinkToFit="1"/>
    </xf>
    <xf numFmtId="182" fontId="8" fillId="3" borderId="29" xfId="3" applyNumberFormat="1" applyFont="1" applyFill="1" applyBorder="1" applyAlignment="1">
      <alignment vertical="center" shrinkToFit="1"/>
    </xf>
    <xf numFmtId="182" fontId="8" fillId="3" borderId="30" xfId="3" applyNumberFormat="1" applyFont="1" applyFill="1" applyBorder="1" applyAlignment="1">
      <alignment vertical="center" shrinkToFit="1"/>
    </xf>
    <xf numFmtId="182" fontId="8" fillId="3" borderId="31" xfId="3" applyNumberFormat="1" applyFont="1" applyFill="1" applyBorder="1" applyAlignment="1">
      <alignment vertical="center" shrinkToFit="1"/>
    </xf>
    <xf numFmtId="182" fontId="8" fillId="3" borderId="32" xfId="3" applyNumberFormat="1" applyFont="1" applyFill="1" applyBorder="1" applyAlignment="1">
      <alignment vertical="center" shrinkToFit="1"/>
    </xf>
    <xf numFmtId="182" fontId="8" fillId="4" borderId="28" xfId="3" applyNumberFormat="1" applyFont="1" applyFill="1" applyBorder="1" applyAlignment="1">
      <alignment vertical="center" shrinkToFit="1"/>
    </xf>
    <xf numFmtId="182" fontId="8" fillId="4" borderId="29" xfId="3" applyNumberFormat="1" applyFont="1" applyFill="1" applyBorder="1" applyAlignment="1">
      <alignment vertical="center" shrinkToFit="1"/>
    </xf>
    <xf numFmtId="182" fontId="8" fillId="4" borderId="30" xfId="3" applyNumberFormat="1" applyFont="1" applyFill="1" applyBorder="1" applyAlignment="1">
      <alignment vertical="center" shrinkToFit="1"/>
    </xf>
    <xf numFmtId="182" fontId="8" fillId="4" borderId="32" xfId="3" applyNumberFormat="1" applyFont="1" applyFill="1" applyBorder="1" applyAlignment="1">
      <alignment vertical="center" shrinkToFit="1"/>
    </xf>
    <xf numFmtId="0" fontId="7" fillId="3" borderId="45" xfId="2" applyFont="1" applyFill="1" applyBorder="1" applyAlignment="1">
      <alignment horizontal="center" vertical="center" textRotation="255"/>
    </xf>
    <xf numFmtId="0" fontId="8" fillId="3" borderId="46" xfId="2" applyFont="1" applyFill="1" applyBorder="1" applyAlignment="1">
      <alignment horizontal="center" vertical="center" shrinkToFit="1"/>
    </xf>
    <xf numFmtId="0" fontId="8" fillId="3" borderId="11" xfId="2" applyFont="1" applyFill="1" applyBorder="1" applyAlignment="1">
      <alignment horizontal="center" vertical="center" shrinkToFit="1"/>
    </xf>
    <xf numFmtId="182" fontId="8" fillId="3" borderId="11" xfId="3" applyNumberFormat="1" applyFont="1" applyFill="1" applyBorder="1" applyAlignment="1">
      <alignment vertical="center" shrinkToFit="1"/>
    </xf>
    <xf numFmtId="182" fontId="8" fillId="3" borderId="16" xfId="3" applyNumberFormat="1" applyFont="1" applyFill="1" applyBorder="1" applyAlignment="1">
      <alignment vertical="center" shrinkToFit="1"/>
    </xf>
    <xf numFmtId="182" fontId="8" fillId="3" borderId="17" xfId="3" applyNumberFormat="1" applyFont="1" applyFill="1" applyBorder="1" applyAlignment="1">
      <alignment vertical="center" shrinkToFit="1"/>
    </xf>
    <xf numFmtId="182" fontId="8" fillId="3" borderId="47" xfId="3" applyNumberFormat="1" applyFont="1" applyFill="1" applyBorder="1" applyAlignment="1">
      <alignment vertical="center" shrinkToFit="1"/>
    </xf>
    <xf numFmtId="182" fontId="8" fillId="3" borderId="18" xfId="3" applyNumberFormat="1" applyFont="1" applyFill="1" applyBorder="1" applyAlignment="1">
      <alignment vertical="center" shrinkToFit="1"/>
    </xf>
    <xf numFmtId="182" fontId="8" fillId="4" borderId="11" xfId="3" applyNumberFormat="1" applyFont="1" applyFill="1" applyBorder="1" applyAlignment="1">
      <alignment vertical="center" shrinkToFit="1"/>
    </xf>
    <xf numFmtId="182" fontId="8" fillId="4" borderId="16" xfId="3" applyNumberFormat="1" applyFont="1" applyFill="1" applyBorder="1" applyAlignment="1">
      <alignment vertical="center" shrinkToFit="1"/>
    </xf>
    <xf numFmtId="182" fontId="8" fillId="4" borderId="17" xfId="3" applyNumberFormat="1" applyFont="1" applyFill="1" applyBorder="1" applyAlignment="1">
      <alignment vertical="center" shrinkToFit="1"/>
    </xf>
    <xf numFmtId="182" fontId="8" fillId="4" borderId="18" xfId="3" applyNumberFormat="1" applyFont="1" applyFill="1" applyBorder="1" applyAlignment="1">
      <alignment vertical="center" shrinkToFit="1"/>
    </xf>
    <xf numFmtId="0" fontId="10" fillId="3" borderId="19" xfId="2" applyFont="1" applyFill="1" applyBorder="1" applyAlignment="1">
      <alignment horizontal="center" vertical="center" textRotation="255"/>
    </xf>
    <xf numFmtId="0" fontId="11" fillId="3" borderId="20" xfId="2" applyFont="1" applyFill="1" applyBorder="1" applyAlignment="1">
      <alignment horizontal="center" vertical="center" wrapText="1"/>
    </xf>
    <xf numFmtId="0" fontId="11" fillId="3" borderId="21" xfId="2" applyFont="1" applyFill="1" applyBorder="1" applyAlignment="1">
      <alignment horizontal="center" vertical="center" shrinkToFit="1"/>
    </xf>
    <xf numFmtId="177" fontId="11" fillId="3" borderId="21" xfId="1" applyNumberFormat="1" applyFont="1" applyFill="1" applyBorder="1" applyAlignment="1">
      <alignment vertical="center" shrinkToFit="1"/>
    </xf>
    <xf numFmtId="177" fontId="11" fillId="3" borderId="22" xfId="1" applyNumberFormat="1" applyFont="1" applyFill="1" applyBorder="1" applyAlignment="1">
      <alignment vertical="center" shrinkToFit="1"/>
    </xf>
    <xf numFmtId="177" fontId="11" fillId="3" borderId="23" xfId="1" applyNumberFormat="1" applyFont="1" applyFill="1" applyBorder="1" applyAlignment="1">
      <alignment vertical="center" shrinkToFit="1"/>
    </xf>
    <xf numFmtId="177" fontId="11" fillId="3" borderId="24" xfId="1" applyNumberFormat="1" applyFont="1" applyFill="1" applyBorder="1" applyAlignment="1">
      <alignment vertical="center" shrinkToFit="1"/>
    </xf>
    <xf numFmtId="177" fontId="11" fillId="3" borderId="25" xfId="1" applyNumberFormat="1" applyFont="1" applyFill="1" applyBorder="1" applyAlignment="1">
      <alignment vertical="center" shrinkToFit="1"/>
    </xf>
    <xf numFmtId="177" fontId="11" fillId="4" borderId="21" xfId="1" applyNumberFormat="1" applyFont="1" applyFill="1" applyBorder="1" applyAlignment="1">
      <alignment vertical="center" shrinkToFit="1"/>
    </xf>
    <xf numFmtId="177" fontId="11" fillId="4" borderId="22" xfId="1" applyNumberFormat="1" applyFont="1" applyFill="1" applyBorder="1" applyAlignment="1">
      <alignment vertical="center" shrinkToFit="1"/>
    </xf>
    <xf numFmtId="177" fontId="11" fillId="4" borderId="23" xfId="1" applyNumberFormat="1" applyFont="1" applyFill="1" applyBorder="1" applyAlignment="1">
      <alignment vertical="center" shrinkToFit="1"/>
    </xf>
    <xf numFmtId="177" fontId="11" fillId="4" borderId="25" xfId="1" applyNumberFormat="1" applyFont="1" applyFill="1" applyBorder="1" applyAlignment="1">
      <alignment vertical="center" shrinkToFit="1"/>
    </xf>
    <xf numFmtId="0" fontId="10" fillId="3" borderId="26" xfId="2" applyFont="1" applyFill="1" applyBorder="1" applyAlignment="1">
      <alignment horizontal="center" vertical="center" textRotation="255"/>
    </xf>
    <xf numFmtId="0" fontId="11" fillId="3" borderId="27" xfId="2" applyFont="1" applyFill="1" applyBorder="1" applyAlignment="1">
      <alignment horizontal="center" vertical="center"/>
    </xf>
    <xf numFmtId="41" fontId="11" fillId="3" borderId="28" xfId="2" applyNumberFormat="1" applyFont="1" applyFill="1" applyBorder="1" applyAlignment="1">
      <alignment horizontal="center" vertical="center" shrinkToFit="1"/>
    </xf>
    <xf numFmtId="178" fontId="11" fillId="3" borderId="28" xfId="1" applyNumberFormat="1" applyFont="1" applyFill="1" applyBorder="1" applyAlignment="1">
      <alignment vertical="center" shrinkToFit="1"/>
    </xf>
    <xf numFmtId="177" fontId="11" fillId="3" borderId="28" xfId="1" applyNumberFormat="1" applyFont="1" applyFill="1" applyBorder="1" applyAlignment="1">
      <alignment vertical="center" shrinkToFit="1"/>
    </xf>
    <xf numFmtId="177" fontId="11" fillId="3" borderId="29" xfId="1" applyNumberFormat="1" applyFont="1" applyFill="1" applyBorder="1" applyAlignment="1">
      <alignment vertical="center" shrinkToFit="1"/>
    </xf>
    <xf numFmtId="177" fontId="11" fillId="3" borderId="30" xfId="1" applyNumberFormat="1" applyFont="1" applyFill="1" applyBorder="1" applyAlignment="1">
      <alignment vertical="center" shrinkToFit="1"/>
    </xf>
    <xf numFmtId="177" fontId="11" fillId="3" borderId="31" xfId="1" applyNumberFormat="1" applyFont="1" applyFill="1" applyBorder="1" applyAlignment="1">
      <alignment vertical="center" shrinkToFit="1"/>
    </xf>
    <xf numFmtId="177" fontId="11" fillId="3" borderId="32" xfId="1" applyNumberFormat="1" applyFont="1" applyFill="1" applyBorder="1" applyAlignment="1">
      <alignment vertical="center" shrinkToFit="1"/>
    </xf>
    <xf numFmtId="178" fontId="11" fillId="4" borderId="28" xfId="1" applyNumberFormat="1" applyFont="1" applyFill="1" applyBorder="1" applyAlignment="1">
      <alignment vertical="center" shrinkToFit="1"/>
    </xf>
    <xf numFmtId="179" fontId="11" fillId="4" borderId="29" xfId="1" applyNumberFormat="1" applyFont="1" applyFill="1" applyBorder="1" applyAlignment="1">
      <alignment vertical="center" shrinkToFit="1"/>
    </xf>
    <xf numFmtId="179" fontId="11" fillId="4" borderId="30" xfId="1" applyNumberFormat="1" applyFont="1" applyFill="1" applyBorder="1" applyAlignment="1">
      <alignment vertical="center" shrinkToFit="1"/>
    </xf>
    <xf numFmtId="179" fontId="11" fillId="4" borderId="32" xfId="1" applyNumberFormat="1" applyFont="1" applyFill="1" applyBorder="1" applyAlignment="1">
      <alignment vertical="center" shrinkToFit="1"/>
    </xf>
    <xf numFmtId="0" fontId="11" fillId="3" borderId="33" xfId="2" applyFont="1" applyFill="1" applyBorder="1" applyAlignment="1">
      <alignment horizontal="center" vertical="center"/>
    </xf>
    <xf numFmtId="0" fontId="11" fillId="3" borderId="34" xfId="2" applyFont="1" applyFill="1" applyBorder="1" applyAlignment="1">
      <alignment horizontal="center" vertical="center" shrinkToFit="1"/>
    </xf>
    <xf numFmtId="180" fontId="11" fillId="3" borderId="34" xfId="1" applyNumberFormat="1" applyFont="1" applyFill="1" applyBorder="1" applyAlignment="1">
      <alignment vertical="center" shrinkToFit="1"/>
    </xf>
    <xf numFmtId="180" fontId="11" fillId="3" borderId="35" xfId="1" applyNumberFormat="1" applyFont="1" applyFill="1" applyBorder="1" applyAlignment="1">
      <alignment vertical="center" shrinkToFit="1"/>
    </xf>
    <xf numFmtId="180" fontId="11" fillId="3" borderId="36" xfId="1" applyNumberFormat="1" applyFont="1" applyFill="1" applyBorder="1" applyAlignment="1">
      <alignment vertical="center" shrinkToFit="1"/>
    </xf>
    <xf numFmtId="180" fontId="11" fillId="3" borderId="37" xfId="1" applyNumberFormat="1" applyFont="1" applyFill="1" applyBorder="1" applyAlignment="1">
      <alignment vertical="center" shrinkToFit="1"/>
    </xf>
    <xf numFmtId="180" fontId="11" fillId="3" borderId="38" xfId="1" applyNumberFormat="1" applyFont="1" applyFill="1" applyBorder="1" applyAlignment="1">
      <alignment vertical="center" shrinkToFit="1"/>
    </xf>
    <xf numFmtId="180" fontId="11" fillId="4" borderId="34" xfId="1" applyNumberFormat="1" applyFont="1" applyFill="1" applyBorder="1" applyAlignment="1">
      <alignment vertical="center" shrinkToFit="1"/>
    </xf>
    <xf numFmtId="180" fontId="11" fillId="4" borderId="35" xfId="1" applyNumberFormat="1" applyFont="1" applyFill="1" applyBorder="1" applyAlignment="1">
      <alignment vertical="center" shrinkToFit="1"/>
    </xf>
    <xf numFmtId="180" fontId="11" fillId="4" borderId="36" xfId="1" applyNumberFormat="1" applyFont="1" applyFill="1" applyBorder="1" applyAlignment="1">
      <alignment vertical="center" shrinkToFit="1"/>
    </xf>
    <xf numFmtId="180" fontId="11" fillId="4" borderId="38" xfId="1" applyNumberFormat="1" applyFont="1" applyFill="1" applyBorder="1" applyAlignment="1">
      <alignment vertical="center" shrinkToFit="1"/>
    </xf>
    <xf numFmtId="0" fontId="11" fillId="3" borderId="39" xfId="2" applyFont="1" applyFill="1" applyBorder="1" applyAlignment="1">
      <alignment horizontal="center" vertical="center" wrapText="1"/>
    </xf>
    <xf numFmtId="0" fontId="11" fillId="3" borderId="40" xfId="2" applyFont="1" applyFill="1" applyBorder="1" applyAlignment="1">
      <alignment horizontal="center" vertical="center" shrinkToFit="1"/>
    </xf>
    <xf numFmtId="177" fontId="11" fillId="3" borderId="40" xfId="1" applyNumberFormat="1" applyFont="1" applyFill="1" applyBorder="1" applyAlignment="1">
      <alignment vertical="center" shrinkToFit="1"/>
    </xf>
    <xf numFmtId="177" fontId="11" fillId="3" borderId="41" xfId="1" applyNumberFormat="1" applyFont="1" applyFill="1" applyBorder="1" applyAlignment="1">
      <alignment vertical="center" shrinkToFit="1"/>
    </xf>
    <xf numFmtId="177" fontId="11" fillId="3" borderId="42" xfId="1" applyNumberFormat="1" applyFont="1" applyFill="1" applyBorder="1" applyAlignment="1">
      <alignment vertical="center" shrinkToFit="1"/>
    </xf>
    <xf numFmtId="177" fontId="11" fillId="3" borderId="43" xfId="1" applyNumberFormat="1" applyFont="1" applyFill="1" applyBorder="1" applyAlignment="1">
      <alignment vertical="center" shrinkToFit="1"/>
    </xf>
    <xf numFmtId="177" fontId="11" fillId="3" borderId="44" xfId="1" applyNumberFormat="1" applyFont="1" applyFill="1" applyBorder="1" applyAlignment="1">
      <alignment vertical="center" shrinkToFit="1"/>
    </xf>
    <xf numFmtId="177" fontId="11" fillId="4" borderId="40" xfId="1" applyNumberFormat="1" applyFont="1" applyFill="1" applyBorder="1" applyAlignment="1">
      <alignment vertical="center" shrinkToFit="1"/>
    </xf>
    <xf numFmtId="177" fontId="11" fillId="4" borderId="41" xfId="1" applyNumberFormat="1" applyFont="1" applyFill="1" applyBorder="1" applyAlignment="1">
      <alignment vertical="center" shrinkToFit="1"/>
    </xf>
    <xf numFmtId="177" fontId="11" fillId="4" borderId="42" xfId="1" applyNumberFormat="1" applyFont="1" applyFill="1" applyBorder="1" applyAlignment="1">
      <alignment vertical="center" shrinkToFit="1"/>
    </xf>
    <xf numFmtId="177" fontId="11" fillId="4" borderId="44" xfId="1" applyNumberFormat="1" applyFont="1" applyFill="1" applyBorder="1" applyAlignment="1">
      <alignment vertical="center" shrinkToFit="1"/>
    </xf>
    <xf numFmtId="0" fontId="11" fillId="5" borderId="39" xfId="2" applyFont="1" applyFill="1" applyBorder="1" applyAlignment="1">
      <alignment horizontal="center" vertical="center" wrapText="1"/>
    </xf>
    <xf numFmtId="0" fontId="11" fillId="5" borderId="40" xfId="2" applyFont="1" applyFill="1" applyBorder="1" applyAlignment="1">
      <alignment horizontal="center" vertical="center" shrinkToFit="1"/>
    </xf>
    <xf numFmtId="177" fontId="11" fillId="5" borderId="40" xfId="1" applyNumberFormat="1" applyFont="1" applyFill="1" applyBorder="1" applyAlignment="1">
      <alignment vertical="center" shrinkToFit="1"/>
    </xf>
    <xf numFmtId="177" fontId="11" fillId="5" borderId="41" xfId="1" applyNumberFormat="1" applyFont="1" applyFill="1" applyBorder="1" applyAlignment="1">
      <alignment vertical="center" shrinkToFit="1"/>
    </xf>
    <xf numFmtId="177" fontId="11" fillId="5" borderId="42" xfId="1" applyNumberFormat="1" applyFont="1" applyFill="1" applyBorder="1" applyAlignment="1">
      <alignment vertical="center" shrinkToFit="1"/>
    </xf>
    <xf numFmtId="177" fontId="11" fillId="5" borderId="43" xfId="1" applyNumberFormat="1" applyFont="1" applyFill="1" applyBorder="1" applyAlignment="1">
      <alignment vertical="center" shrinkToFit="1"/>
    </xf>
    <xf numFmtId="177" fontId="11" fillId="5" borderId="44" xfId="1" applyNumberFormat="1" applyFont="1" applyFill="1" applyBorder="1" applyAlignment="1">
      <alignment vertical="center" shrinkToFit="1"/>
    </xf>
    <xf numFmtId="177" fontId="11" fillId="6" borderId="40" xfId="1" applyNumberFormat="1" applyFont="1" applyFill="1" applyBorder="1" applyAlignment="1">
      <alignment vertical="center" shrinkToFit="1"/>
    </xf>
    <xf numFmtId="177" fontId="11" fillId="6" borderId="41" xfId="1" applyNumberFormat="1" applyFont="1" applyFill="1" applyBorder="1" applyAlignment="1">
      <alignment vertical="center" shrinkToFit="1"/>
    </xf>
    <xf numFmtId="177" fontId="11" fillId="6" borderId="42" xfId="1" applyNumberFormat="1" applyFont="1" applyFill="1" applyBorder="1" applyAlignment="1">
      <alignment vertical="center" shrinkToFit="1"/>
    </xf>
    <xf numFmtId="177" fontId="11" fillId="6" borderId="44" xfId="1" applyNumberFormat="1" applyFont="1" applyFill="1" applyBorder="1" applyAlignment="1">
      <alignment vertical="center" shrinkToFit="1"/>
    </xf>
    <xf numFmtId="0" fontId="11" fillId="5" borderId="27" xfId="2" applyFont="1" applyFill="1" applyBorder="1" applyAlignment="1">
      <alignment horizontal="center" vertical="center"/>
    </xf>
    <xf numFmtId="41" fontId="11" fillId="5" borderId="28" xfId="2" applyNumberFormat="1" applyFont="1" applyFill="1" applyBorder="1" applyAlignment="1">
      <alignment horizontal="center" vertical="center" shrinkToFit="1"/>
    </xf>
    <xf numFmtId="178" fontId="11" fillId="5" borderId="28" xfId="1" applyNumberFormat="1" applyFont="1" applyFill="1" applyBorder="1" applyAlignment="1">
      <alignment vertical="center" shrinkToFit="1"/>
    </xf>
    <xf numFmtId="177" fontId="11" fillId="5" borderId="28" xfId="1" applyNumberFormat="1" applyFont="1" applyFill="1" applyBorder="1" applyAlignment="1">
      <alignment vertical="center" shrinkToFit="1"/>
    </xf>
    <xf numFmtId="177" fontId="11" fillId="5" borderId="29" xfId="1" applyNumberFormat="1" applyFont="1" applyFill="1" applyBorder="1" applyAlignment="1">
      <alignment vertical="center" shrinkToFit="1"/>
    </xf>
    <xf numFmtId="177" fontId="11" fillId="5" borderId="30" xfId="1" applyNumberFormat="1" applyFont="1" applyFill="1" applyBorder="1" applyAlignment="1">
      <alignment vertical="center" shrinkToFit="1"/>
    </xf>
    <xf numFmtId="177" fontId="11" fillId="5" borderId="31" xfId="1" applyNumberFormat="1" applyFont="1" applyFill="1" applyBorder="1" applyAlignment="1">
      <alignment vertical="center" shrinkToFit="1"/>
    </xf>
    <xf numFmtId="177" fontId="11" fillId="5" borderId="32" xfId="1" applyNumberFormat="1" applyFont="1" applyFill="1" applyBorder="1" applyAlignment="1">
      <alignment vertical="center" shrinkToFit="1"/>
    </xf>
    <xf numFmtId="178" fontId="11" fillId="6" borderId="28" xfId="1" applyNumberFormat="1" applyFont="1" applyFill="1" applyBorder="1" applyAlignment="1">
      <alignment vertical="center" shrinkToFit="1"/>
    </xf>
    <xf numFmtId="179" fontId="11" fillId="6" borderId="29" xfId="1" applyNumberFormat="1" applyFont="1" applyFill="1" applyBorder="1" applyAlignment="1">
      <alignment vertical="center" shrinkToFit="1"/>
    </xf>
    <xf numFmtId="179" fontId="11" fillId="6" borderId="30" xfId="1" applyNumberFormat="1" applyFont="1" applyFill="1" applyBorder="1" applyAlignment="1">
      <alignment vertical="center" shrinkToFit="1"/>
    </xf>
    <xf numFmtId="179" fontId="11" fillId="6" borderId="32" xfId="1" applyNumberFormat="1" applyFont="1" applyFill="1" applyBorder="1" applyAlignment="1">
      <alignment vertical="center" shrinkToFit="1"/>
    </xf>
    <xf numFmtId="0" fontId="11" fillId="5" borderId="33" xfId="2" applyFont="1" applyFill="1" applyBorder="1" applyAlignment="1">
      <alignment horizontal="center" vertical="center"/>
    </xf>
    <xf numFmtId="0" fontId="11" fillId="5" borderId="34" xfId="2" applyFont="1" applyFill="1" applyBorder="1" applyAlignment="1">
      <alignment horizontal="center" vertical="center" shrinkToFit="1"/>
    </xf>
    <xf numFmtId="180" fontId="11" fillId="5" borderId="34" xfId="1" applyNumberFormat="1" applyFont="1" applyFill="1" applyBorder="1" applyAlignment="1">
      <alignment vertical="center" shrinkToFit="1"/>
    </xf>
    <xf numFmtId="180" fontId="11" fillId="5" borderId="35" xfId="1" applyNumberFormat="1" applyFont="1" applyFill="1" applyBorder="1" applyAlignment="1">
      <alignment vertical="center" shrinkToFit="1"/>
    </xf>
    <xf numFmtId="180" fontId="11" fillId="5" borderId="36" xfId="1" applyNumberFormat="1" applyFont="1" applyFill="1" applyBorder="1" applyAlignment="1">
      <alignment vertical="center" shrinkToFit="1"/>
    </xf>
    <xf numFmtId="180" fontId="11" fillId="5" borderId="37" xfId="1" applyNumberFormat="1" applyFont="1" applyFill="1" applyBorder="1" applyAlignment="1">
      <alignment vertical="center" shrinkToFit="1"/>
    </xf>
    <xf numFmtId="180" fontId="11" fillId="5" borderId="38" xfId="1" applyNumberFormat="1" applyFont="1" applyFill="1" applyBorder="1" applyAlignment="1">
      <alignment vertical="center" shrinkToFit="1"/>
    </xf>
    <xf numFmtId="180" fontId="11" fillId="6" borderId="34" xfId="1" applyNumberFormat="1" applyFont="1" applyFill="1" applyBorder="1" applyAlignment="1">
      <alignment vertical="center" shrinkToFit="1"/>
    </xf>
    <xf numFmtId="180" fontId="11" fillId="6" borderId="35" xfId="1" applyNumberFormat="1" applyFont="1" applyFill="1" applyBorder="1" applyAlignment="1">
      <alignment vertical="center" shrinkToFit="1"/>
    </xf>
    <xf numFmtId="180" fontId="11" fillId="6" borderId="36" xfId="1" applyNumberFormat="1" applyFont="1" applyFill="1" applyBorder="1" applyAlignment="1">
      <alignment vertical="center" shrinkToFit="1"/>
    </xf>
    <xf numFmtId="180" fontId="11" fillId="6" borderId="38" xfId="1" applyNumberFormat="1" applyFont="1" applyFill="1" applyBorder="1" applyAlignment="1">
      <alignment vertical="center" shrinkToFit="1"/>
    </xf>
    <xf numFmtId="0" fontId="11" fillId="3" borderId="39" xfId="2" applyFont="1" applyFill="1" applyBorder="1" applyAlignment="1">
      <alignment horizontal="center" vertical="center"/>
    </xf>
    <xf numFmtId="181" fontId="11" fillId="3" borderId="28" xfId="2" applyNumberFormat="1" applyFont="1" applyFill="1" applyBorder="1" applyAlignment="1">
      <alignment horizontal="center" vertical="center" shrinkToFit="1"/>
    </xf>
    <xf numFmtId="178" fontId="11" fillId="3" borderId="29" xfId="1" applyNumberFormat="1" applyFont="1" applyFill="1" applyBorder="1" applyAlignment="1">
      <alignment vertical="center" shrinkToFit="1"/>
    </xf>
    <xf numFmtId="178" fontId="11" fillId="3" borderId="30" xfId="1" applyNumberFormat="1" applyFont="1" applyFill="1" applyBorder="1" applyAlignment="1">
      <alignment vertical="center" shrinkToFit="1"/>
    </xf>
    <xf numFmtId="178" fontId="11" fillId="3" borderId="31" xfId="1" applyNumberFormat="1" applyFont="1" applyFill="1" applyBorder="1" applyAlignment="1">
      <alignment vertical="center" shrinkToFit="1"/>
    </xf>
    <xf numFmtId="178" fontId="11" fillId="3" borderId="32" xfId="1" applyNumberFormat="1" applyFont="1" applyFill="1" applyBorder="1" applyAlignment="1">
      <alignment vertical="center" shrinkToFit="1"/>
    </xf>
    <xf numFmtId="178" fontId="11" fillId="4" borderId="29" xfId="1" applyNumberFormat="1" applyFont="1" applyFill="1" applyBorder="1" applyAlignment="1">
      <alignment vertical="center" shrinkToFit="1"/>
    </xf>
    <xf numFmtId="178" fontId="11" fillId="4" borderId="30" xfId="1" applyNumberFormat="1" applyFont="1" applyFill="1" applyBorder="1" applyAlignment="1">
      <alignment vertical="center" shrinkToFit="1"/>
    </xf>
    <xf numFmtId="178" fontId="11" fillId="4" borderId="32" xfId="1" applyNumberFormat="1" applyFont="1" applyFill="1" applyBorder="1" applyAlignment="1">
      <alignment vertical="center" shrinkToFit="1"/>
    </xf>
    <xf numFmtId="182" fontId="11" fillId="3" borderId="40" xfId="3" applyNumberFormat="1" applyFont="1" applyFill="1" applyBorder="1" applyAlignment="1">
      <alignment vertical="center" shrinkToFit="1"/>
    </xf>
    <xf numFmtId="182" fontId="11" fillId="3" borderId="41" xfId="3" applyNumberFormat="1" applyFont="1" applyFill="1" applyBorder="1" applyAlignment="1">
      <alignment vertical="center" shrinkToFit="1"/>
    </xf>
    <xf numFmtId="182" fontId="11" fillId="3" borderId="42" xfId="3" applyNumberFormat="1" applyFont="1" applyFill="1" applyBorder="1" applyAlignment="1">
      <alignment vertical="center" shrinkToFit="1"/>
    </xf>
    <xf numFmtId="182" fontId="11" fillId="3" borderId="43" xfId="3" applyNumberFormat="1" applyFont="1" applyFill="1" applyBorder="1" applyAlignment="1">
      <alignment vertical="center" shrinkToFit="1"/>
    </xf>
    <xf numFmtId="182" fontId="11" fillId="3" borderId="44" xfId="3" applyNumberFormat="1" applyFont="1" applyFill="1" applyBorder="1" applyAlignment="1">
      <alignment vertical="center" shrinkToFit="1"/>
    </xf>
    <xf numFmtId="182" fontId="11" fillId="4" borderId="40" xfId="3" applyNumberFormat="1" applyFont="1" applyFill="1" applyBorder="1" applyAlignment="1">
      <alignment vertical="center" shrinkToFit="1"/>
    </xf>
    <xf numFmtId="182" fontId="11" fillId="4" borderId="41" xfId="3" applyNumberFormat="1" applyFont="1" applyFill="1" applyBorder="1" applyAlignment="1">
      <alignment vertical="center" shrinkToFit="1"/>
    </xf>
    <xf numFmtId="182" fontId="11" fillId="4" borderId="42" xfId="3" applyNumberFormat="1" applyFont="1" applyFill="1" applyBorder="1" applyAlignment="1">
      <alignment vertical="center" shrinkToFit="1"/>
    </xf>
    <xf numFmtId="182" fontId="11" fillId="4" borderId="44" xfId="3" applyNumberFormat="1" applyFont="1" applyFill="1" applyBorder="1" applyAlignment="1">
      <alignment vertical="center" shrinkToFit="1"/>
    </xf>
    <xf numFmtId="0" fontId="11" fillId="3" borderId="28" xfId="2" applyFont="1" applyFill="1" applyBorder="1" applyAlignment="1">
      <alignment horizontal="center" vertical="center" shrinkToFit="1"/>
    </xf>
    <xf numFmtId="182" fontId="11" fillId="3" borderId="28" xfId="3" applyNumberFormat="1" applyFont="1" applyFill="1" applyBorder="1" applyAlignment="1">
      <alignment vertical="center" shrinkToFit="1"/>
    </xf>
    <xf numFmtId="182" fontId="11" fillId="3" borderId="29" xfId="3" applyNumberFormat="1" applyFont="1" applyFill="1" applyBorder="1" applyAlignment="1">
      <alignment vertical="center" shrinkToFit="1"/>
    </xf>
    <xf numFmtId="182" fontId="11" fillId="3" borderId="30" xfId="3" applyNumberFormat="1" applyFont="1" applyFill="1" applyBorder="1" applyAlignment="1">
      <alignment vertical="center" shrinkToFit="1"/>
    </xf>
    <xf numFmtId="182" fontId="11" fillId="3" borderId="31" xfId="3" applyNumberFormat="1" applyFont="1" applyFill="1" applyBorder="1" applyAlignment="1">
      <alignment vertical="center" shrinkToFit="1"/>
    </xf>
    <xf numFmtId="182" fontId="11" fillId="3" borderId="32" xfId="3" applyNumberFormat="1" applyFont="1" applyFill="1" applyBorder="1" applyAlignment="1">
      <alignment vertical="center" shrinkToFit="1"/>
    </xf>
    <xf numFmtId="182" fontId="11" fillId="4" borderId="28" xfId="3" applyNumberFormat="1" applyFont="1" applyFill="1" applyBorder="1" applyAlignment="1">
      <alignment vertical="center" shrinkToFit="1"/>
    </xf>
    <xf numFmtId="182" fontId="11" fillId="4" borderId="29" xfId="3" applyNumberFormat="1" applyFont="1" applyFill="1" applyBorder="1" applyAlignment="1">
      <alignment vertical="center" shrinkToFit="1"/>
    </xf>
    <xf numFmtId="182" fontId="11" fillId="4" borderId="30" xfId="3" applyNumberFormat="1" applyFont="1" applyFill="1" applyBorder="1" applyAlignment="1">
      <alignment vertical="center" shrinkToFit="1"/>
    </xf>
    <xf numFmtId="182" fontId="11" fillId="4" borderId="32" xfId="3" applyNumberFormat="1" applyFont="1" applyFill="1" applyBorder="1" applyAlignment="1">
      <alignment vertical="center" shrinkToFit="1"/>
    </xf>
    <xf numFmtId="0" fontId="10" fillId="3" borderId="41" xfId="2" applyFont="1" applyFill="1" applyBorder="1" applyAlignment="1">
      <alignment horizontal="center" vertical="center" textRotation="255"/>
    </xf>
    <xf numFmtId="0" fontId="10" fillId="3" borderId="48" xfId="2" applyFont="1" applyFill="1" applyBorder="1" applyAlignment="1">
      <alignment horizontal="center" vertical="center" textRotation="255"/>
    </xf>
    <xf numFmtId="0" fontId="11" fillId="3" borderId="49" xfId="2" applyFont="1" applyFill="1" applyBorder="1" applyAlignment="1">
      <alignment horizontal="center" vertical="center" wrapText="1"/>
    </xf>
    <xf numFmtId="0" fontId="11" fillId="3" borderId="50" xfId="2" applyFont="1" applyFill="1" applyBorder="1" applyAlignment="1">
      <alignment horizontal="center" vertical="center" shrinkToFit="1"/>
    </xf>
    <xf numFmtId="177" fontId="11" fillId="3" borderId="50" xfId="1" applyNumberFormat="1" applyFont="1" applyFill="1" applyBorder="1" applyAlignment="1">
      <alignment vertical="center" shrinkToFit="1"/>
    </xf>
    <xf numFmtId="177" fontId="11" fillId="3" borderId="51" xfId="1" applyNumberFormat="1" applyFont="1" applyFill="1" applyBorder="1" applyAlignment="1">
      <alignment vertical="center" shrinkToFit="1"/>
    </xf>
    <xf numFmtId="177" fontId="11" fillId="3" borderId="52" xfId="1" applyNumberFormat="1" applyFont="1" applyFill="1" applyBorder="1" applyAlignment="1">
      <alignment vertical="center" shrinkToFit="1"/>
    </xf>
    <xf numFmtId="177" fontId="11" fillId="3" borderId="53" xfId="1" applyNumberFormat="1" applyFont="1" applyFill="1" applyBorder="1" applyAlignment="1">
      <alignment vertical="center" shrinkToFit="1"/>
    </xf>
    <xf numFmtId="177" fontId="11" fillId="3" borderId="54" xfId="1" applyNumberFormat="1" applyFont="1" applyFill="1" applyBorder="1" applyAlignment="1">
      <alignment vertical="center" shrinkToFit="1"/>
    </xf>
    <xf numFmtId="177" fontId="11" fillId="4" borderId="50" xfId="1" applyNumberFormat="1" applyFont="1" applyFill="1" applyBorder="1" applyAlignment="1">
      <alignment vertical="center" shrinkToFit="1"/>
    </xf>
    <xf numFmtId="177" fontId="11" fillId="4" borderId="51" xfId="1" applyNumberFormat="1" applyFont="1" applyFill="1" applyBorder="1" applyAlignment="1">
      <alignment vertical="center" shrinkToFit="1"/>
    </xf>
    <xf numFmtId="177" fontId="11" fillId="4" borderId="52" xfId="1" applyNumberFormat="1" applyFont="1" applyFill="1" applyBorder="1" applyAlignment="1">
      <alignment vertical="center" shrinkToFit="1"/>
    </xf>
    <xf numFmtId="177" fontId="11" fillId="4" borderId="54" xfId="1" applyNumberFormat="1" applyFont="1" applyFill="1" applyBorder="1" applyAlignment="1">
      <alignment vertical="center" shrinkToFit="1"/>
    </xf>
    <xf numFmtId="0" fontId="10" fillId="3" borderId="45" xfId="2" applyFont="1" applyFill="1" applyBorder="1" applyAlignment="1">
      <alignment horizontal="center" vertical="center" textRotation="255"/>
    </xf>
    <xf numFmtId="0" fontId="11" fillId="3" borderId="46" xfId="2" applyFont="1" applyFill="1" applyBorder="1" applyAlignment="1">
      <alignment horizontal="center" vertical="center"/>
    </xf>
    <xf numFmtId="0" fontId="11" fillId="3" borderId="11" xfId="2" applyFont="1" applyFill="1" applyBorder="1" applyAlignment="1">
      <alignment horizontal="center" vertical="center" shrinkToFit="1"/>
    </xf>
    <xf numFmtId="182" fontId="11" fillId="3" borderId="11" xfId="3" applyNumberFormat="1" applyFont="1" applyFill="1" applyBorder="1" applyAlignment="1">
      <alignment vertical="center" shrinkToFit="1"/>
    </xf>
    <xf numFmtId="182" fontId="11" fillId="3" borderId="16" xfId="3" applyNumberFormat="1" applyFont="1" applyFill="1" applyBorder="1" applyAlignment="1">
      <alignment vertical="center" shrinkToFit="1"/>
    </xf>
    <xf numFmtId="182" fontId="11" fillId="3" borderId="17" xfId="3" applyNumberFormat="1" applyFont="1" applyFill="1" applyBorder="1" applyAlignment="1">
      <alignment vertical="center" shrinkToFit="1"/>
    </xf>
    <xf numFmtId="182" fontId="11" fillId="3" borderId="47" xfId="3" applyNumberFormat="1" applyFont="1" applyFill="1" applyBorder="1" applyAlignment="1">
      <alignment vertical="center" shrinkToFit="1"/>
    </xf>
    <xf numFmtId="182" fontId="11" fillId="3" borderId="18" xfId="3" applyNumberFormat="1" applyFont="1" applyFill="1" applyBorder="1" applyAlignment="1">
      <alignment vertical="center" shrinkToFit="1"/>
    </xf>
    <xf numFmtId="182" fontId="11" fillId="4" borderId="11" xfId="3" applyNumberFormat="1" applyFont="1" applyFill="1" applyBorder="1" applyAlignment="1">
      <alignment vertical="center" shrinkToFit="1"/>
    </xf>
    <xf numFmtId="182" fontId="11" fillId="4" borderId="16" xfId="3" applyNumberFormat="1" applyFont="1" applyFill="1" applyBorder="1" applyAlignment="1">
      <alignment vertical="center" shrinkToFit="1"/>
    </xf>
    <xf numFmtId="182" fontId="11" fillId="4" borderId="17" xfId="3" applyNumberFormat="1" applyFont="1" applyFill="1" applyBorder="1" applyAlignment="1">
      <alignment vertical="center" shrinkToFit="1"/>
    </xf>
    <xf numFmtId="182" fontId="11" fillId="4" borderId="18" xfId="3" applyNumberFormat="1" applyFont="1" applyFill="1" applyBorder="1" applyAlignment="1">
      <alignment vertical="center" shrinkToFit="1"/>
    </xf>
    <xf numFmtId="183" fontId="7" fillId="0" borderId="9" xfId="2" applyNumberFormat="1" applyFont="1" applyFill="1" applyBorder="1" applyAlignment="1">
      <alignment horizontal="center" vertical="center" textRotation="255"/>
    </xf>
    <xf numFmtId="0" fontId="7" fillId="0" borderId="19" xfId="2" applyFont="1" applyFill="1" applyBorder="1" applyAlignment="1">
      <alignment horizontal="center" vertical="center" textRotation="255"/>
    </xf>
    <xf numFmtId="0" fontId="8" fillId="0" borderId="20" xfId="2" applyFont="1" applyFill="1" applyBorder="1" applyAlignment="1">
      <alignment horizontal="center" vertical="center" wrapText="1"/>
    </xf>
    <xf numFmtId="0" fontId="8" fillId="0" borderId="21" xfId="2" applyFont="1" applyFill="1" applyBorder="1" applyAlignment="1">
      <alignment horizontal="center" vertical="center" shrinkToFit="1"/>
    </xf>
    <xf numFmtId="177" fontId="8" fillId="0" borderId="21" xfId="1" applyNumberFormat="1" applyFont="1" applyFill="1" applyBorder="1" applyAlignment="1">
      <alignment vertical="center" shrinkToFit="1"/>
    </xf>
    <xf numFmtId="177" fontId="8" fillId="0" borderId="22" xfId="1" applyNumberFormat="1" applyFont="1" applyFill="1" applyBorder="1" applyAlignment="1">
      <alignment vertical="center" shrinkToFit="1"/>
    </xf>
    <xf numFmtId="177" fontId="8" fillId="0" borderId="23" xfId="1" applyNumberFormat="1" applyFont="1" applyFill="1" applyBorder="1" applyAlignment="1">
      <alignment vertical="center" shrinkToFit="1"/>
    </xf>
    <xf numFmtId="177" fontId="8" fillId="0" borderId="24" xfId="1" applyNumberFormat="1" applyFont="1" applyFill="1" applyBorder="1" applyAlignment="1">
      <alignment vertical="center" shrinkToFit="1"/>
    </xf>
    <xf numFmtId="177" fontId="8" fillId="0" borderId="25" xfId="1" applyNumberFormat="1" applyFont="1" applyFill="1" applyBorder="1" applyAlignment="1">
      <alignment vertical="center" shrinkToFit="1"/>
    </xf>
    <xf numFmtId="0" fontId="7" fillId="0" borderId="9" xfId="2" applyFont="1" applyFill="1" applyBorder="1" applyAlignment="1">
      <alignment horizontal="center" vertical="center" textRotation="255"/>
    </xf>
    <xf numFmtId="0" fontId="7" fillId="0" borderId="21" xfId="2" applyFont="1" applyFill="1" applyBorder="1" applyAlignment="1">
      <alignment horizontal="center" vertical="center" textRotation="255"/>
    </xf>
    <xf numFmtId="0" fontId="7" fillId="0" borderId="21" xfId="2" applyFont="1" applyFill="1" applyBorder="1" applyAlignment="1">
      <alignment horizontal="center" vertical="center" wrapText="1"/>
    </xf>
    <xf numFmtId="0" fontId="7" fillId="0" borderId="21" xfId="2" applyFont="1" applyFill="1" applyBorder="1" applyAlignment="1">
      <alignment horizontal="center" vertical="center"/>
    </xf>
    <xf numFmtId="0" fontId="7" fillId="0" borderId="26" xfId="2" applyFont="1" applyFill="1" applyBorder="1" applyAlignment="1">
      <alignment horizontal="center" vertical="center" textRotation="255"/>
    </xf>
    <xf numFmtId="0" fontId="8" fillId="0" borderId="27" xfId="2" applyFont="1" applyFill="1" applyBorder="1" applyAlignment="1">
      <alignment horizontal="center" vertical="center"/>
    </xf>
    <xf numFmtId="41" fontId="8" fillId="0" borderId="28" xfId="2" applyNumberFormat="1" applyFont="1" applyFill="1" applyBorder="1" applyAlignment="1">
      <alignment horizontal="center" vertical="center" shrinkToFit="1"/>
    </xf>
    <xf numFmtId="178" fontId="8" fillId="0" borderId="28" xfId="1" applyNumberFormat="1" applyFont="1" applyFill="1" applyBorder="1" applyAlignment="1">
      <alignment vertical="center" shrinkToFit="1"/>
    </xf>
    <xf numFmtId="178" fontId="8" fillId="0" borderId="29" xfId="1" applyNumberFormat="1" applyFont="1" applyFill="1" applyBorder="1" applyAlignment="1">
      <alignment vertical="center" shrinkToFit="1"/>
    </xf>
    <xf numFmtId="178" fontId="8" fillId="0" borderId="30" xfId="1" applyNumberFormat="1" applyFont="1" applyFill="1" applyBorder="1" applyAlignment="1">
      <alignment vertical="center" shrinkToFit="1"/>
    </xf>
    <xf numFmtId="178" fontId="8" fillId="0" borderId="31" xfId="1" applyNumberFormat="1" applyFont="1" applyFill="1" applyBorder="1" applyAlignment="1">
      <alignment vertical="center" shrinkToFit="1"/>
    </xf>
    <xf numFmtId="178" fontId="8" fillId="0" borderId="32" xfId="1" applyNumberFormat="1" applyFont="1" applyFill="1" applyBorder="1" applyAlignment="1">
      <alignment vertical="center" shrinkToFit="1"/>
    </xf>
    <xf numFmtId="0" fontId="7" fillId="0" borderId="28" xfId="2" applyFont="1" applyFill="1" applyBorder="1" applyAlignment="1">
      <alignment horizontal="center" vertical="center" textRotation="255"/>
    </xf>
    <xf numFmtId="0" fontId="7" fillId="0" borderId="28" xfId="2" applyFont="1" applyFill="1" applyBorder="1" applyAlignment="1">
      <alignment horizontal="center" vertical="center" wrapText="1"/>
    </xf>
    <xf numFmtId="41" fontId="7" fillId="0" borderId="28" xfId="2" applyNumberFormat="1" applyFont="1" applyFill="1" applyBorder="1" applyAlignment="1">
      <alignment horizontal="center" vertical="center"/>
    </xf>
    <xf numFmtId="0" fontId="8" fillId="0" borderId="33" xfId="2" applyFont="1" applyFill="1" applyBorder="1" applyAlignment="1">
      <alignment horizontal="center" vertical="center"/>
    </xf>
    <xf numFmtId="0" fontId="8" fillId="0" borderId="34" xfId="2" applyFont="1" applyFill="1" applyBorder="1" applyAlignment="1">
      <alignment horizontal="center" vertical="center" shrinkToFit="1"/>
    </xf>
    <xf numFmtId="180" fontId="8" fillId="0" borderId="34" xfId="1" applyNumberFormat="1" applyFont="1" applyFill="1" applyBorder="1" applyAlignment="1">
      <alignment vertical="center" shrinkToFit="1"/>
    </xf>
    <xf numFmtId="180" fontId="8" fillId="0" borderId="35" xfId="1" applyNumberFormat="1" applyFont="1" applyFill="1" applyBorder="1" applyAlignment="1">
      <alignment vertical="center" shrinkToFit="1"/>
    </xf>
    <xf numFmtId="180" fontId="8" fillId="0" borderId="36" xfId="1" applyNumberFormat="1" applyFont="1" applyFill="1" applyBorder="1" applyAlignment="1">
      <alignment vertical="center" shrinkToFit="1"/>
    </xf>
    <xf numFmtId="180" fontId="8" fillId="0" borderId="37" xfId="1" applyNumberFormat="1" applyFont="1" applyFill="1" applyBorder="1" applyAlignment="1">
      <alignment vertical="center" shrinkToFit="1"/>
    </xf>
    <xf numFmtId="180" fontId="8" fillId="0" borderId="38" xfId="1" applyNumberFormat="1" applyFont="1" applyFill="1" applyBorder="1" applyAlignment="1">
      <alignment vertical="center" shrinkToFit="1"/>
    </xf>
    <xf numFmtId="0" fontId="7" fillId="0" borderId="34" xfId="2" applyFont="1" applyFill="1" applyBorder="1" applyAlignment="1">
      <alignment horizontal="center" vertical="center" wrapText="1"/>
    </xf>
    <xf numFmtId="0" fontId="7" fillId="0" borderId="34" xfId="2" applyFont="1" applyFill="1" applyBorder="1" applyAlignment="1">
      <alignment horizontal="center" vertical="center"/>
    </xf>
    <xf numFmtId="0" fontId="8" fillId="0" borderId="39" xfId="2" applyFont="1" applyFill="1" applyBorder="1" applyAlignment="1">
      <alignment horizontal="center" vertical="center" wrapText="1"/>
    </xf>
    <xf numFmtId="0" fontId="8" fillId="0" borderId="40" xfId="2" applyFont="1" applyFill="1" applyBorder="1" applyAlignment="1">
      <alignment horizontal="center" vertical="center" shrinkToFit="1"/>
    </xf>
    <xf numFmtId="177" fontId="8" fillId="0" borderId="40" xfId="1" applyNumberFormat="1" applyFont="1" applyFill="1" applyBorder="1" applyAlignment="1">
      <alignment vertical="center" shrinkToFit="1"/>
    </xf>
    <xf numFmtId="177" fontId="8" fillId="0" borderId="41" xfId="1" applyNumberFormat="1" applyFont="1" applyFill="1" applyBorder="1" applyAlignment="1">
      <alignment vertical="center" shrinkToFit="1"/>
    </xf>
    <xf numFmtId="177" fontId="8" fillId="0" borderId="42" xfId="1" applyNumberFormat="1" applyFont="1" applyFill="1" applyBorder="1" applyAlignment="1">
      <alignment vertical="center" shrinkToFit="1"/>
    </xf>
    <xf numFmtId="177" fontId="8" fillId="0" borderId="43" xfId="1" applyNumberFormat="1" applyFont="1" applyFill="1" applyBorder="1" applyAlignment="1">
      <alignment vertical="center" shrinkToFit="1"/>
    </xf>
    <xf numFmtId="177" fontId="8" fillId="0" borderId="44" xfId="1" applyNumberFormat="1" applyFont="1" applyFill="1" applyBorder="1" applyAlignment="1">
      <alignment vertical="center" shrinkToFit="1"/>
    </xf>
    <xf numFmtId="0" fontId="7" fillId="0" borderId="40" xfId="2" applyFont="1" applyFill="1" applyBorder="1" applyAlignment="1">
      <alignment horizontal="center" vertical="center" wrapText="1"/>
    </xf>
    <xf numFmtId="0" fontId="7" fillId="0" borderId="40" xfId="2" applyFont="1" applyFill="1" applyBorder="1" applyAlignment="1">
      <alignment horizontal="center" vertical="center"/>
    </xf>
    <xf numFmtId="0" fontId="8" fillId="2" borderId="39" xfId="2" applyFont="1" applyFill="1" applyBorder="1" applyAlignment="1">
      <alignment horizontal="center" vertical="center" wrapText="1"/>
    </xf>
    <xf numFmtId="0" fontId="8" fillId="2" borderId="40" xfId="2" applyFont="1" applyFill="1" applyBorder="1" applyAlignment="1">
      <alignment horizontal="center" vertical="center" shrinkToFit="1"/>
    </xf>
    <xf numFmtId="177" fontId="8" fillId="2" borderId="40" xfId="1" applyNumberFormat="1" applyFont="1" applyFill="1" applyBorder="1" applyAlignment="1">
      <alignment vertical="center" shrinkToFit="1"/>
    </xf>
    <xf numFmtId="177" fontId="8" fillId="2" borderId="41" xfId="1" applyNumberFormat="1" applyFont="1" applyFill="1" applyBorder="1" applyAlignment="1">
      <alignment vertical="center" shrinkToFit="1"/>
    </xf>
    <xf numFmtId="177" fontId="8" fillId="2" borderId="42" xfId="1" applyNumberFormat="1" applyFont="1" applyFill="1" applyBorder="1" applyAlignment="1">
      <alignment vertical="center" shrinkToFit="1"/>
    </xf>
    <xf numFmtId="177" fontId="8" fillId="2" borderId="43" xfId="1" applyNumberFormat="1" applyFont="1" applyFill="1" applyBorder="1" applyAlignment="1">
      <alignment vertical="center" shrinkToFit="1"/>
    </xf>
    <xf numFmtId="177" fontId="8" fillId="2" borderId="44" xfId="1" applyNumberFormat="1" applyFont="1" applyFill="1" applyBorder="1" applyAlignment="1">
      <alignment vertical="center" shrinkToFit="1"/>
    </xf>
    <xf numFmtId="0" fontId="7" fillId="7" borderId="40" xfId="2" applyFont="1" applyFill="1" applyBorder="1" applyAlignment="1">
      <alignment horizontal="center" vertical="center" wrapText="1"/>
    </xf>
    <xf numFmtId="0" fontId="7" fillId="7" borderId="40" xfId="2" applyFont="1" applyFill="1" applyBorder="1" applyAlignment="1">
      <alignment horizontal="center" vertical="center"/>
    </xf>
    <xf numFmtId="177" fontId="8" fillId="7" borderId="40" xfId="1" applyNumberFormat="1" applyFont="1" applyFill="1" applyBorder="1" applyAlignment="1">
      <alignment vertical="center" shrinkToFit="1"/>
    </xf>
    <xf numFmtId="177" fontId="8" fillId="7" borderId="41" xfId="1" applyNumberFormat="1" applyFont="1" applyFill="1" applyBorder="1" applyAlignment="1">
      <alignment vertical="center" shrinkToFit="1"/>
    </xf>
    <xf numFmtId="177" fontId="8" fillId="7" borderId="42" xfId="1" applyNumberFormat="1" applyFont="1" applyFill="1" applyBorder="1" applyAlignment="1">
      <alignment vertical="center" shrinkToFit="1"/>
    </xf>
    <xf numFmtId="177" fontId="8" fillId="7" borderId="44" xfId="1" applyNumberFormat="1" applyFont="1" applyFill="1" applyBorder="1" applyAlignment="1">
      <alignment vertical="center" shrinkToFit="1"/>
    </xf>
    <xf numFmtId="0" fontId="8" fillId="2" borderId="27" xfId="2" applyFont="1" applyFill="1" applyBorder="1" applyAlignment="1">
      <alignment horizontal="center" vertical="center"/>
    </xf>
    <xf numFmtId="41" fontId="8" fillId="2" borderId="28" xfId="2" applyNumberFormat="1" applyFont="1" applyFill="1" applyBorder="1" applyAlignment="1">
      <alignment horizontal="center" vertical="center" shrinkToFit="1"/>
    </xf>
    <xf numFmtId="178" fontId="8" fillId="2" borderId="28" xfId="1" applyNumberFormat="1" applyFont="1" applyFill="1" applyBorder="1" applyAlignment="1">
      <alignment vertical="center" shrinkToFit="1"/>
    </xf>
    <xf numFmtId="178" fontId="8" fillId="2" borderId="29" xfId="1" applyNumberFormat="1" applyFont="1" applyFill="1" applyBorder="1" applyAlignment="1">
      <alignment vertical="center" shrinkToFit="1"/>
    </xf>
    <xf numFmtId="178" fontId="8" fillId="2" borderId="30" xfId="1" applyNumberFormat="1" applyFont="1" applyFill="1" applyBorder="1" applyAlignment="1">
      <alignment vertical="center" shrinkToFit="1"/>
    </xf>
    <xf numFmtId="178" fontId="8" fillId="2" borderId="31" xfId="1" applyNumberFormat="1" applyFont="1" applyFill="1" applyBorder="1" applyAlignment="1">
      <alignment vertical="center" shrinkToFit="1"/>
    </xf>
    <xf numFmtId="178" fontId="8" fillId="2" borderId="32" xfId="1" applyNumberFormat="1" applyFont="1" applyFill="1" applyBorder="1" applyAlignment="1">
      <alignment vertical="center" shrinkToFit="1"/>
    </xf>
    <xf numFmtId="0" fontId="7" fillId="7" borderId="28" xfId="2" applyFont="1" applyFill="1" applyBorder="1" applyAlignment="1">
      <alignment horizontal="center" vertical="center" wrapText="1"/>
    </xf>
    <xf numFmtId="41" fontId="7" fillId="7" borderId="28" xfId="2" applyNumberFormat="1" applyFont="1" applyFill="1" applyBorder="1" applyAlignment="1">
      <alignment horizontal="center" vertical="center"/>
    </xf>
    <xf numFmtId="178" fontId="8" fillId="7" borderId="28" xfId="1" applyNumberFormat="1" applyFont="1" applyFill="1" applyBorder="1" applyAlignment="1">
      <alignment vertical="center" shrinkToFit="1"/>
    </xf>
    <xf numFmtId="178" fontId="8" fillId="7" borderId="29" xfId="1" applyNumberFormat="1" applyFont="1" applyFill="1" applyBorder="1" applyAlignment="1">
      <alignment vertical="center" shrinkToFit="1"/>
    </xf>
    <xf numFmtId="178" fontId="8" fillId="7" borderId="30" xfId="1" applyNumberFormat="1" applyFont="1" applyFill="1" applyBorder="1" applyAlignment="1">
      <alignment vertical="center" shrinkToFit="1"/>
    </xf>
    <xf numFmtId="178" fontId="8" fillId="7" borderId="32" xfId="1" applyNumberFormat="1" applyFont="1" applyFill="1" applyBorder="1" applyAlignment="1">
      <alignment vertical="center" shrinkToFit="1"/>
    </xf>
    <xf numFmtId="0" fontId="8" fillId="2" borderId="33" xfId="2" applyFont="1" applyFill="1" applyBorder="1" applyAlignment="1">
      <alignment horizontal="center" vertical="center"/>
    </xf>
    <xf numFmtId="0" fontId="8" fillId="2" borderId="34" xfId="2" applyFont="1" applyFill="1" applyBorder="1" applyAlignment="1">
      <alignment horizontal="center" vertical="center" shrinkToFit="1"/>
    </xf>
    <xf numFmtId="180" fontId="8" fillId="2" borderId="34" xfId="1" applyNumberFormat="1" applyFont="1" applyFill="1" applyBorder="1" applyAlignment="1">
      <alignment vertical="center" shrinkToFit="1"/>
    </xf>
    <xf numFmtId="180" fontId="8" fillId="2" borderId="35" xfId="1" applyNumberFormat="1" applyFont="1" applyFill="1" applyBorder="1" applyAlignment="1">
      <alignment vertical="center" shrinkToFit="1"/>
    </xf>
    <xf numFmtId="180" fontId="8" fillId="2" borderId="36" xfId="1" applyNumberFormat="1" applyFont="1" applyFill="1" applyBorder="1" applyAlignment="1">
      <alignment vertical="center" shrinkToFit="1"/>
    </xf>
    <xf numFmtId="180" fontId="8" fillId="2" borderId="37" xfId="1" applyNumberFormat="1" applyFont="1" applyFill="1" applyBorder="1" applyAlignment="1">
      <alignment vertical="center" shrinkToFit="1"/>
    </xf>
    <xf numFmtId="180" fontId="8" fillId="2" borderId="38" xfId="1" applyNumberFormat="1" applyFont="1" applyFill="1" applyBorder="1" applyAlignment="1">
      <alignment vertical="center" shrinkToFit="1"/>
    </xf>
    <xf numFmtId="0" fontId="7" fillId="7" borderId="34" xfId="2" applyFont="1" applyFill="1" applyBorder="1" applyAlignment="1">
      <alignment horizontal="center" vertical="center" wrapText="1"/>
    </xf>
    <xf numFmtId="0" fontId="7" fillId="7" borderId="34" xfId="2" applyFont="1" applyFill="1" applyBorder="1" applyAlignment="1">
      <alignment horizontal="center" vertical="center"/>
    </xf>
    <xf numFmtId="180" fontId="8" fillId="7" borderId="34" xfId="1" applyNumberFormat="1" applyFont="1" applyFill="1" applyBorder="1" applyAlignment="1">
      <alignment vertical="center" shrinkToFit="1"/>
    </xf>
    <xf numFmtId="180" fontId="8" fillId="7" borderId="35" xfId="1" applyNumberFormat="1" applyFont="1" applyFill="1" applyBorder="1" applyAlignment="1">
      <alignment vertical="center" shrinkToFit="1"/>
    </xf>
    <xf numFmtId="180" fontId="8" fillId="7" borderId="36" xfId="1" applyNumberFormat="1" applyFont="1" applyFill="1" applyBorder="1" applyAlignment="1">
      <alignment vertical="center" shrinkToFit="1"/>
    </xf>
    <xf numFmtId="180" fontId="8" fillId="7" borderId="38" xfId="1" applyNumberFormat="1" applyFont="1" applyFill="1" applyBorder="1" applyAlignment="1">
      <alignment vertical="center" shrinkToFit="1"/>
    </xf>
    <xf numFmtId="0" fontId="8" fillId="0" borderId="39" xfId="2" applyFont="1" applyFill="1" applyBorder="1" applyAlignment="1">
      <alignment horizontal="center" vertical="center"/>
    </xf>
    <xf numFmtId="0" fontId="7" fillId="0" borderId="40" xfId="2" applyFont="1" applyFill="1" applyBorder="1" applyAlignment="1">
      <alignment horizontal="center" vertical="center"/>
    </xf>
    <xf numFmtId="181" fontId="8" fillId="0" borderId="28" xfId="2" applyNumberFormat="1" applyFont="1" applyFill="1" applyBorder="1" applyAlignment="1">
      <alignment horizontal="center" vertical="center" shrinkToFit="1"/>
    </xf>
    <xf numFmtId="184" fontId="7" fillId="0" borderId="0" xfId="2" applyNumberFormat="1" applyFont="1">
      <alignment vertical="center"/>
    </xf>
    <xf numFmtId="0" fontId="7" fillId="0" borderId="28" xfId="2" applyFont="1" applyFill="1" applyBorder="1" applyAlignment="1">
      <alignment horizontal="center" vertical="center"/>
    </xf>
    <xf numFmtId="181" fontId="7" fillId="0" borderId="28" xfId="2" applyNumberFormat="1" applyFont="1" applyFill="1" applyBorder="1" applyAlignment="1">
      <alignment horizontal="center" vertical="center"/>
    </xf>
    <xf numFmtId="0" fontId="7" fillId="0" borderId="34" xfId="2" applyFont="1" applyFill="1" applyBorder="1" applyAlignment="1">
      <alignment horizontal="center" vertical="center"/>
    </xf>
    <xf numFmtId="182" fontId="8" fillId="0" borderId="40" xfId="3" applyNumberFormat="1" applyFont="1" applyFill="1" applyBorder="1" applyAlignment="1">
      <alignment vertical="center" shrinkToFit="1"/>
    </xf>
    <xf numFmtId="182" fontId="8" fillId="0" borderId="41" xfId="3" applyNumberFormat="1" applyFont="1" applyFill="1" applyBorder="1" applyAlignment="1">
      <alignment vertical="center" shrinkToFit="1"/>
    </xf>
    <xf numFmtId="182" fontId="8" fillId="0" borderId="42" xfId="3" applyNumberFormat="1" applyFont="1" applyFill="1" applyBorder="1" applyAlignment="1">
      <alignment vertical="center" shrinkToFit="1"/>
    </xf>
    <xf numFmtId="182" fontId="8" fillId="0" borderId="43" xfId="3" applyNumberFormat="1" applyFont="1" applyFill="1" applyBorder="1" applyAlignment="1">
      <alignment vertical="center" shrinkToFit="1"/>
    </xf>
    <xf numFmtId="182" fontId="8" fillId="0" borderId="44" xfId="3" applyNumberFormat="1" applyFont="1" applyFill="1" applyBorder="1" applyAlignment="1">
      <alignment vertical="center" shrinkToFit="1"/>
    </xf>
    <xf numFmtId="0" fontId="8" fillId="0" borderId="28" xfId="2" applyFont="1" applyFill="1" applyBorder="1" applyAlignment="1">
      <alignment horizontal="center" vertical="center" shrinkToFit="1"/>
    </xf>
    <xf numFmtId="182" fontId="8" fillId="0" borderId="28" xfId="3" applyNumberFormat="1" applyFont="1" applyFill="1" applyBorder="1" applyAlignment="1">
      <alignment vertical="center" shrinkToFit="1"/>
    </xf>
    <xf numFmtId="182" fontId="8" fillId="0" borderId="29" xfId="3" applyNumberFormat="1" applyFont="1" applyFill="1" applyBorder="1" applyAlignment="1">
      <alignment vertical="center" shrinkToFit="1"/>
    </xf>
    <xf numFmtId="182" fontId="8" fillId="0" borderId="30" xfId="3" applyNumberFormat="1" applyFont="1" applyFill="1" applyBorder="1" applyAlignment="1">
      <alignment vertical="center" shrinkToFit="1"/>
    </xf>
    <xf numFmtId="182" fontId="8" fillId="0" borderId="31" xfId="3" applyNumberFormat="1" applyFont="1" applyFill="1" applyBorder="1" applyAlignment="1">
      <alignment vertical="center" shrinkToFit="1"/>
    </xf>
    <xf numFmtId="182" fontId="8" fillId="0" borderId="32" xfId="3" applyNumberFormat="1" applyFont="1" applyFill="1" applyBorder="1" applyAlignment="1">
      <alignment vertical="center" shrinkToFit="1"/>
    </xf>
    <xf numFmtId="0" fontId="7" fillId="0" borderId="28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 textRotation="255"/>
    </xf>
    <xf numFmtId="0" fontId="8" fillId="0" borderId="46" xfId="2" applyFont="1" applyFill="1" applyBorder="1" applyAlignment="1">
      <alignment horizontal="center" vertical="center"/>
    </xf>
    <xf numFmtId="0" fontId="8" fillId="0" borderId="11" xfId="2" applyFont="1" applyFill="1" applyBorder="1" applyAlignment="1">
      <alignment horizontal="center" vertical="center" shrinkToFit="1"/>
    </xf>
    <xf numFmtId="182" fontId="8" fillId="0" borderId="11" xfId="3" applyNumberFormat="1" applyFont="1" applyFill="1" applyBorder="1" applyAlignment="1">
      <alignment vertical="center" shrinkToFit="1"/>
    </xf>
    <xf numFmtId="182" fontId="8" fillId="0" borderId="16" xfId="3" applyNumberFormat="1" applyFont="1" applyFill="1" applyBorder="1" applyAlignment="1">
      <alignment vertical="center" shrinkToFit="1"/>
    </xf>
    <xf numFmtId="182" fontId="8" fillId="0" borderId="17" xfId="3" applyNumberFormat="1" applyFont="1" applyFill="1" applyBorder="1" applyAlignment="1">
      <alignment vertical="center" shrinkToFit="1"/>
    </xf>
    <xf numFmtId="182" fontId="8" fillId="0" borderId="47" xfId="3" applyNumberFormat="1" applyFont="1" applyFill="1" applyBorder="1" applyAlignment="1">
      <alignment vertical="center" shrinkToFit="1"/>
    </xf>
    <xf numFmtId="182" fontId="8" fillId="0" borderId="18" xfId="3" applyNumberFormat="1" applyFont="1" applyFill="1" applyBorder="1" applyAlignment="1">
      <alignment vertical="center" shrinkToFit="1"/>
    </xf>
    <xf numFmtId="0" fontId="7" fillId="0" borderId="11" xfId="2" applyFont="1" applyFill="1" applyBorder="1" applyAlignment="1">
      <alignment horizontal="center" vertical="center" textRotation="255"/>
    </xf>
    <xf numFmtId="0" fontId="7" fillId="0" borderId="11" xfId="2" applyFont="1" applyFill="1" applyBorder="1" applyAlignment="1">
      <alignment horizontal="center" vertical="center"/>
    </xf>
    <xf numFmtId="0" fontId="7" fillId="0" borderId="11" xfId="2" applyFont="1" applyFill="1" applyBorder="1" applyAlignment="1">
      <alignment horizontal="center" vertical="center"/>
    </xf>
    <xf numFmtId="0" fontId="10" fillId="0" borderId="19" xfId="2" applyFont="1" applyFill="1" applyBorder="1" applyAlignment="1">
      <alignment horizontal="center" vertical="center" textRotation="255"/>
    </xf>
    <xf numFmtId="0" fontId="11" fillId="0" borderId="20" xfId="2" applyFont="1" applyFill="1" applyBorder="1" applyAlignment="1">
      <alignment horizontal="center" vertical="center" wrapText="1"/>
    </xf>
    <xf numFmtId="0" fontId="11" fillId="0" borderId="21" xfId="2" applyFont="1" applyFill="1" applyBorder="1" applyAlignment="1">
      <alignment horizontal="center" vertical="center" shrinkToFit="1"/>
    </xf>
    <xf numFmtId="177" fontId="11" fillId="0" borderId="21" xfId="1" applyNumberFormat="1" applyFont="1" applyFill="1" applyBorder="1" applyAlignment="1">
      <alignment vertical="center" shrinkToFit="1"/>
    </xf>
    <xf numFmtId="177" fontId="11" fillId="0" borderId="22" xfId="1" applyNumberFormat="1" applyFont="1" applyFill="1" applyBorder="1" applyAlignment="1">
      <alignment vertical="center" shrinkToFit="1"/>
    </xf>
    <xf numFmtId="177" fontId="11" fillId="0" borderId="23" xfId="1" applyNumberFormat="1" applyFont="1" applyFill="1" applyBorder="1" applyAlignment="1">
      <alignment vertical="center" shrinkToFit="1"/>
    </xf>
    <xf numFmtId="177" fontId="11" fillId="0" borderId="24" xfId="1" applyNumberFormat="1" applyFont="1" applyFill="1" applyBorder="1" applyAlignment="1">
      <alignment vertical="center" shrinkToFit="1"/>
    </xf>
    <xf numFmtId="177" fontId="11" fillId="0" borderId="25" xfId="1" applyNumberFormat="1" applyFont="1" applyFill="1" applyBorder="1" applyAlignment="1">
      <alignment vertical="center" shrinkToFit="1"/>
    </xf>
    <xf numFmtId="0" fontId="10" fillId="0" borderId="21" xfId="2" applyFont="1" applyFill="1" applyBorder="1" applyAlignment="1">
      <alignment horizontal="center" vertical="center" textRotation="255"/>
    </xf>
    <xf numFmtId="0" fontId="10" fillId="0" borderId="21" xfId="2" applyFont="1" applyFill="1" applyBorder="1" applyAlignment="1">
      <alignment horizontal="center" vertical="center" wrapText="1"/>
    </xf>
    <xf numFmtId="0" fontId="10" fillId="0" borderId="21" xfId="2" applyFont="1" applyFill="1" applyBorder="1" applyAlignment="1">
      <alignment horizontal="center" vertical="center"/>
    </xf>
    <xf numFmtId="0" fontId="10" fillId="0" borderId="26" xfId="2" applyFont="1" applyFill="1" applyBorder="1" applyAlignment="1">
      <alignment horizontal="center" vertical="center" textRotation="255"/>
    </xf>
    <xf numFmtId="0" fontId="11" fillId="0" borderId="27" xfId="2" applyFont="1" applyFill="1" applyBorder="1" applyAlignment="1">
      <alignment horizontal="center" vertical="center"/>
    </xf>
    <xf numFmtId="41" fontId="11" fillId="0" borderId="28" xfId="2" applyNumberFormat="1" applyFont="1" applyFill="1" applyBorder="1" applyAlignment="1">
      <alignment horizontal="center" vertical="center" shrinkToFit="1"/>
    </xf>
    <xf numFmtId="178" fontId="11" fillId="0" borderId="28" xfId="1" applyNumberFormat="1" applyFont="1" applyFill="1" applyBorder="1" applyAlignment="1">
      <alignment vertical="center" shrinkToFit="1"/>
    </xf>
    <xf numFmtId="178" fontId="11" fillId="0" borderId="29" xfId="1" applyNumberFormat="1" applyFont="1" applyFill="1" applyBorder="1" applyAlignment="1">
      <alignment vertical="center" shrinkToFit="1"/>
    </xf>
    <xf numFmtId="178" fontId="11" fillId="0" borderId="30" xfId="1" applyNumberFormat="1" applyFont="1" applyFill="1" applyBorder="1" applyAlignment="1">
      <alignment vertical="center" shrinkToFit="1"/>
    </xf>
    <xf numFmtId="178" fontId="11" fillId="0" borderId="31" xfId="1" applyNumberFormat="1" applyFont="1" applyFill="1" applyBorder="1" applyAlignment="1">
      <alignment vertical="center" shrinkToFit="1"/>
    </xf>
    <xf numFmtId="178" fontId="11" fillId="0" borderId="32" xfId="1" applyNumberFormat="1" applyFont="1" applyFill="1" applyBorder="1" applyAlignment="1">
      <alignment vertical="center" shrinkToFit="1"/>
    </xf>
    <xf numFmtId="0" fontId="10" fillId="0" borderId="28" xfId="2" applyFont="1" applyFill="1" applyBorder="1" applyAlignment="1">
      <alignment horizontal="center" vertical="center" textRotation="255"/>
    </xf>
    <xf numFmtId="0" fontId="10" fillId="0" borderId="28" xfId="2" applyFont="1" applyFill="1" applyBorder="1" applyAlignment="1">
      <alignment horizontal="center" vertical="center" wrapText="1"/>
    </xf>
    <xf numFmtId="41" fontId="10" fillId="0" borderId="28" xfId="2" applyNumberFormat="1" applyFont="1" applyFill="1" applyBorder="1" applyAlignment="1">
      <alignment horizontal="center" vertical="center"/>
    </xf>
    <xf numFmtId="0" fontId="11" fillId="0" borderId="33" xfId="2" applyFont="1" applyFill="1" applyBorder="1" applyAlignment="1">
      <alignment horizontal="center" vertical="center"/>
    </xf>
    <xf numFmtId="0" fontId="11" fillId="0" borderId="34" xfId="2" applyFont="1" applyFill="1" applyBorder="1" applyAlignment="1">
      <alignment horizontal="center" vertical="center" shrinkToFit="1"/>
    </xf>
    <xf numFmtId="180" fontId="11" fillId="0" borderId="34" xfId="1" applyNumberFormat="1" applyFont="1" applyFill="1" applyBorder="1" applyAlignment="1">
      <alignment vertical="center" shrinkToFit="1"/>
    </xf>
    <xf numFmtId="180" fontId="11" fillId="0" borderId="35" xfId="1" applyNumberFormat="1" applyFont="1" applyFill="1" applyBorder="1" applyAlignment="1">
      <alignment vertical="center" shrinkToFit="1"/>
    </xf>
    <xf numFmtId="180" fontId="11" fillId="0" borderId="36" xfId="1" applyNumberFormat="1" applyFont="1" applyFill="1" applyBorder="1" applyAlignment="1">
      <alignment vertical="center" shrinkToFit="1"/>
    </xf>
    <xf numFmtId="180" fontId="11" fillId="0" borderId="37" xfId="1" applyNumberFormat="1" applyFont="1" applyFill="1" applyBorder="1" applyAlignment="1">
      <alignment vertical="center" shrinkToFit="1"/>
    </xf>
    <xf numFmtId="180" fontId="11" fillId="0" borderId="38" xfId="1" applyNumberFormat="1" applyFont="1" applyFill="1" applyBorder="1" applyAlignment="1">
      <alignment vertical="center" shrinkToFit="1"/>
    </xf>
    <xf numFmtId="0" fontId="10" fillId="0" borderId="34" xfId="2" applyFont="1" applyFill="1" applyBorder="1" applyAlignment="1">
      <alignment horizontal="center" vertical="center" wrapText="1"/>
    </xf>
    <xf numFmtId="0" fontId="10" fillId="0" borderId="34" xfId="2" applyFont="1" applyFill="1" applyBorder="1" applyAlignment="1">
      <alignment horizontal="center" vertical="center"/>
    </xf>
    <xf numFmtId="0" fontId="11" fillId="0" borderId="39" xfId="2" applyFont="1" applyFill="1" applyBorder="1" applyAlignment="1">
      <alignment horizontal="center" vertical="center" wrapText="1"/>
    </xf>
    <xf numFmtId="0" fontId="11" fillId="0" borderId="40" xfId="2" applyFont="1" applyFill="1" applyBorder="1" applyAlignment="1">
      <alignment horizontal="center" vertical="center" shrinkToFit="1"/>
    </xf>
    <xf numFmtId="177" fontId="11" fillId="0" borderId="40" xfId="1" applyNumberFormat="1" applyFont="1" applyFill="1" applyBorder="1" applyAlignment="1">
      <alignment vertical="center" shrinkToFit="1"/>
    </xf>
    <xf numFmtId="177" fontId="11" fillId="0" borderId="41" xfId="1" applyNumberFormat="1" applyFont="1" applyFill="1" applyBorder="1" applyAlignment="1">
      <alignment vertical="center" shrinkToFit="1"/>
    </xf>
    <xf numFmtId="177" fontId="11" fillId="0" borderId="42" xfId="1" applyNumberFormat="1" applyFont="1" applyFill="1" applyBorder="1" applyAlignment="1">
      <alignment vertical="center" shrinkToFit="1"/>
    </xf>
    <xf numFmtId="177" fontId="11" fillId="0" borderId="43" xfId="1" applyNumberFormat="1" applyFont="1" applyFill="1" applyBorder="1" applyAlignment="1">
      <alignment vertical="center" shrinkToFit="1"/>
    </xf>
    <xf numFmtId="177" fontId="11" fillId="0" borderId="44" xfId="1" applyNumberFormat="1" applyFont="1" applyFill="1" applyBorder="1" applyAlignment="1">
      <alignment vertical="center" shrinkToFit="1"/>
    </xf>
    <xf numFmtId="0" fontId="10" fillId="0" borderId="40" xfId="2" applyFont="1" applyFill="1" applyBorder="1" applyAlignment="1">
      <alignment horizontal="center" vertical="center" wrapText="1"/>
    </xf>
    <xf numFmtId="0" fontId="10" fillId="0" borderId="40" xfId="2" applyFont="1" applyFill="1" applyBorder="1" applyAlignment="1">
      <alignment horizontal="center" vertical="center"/>
    </xf>
    <xf numFmtId="0" fontId="11" fillId="2" borderId="39" xfId="2" applyFont="1" applyFill="1" applyBorder="1" applyAlignment="1">
      <alignment horizontal="center" vertical="center" wrapText="1"/>
    </xf>
    <xf numFmtId="0" fontId="11" fillId="2" borderId="40" xfId="2" applyFont="1" applyFill="1" applyBorder="1" applyAlignment="1">
      <alignment horizontal="center" vertical="center" shrinkToFit="1"/>
    </xf>
    <xf numFmtId="177" fontId="11" fillId="2" borderId="40" xfId="1" applyNumberFormat="1" applyFont="1" applyFill="1" applyBorder="1" applyAlignment="1">
      <alignment vertical="center" shrinkToFit="1"/>
    </xf>
    <xf numFmtId="177" fontId="11" fillId="2" borderId="41" xfId="1" applyNumberFormat="1" applyFont="1" applyFill="1" applyBorder="1" applyAlignment="1">
      <alignment vertical="center" shrinkToFit="1"/>
    </xf>
    <xf numFmtId="177" fontId="11" fillId="2" borderId="42" xfId="1" applyNumberFormat="1" applyFont="1" applyFill="1" applyBorder="1" applyAlignment="1">
      <alignment vertical="center" shrinkToFit="1"/>
    </xf>
    <xf numFmtId="177" fontId="11" fillId="2" borderId="43" xfId="1" applyNumberFormat="1" applyFont="1" applyFill="1" applyBorder="1" applyAlignment="1">
      <alignment vertical="center" shrinkToFit="1"/>
    </xf>
    <xf numFmtId="177" fontId="11" fillId="2" borderId="44" xfId="1" applyNumberFormat="1" applyFont="1" applyFill="1" applyBorder="1" applyAlignment="1">
      <alignment vertical="center" shrinkToFit="1"/>
    </xf>
    <xf numFmtId="0" fontId="10" fillId="7" borderId="40" xfId="2" applyFont="1" applyFill="1" applyBorder="1" applyAlignment="1">
      <alignment horizontal="center" vertical="center" wrapText="1"/>
    </xf>
    <xf numFmtId="0" fontId="10" fillId="7" borderId="40" xfId="2" applyFont="1" applyFill="1" applyBorder="1" applyAlignment="1">
      <alignment horizontal="center" vertical="center"/>
    </xf>
    <xf numFmtId="177" fontId="11" fillId="7" borderId="40" xfId="1" applyNumberFormat="1" applyFont="1" applyFill="1" applyBorder="1" applyAlignment="1">
      <alignment vertical="center" shrinkToFit="1"/>
    </xf>
    <xf numFmtId="177" fontId="11" fillId="7" borderId="41" xfId="1" applyNumberFormat="1" applyFont="1" applyFill="1" applyBorder="1" applyAlignment="1">
      <alignment vertical="center" shrinkToFit="1"/>
    </xf>
    <xf numFmtId="177" fontId="11" fillId="7" borderId="42" xfId="1" applyNumberFormat="1" applyFont="1" applyFill="1" applyBorder="1" applyAlignment="1">
      <alignment vertical="center" shrinkToFit="1"/>
    </xf>
    <xf numFmtId="177" fontId="11" fillId="7" borderId="44" xfId="1" applyNumberFormat="1" applyFont="1" applyFill="1" applyBorder="1" applyAlignment="1">
      <alignment vertical="center" shrinkToFit="1"/>
    </xf>
    <xf numFmtId="0" fontId="11" fillId="2" borderId="27" xfId="2" applyFont="1" applyFill="1" applyBorder="1" applyAlignment="1">
      <alignment horizontal="center" vertical="center"/>
    </xf>
    <xf numFmtId="41" fontId="11" fillId="2" borderId="28" xfId="2" applyNumberFormat="1" applyFont="1" applyFill="1" applyBorder="1" applyAlignment="1">
      <alignment horizontal="center" vertical="center" shrinkToFit="1"/>
    </xf>
    <xf numFmtId="178" fontId="11" fillId="2" borderId="28" xfId="1" applyNumberFormat="1" applyFont="1" applyFill="1" applyBorder="1" applyAlignment="1">
      <alignment vertical="center" shrinkToFit="1"/>
    </xf>
    <xf numFmtId="178" fontId="11" fillId="2" borderId="29" xfId="1" applyNumberFormat="1" applyFont="1" applyFill="1" applyBorder="1" applyAlignment="1">
      <alignment vertical="center" shrinkToFit="1"/>
    </xf>
    <xf numFmtId="178" fontId="11" fillId="2" borderId="30" xfId="1" applyNumberFormat="1" applyFont="1" applyFill="1" applyBorder="1" applyAlignment="1">
      <alignment vertical="center" shrinkToFit="1"/>
    </xf>
    <xf numFmtId="178" fontId="11" fillId="2" borderId="31" xfId="1" applyNumberFormat="1" applyFont="1" applyFill="1" applyBorder="1" applyAlignment="1">
      <alignment vertical="center" shrinkToFit="1"/>
    </xf>
    <xf numFmtId="178" fontId="11" fillId="2" borderId="32" xfId="1" applyNumberFormat="1" applyFont="1" applyFill="1" applyBorder="1" applyAlignment="1">
      <alignment vertical="center" shrinkToFit="1"/>
    </xf>
    <xf numFmtId="0" fontId="10" fillId="7" borderId="28" xfId="2" applyFont="1" applyFill="1" applyBorder="1" applyAlignment="1">
      <alignment horizontal="center" vertical="center" wrapText="1"/>
    </xf>
    <xf numFmtId="41" fontId="10" fillId="7" borderId="28" xfId="2" applyNumberFormat="1" applyFont="1" applyFill="1" applyBorder="1" applyAlignment="1">
      <alignment horizontal="center" vertical="center"/>
    </xf>
    <xf numFmtId="178" fontId="11" fillId="7" borderId="28" xfId="1" applyNumberFormat="1" applyFont="1" applyFill="1" applyBorder="1" applyAlignment="1">
      <alignment vertical="center" shrinkToFit="1"/>
    </xf>
    <xf numFmtId="178" fontId="11" fillId="7" borderId="29" xfId="1" applyNumberFormat="1" applyFont="1" applyFill="1" applyBorder="1" applyAlignment="1">
      <alignment vertical="center" shrinkToFit="1"/>
    </xf>
    <xf numFmtId="178" fontId="11" fillId="7" borderId="30" xfId="1" applyNumberFormat="1" applyFont="1" applyFill="1" applyBorder="1" applyAlignment="1">
      <alignment vertical="center" shrinkToFit="1"/>
    </xf>
    <xf numFmtId="178" fontId="11" fillId="7" borderId="32" xfId="1" applyNumberFormat="1" applyFont="1" applyFill="1" applyBorder="1" applyAlignment="1">
      <alignment vertical="center" shrinkToFit="1"/>
    </xf>
    <xf numFmtId="0" fontId="11" fillId="2" borderId="33" xfId="2" applyFont="1" applyFill="1" applyBorder="1" applyAlignment="1">
      <alignment horizontal="center" vertical="center"/>
    </xf>
    <xf numFmtId="0" fontId="11" fillId="2" borderId="34" xfId="2" applyFont="1" applyFill="1" applyBorder="1" applyAlignment="1">
      <alignment horizontal="center" vertical="center" shrinkToFit="1"/>
    </xf>
    <xf numFmtId="180" fontId="11" fillId="2" borderId="34" xfId="1" applyNumberFormat="1" applyFont="1" applyFill="1" applyBorder="1" applyAlignment="1">
      <alignment vertical="center" shrinkToFit="1"/>
    </xf>
    <xf numFmtId="180" fontId="11" fillId="2" borderId="35" xfId="1" applyNumberFormat="1" applyFont="1" applyFill="1" applyBorder="1" applyAlignment="1">
      <alignment vertical="center" shrinkToFit="1"/>
    </xf>
    <xf numFmtId="180" fontId="11" fillId="2" borderId="36" xfId="1" applyNumberFormat="1" applyFont="1" applyFill="1" applyBorder="1" applyAlignment="1">
      <alignment vertical="center" shrinkToFit="1"/>
    </xf>
    <xf numFmtId="180" fontId="11" fillId="2" borderId="37" xfId="1" applyNumberFormat="1" applyFont="1" applyFill="1" applyBorder="1" applyAlignment="1">
      <alignment vertical="center" shrinkToFit="1"/>
    </xf>
    <xf numFmtId="180" fontId="11" fillId="2" borderId="38" xfId="1" applyNumberFormat="1" applyFont="1" applyFill="1" applyBorder="1" applyAlignment="1">
      <alignment vertical="center" shrinkToFit="1"/>
    </xf>
    <xf numFmtId="0" fontId="10" fillId="7" borderId="34" xfId="2" applyFont="1" applyFill="1" applyBorder="1" applyAlignment="1">
      <alignment horizontal="center" vertical="center" wrapText="1"/>
    </xf>
    <xf numFmtId="0" fontId="10" fillId="7" borderId="34" xfId="2" applyFont="1" applyFill="1" applyBorder="1" applyAlignment="1">
      <alignment horizontal="center" vertical="center"/>
    </xf>
    <xf numFmtId="180" fontId="11" fillId="7" borderId="34" xfId="1" applyNumberFormat="1" applyFont="1" applyFill="1" applyBorder="1" applyAlignment="1">
      <alignment vertical="center" shrinkToFit="1"/>
    </xf>
    <xf numFmtId="180" fontId="11" fillId="7" borderId="35" xfId="1" applyNumberFormat="1" applyFont="1" applyFill="1" applyBorder="1" applyAlignment="1">
      <alignment vertical="center" shrinkToFit="1"/>
    </xf>
    <xf numFmtId="180" fontId="11" fillId="7" borderId="36" xfId="1" applyNumberFormat="1" applyFont="1" applyFill="1" applyBorder="1" applyAlignment="1">
      <alignment vertical="center" shrinkToFit="1"/>
    </xf>
    <xf numFmtId="180" fontId="11" fillId="7" borderId="38" xfId="1" applyNumberFormat="1" applyFont="1" applyFill="1" applyBorder="1" applyAlignment="1">
      <alignment vertical="center" shrinkToFit="1"/>
    </xf>
    <xf numFmtId="0" fontId="11" fillId="0" borderId="39" xfId="2" applyFont="1" applyFill="1" applyBorder="1" applyAlignment="1">
      <alignment horizontal="center" vertical="center"/>
    </xf>
    <xf numFmtId="0" fontId="10" fillId="0" borderId="40" xfId="2" applyFont="1" applyFill="1" applyBorder="1" applyAlignment="1">
      <alignment horizontal="center" vertical="center"/>
    </xf>
    <xf numFmtId="181" fontId="11" fillId="0" borderId="28" xfId="2" applyNumberFormat="1" applyFont="1" applyFill="1" applyBorder="1" applyAlignment="1">
      <alignment horizontal="center" vertical="center" shrinkToFit="1"/>
    </xf>
    <xf numFmtId="0" fontId="10" fillId="0" borderId="28" xfId="2" applyFont="1" applyFill="1" applyBorder="1" applyAlignment="1">
      <alignment horizontal="center" vertical="center"/>
    </xf>
    <xf numFmtId="181" fontId="10" fillId="0" borderId="28" xfId="2" applyNumberFormat="1" applyFont="1" applyFill="1" applyBorder="1" applyAlignment="1">
      <alignment horizontal="center" vertical="center"/>
    </xf>
    <xf numFmtId="0" fontId="10" fillId="0" borderId="34" xfId="2" applyFont="1" applyFill="1" applyBorder="1" applyAlignment="1">
      <alignment horizontal="center" vertical="center"/>
    </xf>
    <xf numFmtId="182" fontId="11" fillId="0" borderId="40" xfId="3" applyNumberFormat="1" applyFont="1" applyFill="1" applyBorder="1" applyAlignment="1">
      <alignment vertical="center" shrinkToFit="1"/>
    </xf>
    <xf numFmtId="182" fontId="11" fillId="0" borderId="41" xfId="3" applyNumberFormat="1" applyFont="1" applyFill="1" applyBorder="1" applyAlignment="1">
      <alignment vertical="center" shrinkToFit="1"/>
    </xf>
    <xf numFmtId="182" fontId="11" fillId="0" borderId="42" xfId="3" applyNumberFormat="1" applyFont="1" applyFill="1" applyBorder="1" applyAlignment="1">
      <alignment vertical="center" shrinkToFit="1"/>
    </xf>
    <xf numFmtId="182" fontId="11" fillId="0" borderId="43" xfId="3" applyNumberFormat="1" applyFont="1" applyFill="1" applyBorder="1" applyAlignment="1">
      <alignment vertical="center" shrinkToFit="1"/>
    </xf>
    <xf numFmtId="182" fontId="11" fillId="0" borderId="44" xfId="3" applyNumberFormat="1" applyFont="1" applyFill="1" applyBorder="1" applyAlignment="1">
      <alignment vertical="center" shrinkToFit="1"/>
    </xf>
    <xf numFmtId="0" fontId="11" fillId="0" borderId="28" xfId="2" applyFont="1" applyFill="1" applyBorder="1" applyAlignment="1">
      <alignment horizontal="center" vertical="center" shrinkToFit="1"/>
    </xf>
    <xf numFmtId="182" fontId="11" fillId="0" borderId="28" xfId="3" applyNumberFormat="1" applyFont="1" applyFill="1" applyBorder="1" applyAlignment="1">
      <alignment vertical="center" shrinkToFit="1"/>
    </xf>
    <xf numFmtId="182" fontId="11" fillId="0" borderId="29" xfId="3" applyNumberFormat="1" applyFont="1" applyFill="1" applyBorder="1" applyAlignment="1">
      <alignment vertical="center" shrinkToFit="1"/>
    </xf>
    <xf numFmtId="182" fontId="11" fillId="0" borderId="30" xfId="3" applyNumberFormat="1" applyFont="1" applyFill="1" applyBorder="1" applyAlignment="1">
      <alignment vertical="center" shrinkToFit="1"/>
    </xf>
    <xf numFmtId="182" fontId="11" fillId="0" borderId="31" xfId="3" applyNumberFormat="1" applyFont="1" applyFill="1" applyBorder="1" applyAlignment="1">
      <alignment vertical="center" shrinkToFit="1"/>
    </xf>
    <xf numFmtId="182" fontId="11" fillId="0" borderId="32" xfId="3" applyNumberFormat="1" applyFont="1" applyFill="1" applyBorder="1" applyAlignment="1">
      <alignment vertical="center" shrinkToFit="1"/>
    </xf>
    <xf numFmtId="0" fontId="10" fillId="0" borderId="28" xfId="2" applyFont="1" applyFill="1" applyBorder="1" applyAlignment="1">
      <alignment horizontal="center" vertical="center"/>
    </xf>
    <xf numFmtId="0" fontId="10" fillId="0" borderId="41" xfId="2" applyFont="1" applyFill="1" applyBorder="1" applyAlignment="1">
      <alignment horizontal="center" vertical="center" textRotation="255"/>
    </xf>
    <xf numFmtId="0" fontId="10" fillId="0" borderId="48" xfId="2" applyFont="1" applyFill="1" applyBorder="1" applyAlignment="1">
      <alignment horizontal="center" vertical="center" textRotation="255"/>
    </xf>
    <xf numFmtId="0" fontId="11" fillId="0" borderId="49" xfId="2" applyFont="1" applyFill="1" applyBorder="1" applyAlignment="1">
      <alignment horizontal="center" vertical="center" wrapText="1"/>
    </xf>
    <xf numFmtId="0" fontId="11" fillId="0" borderId="50" xfId="2" applyFont="1" applyFill="1" applyBorder="1" applyAlignment="1">
      <alignment horizontal="center" vertical="center" shrinkToFit="1"/>
    </xf>
    <xf numFmtId="177" fontId="11" fillId="0" borderId="50" xfId="1" applyNumberFormat="1" applyFont="1" applyFill="1" applyBorder="1" applyAlignment="1">
      <alignment vertical="center" shrinkToFit="1"/>
    </xf>
    <xf numFmtId="177" fontId="11" fillId="0" borderId="51" xfId="1" applyNumberFormat="1" applyFont="1" applyFill="1" applyBorder="1" applyAlignment="1">
      <alignment vertical="center" shrinkToFit="1"/>
    </xf>
    <xf numFmtId="177" fontId="11" fillId="0" borderId="52" xfId="1" applyNumberFormat="1" applyFont="1" applyFill="1" applyBorder="1" applyAlignment="1">
      <alignment vertical="center" shrinkToFit="1"/>
    </xf>
    <xf numFmtId="177" fontId="11" fillId="0" borderId="53" xfId="1" applyNumberFormat="1" applyFont="1" applyFill="1" applyBorder="1" applyAlignment="1">
      <alignment vertical="center" shrinkToFit="1"/>
    </xf>
    <xf numFmtId="177" fontId="11" fillId="0" borderId="54" xfId="1" applyNumberFormat="1" applyFont="1" applyFill="1" applyBorder="1" applyAlignment="1">
      <alignment vertical="center" shrinkToFit="1"/>
    </xf>
    <xf numFmtId="0" fontId="10" fillId="0" borderId="50" xfId="2" applyFont="1" applyFill="1" applyBorder="1" applyAlignment="1">
      <alignment horizontal="center" vertical="center" textRotation="255"/>
    </xf>
    <xf numFmtId="0" fontId="10" fillId="0" borderId="50" xfId="2" applyFont="1" applyFill="1" applyBorder="1" applyAlignment="1">
      <alignment horizontal="center" vertical="center" wrapText="1"/>
    </xf>
    <xf numFmtId="0" fontId="10" fillId="0" borderId="50" xfId="2" applyFont="1" applyFill="1" applyBorder="1" applyAlignment="1">
      <alignment horizontal="center" vertical="center"/>
    </xf>
    <xf numFmtId="0" fontId="10" fillId="0" borderId="45" xfId="2" applyFont="1" applyFill="1" applyBorder="1" applyAlignment="1">
      <alignment horizontal="center" vertical="center" textRotation="255"/>
    </xf>
    <xf numFmtId="0" fontId="11" fillId="0" borderId="46" xfId="2" applyFont="1" applyFill="1" applyBorder="1" applyAlignment="1">
      <alignment horizontal="center" vertical="center"/>
    </xf>
    <xf numFmtId="0" fontId="11" fillId="0" borderId="11" xfId="2" applyFont="1" applyFill="1" applyBorder="1" applyAlignment="1">
      <alignment horizontal="center" vertical="center" shrinkToFit="1"/>
    </xf>
    <xf numFmtId="182" fontId="11" fillId="0" borderId="11" xfId="3" applyNumberFormat="1" applyFont="1" applyFill="1" applyBorder="1" applyAlignment="1">
      <alignment vertical="center" shrinkToFit="1"/>
    </xf>
    <xf numFmtId="182" fontId="11" fillId="0" borderId="16" xfId="3" applyNumberFormat="1" applyFont="1" applyFill="1" applyBorder="1" applyAlignment="1">
      <alignment vertical="center" shrinkToFit="1"/>
    </xf>
    <xf numFmtId="182" fontId="11" fillId="0" borderId="17" xfId="3" applyNumberFormat="1" applyFont="1" applyFill="1" applyBorder="1" applyAlignment="1">
      <alignment vertical="center" shrinkToFit="1"/>
    </xf>
    <xf numFmtId="182" fontId="11" fillId="0" borderId="47" xfId="3" applyNumberFormat="1" applyFont="1" applyFill="1" applyBorder="1" applyAlignment="1">
      <alignment vertical="center" shrinkToFit="1"/>
    </xf>
    <xf numFmtId="182" fontId="11" fillId="0" borderId="18" xfId="3" applyNumberFormat="1" applyFont="1" applyFill="1" applyBorder="1" applyAlignment="1">
      <alignment vertical="center" shrinkToFit="1"/>
    </xf>
    <xf numFmtId="0" fontId="10" fillId="0" borderId="11" xfId="2" applyFont="1" applyFill="1" applyBorder="1" applyAlignment="1">
      <alignment horizontal="center" vertical="center" textRotation="255"/>
    </xf>
    <xf numFmtId="0" fontId="10" fillId="0" borderId="11" xfId="2" applyFont="1" applyFill="1" applyBorder="1" applyAlignment="1">
      <alignment horizontal="center" vertical="center"/>
    </xf>
    <xf numFmtId="0" fontId="10" fillId="0" borderId="11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 textRotation="255"/>
    </xf>
    <xf numFmtId="0" fontId="7" fillId="2" borderId="21" xfId="2" applyFont="1" applyFill="1" applyBorder="1" applyAlignment="1">
      <alignment horizontal="center" vertical="center" textRotation="255"/>
    </xf>
    <xf numFmtId="0" fontId="7" fillId="2" borderId="21" xfId="2" applyFont="1" applyFill="1" applyBorder="1" applyAlignment="1">
      <alignment horizontal="center" vertical="center" wrapText="1"/>
    </xf>
    <xf numFmtId="0" fontId="7" fillId="2" borderId="21" xfId="2" applyFont="1" applyFill="1" applyBorder="1" applyAlignment="1">
      <alignment horizontal="center" vertical="center"/>
    </xf>
    <xf numFmtId="177" fontId="8" fillId="2" borderId="21" xfId="1" applyNumberFormat="1" applyFont="1" applyFill="1" applyBorder="1" applyAlignment="1">
      <alignment vertical="center" shrinkToFit="1"/>
    </xf>
    <xf numFmtId="177" fontId="8" fillId="2" borderId="22" xfId="1" applyNumberFormat="1" applyFont="1" applyFill="1" applyBorder="1" applyAlignment="1">
      <alignment vertical="center" shrinkToFit="1"/>
    </xf>
    <xf numFmtId="177" fontId="8" fillId="2" borderId="23" xfId="1" applyNumberFormat="1" applyFont="1" applyFill="1" applyBorder="1" applyAlignment="1">
      <alignment vertical="center" shrinkToFit="1"/>
    </xf>
    <xf numFmtId="177" fontId="8" fillId="2" borderId="25" xfId="1" applyNumberFormat="1" applyFont="1" applyFill="1" applyBorder="1" applyAlignment="1">
      <alignment vertical="center" shrinkToFit="1"/>
    </xf>
    <xf numFmtId="0" fontId="7" fillId="2" borderId="28" xfId="2" applyFont="1" applyFill="1" applyBorder="1" applyAlignment="1">
      <alignment horizontal="center" vertical="center" textRotation="255"/>
    </xf>
    <xf numFmtId="0" fontId="7" fillId="2" borderId="28" xfId="2" applyFont="1" applyFill="1" applyBorder="1" applyAlignment="1">
      <alignment horizontal="center" vertical="center" wrapText="1"/>
    </xf>
    <xf numFmtId="41" fontId="7" fillId="2" borderId="28" xfId="2" applyNumberFormat="1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 wrapText="1"/>
    </xf>
    <xf numFmtId="0" fontId="7" fillId="2" borderId="34" xfId="2" applyFont="1" applyFill="1" applyBorder="1" applyAlignment="1">
      <alignment horizontal="center" vertical="center"/>
    </xf>
    <xf numFmtId="0" fontId="7" fillId="8" borderId="0" xfId="2" applyFont="1" applyFill="1">
      <alignment vertical="center"/>
    </xf>
    <xf numFmtId="0" fontId="7" fillId="2" borderId="40" xfId="2" applyFont="1" applyFill="1" applyBorder="1" applyAlignment="1">
      <alignment horizontal="center" vertical="center" wrapText="1"/>
    </xf>
    <xf numFmtId="0" fontId="7" fillId="2" borderId="40" xfId="2" applyFont="1" applyFill="1" applyBorder="1" applyAlignment="1">
      <alignment horizontal="center" vertical="center"/>
    </xf>
    <xf numFmtId="41" fontId="7" fillId="8" borderId="0" xfId="2" applyNumberFormat="1" applyFont="1" applyFill="1">
      <alignment vertical="center"/>
    </xf>
    <xf numFmtId="0" fontId="7" fillId="3" borderId="40" xfId="2" applyFont="1" applyFill="1" applyBorder="1" applyAlignment="1">
      <alignment horizontal="center" vertical="center" wrapText="1"/>
    </xf>
    <xf numFmtId="0" fontId="7" fillId="3" borderId="40" xfId="2" applyFont="1" applyFill="1" applyBorder="1" applyAlignment="1">
      <alignment horizontal="center" vertical="center"/>
    </xf>
    <xf numFmtId="0" fontId="7" fillId="3" borderId="28" xfId="2" applyFont="1" applyFill="1" applyBorder="1" applyAlignment="1">
      <alignment horizontal="center" vertical="center" wrapText="1"/>
    </xf>
    <xf numFmtId="41" fontId="7" fillId="3" borderId="28" xfId="2" applyNumberFormat="1" applyFont="1" applyFill="1" applyBorder="1" applyAlignment="1">
      <alignment horizontal="center" vertical="center"/>
    </xf>
    <xf numFmtId="0" fontId="7" fillId="3" borderId="34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181" fontId="7" fillId="2" borderId="28" xfId="2" applyNumberFormat="1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182" fontId="8" fillId="2" borderId="40" xfId="3" applyNumberFormat="1" applyFont="1" applyFill="1" applyBorder="1" applyAlignment="1">
      <alignment vertical="center" shrinkToFit="1"/>
    </xf>
    <xf numFmtId="182" fontId="8" fillId="2" borderId="41" xfId="3" applyNumberFormat="1" applyFont="1" applyFill="1" applyBorder="1" applyAlignment="1">
      <alignment vertical="center" shrinkToFit="1"/>
    </xf>
    <xf numFmtId="182" fontId="8" fillId="2" borderId="42" xfId="3" applyNumberFormat="1" applyFont="1" applyFill="1" applyBorder="1" applyAlignment="1">
      <alignment vertical="center" shrinkToFit="1"/>
    </xf>
    <xf numFmtId="182" fontId="8" fillId="2" borderId="44" xfId="3" applyNumberFormat="1" applyFont="1" applyFill="1" applyBorder="1" applyAlignment="1">
      <alignment vertical="center" shrinkToFit="1"/>
    </xf>
    <xf numFmtId="0" fontId="7" fillId="2" borderId="28" xfId="2" applyFont="1" applyFill="1" applyBorder="1" applyAlignment="1">
      <alignment horizontal="center" vertical="center"/>
    </xf>
    <xf numFmtId="182" fontId="8" fillId="2" borderId="28" xfId="3" applyNumberFormat="1" applyFont="1" applyFill="1" applyBorder="1" applyAlignment="1">
      <alignment vertical="center" shrinkToFit="1"/>
    </xf>
    <xf numFmtId="182" fontId="8" fillId="2" borderId="29" xfId="3" applyNumberFormat="1" applyFont="1" applyFill="1" applyBorder="1" applyAlignment="1">
      <alignment vertical="center" shrinkToFit="1"/>
    </xf>
    <xf numFmtId="182" fontId="8" fillId="2" borderId="30" xfId="3" applyNumberFormat="1" applyFont="1" applyFill="1" applyBorder="1" applyAlignment="1">
      <alignment vertical="center" shrinkToFit="1"/>
    </xf>
    <xf numFmtId="182" fontId="8" fillId="2" borderId="32" xfId="3" applyNumberFormat="1" applyFont="1" applyFill="1" applyBorder="1" applyAlignment="1">
      <alignment vertical="center" shrinkToFit="1"/>
    </xf>
    <xf numFmtId="0" fontId="7" fillId="2" borderId="11" xfId="2" applyFont="1" applyFill="1" applyBorder="1" applyAlignment="1">
      <alignment horizontal="center" vertical="center" textRotation="255"/>
    </xf>
    <xf numFmtId="0" fontId="7" fillId="2" borderId="11" xfId="2" applyFont="1" applyFill="1" applyBorder="1" applyAlignment="1">
      <alignment horizontal="center" vertical="center"/>
    </xf>
    <xf numFmtId="0" fontId="7" fillId="2" borderId="11" xfId="2" applyFont="1" applyFill="1" applyBorder="1" applyAlignment="1">
      <alignment horizontal="center" vertical="center"/>
    </xf>
    <xf numFmtId="182" fontId="8" fillId="2" borderId="11" xfId="3" applyNumberFormat="1" applyFont="1" applyFill="1" applyBorder="1" applyAlignment="1">
      <alignment vertical="center" shrinkToFit="1"/>
    </xf>
    <xf numFmtId="182" fontId="8" fillId="2" borderId="16" xfId="3" applyNumberFormat="1" applyFont="1" applyFill="1" applyBorder="1" applyAlignment="1">
      <alignment vertical="center" shrinkToFit="1"/>
    </xf>
    <xf numFmtId="182" fontId="8" fillId="2" borderId="17" xfId="3" applyNumberFormat="1" applyFont="1" applyFill="1" applyBorder="1" applyAlignment="1">
      <alignment vertical="center" shrinkToFit="1"/>
    </xf>
    <xf numFmtId="182" fontId="8" fillId="2" borderId="18" xfId="3" applyNumberFormat="1" applyFont="1" applyFill="1" applyBorder="1" applyAlignment="1">
      <alignment vertical="center" shrinkToFit="1"/>
    </xf>
    <xf numFmtId="0" fontId="10" fillId="2" borderId="21" xfId="2" applyFont="1" applyFill="1" applyBorder="1" applyAlignment="1">
      <alignment horizontal="center" vertical="center" textRotation="255"/>
    </xf>
    <xf numFmtId="0" fontId="10" fillId="2" borderId="21" xfId="2" applyFont="1" applyFill="1" applyBorder="1" applyAlignment="1">
      <alignment horizontal="center" vertical="center" wrapText="1"/>
    </xf>
    <xf numFmtId="0" fontId="10" fillId="2" borderId="21" xfId="2" applyFont="1" applyFill="1" applyBorder="1" applyAlignment="1">
      <alignment horizontal="center" vertical="center"/>
    </xf>
    <xf numFmtId="177" fontId="11" fillId="2" borderId="21" xfId="1" applyNumberFormat="1" applyFont="1" applyFill="1" applyBorder="1" applyAlignment="1">
      <alignment vertical="center" shrinkToFit="1"/>
    </xf>
    <xf numFmtId="177" fontId="11" fillId="2" borderId="22" xfId="1" applyNumberFormat="1" applyFont="1" applyFill="1" applyBorder="1" applyAlignment="1">
      <alignment vertical="center" shrinkToFit="1"/>
    </xf>
    <xf numFmtId="177" fontId="11" fillId="2" borderId="23" xfId="1" applyNumberFormat="1" applyFont="1" applyFill="1" applyBorder="1" applyAlignment="1">
      <alignment vertical="center" shrinkToFit="1"/>
    </xf>
    <xf numFmtId="177" fontId="11" fillId="2" borderId="25" xfId="1" applyNumberFormat="1" applyFont="1" applyFill="1" applyBorder="1" applyAlignment="1">
      <alignment vertical="center" shrinkToFit="1"/>
    </xf>
    <xf numFmtId="0" fontId="10" fillId="2" borderId="28" xfId="2" applyFont="1" applyFill="1" applyBorder="1" applyAlignment="1">
      <alignment horizontal="center" vertical="center" textRotation="255"/>
    </xf>
    <xf numFmtId="0" fontId="10" fillId="2" borderId="28" xfId="2" applyFont="1" applyFill="1" applyBorder="1" applyAlignment="1">
      <alignment horizontal="center" vertical="center" wrapText="1"/>
    </xf>
    <xf numFmtId="41" fontId="10" fillId="2" borderId="28" xfId="2" applyNumberFormat="1" applyFont="1" applyFill="1" applyBorder="1" applyAlignment="1">
      <alignment horizontal="center" vertical="center"/>
    </xf>
    <xf numFmtId="0" fontId="10" fillId="2" borderId="34" xfId="2" applyFont="1" applyFill="1" applyBorder="1" applyAlignment="1">
      <alignment horizontal="center" vertical="center" wrapText="1"/>
    </xf>
    <xf numFmtId="0" fontId="10" fillId="2" borderId="34" xfId="2" applyFont="1" applyFill="1" applyBorder="1" applyAlignment="1">
      <alignment horizontal="center" vertical="center"/>
    </xf>
    <xf numFmtId="0" fontId="10" fillId="2" borderId="40" xfId="2" applyFont="1" applyFill="1" applyBorder="1" applyAlignment="1">
      <alignment horizontal="center" vertical="center" wrapText="1"/>
    </xf>
    <xf numFmtId="0" fontId="10" fillId="2" borderId="40" xfId="2" applyFont="1" applyFill="1" applyBorder="1" applyAlignment="1">
      <alignment horizontal="center" vertical="center"/>
    </xf>
    <xf numFmtId="0" fontId="10" fillId="3" borderId="40" xfId="2" applyFont="1" applyFill="1" applyBorder="1" applyAlignment="1">
      <alignment horizontal="center" vertical="center" wrapText="1"/>
    </xf>
    <xf numFmtId="0" fontId="10" fillId="3" borderId="40" xfId="2" applyFont="1" applyFill="1" applyBorder="1" applyAlignment="1">
      <alignment horizontal="center" vertical="center"/>
    </xf>
    <xf numFmtId="0" fontId="10" fillId="3" borderId="28" xfId="2" applyFont="1" applyFill="1" applyBorder="1" applyAlignment="1">
      <alignment horizontal="center" vertical="center" wrapText="1"/>
    </xf>
    <xf numFmtId="41" fontId="10" fillId="3" borderId="28" xfId="2" applyNumberFormat="1" applyFont="1" applyFill="1" applyBorder="1" applyAlignment="1">
      <alignment horizontal="center" vertical="center"/>
    </xf>
    <xf numFmtId="0" fontId="10" fillId="3" borderId="34" xfId="2" applyFont="1" applyFill="1" applyBorder="1" applyAlignment="1">
      <alignment horizontal="center" vertical="center" wrapText="1"/>
    </xf>
    <xf numFmtId="0" fontId="10" fillId="3" borderId="34" xfId="2" applyFont="1" applyFill="1" applyBorder="1" applyAlignment="1">
      <alignment horizontal="center" vertical="center"/>
    </xf>
    <xf numFmtId="0" fontId="10" fillId="2" borderId="40" xfId="2" applyFont="1" applyFill="1" applyBorder="1" applyAlignment="1">
      <alignment horizontal="center" vertical="center"/>
    </xf>
    <xf numFmtId="0" fontId="10" fillId="2" borderId="28" xfId="2" applyFont="1" applyFill="1" applyBorder="1" applyAlignment="1">
      <alignment horizontal="center" vertical="center"/>
    </xf>
    <xf numFmtId="181" fontId="10" fillId="2" borderId="28" xfId="2" applyNumberFormat="1" applyFont="1" applyFill="1" applyBorder="1" applyAlignment="1">
      <alignment horizontal="center" vertical="center"/>
    </xf>
    <xf numFmtId="0" fontId="10" fillId="2" borderId="34" xfId="2" applyFont="1" applyFill="1" applyBorder="1" applyAlignment="1">
      <alignment horizontal="center" vertical="center"/>
    </xf>
    <xf numFmtId="182" fontId="11" fillId="2" borderId="40" xfId="3" applyNumberFormat="1" applyFont="1" applyFill="1" applyBorder="1" applyAlignment="1">
      <alignment vertical="center" shrinkToFit="1"/>
    </xf>
    <xf numFmtId="182" fontId="11" fillId="2" borderId="41" xfId="3" applyNumberFormat="1" applyFont="1" applyFill="1" applyBorder="1" applyAlignment="1">
      <alignment vertical="center" shrinkToFit="1"/>
    </xf>
    <xf numFmtId="182" fontId="11" fillId="2" borderId="42" xfId="3" applyNumberFormat="1" applyFont="1" applyFill="1" applyBorder="1" applyAlignment="1">
      <alignment vertical="center" shrinkToFit="1"/>
    </xf>
    <xf numFmtId="182" fontId="11" fillId="2" borderId="44" xfId="3" applyNumberFormat="1" applyFont="1" applyFill="1" applyBorder="1" applyAlignment="1">
      <alignment vertical="center" shrinkToFit="1"/>
    </xf>
    <xf numFmtId="0" fontId="10" fillId="2" borderId="28" xfId="2" applyFont="1" applyFill="1" applyBorder="1" applyAlignment="1">
      <alignment horizontal="center" vertical="center"/>
    </xf>
    <xf numFmtId="182" fontId="11" fillId="2" borderId="28" xfId="3" applyNumberFormat="1" applyFont="1" applyFill="1" applyBorder="1" applyAlignment="1">
      <alignment vertical="center" shrinkToFit="1"/>
    </xf>
    <xf numFmtId="182" fontId="11" fillId="2" borderId="29" xfId="3" applyNumberFormat="1" applyFont="1" applyFill="1" applyBorder="1" applyAlignment="1">
      <alignment vertical="center" shrinkToFit="1"/>
    </xf>
    <xf numFmtId="182" fontId="11" fillId="2" borderId="30" xfId="3" applyNumberFormat="1" applyFont="1" applyFill="1" applyBorder="1" applyAlignment="1">
      <alignment vertical="center" shrinkToFit="1"/>
    </xf>
    <xf numFmtId="182" fontId="11" fillId="2" borderId="32" xfId="3" applyNumberFormat="1" applyFont="1" applyFill="1" applyBorder="1" applyAlignment="1">
      <alignment vertical="center" shrinkToFit="1"/>
    </xf>
    <xf numFmtId="0" fontId="10" fillId="2" borderId="50" xfId="2" applyFont="1" applyFill="1" applyBorder="1" applyAlignment="1">
      <alignment horizontal="center" vertical="center" textRotation="255"/>
    </xf>
    <xf numFmtId="0" fontId="10" fillId="2" borderId="50" xfId="2" applyFont="1" applyFill="1" applyBorder="1" applyAlignment="1">
      <alignment horizontal="center" vertical="center" wrapText="1"/>
    </xf>
    <xf numFmtId="0" fontId="10" fillId="2" borderId="50" xfId="2" applyFont="1" applyFill="1" applyBorder="1" applyAlignment="1">
      <alignment horizontal="center" vertical="center"/>
    </xf>
    <xf numFmtId="177" fontId="11" fillId="2" borderId="50" xfId="1" applyNumberFormat="1" applyFont="1" applyFill="1" applyBorder="1" applyAlignment="1">
      <alignment vertical="center" shrinkToFit="1"/>
    </xf>
    <xf numFmtId="177" fontId="11" fillId="2" borderId="51" xfId="1" applyNumberFormat="1" applyFont="1" applyFill="1" applyBorder="1" applyAlignment="1">
      <alignment vertical="center" shrinkToFit="1"/>
    </xf>
    <xf numFmtId="177" fontId="11" fillId="2" borderId="52" xfId="1" applyNumberFormat="1" applyFont="1" applyFill="1" applyBorder="1" applyAlignment="1">
      <alignment vertical="center" shrinkToFit="1"/>
    </xf>
    <xf numFmtId="177" fontId="11" fillId="2" borderId="54" xfId="1" applyNumberFormat="1" applyFont="1" applyFill="1" applyBorder="1" applyAlignment="1">
      <alignment vertical="center" shrinkToFit="1"/>
    </xf>
    <xf numFmtId="0" fontId="10" fillId="2" borderId="11" xfId="2" applyFont="1" applyFill="1" applyBorder="1" applyAlignment="1">
      <alignment horizontal="center" vertical="center" textRotation="255"/>
    </xf>
    <xf numFmtId="0" fontId="10" fillId="2" borderId="11" xfId="2" applyFont="1" applyFill="1" applyBorder="1" applyAlignment="1">
      <alignment horizontal="center" vertical="center"/>
    </xf>
    <xf numFmtId="0" fontId="10" fillId="2" borderId="11" xfId="2" applyFont="1" applyFill="1" applyBorder="1" applyAlignment="1">
      <alignment horizontal="center" vertical="center"/>
    </xf>
    <xf numFmtId="182" fontId="11" fillId="2" borderId="11" xfId="3" applyNumberFormat="1" applyFont="1" applyFill="1" applyBorder="1" applyAlignment="1">
      <alignment vertical="center" shrinkToFit="1"/>
    </xf>
    <xf numFmtId="182" fontId="11" fillId="2" borderId="16" xfId="3" applyNumberFormat="1" applyFont="1" applyFill="1" applyBorder="1" applyAlignment="1">
      <alignment vertical="center" shrinkToFit="1"/>
    </xf>
    <xf numFmtId="182" fontId="11" fillId="2" borderId="17" xfId="3" applyNumberFormat="1" applyFont="1" applyFill="1" applyBorder="1" applyAlignment="1">
      <alignment vertical="center" shrinkToFit="1"/>
    </xf>
    <xf numFmtId="182" fontId="11" fillId="2" borderId="18" xfId="3" applyNumberFormat="1" applyFont="1" applyFill="1" applyBorder="1" applyAlignment="1">
      <alignment vertical="center" shrinkToFit="1"/>
    </xf>
    <xf numFmtId="177" fontId="11" fillId="9" borderId="43" xfId="1" applyNumberFormat="1" applyFont="1" applyFill="1" applyBorder="1" applyAlignment="1">
      <alignment vertical="center" shrinkToFit="1"/>
    </xf>
    <xf numFmtId="178" fontId="11" fillId="9" borderId="31" xfId="1" applyNumberFormat="1" applyFont="1" applyFill="1" applyBorder="1" applyAlignment="1">
      <alignment vertical="center" shrinkToFit="1"/>
    </xf>
    <xf numFmtId="0" fontId="7" fillId="0" borderId="0" xfId="2" applyFont="1" applyFill="1">
      <alignment vertical="center"/>
    </xf>
    <xf numFmtId="41" fontId="7" fillId="0" borderId="0" xfId="2" applyNumberFormat="1" applyFont="1" applyFill="1">
      <alignment vertical="center"/>
    </xf>
    <xf numFmtId="183" fontId="7" fillId="0" borderId="55" xfId="2" applyNumberFormat="1" applyFont="1" applyFill="1" applyBorder="1" applyAlignment="1">
      <alignment horizontal="center" vertical="center" textRotation="255"/>
    </xf>
    <xf numFmtId="0" fontId="10" fillId="0" borderId="56" xfId="2" applyFont="1" applyFill="1" applyBorder="1" applyAlignment="1">
      <alignment horizontal="center" vertical="center" textRotation="255"/>
    </xf>
    <xf numFmtId="0" fontId="11" fillId="0" borderId="57" xfId="2" applyFont="1" applyFill="1" applyBorder="1" applyAlignment="1">
      <alignment horizontal="center" vertical="center"/>
    </xf>
    <xf numFmtId="0" fontId="11" fillId="0" borderId="58" xfId="2" applyFont="1" applyFill="1" applyBorder="1" applyAlignment="1">
      <alignment horizontal="center" vertical="center" shrinkToFit="1"/>
    </xf>
    <xf numFmtId="182" fontId="11" fillId="0" borderId="58" xfId="3" applyNumberFormat="1" applyFont="1" applyFill="1" applyBorder="1" applyAlignment="1">
      <alignment vertical="center" shrinkToFit="1"/>
    </xf>
    <xf numFmtId="182" fontId="11" fillId="0" borderId="59" xfId="3" applyNumberFormat="1" applyFont="1" applyFill="1" applyBorder="1" applyAlignment="1">
      <alignment vertical="center" shrinkToFit="1"/>
    </xf>
    <xf numFmtId="182" fontId="11" fillId="0" borderId="60" xfId="3" applyNumberFormat="1" applyFont="1" applyFill="1" applyBorder="1" applyAlignment="1">
      <alignment vertical="center" shrinkToFit="1"/>
    </xf>
    <xf numFmtId="182" fontId="11" fillId="0" borderId="61" xfId="3" applyNumberFormat="1" applyFont="1" applyFill="1" applyBorder="1" applyAlignment="1">
      <alignment vertical="center" shrinkToFit="1"/>
    </xf>
    <xf numFmtId="182" fontId="11" fillId="0" borderId="62" xfId="3" applyNumberFormat="1" applyFont="1" applyFill="1" applyBorder="1" applyAlignment="1">
      <alignment vertical="center" shrinkToFit="1"/>
    </xf>
    <xf numFmtId="185" fontId="7" fillId="0" borderId="0" xfId="2" applyNumberFormat="1" applyFont="1" applyFill="1" applyBorder="1" applyAlignment="1">
      <alignment horizontal="center" vertical="center" textRotation="255"/>
    </xf>
    <xf numFmtId="0" fontId="7" fillId="0" borderId="0" xfId="2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 vertical="center"/>
    </xf>
    <xf numFmtId="41" fontId="8" fillId="0" borderId="0" xfId="1" applyFont="1" applyFill="1" applyBorder="1" applyAlignment="1">
      <alignment vertical="center" shrinkToFit="1"/>
    </xf>
    <xf numFmtId="41" fontId="7" fillId="0" borderId="0" xfId="2" applyNumberFormat="1" applyFont="1" applyFill="1" applyBorder="1" applyAlignment="1">
      <alignment horizontal="center" vertical="center"/>
    </xf>
    <xf numFmtId="41" fontId="8" fillId="0" borderId="0" xfId="1" applyNumberFormat="1" applyFont="1" applyFill="1" applyBorder="1" applyAlignment="1">
      <alignment vertical="center" shrinkToFit="1"/>
    </xf>
    <xf numFmtId="184" fontId="8" fillId="0" borderId="0" xfId="1" applyNumberFormat="1" applyFont="1" applyFill="1" applyBorder="1" applyAlignment="1">
      <alignment vertical="center" shrinkToFit="1"/>
    </xf>
    <xf numFmtId="184" fontId="7" fillId="0" borderId="0" xfId="2" applyNumberFormat="1" applyFont="1" applyFill="1" applyBorder="1" applyAlignment="1">
      <alignment horizontal="center" vertical="center"/>
    </xf>
    <xf numFmtId="186" fontId="8" fillId="0" borderId="0" xfId="3" applyNumberFormat="1" applyFont="1" applyFill="1" applyBorder="1" applyAlignment="1">
      <alignment vertical="center" shrinkToFit="1"/>
    </xf>
    <xf numFmtId="0" fontId="7" fillId="0" borderId="0" xfId="2" applyFont="1" applyFill="1" applyBorder="1" applyAlignment="1">
      <alignment horizontal="center" vertical="center" textRotation="255"/>
    </xf>
    <xf numFmtId="0" fontId="7" fillId="0" borderId="0" xfId="2" applyFont="1" applyAlignment="1">
      <alignment vertical="center" textRotation="255"/>
    </xf>
    <xf numFmtId="0" fontId="7" fillId="0" borderId="0" xfId="2" applyFont="1" applyAlignment="1">
      <alignment horizontal="center" vertical="center"/>
    </xf>
    <xf numFmtId="41" fontId="7" fillId="0" borderId="0" xfId="2" applyNumberFormat="1" applyFont="1" applyAlignment="1">
      <alignment vertical="center" textRotation="255"/>
    </xf>
    <xf numFmtId="41" fontId="7" fillId="0" borderId="0" xfId="2" applyNumberFormat="1" applyFont="1" applyAlignment="1">
      <alignment horizontal="center" vertical="center"/>
    </xf>
    <xf numFmtId="184" fontId="7" fillId="0" borderId="0" xfId="2" applyNumberFormat="1" applyFont="1" applyAlignment="1">
      <alignment vertical="center" textRotation="255"/>
    </xf>
    <xf numFmtId="184" fontId="7" fillId="0" borderId="0" xfId="2" applyNumberFormat="1" applyFont="1" applyAlignment="1">
      <alignment horizontal="center" vertical="center"/>
    </xf>
    <xf numFmtId="0" fontId="7" fillId="3" borderId="63" xfId="2" applyFont="1" applyFill="1" applyBorder="1" applyAlignment="1">
      <alignment horizontal="center" vertical="center" textRotation="255"/>
    </xf>
    <xf numFmtId="0" fontId="7" fillId="3" borderId="64" xfId="2" applyFont="1" applyFill="1" applyBorder="1" applyAlignment="1">
      <alignment horizontal="center" vertical="center" textRotation="255"/>
    </xf>
    <xf numFmtId="0" fontId="7" fillId="3" borderId="65" xfId="2" applyFont="1" applyFill="1" applyBorder="1" applyAlignment="1">
      <alignment horizontal="center" vertical="center" wrapText="1"/>
    </xf>
    <xf numFmtId="0" fontId="7" fillId="3" borderId="65" xfId="2" applyFont="1" applyFill="1" applyBorder="1" applyAlignment="1">
      <alignment horizontal="center" vertical="center"/>
    </xf>
    <xf numFmtId="187" fontId="8" fillId="3" borderId="65" xfId="3" applyNumberFormat="1" applyFont="1" applyFill="1" applyBorder="1" applyAlignment="1">
      <alignment vertical="center" shrinkToFit="1"/>
    </xf>
    <xf numFmtId="187" fontId="8" fillId="3" borderId="66" xfId="3" applyNumberFormat="1" applyFont="1" applyFill="1" applyBorder="1" applyAlignment="1">
      <alignment vertical="center" shrinkToFit="1"/>
    </xf>
    <xf numFmtId="187" fontId="8" fillId="3" borderId="67" xfId="3" applyNumberFormat="1" applyFont="1" applyFill="1" applyBorder="1" applyAlignment="1">
      <alignment vertical="center" shrinkToFit="1"/>
    </xf>
    <xf numFmtId="187" fontId="8" fillId="3" borderId="68" xfId="3" applyNumberFormat="1" applyFont="1" applyFill="1" applyBorder="1" applyAlignment="1">
      <alignment vertical="center" shrinkToFit="1"/>
    </xf>
    <xf numFmtId="0" fontId="7" fillId="3" borderId="10" xfId="2" applyFont="1" applyFill="1" applyBorder="1" applyAlignment="1">
      <alignment horizontal="center" vertical="center" textRotation="255"/>
    </xf>
    <xf numFmtId="0" fontId="7" fillId="3" borderId="28" xfId="2" applyFont="1" applyFill="1" applyBorder="1" applyAlignment="1">
      <alignment horizontal="center" vertical="center"/>
    </xf>
    <xf numFmtId="187" fontId="8" fillId="3" borderId="28" xfId="3" applyNumberFormat="1" applyFont="1" applyFill="1" applyBorder="1" applyAlignment="1">
      <alignment vertical="center" shrinkToFit="1"/>
    </xf>
    <xf numFmtId="187" fontId="8" fillId="3" borderId="29" xfId="3" applyNumberFormat="1" applyFont="1" applyFill="1" applyBorder="1" applyAlignment="1">
      <alignment vertical="center" shrinkToFit="1"/>
    </xf>
    <xf numFmtId="187" fontId="8" fillId="3" borderId="30" xfId="3" applyNumberFormat="1" applyFont="1" applyFill="1" applyBorder="1" applyAlignment="1">
      <alignment vertical="center" shrinkToFit="1"/>
    </xf>
    <xf numFmtId="187" fontId="8" fillId="3" borderId="32" xfId="3" applyNumberFormat="1" applyFont="1" applyFill="1" applyBorder="1" applyAlignment="1">
      <alignment vertical="center" shrinkToFit="1"/>
    </xf>
    <xf numFmtId="0" fontId="7" fillId="3" borderId="11" xfId="2" applyFont="1" applyFill="1" applyBorder="1" applyAlignment="1">
      <alignment horizontal="center" vertical="center" wrapText="1"/>
    </xf>
    <xf numFmtId="0" fontId="7" fillId="3" borderId="11" xfId="2" applyFont="1" applyFill="1" applyBorder="1" applyAlignment="1">
      <alignment horizontal="center" vertical="center"/>
    </xf>
    <xf numFmtId="187" fontId="8" fillId="3" borderId="11" xfId="3" applyNumberFormat="1" applyFont="1" applyFill="1" applyBorder="1" applyAlignment="1">
      <alignment vertical="center" shrinkToFit="1"/>
    </xf>
    <xf numFmtId="187" fontId="8" fillId="3" borderId="16" xfId="3" applyNumberFormat="1" applyFont="1" applyFill="1" applyBorder="1" applyAlignment="1">
      <alignment vertical="center" shrinkToFit="1"/>
    </xf>
    <xf numFmtId="187" fontId="8" fillId="3" borderId="17" xfId="3" applyNumberFormat="1" applyFont="1" applyFill="1" applyBorder="1" applyAlignment="1">
      <alignment vertical="center" shrinkToFit="1"/>
    </xf>
    <xf numFmtId="187" fontId="8" fillId="3" borderId="18" xfId="3" applyNumberFormat="1" applyFont="1" applyFill="1" applyBorder="1" applyAlignment="1">
      <alignment vertical="center" shrinkToFit="1"/>
    </xf>
    <xf numFmtId="0" fontId="7" fillId="3" borderId="21" xfId="2" applyFont="1" applyFill="1" applyBorder="1" applyAlignment="1">
      <alignment horizontal="center" vertical="center" wrapText="1"/>
    </xf>
    <xf numFmtId="0" fontId="7" fillId="3" borderId="21" xfId="2" applyFont="1" applyFill="1" applyBorder="1" applyAlignment="1">
      <alignment horizontal="center" vertical="center"/>
    </xf>
    <xf numFmtId="187" fontId="8" fillId="3" borderId="21" xfId="3" applyNumberFormat="1" applyFont="1" applyFill="1" applyBorder="1" applyAlignment="1">
      <alignment vertical="center" shrinkToFit="1"/>
    </xf>
    <xf numFmtId="187" fontId="8" fillId="3" borderId="22" xfId="3" applyNumberFormat="1" applyFont="1" applyFill="1" applyBorder="1" applyAlignment="1">
      <alignment vertical="center" shrinkToFit="1"/>
    </xf>
    <xf numFmtId="187" fontId="8" fillId="3" borderId="23" xfId="3" applyNumberFormat="1" applyFont="1" applyFill="1" applyBorder="1" applyAlignment="1">
      <alignment vertical="center" shrinkToFit="1"/>
    </xf>
    <xf numFmtId="187" fontId="8" fillId="3" borderId="25" xfId="3" applyNumberFormat="1" applyFont="1" applyFill="1" applyBorder="1" applyAlignment="1">
      <alignment vertical="center" shrinkToFit="1"/>
    </xf>
    <xf numFmtId="0" fontId="7" fillId="5" borderId="21" xfId="2" applyFont="1" applyFill="1" applyBorder="1" applyAlignment="1">
      <alignment horizontal="center" vertical="center" wrapText="1"/>
    </xf>
    <xf numFmtId="0" fontId="7" fillId="5" borderId="21" xfId="2" applyFont="1" applyFill="1" applyBorder="1" applyAlignment="1">
      <alignment horizontal="center" vertical="center"/>
    </xf>
    <xf numFmtId="187" fontId="8" fillId="5" borderId="21" xfId="3" applyNumberFormat="1" applyFont="1" applyFill="1" applyBorder="1" applyAlignment="1">
      <alignment vertical="center" shrinkToFit="1"/>
    </xf>
    <xf numFmtId="187" fontId="8" fillId="5" borderId="22" xfId="3" applyNumberFormat="1" applyFont="1" applyFill="1" applyBorder="1" applyAlignment="1">
      <alignment vertical="center" shrinkToFit="1"/>
    </xf>
    <xf numFmtId="187" fontId="8" fillId="5" borderId="23" xfId="3" applyNumberFormat="1" applyFont="1" applyFill="1" applyBorder="1" applyAlignment="1">
      <alignment vertical="center" shrinkToFit="1"/>
    </xf>
    <xf numFmtId="187" fontId="8" fillId="5" borderId="25" xfId="3" applyNumberFormat="1" applyFont="1" applyFill="1" applyBorder="1" applyAlignment="1">
      <alignment vertical="center" shrinkToFit="1"/>
    </xf>
    <xf numFmtId="0" fontId="7" fillId="5" borderId="28" xfId="2" applyFont="1" applyFill="1" applyBorder="1" applyAlignment="1">
      <alignment horizontal="center" vertical="center" wrapText="1"/>
    </xf>
    <xf numFmtId="0" fontId="7" fillId="5" borderId="28" xfId="2" applyFont="1" applyFill="1" applyBorder="1" applyAlignment="1">
      <alignment horizontal="center" vertical="center"/>
    </xf>
    <xf numFmtId="187" fontId="8" fillId="5" borderId="28" xfId="3" applyNumberFormat="1" applyFont="1" applyFill="1" applyBorder="1" applyAlignment="1">
      <alignment vertical="center" shrinkToFit="1"/>
    </xf>
    <xf numFmtId="187" fontId="8" fillId="5" borderId="29" xfId="3" applyNumberFormat="1" applyFont="1" applyFill="1" applyBorder="1" applyAlignment="1">
      <alignment vertical="center" shrinkToFit="1"/>
    </xf>
    <xf numFmtId="187" fontId="8" fillId="5" borderId="30" xfId="3" applyNumberFormat="1" applyFont="1" applyFill="1" applyBorder="1" applyAlignment="1">
      <alignment vertical="center" shrinkToFit="1"/>
    </xf>
    <xf numFmtId="187" fontId="8" fillId="5" borderId="32" xfId="3" applyNumberFormat="1" applyFont="1" applyFill="1" applyBorder="1" applyAlignment="1">
      <alignment vertical="center" shrinkToFit="1"/>
    </xf>
    <xf numFmtId="0" fontId="7" fillId="5" borderId="11" xfId="2" applyFont="1" applyFill="1" applyBorder="1" applyAlignment="1">
      <alignment horizontal="center" vertical="center" wrapText="1"/>
    </xf>
    <xf numFmtId="0" fontId="7" fillId="5" borderId="11" xfId="2" applyFont="1" applyFill="1" applyBorder="1" applyAlignment="1">
      <alignment horizontal="center" vertical="center"/>
    </xf>
    <xf numFmtId="187" fontId="8" fillId="5" borderId="11" xfId="3" applyNumberFormat="1" applyFont="1" applyFill="1" applyBorder="1" applyAlignment="1">
      <alignment vertical="center" shrinkToFit="1"/>
    </xf>
    <xf numFmtId="187" fontId="8" fillId="5" borderId="16" xfId="3" applyNumberFormat="1" applyFont="1" applyFill="1" applyBorder="1" applyAlignment="1">
      <alignment vertical="center" shrinkToFit="1"/>
    </xf>
    <xf numFmtId="187" fontId="8" fillId="5" borderId="17" xfId="3" applyNumberFormat="1" applyFont="1" applyFill="1" applyBorder="1" applyAlignment="1">
      <alignment vertical="center" shrinkToFit="1"/>
    </xf>
    <xf numFmtId="187" fontId="8" fillId="5" borderId="18" xfId="3" applyNumberFormat="1" applyFont="1" applyFill="1" applyBorder="1" applyAlignment="1">
      <alignment vertical="center" shrinkToFit="1"/>
    </xf>
    <xf numFmtId="188" fontId="8" fillId="3" borderId="21" xfId="3" applyNumberFormat="1" applyFont="1" applyFill="1" applyBorder="1" applyAlignment="1">
      <alignment vertical="center" shrinkToFit="1"/>
    </xf>
    <xf numFmtId="188" fontId="8" fillId="3" borderId="22" xfId="3" applyNumberFormat="1" applyFont="1" applyFill="1" applyBorder="1" applyAlignment="1">
      <alignment vertical="center" shrinkToFit="1"/>
    </xf>
    <xf numFmtId="188" fontId="8" fillId="3" borderId="23" xfId="3" applyNumberFormat="1" applyFont="1" applyFill="1" applyBorder="1" applyAlignment="1">
      <alignment vertical="center" shrinkToFit="1"/>
    </xf>
    <xf numFmtId="188" fontId="8" fillId="3" borderId="25" xfId="3" applyNumberFormat="1" applyFont="1" applyFill="1" applyBorder="1" applyAlignment="1">
      <alignment vertical="center" shrinkToFit="1"/>
    </xf>
    <xf numFmtId="188" fontId="8" fillId="3" borderId="28" xfId="3" applyNumberFormat="1" applyFont="1" applyFill="1" applyBorder="1" applyAlignment="1">
      <alignment vertical="center" shrinkToFit="1"/>
    </xf>
    <xf numFmtId="188" fontId="8" fillId="3" borderId="29" xfId="3" applyNumberFormat="1" applyFont="1" applyFill="1" applyBorder="1" applyAlignment="1">
      <alignment vertical="center" shrinkToFit="1"/>
    </xf>
    <xf numFmtId="188" fontId="8" fillId="3" borderId="30" xfId="3" applyNumberFormat="1" applyFont="1" applyFill="1" applyBorder="1" applyAlignment="1">
      <alignment vertical="center" shrinkToFit="1"/>
    </xf>
    <xf numFmtId="188" fontId="8" fillId="3" borderId="32" xfId="3" applyNumberFormat="1" applyFont="1" applyFill="1" applyBorder="1" applyAlignment="1">
      <alignment vertical="center" shrinkToFit="1"/>
    </xf>
    <xf numFmtId="188" fontId="8" fillId="3" borderId="11" xfId="3" applyNumberFormat="1" applyFont="1" applyFill="1" applyBorder="1" applyAlignment="1">
      <alignment vertical="center" shrinkToFit="1"/>
    </xf>
    <xf numFmtId="188" fontId="8" fillId="3" borderId="16" xfId="3" applyNumberFormat="1" applyFont="1" applyFill="1" applyBorder="1" applyAlignment="1">
      <alignment vertical="center" shrinkToFit="1"/>
    </xf>
    <xf numFmtId="188" fontId="8" fillId="3" borderId="17" xfId="3" applyNumberFormat="1" applyFont="1" applyFill="1" applyBorder="1" applyAlignment="1">
      <alignment vertical="center" shrinkToFit="1"/>
    </xf>
    <xf numFmtId="188" fontId="8" fillId="3" borderId="18" xfId="3" applyNumberFormat="1" applyFont="1" applyFill="1" applyBorder="1" applyAlignment="1">
      <alignment vertical="center" shrinkToFit="1"/>
    </xf>
    <xf numFmtId="188" fontId="8" fillId="5" borderId="21" xfId="3" applyNumberFormat="1" applyFont="1" applyFill="1" applyBorder="1" applyAlignment="1">
      <alignment vertical="center" shrinkToFit="1"/>
    </xf>
    <xf numFmtId="188" fontId="8" fillId="5" borderId="22" xfId="3" applyNumberFormat="1" applyFont="1" applyFill="1" applyBorder="1" applyAlignment="1">
      <alignment vertical="center" shrinkToFit="1"/>
    </xf>
    <xf numFmtId="188" fontId="8" fillId="5" borderId="23" xfId="3" applyNumberFormat="1" applyFont="1" applyFill="1" applyBorder="1" applyAlignment="1">
      <alignment vertical="center" shrinkToFit="1"/>
    </xf>
    <xf numFmtId="188" fontId="8" fillId="5" borderId="25" xfId="3" applyNumberFormat="1" applyFont="1" applyFill="1" applyBorder="1" applyAlignment="1">
      <alignment vertical="center" shrinkToFit="1"/>
    </xf>
    <xf numFmtId="188" fontId="8" fillId="5" borderId="28" xfId="3" applyNumberFormat="1" applyFont="1" applyFill="1" applyBorder="1" applyAlignment="1">
      <alignment vertical="center" shrinkToFit="1"/>
    </xf>
    <xf numFmtId="188" fontId="8" fillId="5" borderId="29" xfId="3" applyNumberFormat="1" applyFont="1" applyFill="1" applyBorder="1" applyAlignment="1">
      <alignment vertical="center" shrinkToFit="1"/>
    </xf>
    <xf numFmtId="188" fontId="8" fillId="5" borderId="30" xfId="3" applyNumberFormat="1" applyFont="1" applyFill="1" applyBorder="1" applyAlignment="1">
      <alignment vertical="center" shrinkToFit="1"/>
    </xf>
    <xf numFmtId="188" fontId="8" fillId="5" borderId="32" xfId="3" applyNumberFormat="1" applyFont="1" applyFill="1" applyBorder="1" applyAlignment="1">
      <alignment vertical="center" shrinkToFit="1"/>
    </xf>
    <xf numFmtId="188" fontId="8" fillId="5" borderId="11" xfId="3" applyNumberFormat="1" applyFont="1" applyFill="1" applyBorder="1" applyAlignment="1">
      <alignment vertical="center" shrinkToFit="1"/>
    </xf>
    <xf numFmtId="188" fontId="8" fillId="5" borderId="16" xfId="3" applyNumberFormat="1" applyFont="1" applyFill="1" applyBorder="1" applyAlignment="1">
      <alignment vertical="center" shrinkToFit="1"/>
    </xf>
    <xf numFmtId="188" fontId="8" fillId="5" borderId="17" xfId="3" applyNumberFormat="1" applyFont="1" applyFill="1" applyBorder="1" applyAlignment="1">
      <alignment vertical="center" shrinkToFit="1"/>
    </xf>
    <xf numFmtId="188" fontId="8" fillId="5" borderId="18" xfId="3" applyNumberFormat="1" applyFont="1" applyFill="1" applyBorder="1" applyAlignment="1">
      <alignment vertical="center" shrinkToFit="1"/>
    </xf>
    <xf numFmtId="177" fontId="8" fillId="3" borderId="21" xfId="3" applyNumberFormat="1" applyFont="1" applyFill="1" applyBorder="1" applyAlignment="1">
      <alignment vertical="center" shrinkToFit="1"/>
    </xf>
    <xf numFmtId="177" fontId="8" fillId="3" borderId="22" xfId="3" applyNumberFormat="1" applyFont="1" applyFill="1" applyBorder="1" applyAlignment="1">
      <alignment vertical="center" shrinkToFit="1"/>
    </xf>
    <xf numFmtId="177" fontId="8" fillId="3" borderId="23" xfId="3" applyNumberFormat="1" applyFont="1" applyFill="1" applyBorder="1" applyAlignment="1">
      <alignment vertical="center" shrinkToFit="1"/>
    </xf>
    <xf numFmtId="177" fontId="8" fillId="3" borderId="25" xfId="3" applyNumberFormat="1" applyFont="1" applyFill="1" applyBorder="1" applyAlignment="1">
      <alignment vertical="center" shrinkToFit="1"/>
    </xf>
    <xf numFmtId="177" fontId="8" fillId="3" borderId="28" xfId="3" applyNumberFormat="1" applyFont="1" applyFill="1" applyBorder="1" applyAlignment="1">
      <alignment vertical="center" shrinkToFit="1"/>
    </xf>
    <xf numFmtId="177" fontId="8" fillId="3" borderId="29" xfId="3" applyNumberFormat="1" applyFont="1" applyFill="1" applyBorder="1" applyAlignment="1">
      <alignment vertical="center" shrinkToFit="1"/>
    </xf>
    <xf numFmtId="177" fontId="8" fillId="3" borderId="30" xfId="3" applyNumberFormat="1" applyFont="1" applyFill="1" applyBorder="1" applyAlignment="1">
      <alignment vertical="center" shrinkToFit="1"/>
    </xf>
    <xf numFmtId="177" fontId="8" fillId="3" borderId="32" xfId="3" applyNumberFormat="1" applyFont="1" applyFill="1" applyBorder="1" applyAlignment="1">
      <alignment vertical="center" shrinkToFit="1"/>
    </xf>
    <xf numFmtId="177" fontId="8" fillId="3" borderId="11" xfId="3" applyNumberFormat="1" applyFont="1" applyFill="1" applyBorder="1" applyAlignment="1">
      <alignment vertical="center" shrinkToFit="1"/>
    </xf>
    <xf numFmtId="177" fontId="8" fillId="3" borderId="16" xfId="3" applyNumberFormat="1" applyFont="1" applyFill="1" applyBorder="1" applyAlignment="1">
      <alignment vertical="center" shrinkToFit="1"/>
    </xf>
    <xf numFmtId="177" fontId="8" fillId="3" borderId="17" xfId="3" applyNumberFormat="1" applyFont="1" applyFill="1" applyBorder="1" applyAlignment="1">
      <alignment vertical="center" shrinkToFit="1"/>
    </xf>
    <xf numFmtId="177" fontId="8" fillId="3" borderId="18" xfId="3" applyNumberFormat="1" applyFont="1" applyFill="1" applyBorder="1" applyAlignment="1">
      <alignment vertical="center" shrinkToFit="1"/>
    </xf>
    <xf numFmtId="177" fontId="8" fillId="5" borderId="21" xfId="3" applyNumberFormat="1" applyFont="1" applyFill="1" applyBorder="1" applyAlignment="1">
      <alignment vertical="center" shrinkToFit="1"/>
    </xf>
    <xf numFmtId="177" fontId="8" fillId="5" borderId="22" xfId="3" applyNumberFormat="1" applyFont="1" applyFill="1" applyBorder="1" applyAlignment="1">
      <alignment vertical="center" shrinkToFit="1"/>
    </xf>
    <xf numFmtId="177" fontId="8" fillId="5" borderId="23" xfId="3" applyNumberFormat="1" applyFont="1" applyFill="1" applyBorder="1" applyAlignment="1">
      <alignment vertical="center" shrinkToFit="1"/>
    </xf>
    <xf numFmtId="177" fontId="8" fillId="5" borderId="25" xfId="3" applyNumberFormat="1" applyFont="1" applyFill="1" applyBorder="1" applyAlignment="1">
      <alignment vertical="center" shrinkToFit="1"/>
    </xf>
    <xf numFmtId="177" fontId="8" fillId="5" borderId="28" xfId="3" applyNumberFormat="1" applyFont="1" applyFill="1" applyBorder="1" applyAlignment="1">
      <alignment vertical="center" shrinkToFit="1"/>
    </xf>
    <xf numFmtId="177" fontId="8" fillId="5" borderId="29" xfId="3" applyNumberFormat="1" applyFont="1" applyFill="1" applyBorder="1" applyAlignment="1">
      <alignment vertical="center" shrinkToFit="1"/>
    </xf>
    <xf numFmtId="177" fontId="8" fillId="5" borderId="30" xfId="3" applyNumberFormat="1" applyFont="1" applyFill="1" applyBorder="1" applyAlignment="1">
      <alignment vertical="center" shrinkToFit="1"/>
    </xf>
    <xf numFmtId="177" fontId="8" fillId="5" borderId="32" xfId="3" applyNumberFormat="1" applyFont="1" applyFill="1" applyBorder="1" applyAlignment="1">
      <alignment vertical="center" shrinkToFit="1"/>
    </xf>
    <xf numFmtId="177" fontId="8" fillId="5" borderId="11" xfId="3" applyNumberFormat="1" applyFont="1" applyFill="1" applyBorder="1" applyAlignment="1">
      <alignment vertical="center" shrinkToFit="1"/>
    </xf>
    <xf numFmtId="177" fontId="8" fillId="5" borderId="16" xfId="3" applyNumberFormat="1" applyFont="1" applyFill="1" applyBorder="1" applyAlignment="1">
      <alignment vertical="center" shrinkToFit="1"/>
    </xf>
    <xf numFmtId="177" fontId="8" fillId="5" borderId="17" xfId="3" applyNumberFormat="1" applyFont="1" applyFill="1" applyBorder="1" applyAlignment="1">
      <alignment vertical="center" shrinkToFit="1"/>
    </xf>
    <xf numFmtId="177" fontId="8" fillId="5" borderId="18" xfId="3" applyNumberFormat="1" applyFont="1" applyFill="1" applyBorder="1" applyAlignment="1">
      <alignment vertical="center" shrinkToFit="1"/>
    </xf>
    <xf numFmtId="0" fontId="7" fillId="3" borderId="21" xfId="2" applyFont="1" applyFill="1" applyBorder="1" applyAlignment="1">
      <alignment horizontal="center" vertical="center" textRotation="255"/>
    </xf>
    <xf numFmtId="0" fontId="7" fillId="3" borderId="69" xfId="2" applyFont="1" applyFill="1" applyBorder="1" applyAlignment="1">
      <alignment horizontal="center" vertical="center"/>
    </xf>
    <xf numFmtId="0" fontId="7" fillId="3" borderId="20" xfId="2" applyFont="1" applyFill="1" applyBorder="1" applyAlignment="1">
      <alignment horizontal="center" vertical="center"/>
    </xf>
    <xf numFmtId="0" fontId="7" fillId="3" borderId="28" xfId="2" applyFont="1" applyFill="1" applyBorder="1" applyAlignment="1">
      <alignment horizontal="center" vertical="center" textRotation="255"/>
    </xf>
    <xf numFmtId="0" fontId="7" fillId="3" borderId="70" xfId="2" applyFont="1" applyFill="1" applyBorder="1" applyAlignment="1">
      <alignment horizontal="center" vertical="center"/>
    </xf>
    <xf numFmtId="0" fontId="7" fillId="3" borderId="27" xfId="2" applyFont="1" applyFill="1" applyBorder="1" applyAlignment="1">
      <alignment horizontal="center" vertical="center"/>
    </xf>
    <xf numFmtId="177" fontId="8" fillId="3" borderId="28" xfId="1" applyNumberFormat="1" applyFont="1" applyFill="1" applyBorder="1" applyAlignment="1">
      <alignment vertical="center" shrinkToFit="1"/>
    </xf>
    <xf numFmtId="177" fontId="8" fillId="3" borderId="29" xfId="1" applyNumberFormat="1" applyFont="1" applyFill="1" applyBorder="1" applyAlignment="1">
      <alignment vertical="center" shrinkToFit="1"/>
    </xf>
    <xf numFmtId="177" fontId="8" fillId="3" borderId="30" xfId="1" applyNumberFormat="1" applyFont="1" applyFill="1" applyBorder="1" applyAlignment="1">
      <alignment vertical="center" shrinkToFit="1"/>
    </xf>
    <xf numFmtId="177" fontId="8" fillId="3" borderId="32" xfId="1" applyNumberFormat="1" applyFont="1" applyFill="1" applyBorder="1" applyAlignment="1">
      <alignment vertical="center" shrinkToFit="1"/>
    </xf>
    <xf numFmtId="0" fontId="7" fillId="3" borderId="55" xfId="2" applyFont="1" applyFill="1" applyBorder="1" applyAlignment="1">
      <alignment horizontal="center" vertical="center" textRotation="255"/>
    </xf>
    <xf numFmtId="0" fontId="7" fillId="3" borderId="58" xfId="2" applyFont="1" applyFill="1" applyBorder="1" applyAlignment="1">
      <alignment horizontal="center" vertical="center" textRotation="255"/>
    </xf>
    <xf numFmtId="0" fontId="7" fillId="5" borderId="71" xfId="2" applyFont="1" applyFill="1" applyBorder="1" applyAlignment="1">
      <alignment horizontal="center" vertical="center"/>
    </xf>
    <xf numFmtId="0" fontId="7" fillId="5" borderId="57" xfId="2" applyFont="1" applyFill="1" applyBorder="1" applyAlignment="1">
      <alignment horizontal="center" vertical="center"/>
    </xf>
    <xf numFmtId="177" fontId="8" fillId="5" borderId="58" xfId="1" applyNumberFormat="1" applyFont="1" applyFill="1" applyBorder="1" applyAlignment="1">
      <alignment vertical="center" shrinkToFit="1"/>
    </xf>
    <xf numFmtId="177" fontId="8" fillId="5" borderId="59" xfId="1" applyNumberFormat="1" applyFont="1" applyFill="1" applyBorder="1" applyAlignment="1">
      <alignment vertical="center" shrinkToFit="1"/>
    </xf>
    <xf numFmtId="177" fontId="8" fillId="5" borderId="60" xfId="1" applyNumberFormat="1" applyFont="1" applyFill="1" applyBorder="1" applyAlignment="1">
      <alignment vertical="center" shrinkToFit="1"/>
    </xf>
    <xf numFmtId="177" fontId="8" fillId="5" borderId="62" xfId="1" applyNumberFormat="1" applyFont="1" applyFill="1" applyBorder="1" applyAlignment="1">
      <alignment vertical="center" shrinkToFit="1"/>
    </xf>
    <xf numFmtId="0" fontId="7" fillId="0" borderId="0" xfId="2" applyFont="1" applyAlignment="1">
      <alignment horizontal="center" vertical="center" textRotation="255"/>
    </xf>
  </cellXfs>
  <cellStyles count="4">
    <cellStyle name="백분율 10" xfId="3"/>
    <cellStyle name="쉼표 [0] 10 2 3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JL%20&#54616;&#50752;&#51060;\Data%20in%20Hawaii\Business%20Plan\2026&#45380;\1.%20&#49324;&#50629;&#44228;&#54925;%20&#49688;&#47549;\3.%20Filing\1.%20Version%201(251016)\1-1.%202026%20WRH%20Revenue%20Plan(Version%201%20251016.09%20HST.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64;\PROJECT%20&#52572;&#51333;\project%20&#52572;&#51333;\&#51221;&#49688;&#51109;\&#49688;&#46041;&#51648;&#48169;&#49345;&#49688;&#46020;\&#51204;&#44592;\&#50696;&#49328;&#49436;\project%20&#52572;&#51333;\&#44592;&#53440;\&#48128;&#50577;&#49688;&#49688;\&#44592;&#53440;\ILWIPO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1076;\&#47196;&#52972;%20&#46356;&#49828;&#53356;%20(c)\1-KEC\KEC%20&#48372;&#49688;&#44277;&#49324;-&#54616;&#44592;%20&#55092;&#44032;&#44277;&#49324;\&#54876;&#49457;&#53444;&#44368;&#52404;&#44277;&#49324;2004081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\&#51068;&#50948;&#45824;&#44032;(&#50896;&#51452;&#47924;&#49892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llasdf\&#44256;&#47161;&#54224;&#49688;\TEMP\&#50872;&#51652;&#45236;&#50669;-&#44592;&#442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Total Revenue"/>
      <sheetName val="⑴-4 WRH Ⅱ"/>
      <sheetName val="⑴-4  WRH Ⅲ"/>
      <sheetName val="⑴-4 WRH Ⅳ"/>
      <sheetName val="⑴ Rooms"/>
      <sheetName val="⑴-1 OCC."/>
      <sheetName val="⑴-2 RN."/>
      <sheetName val="⑴-3 REV."/>
      <sheetName val="⑴-4 WRHⅠ"/>
      <sheetName val="⑵ F&amp;B"/>
      <sheetName val="⑶ Others"/>
      <sheetName val="⑶-1 Rental 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p2-1"/>
      <sheetName val="INPUT"/>
      <sheetName val="견적990322"/>
      <sheetName val="외주현황.wq1"/>
      <sheetName val="갑지"/>
      <sheetName val="입찰안"/>
      <sheetName val="OUT"/>
      <sheetName val="일위(PN)"/>
      <sheetName val="영업.일1"/>
      <sheetName val="갑지1"/>
      <sheetName val="공사명입력"/>
      <sheetName val="근로자자료입력"/>
      <sheetName val="참고자료"/>
      <sheetName val="0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내역서"/>
      <sheetName val="2.대외공문"/>
      <sheetName val="날개벽수량표"/>
      <sheetName val="FORM-0"/>
      <sheetName val="단면 (2)"/>
      <sheetName val="SG"/>
      <sheetName val="5.WIRE적용LIST"/>
      <sheetName val="항목(1)"/>
      <sheetName val="THEME CODE"/>
      <sheetName val="CR CODE"/>
      <sheetName val="부서CODE"/>
      <sheetName val="물가시세"/>
      <sheetName val="분납 2"/>
      <sheetName val="SAM (2)"/>
      <sheetName val="임_x0002__x0000_蘠t_x0000__x0000__x0001_"/>
      <sheetName val="소개"/>
      <sheetName val="소상 &quot;1&quot;"/>
      <sheetName val="갑지(추정)"/>
      <sheetName val="수입"/>
      <sheetName val="관람석제출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CONCRETE"/>
      <sheetName val="을"/>
      <sheetName val="조건 (A)"/>
      <sheetName val="DATE"/>
      <sheetName val="일괄인쇄"/>
      <sheetName val="대비표"/>
      <sheetName val="총괄표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임_x0002_"/>
      <sheetName val="차수"/>
      <sheetName val="세목별"/>
      <sheetName val="일위대가표"/>
      <sheetName val="차종별"/>
      <sheetName val="임_x005f_x005f_x005f_x005f_x005f_x005f_x005f_x0002__x005"/>
      <sheetName val="임_x005f_x0002_"/>
      <sheetName val="98지급계획"/>
      <sheetName val="임_x0002_?蘠t??_x0001_"/>
      <sheetName val="소화실적"/>
      <sheetName val="DRUM"/>
      <sheetName val="[업무.XLS塅䕃⹌塅E9월"/>
      <sheetName val="9"/>
      <sheetName val="10상"/>
      <sheetName val="예산대비"/>
      <sheetName val="부하(성남)"/>
      <sheetName val="남양시작동010313100%"/>
      <sheetName val="SKETCH"/>
      <sheetName val="금액내역서"/>
      <sheetName val="임_x005f_x005f_x005f_x005f_x005f_x005f_x005f_x005f_x005f"/>
      <sheetName val="임_x005f_x005f_x005f_x0002_"/>
      <sheetName val="임_x005f_x0002_?蘠t??_x005f_x0001_"/>
      <sheetName val="12월 기타"/>
      <sheetName val="배수공"/>
      <sheetName val="간지"/>
      <sheetName val="3분기"/>
      <sheetName val="CAUDIT"/>
      <sheetName val="Ring"/>
      <sheetName val="매립"/>
      <sheetName val="제안서"/>
      <sheetName val="행정표준(1)"/>
      <sheetName val="행정표준(2)"/>
      <sheetName val="5.단면설계"/>
      <sheetName val="금융비용"/>
      <sheetName val="石油類"/>
      <sheetName val="_REF"/>
      <sheetName val="임_x005f_x0002__蘠t___x005f_x0001_"/>
      <sheetName val="_업무.XLS塅䕃⹌塅E9월"/>
      <sheetName val="96수출"/>
      <sheetName val="날개벽(시점좌측)"/>
      <sheetName val="설계조건"/>
      <sheetName val="도"/>
      <sheetName val="임_x0002__蘠t___x0001_"/>
      <sheetName val="캐완일정표 "/>
      <sheetName val="major"/>
      <sheetName val="집계표"/>
      <sheetName val="간접비"/>
      <sheetName val="대비"/>
      <sheetName val="1공구"/>
      <sheetName val="2공구"/>
      <sheetName val="대공종"/>
      <sheetName val="시행내역서(1공구-참조)"/>
      <sheetName val="2014년 표준단가"/>
      <sheetName val="개시전표"/>
      <sheetName val="공사집계"/>
      <sheetName val="약품공급2"/>
      <sheetName val="2000년1차"/>
      <sheetName val="단가일람"/>
      <sheetName val="조경일람"/>
      <sheetName val="조명율표"/>
      <sheetName val="Variables"/>
      <sheetName val="부속동"/>
      <sheetName val="교각계산"/>
      <sheetName val="토목주소"/>
      <sheetName val="프랜트면허"/>
      <sheetName val="工완성공사율"/>
      <sheetName val="간이연락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PE"/>
      <sheetName val="참고"/>
      <sheetName val="PE-KR"/>
      <sheetName val="HISYEARSALE"/>
      <sheetName val="김창균"/>
      <sheetName val="유림골조"/>
      <sheetName val="DESIGN"/>
      <sheetName val="출입구총집계"/>
      <sheetName val="임_x0002__x0000_蘠t_x"/>
      <sheetName val="임_x005f_x0002__x005"/>
      <sheetName val="카렌스센터계량기설치공사"/>
      <sheetName val="_R_x0000__x0000_"/>
      <sheetName val="출퇴근"/>
      <sheetName val="방음벽기초"/>
      <sheetName val="임_x005f_x005f_x005f_x005f_x005f_x005f_x005f_x0002_"/>
      <sheetName val="임_x005f_x005f_x005f_x0002__蘠t___x005f_x005f_x0001"/>
      <sheetName val="무전표"/>
      <sheetName val="TEST1"/>
      <sheetName val="II손익관리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코드정보"/>
      <sheetName val="임_x005f_x0002_?蘠t??_x0栀ṋ㠀"/>
      <sheetName val="임_x005f_x0002_?蘠t??_x0栀ṋ렀̣"/>
      <sheetName val="day"/>
      <sheetName val="Varia_x0000__x0000__x0005__x0000_"/>
      <sheetName val="Varia"/>
      <sheetName val="1.설계조건"/>
      <sheetName val="임_x005f_x0002_?蘠t??_x0럷⩦0_x0000_"/>
      <sheetName val="환율"/>
      <sheetName val="외자배분"/>
      <sheetName val="외자내역"/>
      <sheetName val="부하계산서"/>
      <sheetName val="9GNG운반"/>
      <sheetName val="포장절단"/>
      <sheetName val="__"/>
      <sheetName val="매크로"/>
      <sheetName val="조직도_(6)3"/>
      <sheetName val="경비통장_잔액1월3"/>
      <sheetName val="환전표_1월3"/>
      <sheetName val="경리보고서_1월3"/>
      <sheetName val="일반경비_1월3"/>
      <sheetName val="투자예산_1월3"/>
      <sheetName val="임차보증금_1월3"/>
      <sheetName val="경비통장_잔액2월3"/>
      <sheetName val="환전표_2월3"/>
      <sheetName val="경리보고서__2월3"/>
      <sheetName val="일반경비_2월3"/>
      <sheetName val="투자예산_2월3"/>
      <sheetName val="임차보증금_2월3"/>
      <sheetName val="경비통장_잔액3월3"/>
      <sheetName val="환전표_3월3"/>
      <sheetName val="경리보고서__3월3"/>
      <sheetName val="일반경비_3월3"/>
      <sheetName val="투자예산_3월3"/>
      <sheetName val="임차보증금_3월3"/>
      <sheetName val="경비통장_잔액4월3"/>
      <sheetName val="환전표_4월3"/>
      <sheetName val="경리보고서_4월3"/>
      <sheetName val="일반경비_4월3"/>
      <sheetName val="투자예산_4월3"/>
      <sheetName val="임차보증금_4월3"/>
      <sheetName val="환전표_5월3"/>
      <sheetName val="경비통장_잔액5월3"/>
      <sheetName val="경리보고서__5월3"/>
      <sheetName val="일반경비_5월3"/>
      <sheetName val="투자예산_5월3"/>
      <sheetName val="임차보증금_5월3"/>
      <sheetName val="경비통장_잔액6월3"/>
      <sheetName val="환전표_6월3"/>
      <sheetName val="경리보고서__6월3"/>
      <sheetName val="일반경비_6월3"/>
      <sheetName val="투자예산_6월3"/>
      <sheetName val="임차보증금_6월3"/>
      <sheetName val="경비통장_잔액7월3"/>
      <sheetName val="환전표_7월3"/>
      <sheetName val="경리보고서__7월3"/>
      <sheetName val="일반경비_7월3"/>
      <sheetName val="투자예산_7월3"/>
      <sheetName val="임차보증금_7월3"/>
      <sheetName val="환전표_8월3"/>
      <sheetName val="경비통장_잔액8월3"/>
      <sheetName val="경리보고서__8월3"/>
      <sheetName val="일반경비_8월3"/>
      <sheetName val="투자예산_8월3"/>
      <sheetName val="임차보증금_8월3"/>
      <sheetName val="환전표_9월3"/>
      <sheetName val="경리보고서__9월3"/>
      <sheetName val="일반경비_9월3"/>
      <sheetName val="투자예산_9월3"/>
      <sheetName val="임차보증금_9월3"/>
      <sheetName val="환전표_10월3"/>
      <sheetName val="경리보고서_10월3"/>
      <sheetName val="일반경비_10월3"/>
      <sheetName val="투자예산_10월3"/>
      <sheetName val="임차보증금_10월3"/>
      <sheetName val="환전표_11월3"/>
      <sheetName val="경리보고서_11월3"/>
      <sheetName val="일반경비_11월3"/>
      <sheetName val="투자예산_11월3"/>
      <sheetName val="임차보증금_11월3"/>
      <sheetName val="경리보고서_11월-23"/>
      <sheetName val="환전표_12월3"/>
      <sheetName val="경리보고서_12월3"/>
      <sheetName val="일반경비_12월3"/>
      <sheetName val="투자예산_12월3"/>
      <sheetName val="임차보증금_12월3"/>
      <sheetName val="경리보고서_12월-23"/>
      <sheetName val="환전표_12월_(2)3"/>
      <sheetName val="본사송금내역12월_(2)3"/>
      <sheetName val="잔액_(2)3"/>
      <sheetName val="경리보고서_12월_(2)3"/>
      <sheetName val="항목별명세표12월_(2)3"/>
      <sheetName val="외주현황_wq12"/>
      <sheetName val="임蘠t"/>
      <sheetName val="5_WIRE적용LIST"/>
      <sheetName val="영업_일12"/>
      <sheetName val="분납_2"/>
      <sheetName val="SAM_(2)"/>
      <sheetName val="2_대외공문"/>
      <sheetName val="THEME_CODE"/>
      <sheetName val="CR_CODE"/>
      <sheetName val="[업무_XLS塅䕃⹌塅E9월"/>
      <sheetName val="단면_(2)"/>
      <sheetName val="소상_&quot;1&quot;"/>
      <sheetName val="조건_(A)"/>
      <sheetName val="전체내역_(2)"/>
      <sheetName val="임"/>
      <sheetName val="임?蘠t??"/>
      <sheetName val="12월_기타"/>
      <sheetName val="5_단면설계"/>
      <sheetName val="_업무_XLS塅䕃⹌塅E9월"/>
      <sheetName val="임_蘠t__"/>
      <sheetName val="2014년_표준단가"/>
      <sheetName val="요약표"/>
      <sheetName val="2. 사업장명 및 TO입력"/>
      <sheetName val="근태표"/>
      <sheetName val="7.조리원수당입력"/>
      <sheetName val="Macro1"/>
      <sheetName val="(드롭다운)"/>
      <sheetName val="FAB별"/>
      <sheetName val="구조물철거타공정이월"/>
      <sheetName val="신우"/>
      <sheetName val="기성집계"/>
      <sheetName val="입출재고현황 (2)"/>
      <sheetName val="내역대비표(코크스)"/>
      <sheetName val="변경내역(코크스)"/>
      <sheetName val="location"/>
      <sheetName val="2"/>
      <sheetName val="RD제품개발투자비(매가)"/>
      <sheetName val="1.설계기준"/>
      <sheetName val="원가계산서"/>
      <sheetName val="인사자료총집계"/>
      <sheetName val="설계내역서"/>
      <sheetName val="IRPJ"/>
      <sheetName val="CSLL"/>
      <sheetName val="DRE"/>
      <sheetName val="Variação cambial-USD"/>
      <sheetName val="IRRF CDB"/>
      <sheetName val="Despesas Indedutiveis"/>
      <sheetName val="Lalur 1.0007 -Derivativos"/>
      <sheetName val="Thin Capital-Juros"/>
      <sheetName val="손익"/>
      <sheetName val="18"/>
      <sheetName val="DATA2000"/>
      <sheetName val="기준표"/>
      <sheetName val="Development"/>
      <sheetName val="인자"/>
      <sheetName val="_업무.XLS塅y_x0000_Ԁ_x0000_䀀᚝"/>
      <sheetName val="_업무.XLS塅y_x0000_က묓렂鸗"/>
      <sheetName val="_업무.XLS塅y_x0000_ကἓ렃ȗ"/>
      <sheetName val="Drop-Down"/>
      <sheetName val="Location code"/>
      <sheetName val="lists"/>
      <sheetName val="Notes"/>
      <sheetName val="980710"/>
      <sheetName val="KEY"/>
      <sheetName val="_업무.XLS塅䕃⹌塅_x0000__x0000_愘"/>
      <sheetName val="_업무.XLS塅䕃⹌塅_x0000__x0000_墈"/>
      <sheetName val="성과급조정"/>
      <sheetName val="106C0300"/>
      <sheetName val="임_x005f_x005f_x005f_x005f_x005f_x005f_x줄彥0_x0000_栀b_x0000__x0000_栀䜈"/>
      <sheetName val="임_x005f_x0002__蘠t___x00_x0000__x0000__x0005_"/>
      <sheetName val="_업무.XLS塅䕃⹌塅_x0000__x0000_ǌ"/>
      <sheetName val="인부신상자료"/>
      <sheetName val="임_x005f_x005F_x005f"/>
      <sheetName val="임_x005f_x0002__蘠t___x005f_x005f_x0001"/>
      <sheetName val="95년12월말"/>
      <sheetName val="p.m 별"/>
      <sheetName val="_업무.XLS塅y"/>
      <sheetName val="임_x005f_x005f_x005f_x005f_x005f_x005f_x줄彥0"/>
      <sheetName val="_업무.XLS塅䕃⹌塅"/>
      <sheetName val="임_x005f_x0002__蘠t___x00"/>
      <sheetName val="임_x005f_x005f_x005f_x005F_x005f_x0002__x005"/>
      <sheetName val="임_x005f_x005f_x005f_x005F_x005f_x005f_x005f"/>
      <sheetName val=" 하우스키핑_Daily Report_0601.xlsx"/>
      <sheetName val="임_x005f_x005f_x줄彥0"/>
      <sheetName val="발신정보"/>
      <sheetName val="임_x005f_x005f_x005f_x005f_x005f_x005f_x005f_x005f_x_x0000__x0000__x0005__x0000_"/>
      <sheetName val="주식"/>
      <sheetName val="Sheet4"/>
      <sheetName val="기둥(원형)"/>
      <sheetName val="6PILE  (돌출)"/>
      <sheetName val="청산공사"/>
      <sheetName val="locations"/>
      <sheetName val="xxxxxx"/>
      <sheetName val="※현금미지급"/>
      <sheetName val="※현업회신"/>
      <sheetName val="임_x005f_x0002_?蘠t??_x0쌂伅/_x0000_"/>
      <sheetName val="임_x005f_x005f_x005f_x005f_x005f_x005f_x005f_x005f_x"/>
      <sheetName val="목표세부명세"/>
      <sheetName val="조명시설"/>
      <sheetName val="임_x005f_x0002__蘠t___⭆_x0000_Ā"/>
      <sheetName val="조직"/>
      <sheetName val="조직도_(6)4"/>
      <sheetName val="경비통장_잔액1월4"/>
      <sheetName val="환전표_1월4"/>
      <sheetName val="경리보고서_1월4"/>
      <sheetName val="일반경비_1월4"/>
      <sheetName val="투자예산_1월4"/>
      <sheetName val="임차보증금_1월4"/>
      <sheetName val="경비통장_잔액2월4"/>
      <sheetName val="환전표_2월4"/>
      <sheetName val="경리보고서__2월4"/>
      <sheetName val="일반경비_2월4"/>
      <sheetName val="투자예산_2월4"/>
      <sheetName val="임차보증금_2월4"/>
      <sheetName val="경비통장_잔액3월4"/>
      <sheetName val="환전표_3월4"/>
      <sheetName val="경리보고서__3월4"/>
      <sheetName val="일반경비_3월4"/>
      <sheetName val="투자예산_3월4"/>
      <sheetName val="임차보증금_3월4"/>
      <sheetName val="경비통장_잔액4월4"/>
      <sheetName val="환전표_4월4"/>
      <sheetName val="경리보고서_4월4"/>
      <sheetName val="일반경비_4월4"/>
      <sheetName val="투자예산_4월4"/>
      <sheetName val="임차보증금_4월4"/>
      <sheetName val="환전표_5월4"/>
      <sheetName val="경비통장_잔액5월4"/>
      <sheetName val="경리보고서__5월4"/>
      <sheetName val="일반경비_5월4"/>
      <sheetName val="투자예산_5월4"/>
      <sheetName val="임차보증금_5월4"/>
      <sheetName val="경비통장_잔액6월4"/>
      <sheetName val="환전표_6월4"/>
      <sheetName val="경리보고서__6월4"/>
      <sheetName val="일반경비_6월4"/>
      <sheetName val="투자예산_6월4"/>
      <sheetName val="임차보증금_6월4"/>
      <sheetName val="경비통장_잔액7월4"/>
      <sheetName val="환전표_7월4"/>
      <sheetName val="경리보고서__7월4"/>
      <sheetName val="일반경비_7월4"/>
      <sheetName val="투자예산_7월4"/>
      <sheetName val="임차보증금_7월4"/>
      <sheetName val="환전표_8월4"/>
      <sheetName val="경비통장_잔액8월4"/>
      <sheetName val="경리보고서__8월4"/>
      <sheetName val="일반경비_8월4"/>
      <sheetName val="투자예산_8월4"/>
      <sheetName val="임차보증금_8월4"/>
      <sheetName val="환전표_9월4"/>
      <sheetName val="경리보고서__9월4"/>
      <sheetName val="일반경비_9월4"/>
      <sheetName val="투자예산_9월4"/>
      <sheetName val="임차보증금_9월4"/>
      <sheetName val="환전표_10월4"/>
      <sheetName val="경리보고서_10월4"/>
      <sheetName val="일반경비_10월4"/>
      <sheetName val="투자예산_10월4"/>
      <sheetName val="임차보증금_10월4"/>
      <sheetName val="환전표_11월4"/>
      <sheetName val="경리보고서_11월4"/>
      <sheetName val="일반경비_11월4"/>
      <sheetName val="투자예산_11월4"/>
      <sheetName val="임차보증금_11월4"/>
      <sheetName val="경리보고서_11월-24"/>
      <sheetName val="환전표_12월4"/>
      <sheetName val="경리보고서_12월4"/>
      <sheetName val="일반경비_12월4"/>
      <sheetName val="투자예산_12월4"/>
      <sheetName val="임차보증금_12월4"/>
      <sheetName val="경리보고서_12월-24"/>
      <sheetName val="환전표_12월_(2)4"/>
      <sheetName val="본사송금내역12월_(2)4"/>
      <sheetName val="잔액_(2)4"/>
      <sheetName val="경리보고서_12월_(2)4"/>
      <sheetName val="항목별명세표12월_(2)4"/>
      <sheetName val="외주현황_wq13"/>
      <sheetName val="5_WIRE적용LIST1"/>
      <sheetName val="영업_일13"/>
      <sheetName val="분납_21"/>
      <sheetName val="SAM_(2)1"/>
      <sheetName val="2_대외공문1"/>
      <sheetName val="THEME_CODE1"/>
      <sheetName val="CR_CODE1"/>
      <sheetName val="[업무_XLS塅䕃⹌塅E9월1"/>
      <sheetName val="단면_(2)1"/>
      <sheetName val="소상_&quot;1&quot;1"/>
      <sheetName val="조건_(A)1"/>
      <sheetName val="전체내역_(2)1"/>
      <sheetName val="12월_기타1"/>
      <sheetName val="5_단면설계1"/>
      <sheetName val="_업무_XLS塅䕃⹌塅E9월1"/>
      <sheetName val="2014년_표준단가1"/>
      <sheetName val="캐완일정표_"/>
      <sheetName val="Supplier List"/>
      <sheetName val="토목품셈"/>
      <sheetName val="임_x005f_x0002__蘠t___ 鸴喉瘯"/>
      <sheetName val="임_x005f_x005f_x005f_x005F_x"/>
      <sheetName val="기안"/>
      <sheetName val="개산공사비"/>
      <sheetName val="EACT10"/>
      <sheetName val="실행예산-변경분"/>
      <sheetName val="공문"/>
      <sheetName val="임_x0002__x005"/>
      <sheetName val="입력"/>
      <sheetName val="[업무.XLS]임_x005f_x0002_?蘠t??_x0쌂伅/_x0000_"/>
      <sheetName val="TRIM-Y3"/>
      <sheetName val="04.23"/>
      <sheetName val="은행"/>
      <sheetName val="현장관리비 산출내역"/>
      <sheetName val="임_x005f_x0002__蘠t___⭆"/>
      <sheetName val="음료실행"/>
      <sheetName val="재료비"/>
      <sheetName val="_업무.XLS塅䕃⹌塅ၒ_x0000__x0000_"/>
      <sheetName val="아산추가1220"/>
      <sheetName val="교ၒ_x0000__x0000_"/>
      <sheetName val="품의서(신규)"/>
      <sheetName val="세부인출내역"/>
      <sheetName val="요약,인출내역(카메라)"/>
      <sheetName val="사업비집행내역"/>
      <sheetName val="운영계좌"/>
      <sheetName val="분양수입금_아파트"/>
      <sheetName val="분양수입금_발코니 및 옵션"/>
      <sheetName val="대출금적립계좌"/>
      <sheetName val="계좌사본"/>
      <sheetName val="별첨 Cashflow"/>
      <sheetName val="[업무.XLS][업무.XLS]__x005f_x0002___t___2"/>
      <sheetName val="공통부대비"/>
      <sheetName val="Data List"/>
      <sheetName val="Categoria"/>
      <sheetName val="1-2_Trade rece. reason of delay"/>
      <sheetName val=""/>
      <sheetName val="임_x005f_x005f_x蹀ᇘ_x0000_癚"/>
      <sheetName val="임_x005f_x005f_x躠蒯è_x0000_ꈶ"/>
      <sheetName val="DNW"/>
      <sheetName val="여흥"/>
      <sheetName val="장비"/>
      <sheetName val="조도계산서 (도서)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1">
          <cell r="A1" t="str">
            <v>▣ Exchange Rate Control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>
        <row r="1">
          <cell r="A1" t="str">
            <v>▣ Exchange Rate Control</v>
          </cell>
        </row>
      </sheetData>
      <sheetData sheetId="569">
        <row r="1">
          <cell r="A1" t="str">
            <v>▣ Exchange Rate Control</v>
          </cell>
        </row>
      </sheetData>
      <sheetData sheetId="570">
        <row r="1">
          <cell r="A1" t="str">
            <v>▣ Exchange Rate Control</v>
          </cell>
        </row>
      </sheetData>
      <sheetData sheetId="571">
        <row r="1">
          <cell r="A1" t="str">
            <v>▣ Exchange Rate Control</v>
          </cell>
        </row>
      </sheetData>
      <sheetData sheetId="572">
        <row r="1">
          <cell r="A1" t="str">
            <v>▣ Exchange Rate Control</v>
          </cell>
        </row>
      </sheetData>
      <sheetData sheetId="573">
        <row r="1">
          <cell r="A1" t="str">
            <v>▣ Exchange Rate Control</v>
          </cell>
        </row>
      </sheetData>
      <sheetData sheetId="574">
        <row r="1">
          <cell r="A1" t="str">
            <v>▣ Exchange Rate Control</v>
          </cell>
        </row>
      </sheetData>
      <sheetData sheetId="575">
        <row r="1">
          <cell r="A1" t="str">
            <v>▣ Exchange Rate Control</v>
          </cell>
        </row>
      </sheetData>
      <sheetData sheetId="576">
        <row r="1">
          <cell r="A1" t="str">
            <v>▣ Exchange Rate Control</v>
          </cell>
        </row>
      </sheetData>
      <sheetData sheetId="577">
        <row r="1">
          <cell r="A1" t="str">
            <v>▣ Exchange Rate Control</v>
          </cell>
        </row>
      </sheetData>
      <sheetData sheetId="578">
        <row r="1">
          <cell r="A1" t="str">
            <v>▣ Exchange Rate Control</v>
          </cell>
        </row>
      </sheetData>
      <sheetData sheetId="579">
        <row r="1">
          <cell r="A1" t="str">
            <v>▣ Exchange Rate Control</v>
          </cell>
        </row>
      </sheetData>
      <sheetData sheetId="580">
        <row r="1">
          <cell r="A1" t="str">
            <v>▣ Exchange Rate Control</v>
          </cell>
        </row>
      </sheetData>
      <sheetData sheetId="581">
        <row r="1">
          <cell r="A1" t="str">
            <v>▣ Exchange Rate Control</v>
          </cell>
        </row>
      </sheetData>
      <sheetData sheetId="582">
        <row r="1">
          <cell r="A1" t="str">
            <v>▣ Exchange Rate Control</v>
          </cell>
        </row>
      </sheetData>
      <sheetData sheetId="583">
        <row r="1">
          <cell r="A1" t="str">
            <v>▣ Exchange Rate Control</v>
          </cell>
        </row>
      </sheetData>
      <sheetData sheetId="584">
        <row r="1">
          <cell r="A1" t="str">
            <v>▣ Exchange Rate Control</v>
          </cell>
        </row>
      </sheetData>
      <sheetData sheetId="585">
        <row r="1">
          <cell r="A1" t="str">
            <v>▣ Exchange Rate Control</v>
          </cell>
        </row>
      </sheetData>
      <sheetData sheetId="586">
        <row r="1">
          <cell r="A1" t="str">
            <v>▣ Exchange Rate Control</v>
          </cell>
        </row>
      </sheetData>
      <sheetData sheetId="587">
        <row r="1">
          <cell r="A1" t="str">
            <v>▣ Exchange Rate Control</v>
          </cell>
        </row>
      </sheetData>
      <sheetData sheetId="588">
        <row r="1">
          <cell r="A1" t="str">
            <v>▣ Exchange Rate Control</v>
          </cell>
        </row>
      </sheetData>
      <sheetData sheetId="589">
        <row r="1">
          <cell r="A1" t="str">
            <v>▣ Exchange Rate Control</v>
          </cell>
        </row>
      </sheetData>
      <sheetData sheetId="590">
        <row r="1">
          <cell r="A1" t="str">
            <v>▣ Exchange Rate Control</v>
          </cell>
        </row>
      </sheetData>
      <sheetData sheetId="591">
        <row r="1">
          <cell r="A1" t="str">
            <v>▣ Exchange Rate Control</v>
          </cell>
        </row>
      </sheetData>
      <sheetData sheetId="592">
        <row r="1">
          <cell r="A1" t="str">
            <v>▣ Exchange Rate Control</v>
          </cell>
        </row>
      </sheetData>
      <sheetData sheetId="593">
        <row r="1">
          <cell r="A1" t="str">
            <v>▣ Exchange Rate Control</v>
          </cell>
        </row>
      </sheetData>
      <sheetData sheetId="594">
        <row r="1">
          <cell r="A1" t="str">
            <v>▣ Exchange Rate Control</v>
          </cell>
        </row>
      </sheetData>
      <sheetData sheetId="595">
        <row r="1">
          <cell r="A1" t="str">
            <v>▣ Exchange Rate Control</v>
          </cell>
        </row>
      </sheetData>
      <sheetData sheetId="596">
        <row r="1">
          <cell r="A1" t="str">
            <v>▣ Exchange Rate Control</v>
          </cell>
        </row>
      </sheetData>
      <sheetData sheetId="597">
        <row r="1">
          <cell r="A1" t="str">
            <v>▣ Exchange Rate Control</v>
          </cell>
        </row>
      </sheetData>
      <sheetData sheetId="598">
        <row r="1">
          <cell r="A1" t="str">
            <v>▣ Exchange Rate Control</v>
          </cell>
        </row>
      </sheetData>
      <sheetData sheetId="599">
        <row r="1">
          <cell r="A1" t="str">
            <v>▣ Exchange Rate Control</v>
          </cell>
        </row>
      </sheetData>
      <sheetData sheetId="600">
        <row r="1">
          <cell r="A1" t="str">
            <v>▣ Exchange Rate Control</v>
          </cell>
        </row>
      </sheetData>
      <sheetData sheetId="601">
        <row r="1">
          <cell r="A1" t="str">
            <v>▣ Exchange Rate Control</v>
          </cell>
        </row>
      </sheetData>
      <sheetData sheetId="602">
        <row r="1">
          <cell r="A1" t="str">
            <v>▣ Exchange Rate Control</v>
          </cell>
        </row>
      </sheetData>
      <sheetData sheetId="603">
        <row r="1">
          <cell r="A1" t="str">
            <v>▣ Exchange Rate Control</v>
          </cell>
        </row>
      </sheetData>
      <sheetData sheetId="604">
        <row r="1">
          <cell r="A1" t="str">
            <v>▣ Exchange Rate Control</v>
          </cell>
        </row>
      </sheetData>
      <sheetData sheetId="605">
        <row r="1">
          <cell r="A1" t="str">
            <v>▣ Exchange Rate Control</v>
          </cell>
        </row>
      </sheetData>
      <sheetData sheetId="606">
        <row r="1">
          <cell r="A1" t="str">
            <v>▣ Exchange Rate Control</v>
          </cell>
        </row>
      </sheetData>
      <sheetData sheetId="607">
        <row r="1">
          <cell r="A1" t="str">
            <v>▣ Exchange Rate Control</v>
          </cell>
        </row>
      </sheetData>
      <sheetData sheetId="608">
        <row r="1">
          <cell r="A1" t="str">
            <v>▣ Exchange Rate Control</v>
          </cell>
        </row>
      </sheetData>
      <sheetData sheetId="609">
        <row r="1">
          <cell r="A1" t="str">
            <v>▣ Exchange Rate Control</v>
          </cell>
        </row>
      </sheetData>
      <sheetData sheetId="610">
        <row r="1">
          <cell r="A1" t="str">
            <v>▣ Exchange Rate Control</v>
          </cell>
        </row>
      </sheetData>
      <sheetData sheetId="611">
        <row r="1">
          <cell r="A1" t="str">
            <v>▣ Exchange Rate Control</v>
          </cell>
        </row>
      </sheetData>
      <sheetData sheetId="612">
        <row r="1">
          <cell r="A1" t="str">
            <v>▣ Exchange Rate Control</v>
          </cell>
        </row>
      </sheetData>
      <sheetData sheetId="613">
        <row r="1">
          <cell r="A1" t="str">
            <v>▣ Exchange Rate Control</v>
          </cell>
        </row>
      </sheetData>
      <sheetData sheetId="614">
        <row r="1">
          <cell r="A1" t="str">
            <v>▣ Exchange Rate Control</v>
          </cell>
        </row>
      </sheetData>
      <sheetData sheetId="615">
        <row r="1">
          <cell r="A1" t="str">
            <v>▣ Exchange Rate Control</v>
          </cell>
        </row>
      </sheetData>
      <sheetData sheetId="616">
        <row r="1">
          <cell r="A1" t="str">
            <v>▣ Exchange Rate Control</v>
          </cell>
        </row>
      </sheetData>
      <sheetData sheetId="617">
        <row r="1">
          <cell r="A1" t="str">
            <v>▣ Exchange Rate Control</v>
          </cell>
        </row>
      </sheetData>
      <sheetData sheetId="618">
        <row r="1">
          <cell r="A1" t="str">
            <v>▣ Exchange Rate Control</v>
          </cell>
        </row>
      </sheetData>
      <sheetData sheetId="619">
        <row r="1">
          <cell r="A1" t="str">
            <v>▣ Exchange Rate Control</v>
          </cell>
        </row>
      </sheetData>
      <sheetData sheetId="620">
        <row r="1">
          <cell r="A1" t="str">
            <v>▣ Exchange Rate Control</v>
          </cell>
        </row>
      </sheetData>
      <sheetData sheetId="621">
        <row r="1">
          <cell r="A1" t="str">
            <v>▣ Exchange Rate Control</v>
          </cell>
        </row>
      </sheetData>
      <sheetData sheetId="622">
        <row r="1">
          <cell r="A1" t="str">
            <v>▣ Exchange Rate Control</v>
          </cell>
        </row>
      </sheetData>
      <sheetData sheetId="623">
        <row r="1">
          <cell r="A1" t="str">
            <v>▣ Exchange Rate Control</v>
          </cell>
        </row>
      </sheetData>
      <sheetData sheetId="624">
        <row r="1">
          <cell r="A1" t="str">
            <v>▣ Exchange Rate Control</v>
          </cell>
        </row>
      </sheetData>
      <sheetData sheetId="625">
        <row r="1">
          <cell r="A1" t="str">
            <v>▣ Exchange Rate Control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>
        <row r="1">
          <cell r="A1" t="str">
            <v>▣ Exchange Rate Control</v>
          </cell>
        </row>
      </sheetData>
      <sheetData sheetId="647">
        <row r="1">
          <cell r="A1" t="str">
            <v>▣ Exchange Rate Control</v>
          </cell>
        </row>
      </sheetData>
      <sheetData sheetId="648">
        <row r="1">
          <cell r="A1" t="str">
            <v>▣ Exchange Rate Control</v>
          </cell>
        </row>
      </sheetData>
      <sheetData sheetId="649">
        <row r="1">
          <cell r="A1" t="str">
            <v>▣ Exchange Rate Control</v>
          </cell>
        </row>
      </sheetData>
      <sheetData sheetId="650">
        <row r="1">
          <cell r="A1" t="str">
            <v>▣ Exchange Rate Control</v>
          </cell>
        </row>
      </sheetData>
      <sheetData sheetId="651">
        <row r="1">
          <cell r="A1" t="str">
            <v>▣ Exchange Rate Control</v>
          </cell>
        </row>
      </sheetData>
      <sheetData sheetId="652">
        <row r="1">
          <cell r="A1" t="str">
            <v>▣ Exchange Rate Control</v>
          </cell>
        </row>
      </sheetData>
      <sheetData sheetId="653">
        <row r="1">
          <cell r="A1" t="str">
            <v>▣ Exchange Rate Control</v>
          </cell>
        </row>
      </sheetData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>
        <row r="1">
          <cell r="A1" t="str">
            <v>▣ Exchange Rate Control</v>
          </cell>
        </row>
      </sheetData>
      <sheetData sheetId="678">
        <row r="1">
          <cell r="A1" t="str">
            <v>▣ Exchange Rate Control</v>
          </cell>
        </row>
      </sheetData>
      <sheetData sheetId="679" refreshError="1"/>
      <sheetData sheetId="680" refreshError="1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>
        <row r="1">
          <cell r="A1" t="str">
            <v>▣ Exchange Rate Control</v>
          </cell>
        </row>
      </sheetData>
      <sheetData sheetId="778">
        <row r="1">
          <cell r="A1" t="str">
            <v>▣ Exchange Rate Control</v>
          </cell>
        </row>
      </sheetData>
      <sheetData sheetId="779">
        <row r="1">
          <cell r="A1" t="str">
            <v>▣ Exchange Rate Control</v>
          </cell>
        </row>
      </sheetData>
      <sheetData sheetId="780">
        <row r="1">
          <cell r="A1" t="str">
            <v>▣ Exchange Rate Control</v>
          </cell>
        </row>
      </sheetData>
      <sheetData sheetId="781">
        <row r="1">
          <cell r="A1" t="str">
            <v>▣ Exchange Rate Control</v>
          </cell>
        </row>
      </sheetData>
      <sheetData sheetId="782">
        <row r="1">
          <cell r="A1" t="str">
            <v>▣ Exchange Rate Control</v>
          </cell>
        </row>
      </sheetData>
      <sheetData sheetId="783">
        <row r="1">
          <cell r="A1" t="str">
            <v>▣ Exchange Rate Control</v>
          </cell>
        </row>
      </sheetData>
      <sheetData sheetId="784">
        <row r="1">
          <cell r="A1" t="str">
            <v>▣ Exchange Rate Control</v>
          </cell>
        </row>
      </sheetData>
      <sheetData sheetId="785">
        <row r="1">
          <cell r="A1" t="str">
            <v>▣ Exchange Rate Control</v>
          </cell>
        </row>
      </sheetData>
      <sheetData sheetId="786">
        <row r="1">
          <cell r="A1" t="str">
            <v>▣ Exchange Rate Control</v>
          </cell>
        </row>
      </sheetData>
      <sheetData sheetId="787">
        <row r="1">
          <cell r="A1" t="str">
            <v>▣ Exchange Rate Control</v>
          </cell>
        </row>
      </sheetData>
      <sheetData sheetId="788">
        <row r="1">
          <cell r="A1" t="str">
            <v>▣ Exchange Rate Control</v>
          </cell>
        </row>
      </sheetData>
      <sheetData sheetId="789">
        <row r="1">
          <cell r="A1" t="str">
            <v>▣ Exchange Rate Control</v>
          </cell>
        </row>
      </sheetData>
      <sheetData sheetId="790">
        <row r="1">
          <cell r="A1" t="str">
            <v>▣ Exchange Rate Control</v>
          </cell>
        </row>
      </sheetData>
      <sheetData sheetId="791">
        <row r="1">
          <cell r="A1" t="str">
            <v>▣ Exchange Rate Control</v>
          </cell>
        </row>
      </sheetData>
      <sheetData sheetId="792">
        <row r="1">
          <cell r="A1" t="str">
            <v>▣ Exchange Rate Control</v>
          </cell>
        </row>
      </sheetData>
      <sheetData sheetId="793">
        <row r="1">
          <cell r="A1" t="str">
            <v>▣ Exchange Rate Control</v>
          </cell>
        </row>
      </sheetData>
      <sheetData sheetId="794">
        <row r="1">
          <cell r="A1" t="str">
            <v>▣ Exchange Rate Control</v>
          </cell>
        </row>
      </sheetData>
      <sheetData sheetId="795">
        <row r="1">
          <cell r="A1" t="str">
            <v>▣ Exchange Rate Control</v>
          </cell>
        </row>
      </sheetData>
      <sheetData sheetId="796">
        <row r="1">
          <cell r="A1" t="str">
            <v>▣ Exchange Rate Control</v>
          </cell>
        </row>
      </sheetData>
      <sheetData sheetId="797">
        <row r="1">
          <cell r="A1" t="str">
            <v>▣ Exchange Rate Control</v>
          </cell>
        </row>
      </sheetData>
      <sheetData sheetId="798">
        <row r="1">
          <cell r="A1" t="str">
            <v>▣ Exchange Rate Control</v>
          </cell>
        </row>
      </sheetData>
      <sheetData sheetId="799">
        <row r="1">
          <cell r="A1" t="str">
            <v>▣ Exchange Rate Control</v>
          </cell>
        </row>
      </sheetData>
      <sheetData sheetId="800" refreshError="1"/>
      <sheetData sheetId="801" refreshError="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 refreshError="1"/>
      <sheetData sheetId="822"/>
      <sheetData sheetId="823">
        <row r="1">
          <cell r="B1" t="str">
            <v xml:space="preserve"> 전남 영광 공동주택 신축사업 사업비 인출 세부내역 (21차)</v>
          </cell>
        </row>
      </sheetData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노임"/>
      <sheetName val="실행철강하도"/>
      <sheetName val="노임단가"/>
      <sheetName val="단가조사서"/>
      <sheetName val="자압"/>
      <sheetName val="ILWIPOH"/>
      <sheetName val="전선 및 전선관"/>
      <sheetName val="중기사용료산출근거"/>
      <sheetName val="단가산출2"/>
      <sheetName val="단가 및 재료비"/>
      <sheetName val="일위대가"/>
      <sheetName val="터널조도"/>
      <sheetName val="DATA"/>
      <sheetName val="BID"/>
      <sheetName val="본사업"/>
      <sheetName val="CABLE SIZE-3"/>
      <sheetName val="Graph (LGEN)"/>
      <sheetName val="out_prog"/>
      <sheetName val="선적schedule (2)"/>
      <sheetName val="협조전"/>
      <sheetName val="공문"/>
      <sheetName val="갑지"/>
      <sheetName val="조도계산서 (도서)"/>
      <sheetName val="부하계산서"/>
      <sheetName val="#REF"/>
      <sheetName val="COPING"/>
      <sheetName val="MOTOR"/>
      <sheetName val="입찰"/>
      <sheetName val="현경"/>
      <sheetName val="L형 옹벽"/>
      <sheetName val="회로내역(승인)"/>
      <sheetName val="Macro(차단기)"/>
      <sheetName val="5.단가대비표"/>
      <sheetName val="Total"/>
      <sheetName val="데이타"/>
      <sheetName val="재료비"/>
      <sheetName val="부하(성남)"/>
      <sheetName val="내역서"/>
      <sheetName val="1을"/>
      <sheetName val="LOPCALC"/>
      <sheetName val="IW-LIST"/>
      <sheetName val="금액내역서"/>
      <sheetName val="JUCK"/>
      <sheetName val="기자재비"/>
      <sheetName val="외천교"/>
      <sheetName val="약품공급2"/>
      <sheetName val="약품설비"/>
      <sheetName val="정부노임단가"/>
      <sheetName val="집계표"/>
      <sheetName val="우각부보강"/>
      <sheetName val="대로근거"/>
      <sheetName val="환율적용표"/>
      <sheetName val="DATE"/>
      <sheetName val="빌딩 안내"/>
      <sheetName val="조명율표"/>
      <sheetName val="수안보-MBR1"/>
      <sheetName val="Cost bd-&quot;A&quot;"/>
      <sheetName val="가로등제어반 설치공사(수량)"/>
      <sheetName val="Y-WORK"/>
      <sheetName val="ENE-CAL 1"/>
      <sheetName val="ELECTRIC"/>
      <sheetName val="자압1"/>
      <sheetName val="자재단가"/>
      <sheetName val="날개벽수량표"/>
      <sheetName val="Sheet2"/>
      <sheetName val="을"/>
      <sheetName val="단면치수"/>
      <sheetName val="CONCRETE"/>
      <sheetName val="001"/>
      <sheetName val="단가비교표"/>
      <sheetName val="물량표"/>
      <sheetName val="동해title"/>
      <sheetName val="옹벽"/>
      <sheetName val="역T형"/>
      <sheetName val="토사(PE)"/>
      <sheetName val="와동25-3(변경)"/>
      <sheetName val="품셈TABLE"/>
      <sheetName val="9811"/>
      <sheetName val="여과지동"/>
      <sheetName val="기초자료"/>
      <sheetName val="감가상각"/>
      <sheetName val="Sheet7"/>
      <sheetName val="SELTDATA"/>
      <sheetName val="BQ(실행)"/>
      <sheetName val="TNHCHINH"/>
      <sheetName val="발신정보"/>
      <sheetName val="현금"/>
      <sheetName val="입찰안"/>
      <sheetName val="RING WALL"/>
      <sheetName val="목차"/>
      <sheetName val="EJ"/>
      <sheetName val="PROJECT BRIEF(EX.NEW)"/>
      <sheetName val="구의33고"/>
      <sheetName val="품셈"/>
      <sheetName val="매입세"/>
      <sheetName val="공사개요"/>
      <sheetName val="품목납기"/>
      <sheetName val="식재인부"/>
      <sheetName val="토목"/>
      <sheetName val="CAPVC"/>
      <sheetName val="Macro1"/>
      <sheetName val="List(rev.B)"/>
      <sheetName val="견"/>
      <sheetName val="DATA입력"/>
      <sheetName val="가설건물"/>
      <sheetName val="bi"/>
      <sheetName val="다이꾸"/>
      <sheetName val="차액보증"/>
      <sheetName val="일위대가표"/>
      <sheetName val="ABUT수량-A1"/>
      <sheetName val="단가조사"/>
      <sheetName val="부하LOAD"/>
      <sheetName val="중기일위대가"/>
      <sheetName val="N賃率-職"/>
      <sheetName val="매입"/>
      <sheetName val="내역"/>
      <sheetName val="투찰"/>
      <sheetName val="노무비 근거"/>
      <sheetName val="산출근거"/>
      <sheetName val="조명일위"/>
      <sheetName val="계산근거"/>
      <sheetName val="1.취수장"/>
      <sheetName val="단면가정"/>
      <sheetName val="1-1"/>
      <sheetName val="경상비"/>
      <sheetName val="개요"/>
      <sheetName val="견적사양비교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표지"/>
      <sheetName val="갑지"/>
      <sheetName val="예산서"/>
      <sheetName val="실행철강하도"/>
      <sheetName val="일위대가"/>
      <sheetName val="업무분장"/>
      <sheetName val="일위대가목차"/>
      <sheetName val="원가총"/>
      <sheetName val="노무비"/>
      <sheetName val="자압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실행철강하도"/>
      <sheetName val="EMST10"/>
      <sheetName val="표지-공사실행"/>
      <sheetName val="2.기구조직도"/>
      <sheetName val="개략견적HISTORY"/>
      <sheetName val="1_공사개요"/>
      <sheetName val="실행조건(건축)"/>
      <sheetName val="실행기준(기계)"/>
      <sheetName val="실행기준(전기)"/>
      <sheetName val="실행예산변경총괄표(적용안함)"/>
      <sheetName val="03차 견적실행총괄표"/>
      <sheetName val="대비표"/>
      <sheetName val="집계표"/>
      <sheetName val="---"/>
      <sheetName val="아파트 "/>
      <sheetName val="감액대비표"/>
      <sheetName val="공종별감액대비표"/>
      <sheetName val="개략공사비집계표"/>
      <sheetName val="실행검토의견서"/>
      <sheetName val="직원"/>
      <sheetName val="개략견적대비실행분석"/>
      <sheetName val="발주율분석"/>
      <sheetName val="내역"/>
      <sheetName val="원본"/>
      <sheetName val="산출내역서집계표"/>
      <sheetName val="APT"/>
      <sheetName val="을지"/>
      <sheetName val="콘크리트타설집계표"/>
      <sheetName val="TYPE-A"/>
      <sheetName val="아파트-가설"/>
      <sheetName val="COVER"/>
      <sheetName val="COPING"/>
      <sheetName val="내역서"/>
      <sheetName val="실적"/>
      <sheetName val="비교표"/>
      <sheetName val="도"/>
      <sheetName val="가시설흙막이"/>
      <sheetName val="입찰안"/>
      <sheetName val="일위대가(원주무실)"/>
      <sheetName val="분전함신설"/>
      <sheetName val="접지1종"/>
      <sheetName val="s"/>
      <sheetName val="969910( R)"/>
      <sheetName val="수목데이타 "/>
      <sheetName val="코드표"/>
      <sheetName val="내역서(기계)"/>
      <sheetName val="단가조사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  <sheetName val="예산서"/>
      <sheetName val="실행철강하도"/>
      <sheetName val="단가조사"/>
      <sheetName val="견적단가비교표"/>
      <sheetName val="DATA"/>
      <sheetName val="승급대상자"/>
      <sheetName val="레저산업"/>
      <sheetName val="직원대장"/>
      <sheetName val="여과지동"/>
      <sheetName val="기초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Q1124"/>
  <sheetViews>
    <sheetView showGridLines="0" showZeros="0" tabSelected="1" zoomScaleNormal="100" workbookViewId="0">
      <pane xSplit="5" ySplit="4" topLeftCell="F5" activePane="bottomRight" state="frozen"/>
      <selection activeCell="E6" sqref="E6"/>
      <selection pane="topRight" activeCell="E6" sqref="E6"/>
      <selection pane="bottomLeft" activeCell="E6" sqref="E6"/>
      <selection pane="bottomRight" activeCell="F5" sqref="F5"/>
    </sheetView>
  </sheetViews>
  <sheetFormatPr defaultColWidth="8" defaultRowHeight="7.8" customHeight="1" x14ac:dyDescent="0.25"/>
  <cols>
    <col min="1" max="1" width="1.59765625" style="27" customWidth="1"/>
    <col min="2" max="2" width="2.59765625" style="626" customWidth="1"/>
    <col min="3" max="3" width="2.59765625" style="627" customWidth="1"/>
    <col min="4" max="5" width="4.59765625" style="627" customWidth="1"/>
    <col min="6" max="25" width="5.59765625" style="27" customWidth="1"/>
    <col min="26" max="26" width="1.59765625" style="27" customWidth="1"/>
    <col min="27" max="27" width="2.59765625" style="626" customWidth="1"/>
    <col min="28" max="28" width="2.59765625" style="742" customWidth="1"/>
    <col min="29" max="30" width="4.59765625" style="627" customWidth="1"/>
    <col min="31" max="43" width="5.59765625" style="27" customWidth="1"/>
    <col min="44" max="16384" width="8" style="27"/>
  </cols>
  <sheetData>
    <row r="1" spans="1:43" s="4" customFormat="1" ht="18" customHeight="1" x14ac:dyDescent="0.25">
      <c r="A1" s="1" t="s">
        <v>0</v>
      </c>
      <c r="B1" s="2"/>
      <c r="C1" s="3"/>
      <c r="D1" s="3"/>
      <c r="E1" s="3"/>
      <c r="J1" s="5"/>
      <c r="Z1" s="1" t="s">
        <v>1</v>
      </c>
      <c r="AA1" s="2"/>
      <c r="AB1" s="6"/>
      <c r="AC1" s="3"/>
      <c r="AD1" s="3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spans="1:43" s="4" customFormat="1" ht="12" customHeight="1" thickBot="1" x14ac:dyDescent="0.3">
      <c r="A2" s="4" t="s">
        <v>2</v>
      </c>
      <c r="B2" s="2"/>
      <c r="C2" s="3"/>
      <c r="D2" s="3"/>
      <c r="E2" s="3"/>
      <c r="F2" s="5"/>
      <c r="G2" s="5"/>
      <c r="H2" s="5"/>
      <c r="I2" s="5"/>
      <c r="N2" s="5"/>
      <c r="T2" s="5"/>
      <c r="Y2" s="7" t="s">
        <v>3</v>
      </c>
      <c r="Z2" s="4" t="str">
        <f>A2</f>
        <v xml:space="preserve"> ⑴ WRH</v>
      </c>
      <c r="AA2" s="2"/>
      <c r="AB2" s="6"/>
      <c r="AC2" s="3"/>
      <c r="AD2" s="3"/>
      <c r="AF2" s="5"/>
      <c r="AQ2" s="7" t="s">
        <v>3</v>
      </c>
    </row>
    <row r="3" spans="1:43" s="3" customFormat="1" ht="7.8" customHeight="1" x14ac:dyDescent="0.25">
      <c r="B3" s="8"/>
      <c r="C3" s="9"/>
      <c r="D3" s="9"/>
      <c r="E3" s="9"/>
      <c r="F3" s="9" t="s">
        <v>4</v>
      </c>
      <c r="G3" s="10" t="s">
        <v>5</v>
      </c>
      <c r="H3" s="11" t="s">
        <v>6</v>
      </c>
      <c r="I3" s="12"/>
      <c r="J3" s="12"/>
      <c r="K3" s="12"/>
      <c r="L3" s="12"/>
      <c r="M3" s="8"/>
      <c r="N3" s="11" t="s">
        <v>7</v>
      </c>
      <c r="O3" s="12"/>
      <c r="P3" s="12"/>
      <c r="Q3" s="12"/>
      <c r="R3" s="12"/>
      <c r="S3" s="8"/>
      <c r="T3" s="11" t="s">
        <v>8</v>
      </c>
      <c r="U3" s="12"/>
      <c r="V3" s="12"/>
      <c r="W3" s="12"/>
      <c r="X3" s="12"/>
      <c r="Y3" s="12"/>
      <c r="AA3" s="8"/>
      <c r="AB3" s="9"/>
      <c r="AC3" s="9"/>
      <c r="AD3" s="9"/>
      <c r="AE3" s="10" t="s">
        <v>9</v>
      </c>
      <c r="AF3" s="13">
        <v>1</v>
      </c>
      <c r="AG3" s="14">
        <f>AF3+31</f>
        <v>32</v>
      </c>
      <c r="AH3" s="14">
        <f t="shared" ref="AH3:AQ4" si="0">AG3+31</f>
        <v>63</v>
      </c>
      <c r="AI3" s="14">
        <f t="shared" si="0"/>
        <v>94</v>
      </c>
      <c r="AJ3" s="14">
        <f t="shared" si="0"/>
        <v>125</v>
      </c>
      <c r="AK3" s="14">
        <f t="shared" si="0"/>
        <v>156</v>
      </c>
      <c r="AL3" s="14">
        <f t="shared" si="0"/>
        <v>187</v>
      </c>
      <c r="AM3" s="14">
        <f t="shared" si="0"/>
        <v>218</v>
      </c>
      <c r="AN3" s="14">
        <f t="shared" si="0"/>
        <v>249</v>
      </c>
      <c r="AO3" s="14">
        <f t="shared" si="0"/>
        <v>280</v>
      </c>
      <c r="AP3" s="14">
        <f t="shared" si="0"/>
        <v>311</v>
      </c>
      <c r="AQ3" s="15">
        <f t="shared" si="0"/>
        <v>342</v>
      </c>
    </row>
    <row r="4" spans="1:43" s="3" customFormat="1" ht="7.8" customHeight="1" x14ac:dyDescent="0.25">
      <c r="B4" s="16"/>
      <c r="C4" s="17"/>
      <c r="D4" s="17"/>
      <c r="E4" s="17"/>
      <c r="F4" s="17"/>
      <c r="G4" s="18"/>
      <c r="H4" s="19" t="s">
        <v>10</v>
      </c>
      <c r="I4" s="20" t="s">
        <v>11</v>
      </c>
      <c r="J4" s="21" t="s">
        <v>12</v>
      </c>
      <c r="K4" s="21" t="s">
        <v>13</v>
      </c>
      <c r="L4" s="21" t="s">
        <v>14</v>
      </c>
      <c r="M4" s="22" t="s">
        <v>15</v>
      </c>
      <c r="N4" s="19" t="s">
        <v>10</v>
      </c>
      <c r="O4" s="20" t="s">
        <v>16</v>
      </c>
      <c r="P4" s="21" t="s">
        <v>17</v>
      </c>
      <c r="Q4" s="21" t="s">
        <v>18</v>
      </c>
      <c r="R4" s="21" t="s">
        <v>19</v>
      </c>
      <c r="S4" s="22" t="s">
        <v>20</v>
      </c>
      <c r="T4" s="19" t="s">
        <v>10</v>
      </c>
      <c r="U4" s="20" t="s">
        <v>21</v>
      </c>
      <c r="V4" s="21" t="s">
        <v>22</v>
      </c>
      <c r="W4" s="21" t="s">
        <v>23</v>
      </c>
      <c r="X4" s="21" t="s">
        <v>24</v>
      </c>
      <c r="Y4" s="23" t="s">
        <v>20</v>
      </c>
      <c r="AA4" s="16"/>
      <c r="AB4" s="17"/>
      <c r="AC4" s="17"/>
      <c r="AD4" s="17"/>
      <c r="AE4" s="18" t="s">
        <v>9</v>
      </c>
      <c r="AF4" s="24">
        <v>1</v>
      </c>
      <c r="AG4" s="25">
        <f>AF4+31</f>
        <v>32</v>
      </c>
      <c r="AH4" s="25">
        <f t="shared" si="0"/>
        <v>63</v>
      </c>
      <c r="AI4" s="25">
        <f t="shared" si="0"/>
        <v>94</v>
      </c>
      <c r="AJ4" s="25">
        <f t="shared" si="0"/>
        <v>125</v>
      </c>
      <c r="AK4" s="25">
        <f t="shared" si="0"/>
        <v>156</v>
      </c>
      <c r="AL4" s="25">
        <f t="shared" si="0"/>
        <v>187</v>
      </c>
      <c r="AM4" s="25">
        <f t="shared" si="0"/>
        <v>218</v>
      </c>
      <c r="AN4" s="25">
        <f t="shared" si="0"/>
        <v>249</v>
      </c>
      <c r="AO4" s="25">
        <f t="shared" si="0"/>
        <v>280</v>
      </c>
      <c r="AP4" s="25">
        <f t="shared" si="0"/>
        <v>311</v>
      </c>
      <c r="AQ4" s="26">
        <f t="shared" si="0"/>
        <v>342</v>
      </c>
    </row>
    <row r="5" spans="1:43" ht="7.8" customHeight="1" x14ac:dyDescent="0.25">
      <c r="B5" s="28" t="s">
        <v>25</v>
      </c>
      <c r="C5" s="29" t="s">
        <v>26</v>
      </c>
      <c r="D5" s="30" t="s">
        <v>27</v>
      </c>
      <c r="E5" s="31" t="s">
        <v>28</v>
      </c>
      <c r="F5" s="32">
        <f>SUM(G5,H5,N5,T5)</f>
        <v>0</v>
      </c>
      <c r="G5" s="32">
        <f>SUM(G23,G41)</f>
        <v>0</v>
      </c>
      <c r="H5" s="32">
        <f>SUM(I5:M5)</f>
        <v>0</v>
      </c>
      <c r="I5" s="33">
        <f t="shared" ref="I5:M6" si="1">SUM(I23,I41)</f>
        <v>0</v>
      </c>
      <c r="J5" s="34">
        <f t="shared" si="1"/>
        <v>0</v>
      </c>
      <c r="K5" s="34">
        <f t="shared" si="1"/>
        <v>0</v>
      </c>
      <c r="L5" s="34">
        <f t="shared" si="1"/>
        <v>0</v>
      </c>
      <c r="M5" s="35">
        <f t="shared" si="1"/>
        <v>0</v>
      </c>
      <c r="N5" s="32">
        <f>SUM(O5:S5)</f>
        <v>0</v>
      </c>
      <c r="O5" s="33">
        <f t="shared" ref="O5:S6" si="2">SUM(O23,O41)</f>
        <v>0</v>
      </c>
      <c r="P5" s="34">
        <f t="shared" si="2"/>
        <v>0</v>
      </c>
      <c r="Q5" s="34">
        <f t="shared" si="2"/>
        <v>0</v>
      </c>
      <c r="R5" s="34">
        <f t="shared" si="2"/>
        <v>0</v>
      </c>
      <c r="S5" s="35">
        <f t="shared" si="2"/>
        <v>0</v>
      </c>
      <c r="T5" s="32">
        <f>SUM(U5:Y5)</f>
        <v>0</v>
      </c>
      <c r="U5" s="33">
        <f t="shared" ref="U5:Y6" si="3">SUM(U23,U41)</f>
        <v>0</v>
      </c>
      <c r="V5" s="34">
        <f t="shared" si="3"/>
        <v>0</v>
      </c>
      <c r="W5" s="34">
        <f t="shared" si="3"/>
        <v>0</v>
      </c>
      <c r="X5" s="34">
        <f t="shared" si="3"/>
        <v>0</v>
      </c>
      <c r="Y5" s="36">
        <f t="shared" si="3"/>
        <v>0</v>
      </c>
      <c r="AA5" s="28" t="s">
        <v>25</v>
      </c>
      <c r="AB5" s="29" t="s">
        <v>26</v>
      </c>
      <c r="AC5" s="30" t="s">
        <v>27</v>
      </c>
      <c r="AD5" s="31" t="s">
        <v>28</v>
      </c>
      <c r="AE5" s="37">
        <f>SUM(AF5:AQ5)</f>
        <v>0</v>
      </c>
      <c r="AF5" s="38">
        <f>SUM(AF23,AF41)</f>
        <v>0</v>
      </c>
      <c r="AG5" s="39">
        <f t="shared" ref="AG5:AQ5" si="4">SUM(AG23,AG41)</f>
        <v>0</v>
      </c>
      <c r="AH5" s="39">
        <f t="shared" si="4"/>
        <v>0</v>
      </c>
      <c r="AI5" s="39">
        <f t="shared" si="4"/>
        <v>0</v>
      </c>
      <c r="AJ5" s="39">
        <f t="shared" si="4"/>
        <v>0</v>
      </c>
      <c r="AK5" s="39">
        <f t="shared" si="4"/>
        <v>0</v>
      </c>
      <c r="AL5" s="39">
        <f t="shared" si="4"/>
        <v>0</v>
      </c>
      <c r="AM5" s="39">
        <f t="shared" si="4"/>
        <v>0</v>
      </c>
      <c r="AN5" s="39">
        <f t="shared" si="4"/>
        <v>0</v>
      </c>
      <c r="AO5" s="39">
        <f t="shared" si="4"/>
        <v>0</v>
      </c>
      <c r="AP5" s="39">
        <f t="shared" si="4"/>
        <v>0</v>
      </c>
      <c r="AQ5" s="40">
        <f t="shared" si="4"/>
        <v>0</v>
      </c>
    </row>
    <row r="6" spans="1:43" s="41" customFormat="1" ht="7.8" customHeight="1" x14ac:dyDescent="0.25">
      <c r="B6" s="28"/>
      <c r="C6" s="42"/>
      <c r="D6" s="43"/>
      <c r="E6" s="44" t="s">
        <v>29</v>
      </c>
      <c r="F6" s="45">
        <f>SUM(G6,H6,N6,T6)</f>
        <v>0</v>
      </c>
      <c r="G6" s="45">
        <f>SUM(G24,G42)</f>
        <v>0</v>
      </c>
      <c r="H6" s="45">
        <f>SUM(I6:M6)</f>
        <v>0</v>
      </c>
      <c r="I6" s="46">
        <f t="shared" si="1"/>
        <v>0</v>
      </c>
      <c r="J6" s="47">
        <f t="shared" si="1"/>
        <v>0</v>
      </c>
      <c r="K6" s="47">
        <f t="shared" si="1"/>
        <v>0</v>
      </c>
      <c r="L6" s="47">
        <f t="shared" si="1"/>
        <v>0</v>
      </c>
      <c r="M6" s="48">
        <f t="shared" si="1"/>
        <v>0</v>
      </c>
      <c r="N6" s="45">
        <f>SUM(O6:S6)</f>
        <v>0</v>
      </c>
      <c r="O6" s="46">
        <f t="shared" si="2"/>
        <v>0</v>
      </c>
      <c r="P6" s="47">
        <f t="shared" si="2"/>
        <v>0</v>
      </c>
      <c r="Q6" s="47">
        <f t="shared" si="2"/>
        <v>0</v>
      </c>
      <c r="R6" s="47">
        <f t="shared" si="2"/>
        <v>0</v>
      </c>
      <c r="S6" s="48">
        <f t="shared" si="2"/>
        <v>0</v>
      </c>
      <c r="T6" s="45">
        <f>SUM(U6:Y6)</f>
        <v>0</v>
      </c>
      <c r="U6" s="46">
        <f t="shared" si="3"/>
        <v>0</v>
      </c>
      <c r="V6" s="47">
        <f t="shared" si="3"/>
        <v>0</v>
      </c>
      <c r="W6" s="47">
        <f t="shared" si="3"/>
        <v>0</v>
      </c>
      <c r="X6" s="47">
        <f t="shared" si="3"/>
        <v>0</v>
      </c>
      <c r="Y6" s="49">
        <f t="shared" si="3"/>
        <v>0</v>
      </c>
      <c r="AA6" s="28"/>
      <c r="AB6" s="42"/>
      <c r="AC6" s="43"/>
      <c r="AD6" s="44" t="s">
        <v>29</v>
      </c>
      <c r="AE6" s="50">
        <f>SUM(AF6:AQ6)</f>
        <v>0</v>
      </c>
      <c r="AF6" s="51">
        <f t="shared" ref="AF6:AQ6" si="5">SUM(AF24,AF42)</f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  <c r="AJ6" s="52">
        <f t="shared" si="5"/>
        <v>0</v>
      </c>
      <c r="AK6" s="52">
        <f t="shared" si="5"/>
        <v>0</v>
      </c>
      <c r="AL6" s="52">
        <f t="shared" si="5"/>
        <v>0</v>
      </c>
      <c r="AM6" s="52">
        <f t="shared" si="5"/>
        <v>0</v>
      </c>
      <c r="AN6" s="52">
        <f t="shared" si="5"/>
        <v>0</v>
      </c>
      <c r="AO6" s="52">
        <f t="shared" si="5"/>
        <v>0</v>
      </c>
      <c r="AP6" s="52">
        <f t="shared" si="5"/>
        <v>0</v>
      </c>
      <c r="AQ6" s="53">
        <f t="shared" si="5"/>
        <v>0</v>
      </c>
    </row>
    <row r="7" spans="1:43" ht="7.8" customHeight="1" x14ac:dyDescent="0.25">
      <c r="B7" s="28"/>
      <c r="C7" s="42"/>
      <c r="D7" s="54"/>
      <c r="E7" s="55" t="s">
        <v>30</v>
      </c>
      <c r="F7" s="56">
        <f t="shared" ref="F7:H7" si="6">IFERROR(F6/F5,0)</f>
        <v>0</v>
      </c>
      <c r="G7" s="56">
        <f t="shared" si="6"/>
        <v>0</v>
      </c>
      <c r="H7" s="56">
        <f t="shared" si="6"/>
        <v>0</v>
      </c>
      <c r="I7" s="57">
        <f>IFERROR(I6/I5,0)</f>
        <v>0</v>
      </c>
      <c r="J7" s="58">
        <f t="shared" ref="J7:Y7" si="7">IFERROR(J6/J5,0)</f>
        <v>0</v>
      </c>
      <c r="K7" s="58">
        <f t="shared" si="7"/>
        <v>0</v>
      </c>
      <c r="L7" s="58">
        <f t="shared" si="7"/>
        <v>0</v>
      </c>
      <c r="M7" s="59">
        <f t="shared" si="7"/>
        <v>0</v>
      </c>
      <c r="N7" s="56">
        <f t="shared" si="7"/>
        <v>0</v>
      </c>
      <c r="O7" s="57">
        <f t="shared" si="7"/>
        <v>0</v>
      </c>
      <c r="P7" s="58">
        <f t="shared" si="7"/>
        <v>0</v>
      </c>
      <c r="Q7" s="58">
        <f t="shared" si="7"/>
        <v>0</v>
      </c>
      <c r="R7" s="58">
        <f t="shared" si="7"/>
        <v>0</v>
      </c>
      <c r="S7" s="59">
        <f t="shared" si="7"/>
        <v>0</v>
      </c>
      <c r="T7" s="56">
        <f t="shared" si="7"/>
        <v>0</v>
      </c>
      <c r="U7" s="57">
        <f t="shared" si="7"/>
        <v>0</v>
      </c>
      <c r="V7" s="58">
        <f t="shared" si="7"/>
        <v>0</v>
      </c>
      <c r="W7" s="58">
        <f t="shared" si="7"/>
        <v>0</v>
      </c>
      <c r="X7" s="58">
        <f t="shared" si="7"/>
        <v>0</v>
      </c>
      <c r="Y7" s="60">
        <f t="shared" si="7"/>
        <v>0</v>
      </c>
      <c r="AA7" s="28"/>
      <c r="AB7" s="42"/>
      <c r="AC7" s="54"/>
      <c r="AD7" s="55" t="s">
        <v>30</v>
      </c>
      <c r="AE7" s="61">
        <f t="shared" ref="AE7:AQ7" si="8">IFERROR(AE6/AE5,0)</f>
        <v>0</v>
      </c>
      <c r="AF7" s="62">
        <f t="shared" si="8"/>
        <v>0</v>
      </c>
      <c r="AG7" s="63">
        <f t="shared" si="8"/>
        <v>0</v>
      </c>
      <c r="AH7" s="63">
        <f t="shared" si="8"/>
        <v>0</v>
      </c>
      <c r="AI7" s="63">
        <f t="shared" si="8"/>
        <v>0</v>
      </c>
      <c r="AJ7" s="63">
        <f t="shared" si="8"/>
        <v>0</v>
      </c>
      <c r="AK7" s="63">
        <f t="shared" si="8"/>
        <v>0</v>
      </c>
      <c r="AL7" s="63">
        <f t="shared" si="8"/>
        <v>0</v>
      </c>
      <c r="AM7" s="63">
        <f t="shared" si="8"/>
        <v>0</v>
      </c>
      <c r="AN7" s="63">
        <f t="shared" si="8"/>
        <v>0</v>
      </c>
      <c r="AO7" s="63">
        <f t="shared" si="8"/>
        <v>0</v>
      </c>
      <c r="AP7" s="63">
        <f t="shared" si="8"/>
        <v>0</v>
      </c>
      <c r="AQ7" s="64">
        <f t="shared" si="8"/>
        <v>0</v>
      </c>
    </row>
    <row r="8" spans="1:43" ht="7.8" customHeight="1" x14ac:dyDescent="0.25">
      <c r="B8" s="28"/>
      <c r="C8" s="42"/>
      <c r="D8" s="65" t="s">
        <v>31</v>
      </c>
      <c r="E8" s="66" t="s">
        <v>32</v>
      </c>
      <c r="F8" s="67">
        <f t="shared" ref="F8:F9" si="9">SUM(G8,H8,N8,T8)</f>
        <v>88424</v>
      </c>
      <c r="G8" s="67">
        <f t="shared" ref="G8:G9" si="10">SUM(G26,G44)</f>
        <v>10512</v>
      </c>
      <c r="H8" s="67">
        <f t="shared" ref="H8:H9" si="11">SUM(I8:M8)</f>
        <v>6073</v>
      </c>
      <c r="I8" s="68">
        <f t="shared" ref="I8:M9" si="12">SUM(I26,I44)</f>
        <v>1793</v>
      </c>
      <c r="J8" s="69">
        <f t="shared" si="12"/>
        <v>2478</v>
      </c>
      <c r="K8" s="69">
        <f t="shared" si="12"/>
        <v>559</v>
      </c>
      <c r="L8" s="69">
        <f t="shared" si="12"/>
        <v>0</v>
      </c>
      <c r="M8" s="70">
        <f t="shared" si="12"/>
        <v>1243</v>
      </c>
      <c r="N8" s="67">
        <f t="shared" ref="N8:N9" si="13">SUM(O8:S8)</f>
        <v>14749</v>
      </c>
      <c r="O8" s="68">
        <f t="shared" ref="O8:S9" si="14">SUM(O26,O44)</f>
        <v>7833</v>
      </c>
      <c r="P8" s="69">
        <f t="shared" si="14"/>
        <v>5199</v>
      </c>
      <c r="Q8" s="69">
        <f t="shared" si="14"/>
        <v>1644</v>
      </c>
      <c r="R8" s="69">
        <f t="shared" si="14"/>
        <v>4</v>
      </c>
      <c r="S8" s="70">
        <f t="shared" si="14"/>
        <v>69</v>
      </c>
      <c r="T8" s="67">
        <f t="shared" ref="T8:T9" si="15">SUM(U8:Y8)</f>
        <v>57090</v>
      </c>
      <c r="U8" s="68">
        <f t="shared" ref="U8:Y9" si="16">SUM(U26,U44)</f>
        <v>4953</v>
      </c>
      <c r="V8" s="69">
        <f t="shared" si="16"/>
        <v>22276</v>
      </c>
      <c r="W8" s="69">
        <f t="shared" si="16"/>
        <v>23987</v>
      </c>
      <c r="X8" s="69">
        <f t="shared" si="16"/>
        <v>2633</v>
      </c>
      <c r="Y8" s="71">
        <f t="shared" si="16"/>
        <v>3241</v>
      </c>
      <c r="AA8" s="28"/>
      <c r="AB8" s="42"/>
      <c r="AC8" s="65" t="s">
        <v>31</v>
      </c>
      <c r="AD8" s="66" t="s">
        <v>32</v>
      </c>
      <c r="AE8" s="72">
        <f t="shared" ref="AE8:AE9" si="17">SUM(AF8:AQ8)</f>
        <v>88424</v>
      </c>
      <c r="AF8" s="73">
        <f t="shared" ref="AF8:AQ9" si="18">SUM(AF26,AF44)</f>
        <v>7716</v>
      </c>
      <c r="AG8" s="74">
        <f t="shared" si="18"/>
        <v>7274</v>
      </c>
      <c r="AH8" s="74">
        <f t="shared" si="18"/>
        <v>7340</v>
      </c>
      <c r="AI8" s="74">
        <f t="shared" si="18"/>
        <v>7292</v>
      </c>
      <c r="AJ8" s="74">
        <f t="shared" si="18"/>
        <v>7545</v>
      </c>
      <c r="AK8" s="74">
        <f t="shared" si="18"/>
        <v>7623</v>
      </c>
      <c r="AL8" s="74">
        <f t="shared" si="18"/>
        <v>7703</v>
      </c>
      <c r="AM8" s="74">
        <f t="shared" si="18"/>
        <v>7186</v>
      </c>
      <c r="AN8" s="74">
        <f t="shared" si="18"/>
        <v>6683</v>
      </c>
      <c r="AO8" s="74">
        <f t="shared" si="18"/>
        <v>7094</v>
      </c>
      <c r="AP8" s="74">
        <f t="shared" si="18"/>
        <v>7168</v>
      </c>
      <c r="AQ8" s="75">
        <f t="shared" si="18"/>
        <v>7800</v>
      </c>
    </row>
    <row r="9" spans="1:43" s="41" customFormat="1" ht="7.8" customHeight="1" x14ac:dyDescent="0.25">
      <c r="B9" s="28"/>
      <c r="C9" s="42"/>
      <c r="D9" s="43"/>
      <c r="E9" s="44" t="s">
        <v>33</v>
      </c>
      <c r="F9" s="45">
        <f t="shared" si="9"/>
        <v>14420179.190000001</v>
      </c>
      <c r="G9" s="45">
        <f t="shared" si="10"/>
        <v>1639750</v>
      </c>
      <c r="H9" s="45">
        <f t="shared" si="11"/>
        <v>1034156.31</v>
      </c>
      <c r="I9" s="46">
        <f t="shared" si="12"/>
        <v>301732</v>
      </c>
      <c r="J9" s="47">
        <f t="shared" si="12"/>
        <v>417674.31</v>
      </c>
      <c r="K9" s="47">
        <f t="shared" si="12"/>
        <v>99235</v>
      </c>
      <c r="L9" s="47">
        <f t="shared" si="12"/>
        <v>0</v>
      </c>
      <c r="M9" s="48">
        <f t="shared" si="12"/>
        <v>215515</v>
      </c>
      <c r="N9" s="45">
        <f t="shared" si="13"/>
        <v>2380227.14</v>
      </c>
      <c r="O9" s="46">
        <f t="shared" si="14"/>
        <v>1296984.1400000001</v>
      </c>
      <c r="P9" s="47">
        <f t="shared" si="14"/>
        <v>805171</v>
      </c>
      <c r="Q9" s="47">
        <f t="shared" si="14"/>
        <v>266772</v>
      </c>
      <c r="R9" s="47">
        <f t="shared" si="14"/>
        <v>670</v>
      </c>
      <c r="S9" s="48">
        <f t="shared" si="14"/>
        <v>10630</v>
      </c>
      <c r="T9" s="45">
        <f t="shared" si="15"/>
        <v>9366045.7400000002</v>
      </c>
      <c r="U9" s="46">
        <f t="shared" si="16"/>
        <v>1021090.0499999998</v>
      </c>
      <c r="V9" s="47">
        <f t="shared" si="16"/>
        <v>3432462.44</v>
      </c>
      <c r="W9" s="47">
        <f t="shared" si="16"/>
        <v>3962648.38</v>
      </c>
      <c r="X9" s="47">
        <f t="shared" si="16"/>
        <v>439186</v>
      </c>
      <c r="Y9" s="49">
        <f t="shared" si="16"/>
        <v>510658.87</v>
      </c>
      <c r="AA9" s="28"/>
      <c r="AB9" s="42"/>
      <c r="AC9" s="43"/>
      <c r="AD9" s="44" t="s">
        <v>33</v>
      </c>
      <c r="AE9" s="50">
        <f t="shared" si="17"/>
        <v>14420179.190000001</v>
      </c>
      <c r="AF9" s="51">
        <f t="shared" si="18"/>
        <v>1275990</v>
      </c>
      <c r="AG9" s="52">
        <f t="shared" si="18"/>
        <v>1217426</v>
      </c>
      <c r="AH9" s="52">
        <f t="shared" si="18"/>
        <v>1162380</v>
      </c>
      <c r="AI9" s="52">
        <f t="shared" si="18"/>
        <v>1087032</v>
      </c>
      <c r="AJ9" s="52">
        <f t="shared" si="18"/>
        <v>1167234</v>
      </c>
      <c r="AK9" s="52">
        <f t="shared" si="18"/>
        <v>1280376</v>
      </c>
      <c r="AL9" s="52">
        <f t="shared" si="18"/>
        <v>1414966</v>
      </c>
      <c r="AM9" s="52">
        <f t="shared" si="18"/>
        <v>1256859</v>
      </c>
      <c r="AN9" s="52">
        <f t="shared" si="18"/>
        <v>1091099</v>
      </c>
      <c r="AO9" s="52">
        <f t="shared" si="18"/>
        <v>1092510</v>
      </c>
      <c r="AP9" s="52">
        <f t="shared" si="18"/>
        <v>1057683.48</v>
      </c>
      <c r="AQ9" s="53">
        <f t="shared" si="18"/>
        <v>1316623.71</v>
      </c>
    </row>
    <row r="10" spans="1:43" ht="7.8" customHeight="1" x14ac:dyDescent="0.25">
      <c r="B10" s="28"/>
      <c r="C10" s="42"/>
      <c r="D10" s="54"/>
      <c r="E10" s="55" t="s">
        <v>30</v>
      </c>
      <c r="F10" s="56">
        <f t="shared" ref="F10:Y10" si="19">IFERROR(F9/F8,0)</f>
        <v>163.0799238894418</v>
      </c>
      <c r="G10" s="56">
        <f t="shared" si="19"/>
        <v>155.98839421613394</v>
      </c>
      <c r="H10" s="56">
        <f t="shared" si="19"/>
        <v>170.28755310390252</v>
      </c>
      <c r="I10" s="57">
        <f t="shared" si="19"/>
        <v>168.28332403792527</v>
      </c>
      <c r="J10" s="58">
        <f t="shared" si="19"/>
        <v>168.55299031476997</v>
      </c>
      <c r="K10" s="58">
        <f t="shared" si="19"/>
        <v>177.52236135957065</v>
      </c>
      <c r="L10" s="58">
        <f t="shared" si="19"/>
        <v>0</v>
      </c>
      <c r="M10" s="59">
        <f t="shared" si="19"/>
        <v>173.38294448913919</v>
      </c>
      <c r="N10" s="56">
        <f t="shared" si="19"/>
        <v>161.38227269645401</v>
      </c>
      <c r="O10" s="57">
        <f t="shared" si="19"/>
        <v>165.57948933997193</v>
      </c>
      <c r="P10" s="58">
        <f t="shared" si="19"/>
        <v>154.87035968455473</v>
      </c>
      <c r="Q10" s="58">
        <f t="shared" si="19"/>
        <v>162.27007299270073</v>
      </c>
      <c r="R10" s="58">
        <f t="shared" si="19"/>
        <v>167.5</v>
      </c>
      <c r="S10" s="59">
        <f t="shared" si="19"/>
        <v>154.05797101449275</v>
      </c>
      <c r="T10" s="56">
        <f t="shared" si="19"/>
        <v>164.05755368716063</v>
      </c>
      <c r="U10" s="57">
        <f t="shared" si="19"/>
        <v>206.15587522713503</v>
      </c>
      <c r="V10" s="58">
        <f t="shared" si="19"/>
        <v>154.08791704076137</v>
      </c>
      <c r="W10" s="58">
        <f t="shared" si="19"/>
        <v>165.19983240922167</v>
      </c>
      <c r="X10" s="58">
        <f t="shared" si="19"/>
        <v>166.80060767185719</v>
      </c>
      <c r="Y10" s="60">
        <f t="shared" si="19"/>
        <v>157.5621320580068</v>
      </c>
      <c r="AA10" s="28"/>
      <c r="AB10" s="42"/>
      <c r="AC10" s="54"/>
      <c r="AD10" s="55" t="s">
        <v>30</v>
      </c>
      <c r="AE10" s="61">
        <f t="shared" ref="AE10:AQ10" si="20">IFERROR(AE9/AE8,0)</f>
        <v>163.0799238894418</v>
      </c>
      <c r="AF10" s="62">
        <f t="shared" si="20"/>
        <v>165.36936236391912</v>
      </c>
      <c r="AG10" s="63">
        <f t="shared" si="20"/>
        <v>167.36678581248282</v>
      </c>
      <c r="AH10" s="63">
        <f t="shared" si="20"/>
        <v>158.36239782016349</v>
      </c>
      <c r="AI10" s="63">
        <f t="shared" si="20"/>
        <v>149.07185957213383</v>
      </c>
      <c r="AJ10" s="63">
        <f t="shared" si="20"/>
        <v>154.70298210735587</v>
      </c>
      <c r="AK10" s="63">
        <f t="shared" si="20"/>
        <v>167.96221959858323</v>
      </c>
      <c r="AL10" s="63">
        <f t="shared" si="20"/>
        <v>183.6902505517331</v>
      </c>
      <c r="AM10" s="63">
        <f t="shared" si="20"/>
        <v>174.90384080155857</v>
      </c>
      <c r="AN10" s="63">
        <f t="shared" si="20"/>
        <v>163.26485111476882</v>
      </c>
      <c r="AO10" s="63">
        <f t="shared" si="20"/>
        <v>154.00479278263322</v>
      </c>
      <c r="AP10" s="63">
        <f t="shared" si="20"/>
        <v>147.55628906249999</v>
      </c>
      <c r="AQ10" s="64">
        <f t="shared" si="20"/>
        <v>168.79791153846153</v>
      </c>
    </row>
    <row r="11" spans="1:43" ht="7.8" customHeight="1" x14ac:dyDescent="0.25">
      <c r="B11" s="28"/>
      <c r="C11" s="42"/>
      <c r="D11" s="65" t="s">
        <v>34</v>
      </c>
      <c r="E11" s="66" t="s">
        <v>32</v>
      </c>
      <c r="F11" s="67">
        <f t="shared" ref="F11:F12" si="21">SUM(G11,H11,N11,T11)</f>
        <v>67429</v>
      </c>
      <c r="G11" s="67">
        <f t="shared" ref="G11:G12" si="22">SUM(G29,G47)</f>
        <v>7905</v>
      </c>
      <c r="H11" s="67">
        <f t="shared" ref="H11:H12" si="23">SUM(I11:M11)</f>
        <v>3601</v>
      </c>
      <c r="I11" s="68">
        <f t="shared" ref="I11:M12" si="24">SUM(I29,I47)</f>
        <v>1545</v>
      </c>
      <c r="J11" s="69">
        <f t="shared" si="24"/>
        <v>697</v>
      </c>
      <c r="K11" s="69">
        <f t="shared" si="24"/>
        <v>324</v>
      </c>
      <c r="L11" s="69">
        <f t="shared" si="24"/>
        <v>392</v>
      </c>
      <c r="M11" s="70">
        <f t="shared" si="24"/>
        <v>643</v>
      </c>
      <c r="N11" s="67">
        <f t="shared" ref="N11:N12" si="25">SUM(O11:S11)</f>
        <v>8260</v>
      </c>
      <c r="O11" s="68">
        <f t="shared" ref="O11:S12" si="26">SUM(O29,O47)</f>
        <v>5645</v>
      </c>
      <c r="P11" s="69">
        <f t="shared" si="26"/>
        <v>1494</v>
      </c>
      <c r="Q11" s="69">
        <f t="shared" si="26"/>
        <v>1029</v>
      </c>
      <c r="R11" s="69">
        <f t="shared" si="26"/>
        <v>0</v>
      </c>
      <c r="S11" s="70">
        <f t="shared" si="26"/>
        <v>92</v>
      </c>
      <c r="T11" s="67">
        <f t="shared" ref="T11:T12" si="27">SUM(U11:Y11)</f>
        <v>47663</v>
      </c>
      <c r="U11" s="68">
        <f t="shared" ref="U11:Y12" si="28">SUM(U29,U47)</f>
        <v>8881</v>
      </c>
      <c r="V11" s="69">
        <f t="shared" si="28"/>
        <v>22130</v>
      </c>
      <c r="W11" s="69">
        <f t="shared" si="28"/>
        <v>14187</v>
      </c>
      <c r="X11" s="69">
        <f t="shared" si="28"/>
        <v>1656</v>
      </c>
      <c r="Y11" s="71">
        <f t="shared" si="28"/>
        <v>809</v>
      </c>
      <c r="AA11" s="28"/>
      <c r="AB11" s="42"/>
      <c r="AC11" s="65" t="s">
        <v>34</v>
      </c>
      <c r="AD11" s="66" t="s">
        <v>32</v>
      </c>
      <c r="AE11" s="72">
        <f t="shared" ref="AE11:AE12" si="29">SUM(AF11:AQ11)</f>
        <v>67429</v>
      </c>
      <c r="AF11" s="73">
        <f t="shared" ref="AF11:AQ12" si="30">SUM(AF29,AF47)</f>
        <v>7600</v>
      </c>
      <c r="AG11" s="74">
        <f t="shared" si="30"/>
        <v>6865</v>
      </c>
      <c r="AH11" s="74">
        <f t="shared" si="30"/>
        <v>7505</v>
      </c>
      <c r="AI11" s="74">
        <f t="shared" si="30"/>
        <v>7377</v>
      </c>
      <c r="AJ11" s="74">
        <f t="shared" si="30"/>
        <v>7688</v>
      </c>
      <c r="AK11" s="74">
        <f t="shared" si="30"/>
        <v>7510</v>
      </c>
      <c r="AL11" s="74">
        <f t="shared" si="30"/>
        <v>7746</v>
      </c>
      <c r="AM11" s="74">
        <f t="shared" si="30"/>
        <v>7776</v>
      </c>
      <c r="AN11" s="74">
        <f t="shared" si="30"/>
        <v>7362</v>
      </c>
      <c r="AO11" s="74">
        <f t="shared" si="30"/>
        <v>0</v>
      </c>
      <c r="AP11" s="74">
        <f t="shared" si="30"/>
        <v>0</v>
      </c>
      <c r="AQ11" s="75">
        <f t="shared" si="30"/>
        <v>0</v>
      </c>
    </row>
    <row r="12" spans="1:43" s="41" customFormat="1" ht="7.8" customHeight="1" x14ac:dyDescent="0.25">
      <c r="B12" s="28"/>
      <c r="C12" s="42"/>
      <c r="D12" s="43"/>
      <c r="E12" s="44" t="s">
        <v>33</v>
      </c>
      <c r="F12" s="45">
        <f t="shared" si="21"/>
        <v>10670990.739999998</v>
      </c>
      <c r="G12" s="45">
        <f t="shared" si="22"/>
        <v>1234455</v>
      </c>
      <c r="H12" s="45">
        <f t="shared" si="23"/>
        <v>584185</v>
      </c>
      <c r="I12" s="46">
        <f t="shared" si="24"/>
        <v>232211</v>
      </c>
      <c r="J12" s="47">
        <f t="shared" si="24"/>
        <v>126201</v>
      </c>
      <c r="K12" s="47">
        <f t="shared" si="24"/>
        <v>48854</v>
      </c>
      <c r="L12" s="47">
        <f t="shared" si="24"/>
        <v>64232</v>
      </c>
      <c r="M12" s="48">
        <f t="shared" si="24"/>
        <v>112687</v>
      </c>
      <c r="N12" s="45">
        <f t="shared" si="25"/>
        <v>1376039.52</v>
      </c>
      <c r="O12" s="46">
        <f t="shared" si="26"/>
        <v>944949</v>
      </c>
      <c r="P12" s="47">
        <f t="shared" si="26"/>
        <v>249754</v>
      </c>
      <c r="Q12" s="47">
        <f t="shared" si="26"/>
        <v>166150</v>
      </c>
      <c r="R12" s="47">
        <f t="shared" si="26"/>
        <v>0</v>
      </c>
      <c r="S12" s="48">
        <f t="shared" si="26"/>
        <v>15186.52</v>
      </c>
      <c r="T12" s="45">
        <f t="shared" si="27"/>
        <v>7476311.2199999988</v>
      </c>
      <c r="U12" s="46">
        <f t="shared" si="28"/>
        <v>1491291.1300000001</v>
      </c>
      <c r="V12" s="47">
        <f t="shared" si="28"/>
        <v>3382074.6899999995</v>
      </c>
      <c r="W12" s="47">
        <f t="shared" si="28"/>
        <v>2194191.31</v>
      </c>
      <c r="X12" s="47">
        <f t="shared" si="28"/>
        <v>284707</v>
      </c>
      <c r="Y12" s="49">
        <f t="shared" si="28"/>
        <v>124047.09000000001</v>
      </c>
      <c r="AA12" s="28"/>
      <c r="AB12" s="42"/>
      <c r="AC12" s="43"/>
      <c r="AD12" s="44" t="s">
        <v>33</v>
      </c>
      <c r="AE12" s="50">
        <f t="shared" si="29"/>
        <v>10670990.739999998</v>
      </c>
      <c r="AF12" s="51">
        <f t="shared" si="30"/>
        <v>1195563.98</v>
      </c>
      <c r="AG12" s="52">
        <f t="shared" si="30"/>
        <v>1120094.75</v>
      </c>
      <c r="AH12" s="52">
        <f t="shared" si="30"/>
        <v>1198660.18</v>
      </c>
      <c r="AI12" s="52">
        <f t="shared" si="30"/>
        <v>1140800.3</v>
      </c>
      <c r="AJ12" s="52">
        <f t="shared" si="30"/>
        <v>1164027.4699999997</v>
      </c>
      <c r="AK12" s="52">
        <f t="shared" si="30"/>
        <v>1204735.42</v>
      </c>
      <c r="AL12" s="52">
        <f t="shared" si="30"/>
        <v>1329330.8500000001</v>
      </c>
      <c r="AM12" s="52">
        <f t="shared" si="30"/>
        <v>1265671.25</v>
      </c>
      <c r="AN12" s="52">
        <f t="shared" si="30"/>
        <v>1052106.54</v>
      </c>
      <c r="AO12" s="52">
        <f t="shared" si="30"/>
        <v>0</v>
      </c>
      <c r="AP12" s="52">
        <f t="shared" si="30"/>
        <v>0</v>
      </c>
      <c r="AQ12" s="53">
        <f t="shared" si="30"/>
        <v>0</v>
      </c>
    </row>
    <row r="13" spans="1:43" ht="7.8" customHeight="1" x14ac:dyDescent="0.25">
      <c r="B13" s="28"/>
      <c r="C13" s="42"/>
      <c r="D13" s="54"/>
      <c r="E13" s="55" t="s">
        <v>30</v>
      </c>
      <c r="F13" s="56">
        <f t="shared" ref="F13:Y13" si="31">IFERROR(F12/F11,0)</f>
        <v>158.25521274229186</v>
      </c>
      <c r="G13" s="56">
        <f t="shared" si="31"/>
        <v>156.16129032258064</v>
      </c>
      <c r="H13" s="56">
        <f t="shared" si="31"/>
        <v>162.22854762565953</v>
      </c>
      <c r="I13" s="57">
        <f t="shared" si="31"/>
        <v>150.29838187702265</v>
      </c>
      <c r="J13" s="58">
        <f t="shared" si="31"/>
        <v>181.06312769010043</v>
      </c>
      <c r="K13" s="58">
        <f t="shared" si="31"/>
        <v>150.78395061728395</v>
      </c>
      <c r="L13" s="58">
        <f t="shared" si="31"/>
        <v>163.85714285714286</v>
      </c>
      <c r="M13" s="59">
        <f t="shared" si="31"/>
        <v>175.25194401244167</v>
      </c>
      <c r="N13" s="56">
        <f t="shared" si="31"/>
        <v>166.59074092009686</v>
      </c>
      <c r="O13" s="57">
        <f t="shared" si="31"/>
        <v>167.3957484499557</v>
      </c>
      <c r="P13" s="58">
        <f t="shared" si="31"/>
        <v>167.17135207496653</v>
      </c>
      <c r="Q13" s="58">
        <f t="shared" si="31"/>
        <v>161.46744412050535</v>
      </c>
      <c r="R13" s="58">
        <f t="shared" si="31"/>
        <v>0</v>
      </c>
      <c r="S13" s="59">
        <f t="shared" si="31"/>
        <v>165.07086956521741</v>
      </c>
      <c r="T13" s="56">
        <f t="shared" si="31"/>
        <v>156.85775591129385</v>
      </c>
      <c r="U13" s="57">
        <f t="shared" si="31"/>
        <v>167.91928048643172</v>
      </c>
      <c r="V13" s="58">
        <f t="shared" si="31"/>
        <v>152.8275955716222</v>
      </c>
      <c r="W13" s="58">
        <f t="shared" si="31"/>
        <v>154.6621068583915</v>
      </c>
      <c r="X13" s="58">
        <f t="shared" si="31"/>
        <v>171.92451690821255</v>
      </c>
      <c r="Y13" s="60">
        <f t="shared" si="31"/>
        <v>153.3338566131026</v>
      </c>
      <c r="AA13" s="28"/>
      <c r="AB13" s="42"/>
      <c r="AC13" s="54"/>
      <c r="AD13" s="55" t="s">
        <v>30</v>
      </c>
      <c r="AE13" s="61">
        <f t="shared" ref="AE13:AQ13" si="32">IFERROR(AE12/AE11,0)</f>
        <v>158.25521274229186</v>
      </c>
      <c r="AF13" s="62">
        <f t="shared" si="32"/>
        <v>157.31104999999999</v>
      </c>
      <c r="AG13" s="63">
        <f t="shared" si="32"/>
        <v>163.16019664967226</v>
      </c>
      <c r="AH13" s="63">
        <f t="shared" si="32"/>
        <v>159.7148807461692</v>
      </c>
      <c r="AI13" s="63">
        <f t="shared" si="32"/>
        <v>154.64284939677376</v>
      </c>
      <c r="AJ13" s="63">
        <f t="shared" si="32"/>
        <v>151.4083597814776</v>
      </c>
      <c r="AK13" s="63">
        <f t="shared" si="32"/>
        <v>160.41749933422102</v>
      </c>
      <c r="AL13" s="63">
        <f t="shared" si="32"/>
        <v>171.61513684482316</v>
      </c>
      <c r="AM13" s="63">
        <f t="shared" si="32"/>
        <v>162.7663644547325</v>
      </c>
      <c r="AN13" s="63">
        <f t="shared" si="32"/>
        <v>142.91042379788101</v>
      </c>
      <c r="AO13" s="63">
        <f t="shared" si="32"/>
        <v>0</v>
      </c>
      <c r="AP13" s="63">
        <f t="shared" si="32"/>
        <v>0</v>
      </c>
      <c r="AQ13" s="64">
        <f t="shared" si="32"/>
        <v>0</v>
      </c>
    </row>
    <row r="14" spans="1:43" ht="7.8" customHeight="1" x14ac:dyDescent="0.25">
      <c r="B14" s="28"/>
      <c r="C14" s="42"/>
      <c r="D14" s="76" t="s">
        <v>35</v>
      </c>
      <c r="E14" s="77" t="s">
        <v>32</v>
      </c>
      <c r="F14" s="78">
        <f t="shared" ref="F14:F15" si="33">SUM(G14,H14,N14,T14)</f>
        <v>89234</v>
      </c>
      <c r="G14" s="78">
        <f t="shared" ref="G14:G15" si="34">SUM(G32,G50)</f>
        <v>0</v>
      </c>
      <c r="H14" s="78">
        <f t="shared" ref="H14:H15" si="35">SUM(I14:M14)</f>
        <v>6550</v>
      </c>
      <c r="I14" s="79">
        <f t="shared" ref="I14:M15" si="36">SUM(I32,I50)</f>
        <v>2200</v>
      </c>
      <c r="J14" s="80">
        <f t="shared" si="36"/>
        <v>2665</v>
      </c>
      <c r="K14" s="80">
        <f t="shared" si="36"/>
        <v>610</v>
      </c>
      <c r="L14" s="80">
        <f t="shared" si="36"/>
        <v>835</v>
      </c>
      <c r="M14" s="81">
        <f t="shared" si="36"/>
        <v>240</v>
      </c>
      <c r="N14" s="78">
        <f t="shared" ref="N14:N15" si="37">SUM(O14:S14)</f>
        <v>15000</v>
      </c>
      <c r="O14" s="79">
        <f t="shared" ref="O14:S15" si="38">SUM(O32,O50)</f>
        <v>7715</v>
      </c>
      <c r="P14" s="80">
        <f t="shared" si="38"/>
        <v>6150</v>
      </c>
      <c r="Q14" s="80">
        <f t="shared" si="38"/>
        <v>1135</v>
      </c>
      <c r="R14" s="80">
        <f t="shared" si="38"/>
        <v>0</v>
      </c>
      <c r="S14" s="81">
        <f t="shared" si="38"/>
        <v>0</v>
      </c>
      <c r="T14" s="78">
        <f t="shared" ref="T14:T15" si="39">SUM(U14:Y14)</f>
        <v>67684</v>
      </c>
      <c r="U14" s="79">
        <f t="shared" ref="U14:Y15" si="40">SUM(U32,U50)</f>
        <v>6900</v>
      </c>
      <c r="V14" s="80">
        <f t="shared" si="40"/>
        <v>31017</v>
      </c>
      <c r="W14" s="80">
        <f t="shared" si="40"/>
        <v>22867</v>
      </c>
      <c r="X14" s="80">
        <f t="shared" si="40"/>
        <v>1200</v>
      </c>
      <c r="Y14" s="82">
        <f t="shared" si="40"/>
        <v>5700</v>
      </c>
      <c r="AA14" s="28"/>
      <c r="AB14" s="42"/>
      <c r="AC14" s="76" t="s">
        <v>35</v>
      </c>
      <c r="AD14" s="77" t="s">
        <v>32</v>
      </c>
      <c r="AE14" s="83">
        <f t="shared" ref="AE14:AE15" si="41">SUM(AF14:AQ14)</f>
        <v>89234</v>
      </c>
      <c r="AF14" s="84">
        <f t="shared" ref="AF14:AQ15" si="42">SUM(AF32,AF50)</f>
        <v>7427</v>
      </c>
      <c r="AG14" s="85">
        <f t="shared" si="42"/>
        <v>6875</v>
      </c>
      <c r="AH14" s="85">
        <f t="shared" si="42"/>
        <v>7380</v>
      </c>
      <c r="AI14" s="85">
        <f t="shared" si="42"/>
        <v>7386</v>
      </c>
      <c r="AJ14" s="85">
        <f t="shared" si="42"/>
        <v>7674</v>
      </c>
      <c r="AK14" s="85">
        <f t="shared" si="42"/>
        <v>7575</v>
      </c>
      <c r="AL14" s="85">
        <f t="shared" si="42"/>
        <v>7375</v>
      </c>
      <c r="AM14" s="85">
        <f t="shared" si="42"/>
        <v>7169</v>
      </c>
      <c r="AN14" s="85">
        <f t="shared" si="42"/>
        <v>7552</v>
      </c>
      <c r="AO14" s="85">
        <f t="shared" si="42"/>
        <v>7835</v>
      </c>
      <c r="AP14" s="85">
        <f t="shared" si="42"/>
        <v>7540</v>
      </c>
      <c r="AQ14" s="86">
        <f t="shared" si="42"/>
        <v>7446</v>
      </c>
    </row>
    <row r="15" spans="1:43" s="41" customFormat="1" ht="7.8" customHeight="1" x14ac:dyDescent="0.25">
      <c r="B15" s="28"/>
      <c r="C15" s="42"/>
      <c r="D15" s="87"/>
      <c r="E15" s="88" t="s">
        <v>33</v>
      </c>
      <c r="F15" s="89">
        <f t="shared" si="33"/>
        <v>14908136</v>
      </c>
      <c r="G15" s="89">
        <f t="shared" si="34"/>
        <v>0</v>
      </c>
      <c r="H15" s="89">
        <f t="shared" si="35"/>
        <v>1005005</v>
      </c>
      <c r="I15" s="90">
        <f t="shared" si="36"/>
        <v>334970</v>
      </c>
      <c r="J15" s="91">
        <f t="shared" si="36"/>
        <v>407475</v>
      </c>
      <c r="K15" s="91">
        <f t="shared" si="36"/>
        <v>92000</v>
      </c>
      <c r="L15" s="91">
        <f t="shared" si="36"/>
        <v>134010</v>
      </c>
      <c r="M15" s="92">
        <f t="shared" si="36"/>
        <v>36550</v>
      </c>
      <c r="N15" s="89">
        <f t="shared" si="37"/>
        <v>2360745</v>
      </c>
      <c r="O15" s="90">
        <f t="shared" si="38"/>
        <v>1244675</v>
      </c>
      <c r="P15" s="91">
        <f t="shared" si="38"/>
        <v>933660</v>
      </c>
      <c r="Q15" s="91">
        <f t="shared" si="38"/>
        <v>182410</v>
      </c>
      <c r="R15" s="91">
        <f t="shared" si="38"/>
        <v>0</v>
      </c>
      <c r="S15" s="92">
        <f t="shared" si="38"/>
        <v>0</v>
      </c>
      <c r="T15" s="89">
        <f t="shared" si="39"/>
        <v>11542386</v>
      </c>
      <c r="U15" s="90">
        <f t="shared" si="40"/>
        <v>1280750</v>
      </c>
      <c r="V15" s="91">
        <f t="shared" si="40"/>
        <v>5292636</v>
      </c>
      <c r="W15" s="91">
        <f t="shared" si="40"/>
        <v>3704050</v>
      </c>
      <c r="X15" s="91">
        <f t="shared" si="40"/>
        <v>222000</v>
      </c>
      <c r="Y15" s="93">
        <f t="shared" si="40"/>
        <v>1042950</v>
      </c>
      <c r="AA15" s="28"/>
      <c r="AB15" s="42"/>
      <c r="AC15" s="87"/>
      <c r="AD15" s="88" t="s">
        <v>33</v>
      </c>
      <c r="AE15" s="94">
        <f t="shared" si="41"/>
        <v>14908136</v>
      </c>
      <c r="AF15" s="95">
        <f t="shared" si="42"/>
        <v>1104500</v>
      </c>
      <c r="AG15" s="96">
        <f t="shared" si="42"/>
        <v>1128150</v>
      </c>
      <c r="AH15" s="96">
        <f t="shared" si="42"/>
        <v>1214125</v>
      </c>
      <c r="AI15" s="96">
        <f t="shared" si="42"/>
        <v>1127688</v>
      </c>
      <c r="AJ15" s="96">
        <f t="shared" si="42"/>
        <v>1251550</v>
      </c>
      <c r="AK15" s="96">
        <f t="shared" si="42"/>
        <v>1285355</v>
      </c>
      <c r="AL15" s="96">
        <f t="shared" si="42"/>
        <v>1372310</v>
      </c>
      <c r="AM15" s="96">
        <f t="shared" si="42"/>
        <v>1266058</v>
      </c>
      <c r="AN15" s="96">
        <f t="shared" si="42"/>
        <v>1271300</v>
      </c>
      <c r="AO15" s="96">
        <f t="shared" si="42"/>
        <v>1254200</v>
      </c>
      <c r="AP15" s="96">
        <f t="shared" si="42"/>
        <v>1248000</v>
      </c>
      <c r="AQ15" s="97">
        <f t="shared" si="42"/>
        <v>1384900</v>
      </c>
    </row>
    <row r="16" spans="1:43" ht="7.8" customHeight="1" x14ac:dyDescent="0.25">
      <c r="B16" s="28"/>
      <c r="C16" s="42"/>
      <c r="D16" s="98"/>
      <c r="E16" s="99" t="s">
        <v>30</v>
      </c>
      <c r="F16" s="100">
        <f t="shared" ref="F16:Y16" si="43">IFERROR(F15/F14,0)</f>
        <v>167.0678889212632</v>
      </c>
      <c r="G16" s="100">
        <f t="shared" si="43"/>
        <v>0</v>
      </c>
      <c r="H16" s="100">
        <f t="shared" si="43"/>
        <v>153.43587786259542</v>
      </c>
      <c r="I16" s="101">
        <f t="shared" si="43"/>
        <v>152.2590909090909</v>
      </c>
      <c r="J16" s="102">
        <f t="shared" si="43"/>
        <v>152.89868667917449</v>
      </c>
      <c r="K16" s="102">
        <f t="shared" si="43"/>
        <v>150.81967213114754</v>
      </c>
      <c r="L16" s="102">
        <f t="shared" si="43"/>
        <v>160.49101796407186</v>
      </c>
      <c r="M16" s="103">
        <f t="shared" si="43"/>
        <v>152.29166666666666</v>
      </c>
      <c r="N16" s="100">
        <f t="shared" si="43"/>
        <v>157.38300000000001</v>
      </c>
      <c r="O16" s="101">
        <f t="shared" si="43"/>
        <v>161.33182112767335</v>
      </c>
      <c r="P16" s="102">
        <f t="shared" si="43"/>
        <v>151.81463414634146</v>
      </c>
      <c r="Q16" s="102">
        <f t="shared" si="43"/>
        <v>160.7136563876652</v>
      </c>
      <c r="R16" s="102">
        <f t="shared" si="43"/>
        <v>0</v>
      </c>
      <c r="S16" s="103">
        <f t="shared" si="43"/>
        <v>0</v>
      </c>
      <c r="T16" s="100">
        <f t="shared" si="43"/>
        <v>170.53344955971869</v>
      </c>
      <c r="U16" s="101">
        <f t="shared" si="43"/>
        <v>185.6159420289855</v>
      </c>
      <c r="V16" s="102">
        <f t="shared" si="43"/>
        <v>170.63661862849406</v>
      </c>
      <c r="W16" s="102">
        <f t="shared" si="43"/>
        <v>161.98233261905804</v>
      </c>
      <c r="X16" s="102">
        <f t="shared" si="43"/>
        <v>185</v>
      </c>
      <c r="Y16" s="104">
        <f t="shared" si="43"/>
        <v>182.97368421052633</v>
      </c>
      <c r="AA16" s="28"/>
      <c r="AB16" s="42"/>
      <c r="AC16" s="98"/>
      <c r="AD16" s="99" t="s">
        <v>30</v>
      </c>
      <c r="AE16" s="105">
        <f t="shared" ref="AE16:AQ16" si="44">IFERROR(AE15/AE14,0)</f>
        <v>167.0678889212632</v>
      </c>
      <c r="AF16" s="106">
        <f t="shared" si="44"/>
        <v>148.71415107041875</v>
      </c>
      <c r="AG16" s="107">
        <f t="shared" si="44"/>
        <v>164.09454545454545</v>
      </c>
      <c r="AH16" s="107">
        <f t="shared" si="44"/>
        <v>164.51558265582656</v>
      </c>
      <c r="AI16" s="107">
        <f t="shared" si="44"/>
        <v>152.6791226645004</v>
      </c>
      <c r="AJ16" s="107">
        <f t="shared" si="44"/>
        <v>163.08965337503258</v>
      </c>
      <c r="AK16" s="107">
        <f t="shared" si="44"/>
        <v>169.68382838283827</v>
      </c>
      <c r="AL16" s="107">
        <f t="shared" si="44"/>
        <v>186.07593220338984</v>
      </c>
      <c r="AM16" s="107">
        <f t="shared" si="44"/>
        <v>176.60175756730368</v>
      </c>
      <c r="AN16" s="107">
        <f t="shared" si="44"/>
        <v>168.33951271186442</v>
      </c>
      <c r="AO16" s="107">
        <f t="shared" si="44"/>
        <v>160.07657945118061</v>
      </c>
      <c r="AP16" s="107">
        <f t="shared" si="44"/>
        <v>165.51724137931035</v>
      </c>
      <c r="AQ16" s="108">
        <f t="shared" si="44"/>
        <v>185.99247918345421</v>
      </c>
    </row>
    <row r="17" spans="2:43" ht="7.8" customHeight="1" x14ac:dyDescent="0.25">
      <c r="B17" s="28"/>
      <c r="C17" s="42"/>
      <c r="D17" s="109" t="s">
        <v>36</v>
      </c>
      <c r="E17" s="66" t="s">
        <v>32</v>
      </c>
      <c r="F17" s="67">
        <f>F14-F11</f>
        <v>21805</v>
      </c>
      <c r="G17" s="67">
        <f t="shared" ref="G17:Y19" si="45">G14-G11</f>
        <v>-7905</v>
      </c>
      <c r="H17" s="67">
        <f t="shared" si="45"/>
        <v>2949</v>
      </c>
      <c r="I17" s="68">
        <f t="shared" si="45"/>
        <v>655</v>
      </c>
      <c r="J17" s="69">
        <f t="shared" si="45"/>
        <v>1968</v>
      </c>
      <c r="K17" s="69">
        <f t="shared" si="45"/>
        <v>286</v>
      </c>
      <c r="L17" s="69">
        <f t="shared" si="45"/>
        <v>443</v>
      </c>
      <c r="M17" s="70">
        <f t="shared" si="45"/>
        <v>-403</v>
      </c>
      <c r="N17" s="67">
        <f t="shared" si="45"/>
        <v>6740</v>
      </c>
      <c r="O17" s="68">
        <f t="shared" si="45"/>
        <v>2070</v>
      </c>
      <c r="P17" s="69">
        <f t="shared" si="45"/>
        <v>4656</v>
      </c>
      <c r="Q17" s="69">
        <f t="shared" si="45"/>
        <v>106</v>
      </c>
      <c r="R17" s="69">
        <f t="shared" si="45"/>
        <v>0</v>
      </c>
      <c r="S17" s="70">
        <f t="shared" si="45"/>
        <v>-92</v>
      </c>
      <c r="T17" s="67">
        <f t="shared" si="45"/>
        <v>20021</v>
      </c>
      <c r="U17" s="68">
        <f t="shared" si="45"/>
        <v>-1981</v>
      </c>
      <c r="V17" s="69">
        <f t="shared" si="45"/>
        <v>8887</v>
      </c>
      <c r="W17" s="69">
        <f t="shared" si="45"/>
        <v>8680</v>
      </c>
      <c r="X17" s="69">
        <f t="shared" si="45"/>
        <v>-456</v>
      </c>
      <c r="Y17" s="71">
        <f t="shared" si="45"/>
        <v>4891</v>
      </c>
      <c r="AA17" s="28"/>
      <c r="AB17" s="42"/>
      <c r="AC17" s="109" t="s">
        <v>36</v>
      </c>
      <c r="AD17" s="66" t="s">
        <v>32</v>
      </c>
      <c r="AE17" s="72">
        <f>AE14-AE11</f>
        <v>21805</v>
      </c>
      <c r="AF17" s="73">
        <f t="shared" ref="AF17:AQ17" si="46">AF14-AF11</f>
        <v>-173</v>
      </c>
      <c r="AG17" s="74">
        <f t="shared" si="46"/>
        <v>10</v>
      </c>
      <c r="AH17" s="74">
        <f t="shared" si="46"/>
        <v>-125</v>
      </c>
      <c r="AI17" s="74">
        <f t="shared" si="46"/>
        <v>9</v>
      </c>
      <c r="AJ17" s="74">
        <f t="shared" si="46"/>
        <v>-14</v>
      </c>
      <c r="AK17" s="74">
        <f t="shared" si="46"/>
        <v>65</v>
      </c>
      <c r="AL17" s="74">
        <f t="shared" si="46"/>
        <v>-371</v>
      </c>
      <c r="AM17" s="74">
        <f t="shared" si="46"/>
        <v>-607</v>
      </c>
      <c r="AN17" s="74">
        <f t="shared" si="46"/>
        <v>190</v>
      </c>
      <c r="AO17" s="74">
        <f t="shared" si="46"/>
        <v>7835</v>
      </c>
      <c r="AP17" s="74">
        <f t="shared" si="46"/>
        <v>7540</v>
      </c>
      <c r="AQ17" s="75">
        <f t="shared" si="46"/>
        <v>7446</v>
      </c>
    </row>
    <row r="18" spans="2:43" s="112" customFormat="1" ht="7.8" customHeight="1" x14ac:dyDescent="0.25">
      <c r="B18" s="28"/>
      <c r="C18" s="42"/>
      <c r="D18" s="110"/>
      <c r="E18" s="111" t="s">
        <v>33</v>
      </c>
      <c r="F18" s="45">
        <f t="shared" ref="F18:Y19" si="47">F15-F12</f>
        <v>4237145.2600000016</v>
      </c>
      <c r="G18" s="45">
        <f t="shared" si="45"/>
        <v>-1234455</v>
      </c>
      <c r="H18" s="45">
        <f t="shared" si="47"/>
        <v>420820</v>
      </c>
      <c r="I18" s="46">
        <f t="shared" si="47"/>
        <v>102759</v>
      </c>
      <c r="J18" s="47">
        <f t="shared" si="47"/>
        <v>281274</v>
      </c>
      <c r="K18" s="47">
        <f t="shared" si="47"/>
        <v>43146</v>
      </c>
      <c r="L18" s="47">
        <f t="shared" si="47"/>
        <v>69778</v>
      </c>
      <c r="M18" s="48">
        <f t="shared" si="47"/>
        <v>-76137</v>
      </c>
      <c r="N18" s="45">
        <f t="shared" si="45"/>
        <v>984705.48</v>
      </c>
      <c r="O18" s="46">
        <f t="shared" si="47"/>
        <v>299726</v>
      </c>
      <c r="P18" s="47">
        <f t="shared" si="47"/>
        <v>683906</v>
      </c>
      <c r="Q18" s="47">
        <f t="shared" si="47"/>
        <v>16260</v>
      </c>
      <c r="R18" s="47">
        <f t="shared" si="47"/>
        <v>0</v>
      </c>
      <c r="S18" s="48">
        <f t="shared" si="47"/>
        <v>-15186.52</v>
      </c>
      <c r="T18" s="45">
        <f t="shared" si="45"/>
        <v>4066074.7800000012</v>
      </c>
      <c r="U18" s="46">
        <f t="shared" si="45"/>
        <v>-210541.13000000012</v>
      </c>
      <c r="V18" s="47">
        <f t="shared" si="47"/>
        <v>1910561.3100000005</v>
      </c>
      <c r="W18" s="47">
        <f t="shared" si="47"/>
        <v>1509858.69</v>
      </c>
      <c r="X18" s="47">
        <f t="shared" si="47"/>
        <v>-62707</v>
      </c>
      <c r="Y18" s="49">
        <f t="shared" si="47"/>
        <v>918902.91</v>
      </c>
      <c r="AA18" s="28"/>
      <c r="AB18" s="42"/>
      <c r="AC18" s="110"/>
      <c r="AD18" s="111" t="s">
        <v>33</v>
      </c>
      <c r="AE18" s="50">
        <f t="shared" ref="AE18:AQ19" si="48">AE15-AE12</f>
        <v>4237145.2600000016</v>
      </c>
      <c r="AF18" s="113">
        <f t="shared" si="48"/>
        <v>-91063.979999999981</v>
      </c>
      <c r="AG18" s="114">
        <f t="shared" si="48"/>
        <v>8055.25</v>
      </c>
      <c r="AH18" s="114">
        <f t="shared" si="48"/>
        <v>15464.820000000065</v>
      </c>
      <c r="AI18" s="114">
        <f t="shared" si="48"/>
        <v>-13112.300000000047</v>
      </c>
      <c r="AJ18" s="114">
        <f t="shared" si="48"/>
        <v>87522.530000000261</v>
      </c>
      <c r="AK18" s="114">
        <f t="shared" si="48"/>
        <v>80619.580000000075</v>
      </c>
      <c r="AL18" s="114">
        <f t="shared" si="48"/>
        <v>42979.149999999907</v>
      </c>
      <c r="AM18" s="114">
        <f t="shared" si="48"/>
        <v>386.75</v>
      </c>
      <c r="AN18" s="114">
        <f t="shared" si="48"/>
        <v>219193.45999999996</v>
      </c>
      <c r="AO18" s="114">
        <f t="shared" si="48"/>
        <v>1254200</v>
      </c>
      <c r="AP18" s="114">
        <f t="shared" si="48"/>
        <v>1248000</v>
      </c>
      <c r="AQ18" s="115">
        <f t="shared" si="48"/>
        <v>1384900</v>
      </c>
    </row>
    <row r="19" spans="2:43" ht="7.8" customHeight="1" x14ac:dyDescent="0.25">
      <c r="B19" s="28"/>
      <c r="C19" s="42"/>
      <c r="D19" s="116"/>
      <c r="E19" s="55" t="s">
        <v>30</v>
      </c>
      <c r="F19" s="56">
        <f t="shared" si="47"/>
        <v>8.8126761789713441</v>
      </c>
      <c r="G19" s="56">
        <f t="shared" si="45"/>
        <v>-156.16129032258064</v>
      </c>
      <c r="H19" s="56">
        <f t="shared" si="47"/>
        <v>-8.7926697630641115</v>
      </c>
      <c r="I19" s="57">
        <f t="shared" si="47"/>
        <v>1.9607090320682516</v>
      </c>
      <c r="J19" s="58">
        <f t="shared" si="47"/>
        <v>-28.164441010925941</v>
      </c>
      <c r="K19" s="58">
        <f t="shared" si="47"/>
        <v>3.5721513863592236E-2</v>
      </c>
      <c r="L19" s="58">
        <f t="shared" si="47"/>
        <v>-3.366124893071003</v>
      </c>
      <c r="M19" s="59">
        <f t="shared" si="47"/>
        <v>-22.960277345775012</v>
      </c>
      <c r="N19" s="56">
        <f t="shared" si="45"/>
        <v>-9.2077409200968532</v>
      </c>
      <c r="O19" s="57">
        <f t="shared" si="47"/>
        <v>-6.0639273222823533</v>
      </c>
      <c r="P19" s="58">
        <f t="shared" si="47"/>
        <v>-15.356717928625073</v>
      </c>
      <c r="Q19" s="58">
        <f t="shared" si="47"/>
        <v>-0.7537877328401521</v>
      </c>
      <c r="R19" s="58">
        <f t="shared" si="47"/>
        <v>0</v>
      </c>
      <c r="S19" s="59">
        <f t="shared" si="47"/>
        <v>-165.07086956521741</v>
      </c>
      <c r="T19" s="56">
        <f t="shared" si="45"/>
        <v>13.67569364842484</v>
      </c>
      <c r="U19" s="57">
        <f t="shared" si="45"/>
        <v>17.696661542553784</v>
      </c>
      <c r="V19" s="58">
        <f t="shared" si="47"/>
        <v>17.809023056871865</v>
      </c>
      <c r="W19" s="58">
        <f t="shared" si="47"/>
        <v>7.3202257606665455</v>
      </c>
      <c r="X19" s="58">
        <f t="shared" si="47"/>
        <v>13.075483091787447</v>
      </c>
      <c r="Y19" s="60">
        <f t="shared" si="47"/>
        <v>29.639827597423732</v>
      </c>
      <c r="AA19" s="28"/>
      <c r="AB19" s="42"/>
      <c r="AC19" s="116"/>
      <c r="AD19" s="55" t="s">
        <v>30</v>
      </c>
      <c r="AE19" s="61">
        <f t="shared" si="48"/>
        <v>8.8126761789713441</v>
      </c>
      <c r="AF19" s="62">
        <f t="shared" si="48"/>
        <v>-8.5968989295812435</v>
      </c>
      <c r="AG19" s="63">
        <f t="shared" si="48"/>
        <v>0.9343488048731956</v>
      </c>
      <c r="AH19" s="63">
        <f t="shared" si="48"/>
        <v>4.8007019096573629</v>
      </c>
      <c r="AI19" s="63">
        <f t="shared" si="48"/>
        <v>-1.9637267322733578</v>
      </c>
      <c r="AJ19" s="63">
        <f t="shared" si="48"/>
        <v>11.681293593554983</v>
      </c>
      <c r="AK19" s="63">
        <f t="shared" si="48"/>
        <v>9.2663290486172514</v>
      </c>
      <c r="AL19" s="63">
        <f t="shared" si="48"/>
        <v>14.460795358566685</v>
      </c>
      <c r="AM19" s="63">
        <f t="shared" si="48"/>
        <v>13.835393112571182</v>
      </c>
      <c r="AN19" s="63">
        <f t="shared" si="48"/>
        <v>25.429088913983406</v>
      </c>
      <c r="AO19" s="63">
        <f t="shared" si="48"/>
        <v>160.07657945118061</v>
      </c>
      <c r="AP19" s="63">
        <f t="shared" si="48"/>
        <v>165.51724137931035</v>
      </c>
      <c r="AQ19" s="64">
        <f t="shared" si="48"/>
        <v>185.99247918345421</v>
      </c>
    </row>
    <row r="20" spans="2:43" ht="7.8" customHeight="1" x14ac:dyDescent="0.25">
      <c r="B20" s="28"/>
      <c r="C20" s="42"/>
      <c r="D20" s="109" t="s">
        <v>37</v>
      </c>
      <c r="E20" s="66" t="s">
        <v>32</v>
      </c>
      <c r="F20" s="117">
        <f>IFERROR((F14-F11)/ABS(F11),"")</f>
        <v>0.32337718192469117</v>
      </c>
      <c r="G20" s="117">
        <f t="shared" ref="G20:Y22" si="49">IFERROR((G14-G11)/ABS(G11),"")</f>
        <v>-1</v>
      </c>
      <c r="H20" s="117">
        <f t="shared" si="49"/>
        <v>0.81893918356012219</v>
      </c>
      <c r="I20" s="118">
        <f t="shared" si="49"/>
        <v>0.42394822006472493</v>
      </c>
      <c r="J20" s="119">
        <f t="shared" si="49"/>
        <v>2.8235294117647061</v>
      </c>
      <c r="K20" s="119">
        <f t="shared" si="49"/>
        <v>0.88271604938271608</v>
      </c>
      <c r="L20" s="119">
        <f t="shared" si="49"/>
        <v>1.1301020408163265</v>
      </c>
      <c r="M20" s="120">
        <f t="shared" si="49"/>
        <v>-0.62674961119751171</v>
      </c>
      <c r="N20" s="117">
        <f t="shared" si="49"/>
        <v>0.81598062953995154</v>
      </c>
      <c r="O20" s="118">
        <f t="shared" si="49"/>
        <v>0.36669619131975201</v>
      </c>
      <c r="P20" s="119">
        <f t="shared" si="49"/>
        <v>3.1164658634538154</v>
      </c>
      <c r="Q20" s="119">
        <f t="shared" si="49"/>
        <v>0.10301263362487852</v>
      </c>
      <c r="R20" s="119" t="str">
        <f t="shared" si="49"/>
        <v/>
      </c>
      <c r="S20" s="120">
        <f t="shared" si="49"/>
        <v>-1</v>
      </c>
      <c r="T20" s="117">
        <f t="shared" si="49"/>
        <v>0.42005329081257997</v>
      </c>
      <c r="U20" s="118">
        <f t="shared" si="49"/>
        <v>-0.2230604661637203</v>
      </c>
      <c r="V20" s="119">
        <f t="shared" si="49"/>
        <v>0.40158156348847718</v>
      </c>
      <c r="W20" s="119">
        <f t="shared" si="49"/>
        <v>0.61182772961161624</v>
      </c>
      <c r="X20" s="119">
        <f t="shared" si="49"/>
        <v>-0.27536231884057971</v>
      </c>
      <c r="Y20" s="121">
        <f t="shared" si="49"/>
        <v>6.0457354758961683</v>
      </c>
      <c r="AA20" s="28"/>
      <c r="AB20" s="42"/>
      <c r="AC20" s="109" t="s">
        <v>37</v>
      </c>
      <c r="AD20" s="66" t="s">
        <v>32</v>
      </c>
      <c r="AE20" s="122">
        <f>IFERROR((AE14-AE11)/ABS(AE11),"")</f>
        <v>0.32337718192469117</v>
      </c>
      <c r="AF20" s="123">
        <f t="shared" ref="AF20:AQ20" si="50">IFERROR((AF14-AF11)/ABS(AF11),"")</f>
        <v>-2.2763157894736843E-2</v>
      </c>
      <c r="AG20" s="124">
        <f t="shared" si="50"/>
        <v>1.4566642388929353E-3</v>
      </c>
      <c r="AH20" s="124">
        <f t="shared" si="50"/>
        <v>-1.6655562958027982E-2</v>
      </c>
      <c r="AI20" s="124">
        <f t="shared" si="50"/>
        <v>1.2200081333875558E-3</v>
      </c>
      <c r="AJ20" s="124">
        <f t="shared" si="50"/>
        <v>-1.8210197710718003E-3</v>
      </c>
      <c r="AK20" s="124">
        <f t="shared" si="50"/>
        <v>8.6551264980026625E-3</v>
      </c>
      <c r="AL20" s="124">
        <f t="shared" si="50"/>
        <v>-4.7895688097082362E-2</v>
      </c>
      <c r="AM20" s="124">
        <f t="shared" si="50"/>
        <v>-7.8060699588477361E-2</v>
      </c>
      <c r="AN20" s="124">
        <f t="shared" si="50"/>
        <v>2.580820429231187E-2</v>
      </c>
      <c r="AO20" s="124" t="str">
        <f t="shared" si="50"/>
        <v/>
      </c>
      <c r="AP20" s="124" t="str">
        <f t="shared" si="50"/>
        <v/>
      </c>
      <c r="AQ20" s="125" t="str">
        <f t="shared" si="50"/>
        <v/>
      </c>
    </row>
    <row r="21" spans="2:43" ht="7.8" customHeight="1" x14ac:dyDescent="0.25">
      <c r="B21" s="28"/>
      <c r="C21" s="42"/>
      <c r="D21" s="110"/>
      <c r="E21" s="126" t="s">
        <v>33</v>
      </c>
      <c r="F21" s="127">
        <f t="shared" ref="F21:Y22" si="51">IFERROR((F15-F12)/ABS(F12),"")</f>
        <v>0.39707140257531537</v>
      </c>
      <c r="G21" s="127">
        <f t="shared" si="49"/>
        <v>-1</v>
      </c>
      <c r="H21" s="127">
        <f t="shared" si="51"/>
        <v>0.72035399744943807</v>
      </c>
      <c r="I21" s="128">
        <f t="shared" si="51"/>
        <v>0.44252425595686684</v>
      </c>
      <c r="J21" s="129">
        <f t="shared" si="51"/>
        <v>2.2287779019183684</v>
      </c>
      <c r="K21" s="129">
        <f t="shared" si="51"/>
        <v>0.88316207475334674</v>
      </c>
      <c r="L21" s="129">
        <f t="shared" si="51"/>
        <v>1.0863432556980943</v>
      </c>
      <c r="M21" s="130">
        <f t="shared" si="51"/>
        <v>-0.67565025246922894</v>
      </c>
      <c r="N21" s="127">
        <f t="shared" si="49"/>
        <v>0.71560842961835858</v>
      </c>
      <c r="O21" s="128">
        <f t="shared" si="51"/>
        <v>0.31718748842530126</v>
      </c>
      <c r="P21" s="129">
        <f t="shared" si="51"/>
        <v>2.7383185054093229</v>
      </c>
      <c r="Q21" s="129">
        <f t="shared" si="51"/>
        <v>9.7863376467047847E-2</v>
      </c>
      <c r="R21" s="129" t="str">
        <f t="shared" si="51"/>
        <v/>
      </c>
      <c r="S21" s="130">
        <f t="shared" si="51"/>
        <v>-1</v>
      </c>
      <c r="T21" s="127">
        <f t="shared" si="49"/>
        <v>0.54386109143273487</v>
      </c>
      <c r="U21" s="128">
        <f t="shared" si="49"/>
        <v>-0.14118043470157307</v>
      </c>
      <c r="V21" s="129">
        <f t="shared" si="51"/>
        <v>0.56490807717791736</v>
      </c>
      <c r="W21" s="129">
        <f t="shared" si="51"/>
        <v>0.68811624725648923</v>
      </c>
      <c r="X21" s="129">
        <f t="shared" si="51"/>
        <v>-0.22025099488245811</v>
      </c>
      <c r="Y21" s="131">
        <f t="shared" si="51"/>
        <v>7.4076942070950631</v>
      </c>
      <c r="AA21" s="28"/>
      <c r="AB21" s="42"/>
      <c r="AC21" s="110"/>
      <c r="AD21" s="126" t="s">
        <v>33</v>
      </c>
      <c r="AE21" s="132">
        <f t="shared" ref="AE21:AQ22" si="52">IFERROR((AE15-AE12)/ABS(AE12),"")</f>
        <v>0.39707140257531537</v>
      </c>
      <c r="AF21" s="133">
        <f t="shared" si="52"/>
        <v>-7.616821978862226E-2</v>
      </c>
      <c r="AG21" s="134">
        <f t="shared" si="52"/>
        <v>7.1915791052498011E-3</v>
      </c>
      <c r="AH21" s="134">
        <f t="shared" si="52"/>
        <v>1.2901755024514176E-2</v>
      </c>
      <c r="AI21" s="134">
        <f t="shared" si="52"/>
        <v>-1.1493948590301077E-2</v>
      </c>
      <c r="AJ21" s="134">
        <f t="shared" si="52"/>
        <v>7.5189402531883789E-2</v>
      </c>
      <c r="AK21" s="134">
        <f t="shared" si="52"/>
        <v>6.6918909049756406E-2</v>
      </c>
      <c r="AL21" s="134">
        <f t="shared" si="52"/>
        <v>3.233141696816854E-2</v>
      </c>
      <c r="AM21" s="134">
        <f t="shared" si="52"/>
        <v>3.05569080438542E-4</v>
      </c>
      <c r="AN21" s="134">
        <f t="shared" si="52"/>
        <v>0.20833770313793501</v>
      </c>
      <c r="AO21" s="134" t="str">
        <f t="shared" si="52"/>
        <v/>
      </c>
      <c r="AP21" s="134" t="str">
        <f t="shared" si="52"/>
        <v/>
      </c>
      <c r="AQ21" s="135" t="str">
        <f t="shared" si="52"/>
        <v/>
      </c>
    </row>
    <row r="22" spans="2:43" ht="7.8" customHeight="1" x14ac:dyDescent="0.25">
      <c r="B22" s="28"/>
      <c r="C22" s="136"/>
      <c r="D22" s="137"/>
      <c r="E22" s="138" t="s">
        <v>30</v>
      </c>
      <c r="F22" s="139">
        <f t="shared" si="51"/>
        <v>5.5686482778435895E-2</v>
      </c>
      <c r="G22" s="139">
        <f t="shared" si="49"/>
        <v>-1</v>
      </c>
      <c r="H22" s="139">
        <f t="shared" si="51"/>
        <v>-5.4199275600698184E-2</v>
      </c>
      <c r="I22" s="140">
        <f t="shared" si="51"/>
        <v>1.3045443387890534E-2</v>
      </c>
      <c r="J22" s="141">
        <f t="shared" si="51"/>
        <v>-0.15555039488288827</v>
      </c>
      <c r="K22" s="141">
        <f t="shared" si="51"/>
        <v>2.3690527882678765E-4</v>
      </c>
      <c r="L22" s="141">
        <f t="shared" si="51"/>
        <v>-2.0543046426762877E-2</v>
      </c>
      <c r="M22" s="142">
        <f t="shared" si="51"/>
        <v>-0.13101296807380916</v>
      </c>
      <c r="N22" s="139">
        <f t="shared" si="49"/>
        <v>-5.5271624756823845E-2</v>
      </c>
      <c r="O22" s="140">
        <f t="shared" si="51"/>
        <v>-3.622509758122807E-2</v>
      </c>
      <c r="P22" s="141">
        <f t="shared" si="51"/>
        <v>-9.1862138685930392E-2</v>
      </c>
      <c r="Q22" s="141">
        <f t="shared" si="51"/>
        <v>-4.6683573704033492E-3</v>
      </c>
      <c r="R22" s="141" t="str">
        <f t="shared" si="51"/>
        <v/>
      </c>
      <c r="S22" s="142">
        <f t="shared" si="51"/>
        <v>-1</v>
      </c>
      <c r="T22" s="139">
        <f t="shared" si="49"/>
        <v>8.7185320030708044E-2</v>
      </c>
      <c r="U22" s="140">
        <f t="shared" si="49"/>
        <v>0.10538790716164197</v>
      </c>
      <c r="V22" s="141">
        <f t="shared" si="51"/>
        <v>0.11653015275324226</v>
      </c>
      <c r="W22" s="141">
        <f t="shared" si="51"/>
        <v>4.7330441239682185E-2</v>
      </c>
      <c r="X22" s="141">
        <f t="shared" si="51"/>
        <v>7.6053627062207863E-2</v>
      </c>
      <c r="Y22" s="143">
        <f t="shared" si="51"/>
        <v>0.19330256377893104</v>
      </c>
      <c r="AA22" s="28"/>
      <c r="AB22" s="136"/>
      <c r="AC22" s="137"/>
      <c r="AD22" s="138" t="s">
        <v>30</v>
      </c>
      <c r="AE22" s="144">
        <f t="shared" si="52"/>
        <v>5.5686482778435895E-2</v>
      </c>
      <c r="AF22" s="145">
        <f t="shared" si="52"/>
        <v>-5.4649046774408051E-2</v>
      </c>
      <c r="AG22" s="146">
        <f t="shared" si="52"/>
        <v>5.7265731720057503E-3</v>
      </c>
      <c r="AH22" s="146">
        <f t="shared" si="52"/>
        <v>3.0057950062192366E-2</v>
      </c>
      <c r="AI22" s="146">
        <f t="shared" si="52"/>
        <v>-1.2698464493724766E-2</v>
      </c>
      <c r="AJ22" s="146">
        <f t="shared" si="52"/>
        <v>7.71509156457027E-2</v>
      </c>
      <c r="AK22" s="146">
        <f t="shared" si="52"/>
        <v>5.7763829302134709E-2</v>
      </c>
      <c r="AL22" s="146">
        <f t="shared" si="52"/>
        <v>8.4262936384465553E-2</v>
      </c>
      <c r="AM22" s="146">
        <f t="shared" si="52"/>
        <v>8.5001549054190439E-2</v>
      </c>
      <c r="AN22" s="146">
        <f t="shared" si="52"/>
        <v>0.17793725774648814</v>
      </c>
      <c r="AO22" s="146" t="str">
        <f t="shared" si="52"/>
        <v/>
      </c>
      <c r="AP22" s="146" t="str">
        <f t="shared" si="52"/>
        <v/>
      </c>
      <c r="AQ22" s="147" t="str">
        <f t="shared" si="52"/>
        <v/>
      </c>
    </row>
    <row r="23" spans="2:43" ht="7.8" customHeight="1" x14ac:dyDescent="0.25">
      <c r="B23" s="28"/>
      <c r="C23" s="148" t="s">
        <v>38</v>
      </c>
      <c r="D23" s="149" t="s">
        <v>39</v>
      </c>
      <c r="E23" s="150" t="s">
        <v>32</v>
      </c>
      <c r="F23" s="151">
        <f t="shared" ref="F23:F24" si="53">SUM(G23,H23,N23,T23)</f>
        <v>0</v>
      </c>
      <c r="G23" s="151">
        <f>SUM(G77,G131,G185,G239,G293,G347,G401,G455,G509,G563,G617,G671)</f>
        <v>0</v>
      </c>
      <c r="H23" s="151">
        <f t="shared" ref="H23:H24" si="54">SUM(I23:M23)</f>
        <v>0</v>
      </c>
      <c r="I23" s="152">
        <f t="shared" ref="I23:M24" si="55">SUM(I77,I131,I185,I239,I293,I347,I401,I455,I509,I563,I617,I671)</f>
        <v>0</v>
      </c>
      <c r="J23" s="153">
        <f t="shared" si="55"/>
        <v>0</v>
      </c>
      <c r="K23" s="153">
        <f t="shared" si="55"/>
        <v>0</v>
      </c>
      <c r="L23" s="153">
        <f t="shared" si="55"/>
        <v>0</v>
      </c>
      <c r="M23" s="154">
        <f t="shared" si="55"/>
        <v>0</v>
      </c>
      <c r="N23" s="151">
        <f t="shared" ref="N23:N24" si="56">SUM(O23:S23)</f>
        <v>0</v>
      </c>
      <c r="O23" s="152">
        <f t="shared" ref="O23:S24" si="57">SUM(O77,O131,O185,O239,O293,O347,O401,O455,O509,O563,O617,O671)</f>
        <v>0</v>
      </c>
      <c r="P23" s="153">
        <f t="shared" si="57"/>
        <v>0</v>
      </c>
      <c r="Q23" s="153">
        <f t="shared" si="57"/>
        <v>0</v>
      </c>
      <c r="R23" s="153">
        <f t="shared" si="57"/>
        <v>0</v>
      </c>
      <c r="S23" s="154">
        <f t="shared" si="57"/>
        <v>0</v>
      </c>
      <c r="T23" s="151">
        <f t="shared" ref="T23:T24" si="58">SUM(U23:Y23)</f>
        <v>0</v>
      </c>
      <c r="U23" s="152">
        <f t="shared" ref="U23:Y24" si="59">SUM(U77,U131,U185,U239,U293,U347,U401,U455,U509,U563,U617,U671)</f>
        <v>0</v>
      </c>
      <c r="V23" s="153">
        <f t="shared" si="59"/>
        <v>0</v>
      </c>
      <c r="W23" s="153">
        <f t="shared" si="59"/>
        <v>0</v>
      </c>
      <c r="X23" s="153">
        <f t="shared" si="59"/>
        <v>0</v>
      </c>
      <c r="Y23" s="155">
        <f t="shared" si="59"/>
        <v>0</v>
      </c>
      <c r="AA23" s="28"/>
      <c r="AB23" s="148" t="s">
        <v>38</v>
      </c>
      <c r="AC23" s="149" t="s">
        <v>39</v>
      </c>
      <c r="AD23" s="150" t="s">
        <v>32</v>
      </c>
      <c r="AE23" s="156">
        <f t="shared" ref="AE23:AE24" si="60">SUM(AF23:AQ23)</f>
        <v>0</v>
      </c>
      <c r="AF23" s="157">
        <f>SUM(AF77,AF131,AF455,AF779)</f>
        <v>0</v>
      </c>
      <c r="AG23" s="158">
        <f t="shared" ref="AG23:AQ23" si="61">SUM(AG77,AG131,AG455,AG779)</f>
        <v>0</v>
      </c>
      <c r="AH23" s="158">
        <f t="shared" si="61"/>
        <v>0</v>
      </c>
      <c r="AI23" s="158">
        <f t="shared" si="61"/>
        <v>0</v>
      </c>
      <c r="AJ23" s="158">
        <f t="shared" si="61"/>
        <v>0</v>
      </c>
      <c r="AK23" s="158">
        <f t="shared" si="61"/>
        <v>0</v>
      </c>
      <c r="AL23" s="158">
        <f t="shared" si="61"/>
        <v>0</v>
      </c>
      <c r="AM23" s="158">
        <f t="shared" si="61"/>
        <v>0</v>
      </c>
      <c r="AN23" s="158">
        <f t="shared" si="61"/>
        <v>0</v>
      </c>
      <c r="AO23" s="158">
        <f t="shared" si="61"/>
        <v>0</v>
      </c>
      <c r="AP23" s="158">
        <f t="shared" si="61"/>
        <v>0</v>
      </c>
      <c r="AQ23" s="159">
        <f t="shared" si="61"/>
        <v>0</v>
      </c>
    </row>
    <row r="24" spans="2:43" s="41" customFormat="1" ht="7.8" customHeight="1" x14ac:dyDescent="0.25">
      <c r="B24" s="28"/>
      <c r="C24" s="160"/>
      <c r="D24" s="161"/>
      <c r="E24" s="162" t="s">
        <v>33</v>
      </c>
      <c r="F24" s="163">
        <f t="shared" si="53"/>
        <v>0</v>
      </c>
      <c r="G24" s="164">
        <f>SUM(G78,G132,G186,G240,G294,G348,G402,G456,G510,G564,G618,G672)</f>
        <v>0</v>
      </c>
      <c r="H24" s="163">
        <f t="shared" si="54"/>
        <v>0</v>
      </c>
      <c r="I24" s="165">
        <f t="shared" si="55"/>
        <v>0</v>
      </c>
      <c r="J24" s="166">
        <f t="shared" si="55"/>
        <v>0</v>
      </c>
      <c r="K24" s="166">
        <f t="shared" si="55"/>
        <v>0</v>
      </c>
      <c r="L24" s="166">
        <f t="shared" si="55"/>
        <v>0</v>
      </c>
      <c r="M24" s="167">
        <f t="shared" si="55"/>
        <v>0</v>
      </c>
      <c r="N24" s="163">
        <f t="shared" si="56"/>
        <v>0</v>
      </c>
      <c r="O24" s="165">
        <f t="shared" si="57"/>
        <v>0</v>
      </c>
      <c r="P24" s="166">
        <f t="shared" si="57"/>
        <v>0</v>
      </c>
      <c r="Q24" s="166">
        <f t="shared" si="57"/>
        <v>0</v>
      </c>
      <c r="R24" s="166">
        <f t="shared" si="57"/>
        <v>0</v>
      </c>
      <c r="S24" s="167">
        <f t="shared" si="57"/>
        <v>0</v>
      </c>
      <c r="T24" s="163">
        <f t="shared" si="58"/>
        <v>0</v>
      </c>
      <c r="U24" s="165">
        <f t="shared" si="59"/>
        <v>0</v>
      </c>
      <c r="V24" s="166">
        <f t="shared" si="59"/>
        <v>0</v>
      </c>
      <c r="W24" s="166">
        <f t="shared" si="59"/>
        <v>0</v>
      </c>
      <c r="X24" s="166">
        <f t="shared" si="59"/>
        <v>0</v>
      </c>
      <c r="Y24" s="168">
        <f t="shared" si="59"/>
        <v>0</v>
      </c>
      <c r="AA24" s="28"/>
      <c r="AB24" s="160"/>
      <c r="AC24" s="161"/>
      <c r="AD24" s="162" t="s">
        <v>33</v>
      </c>
      <c r="AE24" s="169">
        <f t="shared" si="60"/>
        <v>0</v>
      </c>
      <c r="AF24" s="170">
        <f t="shared" ref="AF24:AQ24" si="62">SUM(AF78,AF132,AF456,AF780)</f>
        <v>0</v>
      </c>
      <c r="AG24" s="171">
        <f t="shared" si="62"/>
        <v>0</v>
      </c>
      <c r="AH24" s="171">
        <f t="shared" si="62"/>
        <v>0</v>
      </c>
      <c r="AI24" s="171">
        <f t="shared" si="62"/>
        <v>0</v>
      </c>
      <c r="AJ24" s="171">
        <f t="shared" si="62"/>
        <v>0</v>
      </c>
      <c r="AK24" s="171">
        <f t="shared" si="62"/>
        <v>0</v>
      </c>
      <c r="AL24" s="171">
        <f t="shared" si="62"/>
        <v>0</v>
      </c>
      <c r="AM24" s="171">
        <f t="shared" si="62"/>
        <v>0</v>
      </c>
      <c r="AN24" s="171">
        <f t="shared" si="62"/>
        <v>0</v>
      </c>
      <c r="AO24" s="171">
        <f t="shared" si="62"/>
        <v>0</v>
      </c>
      <c r="AP24" s="171">
        <f t="shared" si="62"/>
        <v>0</v>
      </c>
      <c r="AQ24" s="172">
        <f t="shared" si="62"/>
        <v>0</v>
      </c>
    </row>
    <row r="25" spans="2:43" ht="7.8" customHeight="1" x14ac:dyDescent="0.25">
      <c r="B25" s="28"/>
      <c r="C25" s="160"/>
      <c r="D25" s="173"/>
      <c r="E25" s="174" t="s">
        <v>30</v>
      </c>
      <c r="F25" s="175">
        <f t="shared" ref="F25:Y25" si="63">IFERROR(F24/F23,0)</f>
        <v>0</v>
      </c>
      <c r="G25" s="175">
        <f t="shared" si="63"/>
        <v>0</v>
      </c>
      <c r="H25" s="175">
        <f t="shared" si="63"/>
        <v>0</v>
      </c>
      <c r="I25" s="176">
        <f t="shared" si="63"/>
        <v>0</v>
      </c>
      <c r="J25" s="177">
        <f t="shared" si="63"/>
        <v>0</v>
      </c>
      <c r="K25" s="177">
        <f t="shared" si="63"/>
        <v>0</v>
      </c>
      <c r="L25" s="177">
        <f t="shared" si="63"/>
        <v>0</v>
      </c>
      <c r="M25" s="178">
        <f t="shared" si="63"/>
        <v>0</v>
      </c>
      <c r="N25" s="175">
        <f t="shared" si="63"/>
        <v>0</v>
      </c>
      <c r="O25" s="176">
        <f t="shared" si="63"/>
        <v>0</v>
      </c>
      <c r="P25" s="177">
        <f t="shared" si="63"/>
        <v>0</v>
      </c>
      <c r="Q25" s="177">
        <f t="shared" si="63"/>
        <v>0</v>
      </c>
      <c r="R25" s="177">
        <f t="shared" si="63"/>
        <v>0</v>
      </c>
      <c r="S25" s="178">
        <f t="shared" si="63"/>
        <v>0</v>
      </c>
      <c r="T25" s="175">
        <f t="shared" si="63"/>
        <v>0</v>
      </c>
      <c r="U25" s="176">
        <f t="shared" si="63"/>
        <v>0</v>
      </c>
      <c r="V25" s="177">
        <f t="shared" si="63"/>
        <v>0</v>
      </c>
      <c r="W25" s="177">
        <f t="shared" si="63"/>
        <v>0</v>
      </c>
      <c r="X25" s="177">
        <f t="shared" si="63"/>
        <v>0</v>
      </c>
      <c r="Y25" s="179">
        <f t="shared" si="63"/>
        <v>0</v>
      </c>
      <c r="AA25" s="28"/>
      <c r="AB25" s="160"/>
      <c r="AC25" s="173"/>
      <c r="AD25" s="174" t="s">
        <v>30</v>
      </c>
      <c r="AE25" s="180">
        <f t="shared" ref="AE25:AQ25" si="64">IFERROR(AE24/AE23,0)</f>
        <v>0</v>
      </c>
      <c r="AF25" s="181">
        <f t="shared" si="64"/>
        <v>0</v>
      </c>
      <c r="AG25" s="182">
        <f t="shared" si="64"/>
        <v>0</v>
      </c>
      <c r="AH25" s="182">
        <f t="shared" si="64"/>
        <v>0</v>
      </c>
      <c r="AI25" s="182">
        <f t="shared" si="64"/>
        <v>0</v>
      </c>
      <c r="AJ25" s="182">
        <f t="shared" si="64"/>
        <v>0</v>
      </c>
      <c r="AK25" s="182">
        <f t="shared" si="64"/>
        <v>0</v>
      </c>
      <c r="AL25" s="182">
        <f t="shared" si="64"/>
        <v>0</v>
      </c>
      <c r="AM25" s="182">
        <f t="shared" si="64"/>
        <v>0</v>
      </c>
      <c r="AN25" s="182">
        <f t="shared" si="64"/>
        <v>0</v>
      </c>
      <c r="AO25" s="182">
        <f t="shared" si="64"/>
        <v>0</v>
      </c>
      <c r="AP25" s="182">
        <f t="shared" si="64"/>
        <v>0</v>
      </c>
      <c r="AQ25" s="183">
        <f t="shared" si="64"/>
        <v>0</v>
      </c>
    </row>
    <row r="26" spans="2:43" ht="7.8" customHeight="1" x14ac:dyDescent="0.25">
      <c r="B26" s="28"/>
      <c r="C26" s="160"/>
      <c r="D26" s="184" t="s">
        <v>40</v>
      </c>
      <c r="E26" s="185" t="s">
        <v>32</v>
      </c>
      <c r="F26" s="186">
        <f t="shared" ref="F26:F27" si="65">SUM(G26,H26,N26,T26)</f>
        <v>62837</v>
      </c>
      <c r="G26" s="186">
        <f t="shared" ref="G26:G27" si="66">SUM(G80,G134,G188,G242,G296,G350,G404,G458,G512,G566,G620,G674)</f>
        <v>7532</v>
      </c>
      <c r="H26" s="186">
        <f t="shared" ref="H26:H27" si="67">SUM(I26:M26)</f>
        <v>4653</v>
      </c>
      <c r="I26" s="187">
        <f t="shared" ref="I26:M27" si="68">SUM(I80,I134,I188,I242,I296,I350,I404,I458,I512,I566,I620,I674)</f>
        <v>1351</v>
      </c>
      <c r="J26" s="188">
        <f t="shared" si="68"/>
        <v>2057</v>
      </c>
      <c r="K26" s="188">
        <f t="shared" si="68"/>
        <v>426</v>
      </c>
      <c r="L26" s="188">
        <f t="shared" si="68"/>
        <v>0</v>
      </c>
      <c r="M26" s="189">
        <f t="shared" si="68"/>
        <v>819</v>
      </c>
      <c r="N26" s="186">
        <f t="shared" ref="N26:N27" si="69">SUM(O26:S26)</f>
        <v>10212</v>
      </c>
      <c r="O26" s="187">
        <f t="shared" ref="O26:S27" si="70">SUM(O80,O134,O188,O242,O296,O350,O404,O458,O512,O566,O620,O674)</f>
        <v>5431</v>
      </c>
      <c r="P26" s="188">
        <f t="shared" si="70"/>
        <v>3580</v>
      </c>
      <c r="Q26" s="188">
        <f t="shared" si="70"/>
        <v>1142</v>
      </c>
      <c r="R26" s="188">
        <f t="shared" si="70"/>
        <v>4</v>
      </c>
      <c r="S26" s="189">
        <f t="shared" si="70"/>
        <v>55</v>
      </c>
      <c r="T26" s="186">
        <f t="shared" ref="T26:T27" si="71">SUM(U26:Y26)</f>
        <v>40440</v>
      </c>
      <c r="U26" s="187">
        <f t="shared" ref="U26:Y27" si="72">SUM(U80,U134,U188,U242,U296,U350,U404,U458,U512,U566,U620,U674)</f>
        <v>3454</v>
      </c>
      <c r="V26" s="188">
        <f t="shared" si="72"/>
        <v>16031</v>
      </c>
      <c r="W26" s="188">
        <f t="shared" si="72"/>
        <v>17022</v>
      </c>
      <c r="X26" s="188">
        <f t="shared" si="72"/>
        <v>1776</v>
      </c>
      <c r="Y26" s="190">
        <f t="shared" si="72"/>
        <v>2157</v>
      </c>
      <c r="AA26" s="28"/>
      <c r="AB26" s="160"/>
      <c r="AC26" s="184" t="s">
        <v>40</v>
      </c>
      <c r="AD26" s="185" t="s">
        <v>32</v>
      </c>
      <c r="AE26" s="191">
        <f t="shared" ref="AE26:AE27" si="73">SUM(AF26:AQ26)</f>
        <v>62837</v>
      </c>
      <c r="AF26" s="192">
        <f t="shared" ref="AF26:AQ27" si="74">SUM(AF80,AF134,AF458,AF782)</f>
        <v>5665</v>
      </c>
      <c r="AG26" s="193">
        <f t="shared" si="74"/>
        <v>5202</v>
      </c>
      <c r="AH26" s="193">
        <f t="shared" si="74"/>
        <v>4860</v>
      </c>
      <c r="AI26" s="193">
        <f t="shared" si="74"/>
        <v>5254</v>
      </c>
      <c r="AJ26" s="193">
        <f t="shared" si="74"/>
        <v>5350</v>
      </c>
      <c r="AK26" s="193">
        <f t="shared" si="74"/>
        <v>5309</v>
      </c>
      <c r="AL26" s="193">
        <f t="shared" si="74"/>
        <v>5661</v>
      </c>
      <c r="AM26" s="193">
        <f t="shared" si="74"/>
        <v>4847</v>
      </c>
      <c r="AN26" s="193">
        <f t="shared" si="74"/>
        <v>4895</v>
      </c>
      <c r="AO26" s="193">
        <f t="shared" si="74"/>
        <v>5297</v>
      </c>
      <c r="AP26" s="193">
        <f t="shared" si="74"/>
        <v>4804</v>
      </c>
      <c r="AQ26" s="194">
        <f t="shared" si="74"/>
        <v>5693</v>
      </c>
    </row>
    <row r="27" spans="2:43" s="41" customFormat="1" ht="7.8" customHeight="1" x14ac:dyDescent="0.25">
      <c r="B27" s="28"/>
      <c r="C27" s="160"/>
      <c r="D27" s="161"/>
      <c r="E27" s="162" t="s">
        <v>33</v>
      </c>
      <c r="F27" s="163">
        <f t="shared" si="65"/>
        <v>10084977.98</v>
      </c>
      <c r="G27" s="164">
        <f t="shared" si="66"/>
        <v>1174525</v>
      </c>
      <c r="H27" s="163">
        <f t="shared" si="67"/>
        <v>792250.31</v>
      </c>
      <c r="I27" s="165">
        <f t="shared" si="68"/>
        <v>225839</v>
      </c>
      <c r="J27" s="166">
        <f t="shared" si="68"/>
        <v>347708.31</v>
      </c>
      <c r="K27" s="166">
        <f t="shared" si="68"/>
        <v>75360</v>
      </c>
      <c r="L27" s="166">
        <f t="shared" si="68"/>
        <v>0</v>
      </c>
      <c r="M27" s="167">
        <f t="shared" si="68"/>
        <v>143343</v>
      </c>
      <c r="N27" s="163">
        <f t="shared" si="69"/>
        <v>1651320.1400000001</v>
      </c>
      <c r="O27" s="165">
        <f t="shared" si="70"/>
        <v>900540.14</v>
      </c>
      <c r="P27" s="166">
        <f t="shared" si="70"/>
        <v>555467</v>
      </c>
      <c r="Q27" s="166">
        <f t="shared" si="70"/>
        <v>186268</v>
      </c>
      <c r="R27" s="166">
        <f t="shared" si="70"/>
        <v>670</v>
      </c>
      <c r="S27" s="167">
        <f t="shared" si="70"/>
        <v>8375</v>
      </c>
      <c r="T27" s="163">
        <f t="shared" si="71"/>
        <v>6466882.5300000003</v>
      </c>
      <c r="U27" s="165">
        <f t="shared" si="72"/>
        <v>704270.39999999991</v>
      </c>
      <c r="V27" s="166">
        <f t="shared" si="72"/>
        <v>2424763.02</v>
      </c>
      <c r="W27" s="166">
        <f t="shared" si="72"/>
        <v>2699987.2399999998</v>
      </c>
      <c r="X27" s="166">
        <f t="shared" si="72"/>
        <v>296669</v>
      </c>
      <c r="Y27" s="168">
        <f t="shared" si="72"/>
        <v>341192.87</v>
      </c>
      <c r="AA27" s="28"/>
      <c r="AB27" s="160"/>
      <c r="AC27" s="161"/>
      <c r="AD27" s="162" t="s">
        <v>33</v>
      </c>
      <c r="AE27" s="169">
        <f t="shared" si="73"/>
        <v>10084977.979999999</v>
      </c>
      <c r="AF27" s="170">
        <f t="shared" si="74"/>
        <v>925652</v>
      </c>
      <c r="AG27" s="171">
        <f t="shared" si="74"/>
        <v>854466.16000000015</v>
      </c>
      <c r="AH27" s="171">
        <f t="shared" si="74"/>
        <v>753443.23</v>
      </c>
      <c r="AI27" s="171">
        <f t="shared" si="74"/>
        <v>768953.85</v>
      </c>
      <c r="AJ27" s="171">
        <f t="shared" si="74"/>
        <v>809358.16</v>
      </c>
      <c r="AK27" s="171">
        <f t="shared" si="74"/>
        <v>871410.44</v>
      </c>
      <c r="AL27" s="171">
        <f t="shared" si="74"/>
        <v>1016699.15</v>
      </c>
      <c r="AM27" s="171">
        <f t="shared" si="74"/>
        <v>832753.23</v>
      </c>
      <c r="AN27" s="171">
        <f t="shared" si="74"/>
        <v>786320.02</v>
      </c>
      <c r="AO27" s="171">
        <f t="shared" si="74"/>
        <v>812740.12</v>
      </c>
      <c r="AP27" s="171">
        <f t="shared" si="74"/>
        <v>703865.95</v>
      </c>
      <c r="AQ27" s="172">
        <f t="shared" si="74"/>
        <v>949315.66999999993</v>
      </c>
    </row>
    <row r="28" spans="2:43" ht="7.8" customHeight="1" x14ac:dyDescent="0.25">
      <c r="B28" s="28"/>
      <c r="C28" s="160"/>
      <c r="D28" s="173"/>
      <c r="E28" s="174" t="s">
        <v>30</v>
      </c>
      <c r="F28" s="175">
        <f t="shared" ref="F28:Y28" si="75">IFERROR(F27/F26,0)</f>
        <v>160.49426261597466</v>
      </c>
      <c r="G28" s="175">
        <f t="shared" si="75"/>
        <v>155.93799787573022</v>
      </c>
      <c r="H28" s="175">
        <f t="shared" si="75"/>
        <v>170.26656135826349</v>
      </c>
      <c r="I28" s="176">
        <f t="shared" si="75"/>
        <v>167.16432272390821</v>
      </c>
      <c r="J28" s="177">
        <f t="shared" si="75"/>
        <v>169.03661157024794</v>
      </c>
      <c r="K28" s="177">
        <f t="shared" si="75"/>
        <v>176.90140845070422</v>
      </c>
      <c r="L28" s="177">
        <f t="shared" si="75"/>
        <v>0</v>
      </c>
      <c r="M28" s="178">
        <f t="shared" si="75"/>
        <v>175.02197802197801</v>
      </c>
      <c r="N28" s="175">
        <f t="shared" si="75"/>
        <v>161.70389150019585</v>
      </c>
      <c r="O28" s="176">
        <f t="shared" si="75"/>
        <v>165.81479285582765</v>
      </c>
      <c r="P28" s="177">
        <f t="shared" si="75"/>
        <v>155.15837988826814</v>
      </c>
      <c r="Q28" s="177">
        <f t="shared" si="75"/>
        <v>163.10683012259193</v>
      </c>
      <c r="R28" s="177">
        <f t="shared" si="75"/>
        <v>167.5</v>
      </c>
      <c r="S28" s="178">
        <f t="shared" si="75"/>
        <v>152.27272727272728</v>
      </c>
      <c r="T28" s="175">
        <f t="shared" si="75"/>
        <v>159.91302002967359</v>
      </c>
      <c r="U28" s="176">
        <f t="shared" si="75"/>
        <v>203.89994209612041</v>
      </c>
      <c r="V28" s="177">
        <f t="shared" si="75"/>
        <v>151.25463289875864</v>
      </c>
      <c r="W28" s="177">
        <f t="shared" si="75"/>
        <v>158.61750910586298</v>
      </c>
      <c r="X28" s="177">
        <f t="shared" si="75"/>
        <v>167.04335585585585</v>
      </c>
      <c r="Y28" s="179">
        <f t="shared" si="75"/>
        <v>158.17935558646269</v>
      </c>
      <c r="AA28" s="28"/>
      <c r="AB28" s="160"/>
      <c r="AC28" s="173"/>
      <c r="AD28" s="174" t="s">
        <v>30</v>
      </c>
      <c r="AE28" s="180">
        <f t="shared" ref="AE28:AQ28" si="76">IFERROR(AE27/AE26,0)</f>
        <v>160.49426261597463</v>
      </c>
      <c r="AF28" s="181">
        <f t="shared" si="76"/>
        <v>163.39841129744042</v>
      </c>
      <c r="AG28" s="182">
        <f t="shared" si="76"/>
        <v>164.25723952326032</v>
      </c>
      <c r="AH28" s="182">
        <f t="shared" si="76"/>
        <v>155.02947119341565</v>
      </c>
      <c r="AI28" s="182">
        <f t="shared" si="76"/>
        <v>146.35589074990483</v>
      </c>
      <c r="AJ28" s="182">
        <f t="shared" si="76"/>
        <v>151.28189906542056</v>
      </c>
      <c r="AK28" s="182">
        <f t="shared" si="76"/>
        <v>164.13833867018269</v>
      </c>
      <c r="AL28" s="182">
        <f t="shared" si="76"/>
        <v>179.59709415297652</v>
      </c>
      <c r="AM28" s="182">
        <f t="shared" si="76"/>
        <v>171.80796987827523</v>
      </c>
      <c r="AN28" s="182">
        <f t="shared" si="76"/>
        <v>160.63738917262512</v>
      </c>
      <c r="AO28" s="182">
        <f t="shared" si="76"/>
        <v>153.43404191051539</v>
      </c>
      <c r="AP28" s="182">
        <f t="shared" si="76"/>
        <v>146.51664238134887</v>
      </c>
      <c r="AQ28" s="183">
        <f t="shared" si="76"/>
        <v>166.7513911821535</v>
      </c>
    </row>
    <row r="29" spans="2:43" ht="7.8" customHeight="1" x14ac:dyDescent="0.25">
      <c r="B29" s="28"/>
      <c r="C29" s="160"/>
      <c r="D29" s="184" t="s">
        <v>41</v>
      </c>
      <c r="E29" s="185" t="s">
        <v>32</v>
      </c>
      <c r="F29" s="186">
        <f t="shared" ref="F29:F30" si="77">SUM(G29,H29,N29,T29)</f>
        <v>49728</v>
      </c>
      <c r="G29" s="186">
        <f t="shared" ref="G29:G30" si="78">SUM(G83,G137,G191,G245,G299,G353,G407,G461,G515,G569,G623,G677)</f>
        <v>5719</v>
      </c>
      <c r="H29" s="186">
        <f t="shared" ref="H29:H30" si="79">SUM(I29:M29)</f>
        <v>2795</v>
      </c>
      <c r="I29" s="187">
        <f t="shared" ref="I29:M30" si="80">SUM(I83,I137,I191,I245,I299,I353,I407,I461,I515,I569,I623,I677)</f>
        <v>1347</v>
      </c>
      <c r="J29" s="188">
        <f t="shared" si="80"/>
        <v>464</v>
      </c>
      <c r="K29" s="188">
        <f t="shared" si="80"/>
        <v>231</v>
      </c>
      <c r="L29" s="188">
        <f t="shared" si="80"/>
        <v>245</v>
      </c>
      <c r="M29" s="189">
        <f t="shared" si="80"/>
        <v>508</v>
      </c>
      <c r="N29" s="186">
        <f t="shared" ref="N29:N30" si="81">SUM(O29:S29)</f>
        <v>6108</v>
      </c>
      <c r="O29" s="187">
        <f t="shared" ref="O29:S30" si="82">SUM(O83,O137,O191,O245,O299,O353,O407,O461,O515,O569,O623,O677)</f>
        <v>4275</v>
      </c>
      <c r="P29" s="188">
        <f t="shared" si="82"/>
        <v>1038</v>
      </c>
      <c r="Q29" s="188">
        <f t="shared" si="82"/>
        <v>735</v>
      </c>
      <c r="R29" s="188">
        <f t="shared" si="82"/>
        <v>0</v>
      </c>
      <c r="S29" s="189">
        <f t="shared" si="82"/>
        <v>60</v>
      </c>
      <c r="T29" s="186">
        <f t="shared" ref="T29:T30" si="83">SUM(U29:Y29)</f>
        <v>35106</v>
      </c>
      <c r="U29" s="187">
        <f t="shared" ref="U29:Y30" si="84">SUM(U83,U137,U191,U245,U299,U353,U407,U461,U515,U569,U623,U677)</f>
        <v>7904</v>
      </c>
      <c r="V29" s="188">
        <f t="shared" si="84"/>
        <v>15455</v>
      </c>
      <c r="W29" s="188">
        <f t="shared" si="84"/>
        <v>10013</v>
      </c>
      <c r="X29" s="188">
        <f t="shared" si="84"/>
        <v>1162</v>
      </c>
      <c r="Y29" s="190">
        <f t="shared" si="84"/>
        <v>572</v>
      </c>
      <c r="AA29" s="28"/>
      <c r="AB29" s="160"/>
      <c r="AC29" s="184" t="s">
        <v>41</v>
      </c>
      <c r="AD29" s="185" t="s">
        <v>32</v>
      </c>
      <c r="AE29" s="191">
        <f t="shared" ref="AE29:AE30" si="85">SUM(AF29:AQ29)</f>
        <v>49728</v>
      </c>
      <c r="AF29" s="192">
        <f t="shared" ref="AF29:AQ30" si="86">SUM(AF83,AF137,AF461,AF785)</f>
        <v>5360</v>
      </c>
      <c r="AG29" s="193">
        <f t="shared" si="86"/>
        <v>4840</v>
      </c>
      <c r="AH29" s="193">
        <f t="shared" si="86"/>
        <v>5238</v>
      </c>
      <c r="AI29" s="193">
        <f t="shared" si="86"/>
        <v>5365</v>
      </c>
      <c r="AJ29" s="193">
        <f t="shared" si="86"/>
        <v>5176</v>
      </c>
      <c r="AK29" s="193">
        <f t="shared" si="86"/>
        <v>5447</v>
      </c>
      <c r="AL29" s="193">
        <f t="shared" si="86"/>
        <v>5699</v>
      </c>
      <c r="AM29" s="193">
        <f t="shared" si="86"/>
        <v>5241</v>
      </c>
      <c r="AN29" s="193">
        <f t="shared" si="86"/>
        <v>7362</v>
      </c>
      <c r="AO29" s="193">
        <f t="shared" si="86"/>
        <v>0</v>
      </c>
      <c r="AP29" s="193">
        <f t="shared" si="86"/>
        <v>0</v>
      </c>
      <c r="AQ29" s="194">
        <f t="shared" si="86"/>
        <v>0</v>
      </c>
    </row>
    <row r="30" spans="2:43" s="41" customFormat="1" ht="7.8" customHeight="1" x14ac:dyDescent="0.25">
      <c r="B30" s="28"/>
      <c r="C30" s="160"/>
      <c r="D30" s="161"/>
      <c r="E30" s="162" t="s">
        <v>33</v>
      </c>
      <c r="F30" s="163">
        <f t="shared" si="77"/>
        <v>7752469.4600000009</v>
      </c>
      <c r="G30" s="164">
        <f t="shared" si="78"/>
        <v>891581</v>
      </c>
      <c r="H30" s="163">
        <f t="shared" si="79"/>
        <v>449245</v>
      </c>
      <c r="I30" s="165">
        <f t="shared" si="80"/>
        <v>199396</v>
      </c>
      <c r="J30" s="166">
        <f t="shared" si="80"/>
        <v>85777</v>
      </c>
      <c r="K30" s="166">
        <f t="shared" si="80"/>
        <v>34837</v>
      </c>
      <c r="L30" s="166">
        <f t="shared" si="80"/>
        <v>39844</v>
      </c>
      <c r="M30" s="167">
        <f t="shared" si="80"/>
        <v>89391</v>
      </c>
      <c r="N30" s="163">
        <f t="shared" si="81"/>
        <v>1014607.68</v>
      </c>
      <c r="O30" s="165">
        <f t="shared" si="82"/>
        <v>713035</v>
      </c>
      <c r="P30" s="166">
        <f t="shared" si="82"/>
        <v>173310</v>
      </c>
      <c r="Q30" s="166">
        <f t="shared" si="82"/>
        <v>118499</v>
      </c>
      <c r="R30" s="166">
        <f t="shared" si="82"/>
        <v>0</v>
      </c>
      <c r="S30" s="167">
        <f t="shared" si="82"/>
        <v>9763.68</v>
      </c>
      <c r="T30" s="163">
        <f t="shared" si="83"/>
        <v>5397035.7800000003</v>
      </c>
      <c r="U30" s="165">
        <f t="shared" si="84"/>
        <v>1276966.31</v>
      </c>
      <c r="V30" s="166">
        <f t="shared" si="84"/>
        <v>2329220.2499999995</v>
      </c>
      <c r="W30" s="166">
        <f t="shared" si="84"/>
        <v>1503338.32</v>
      </c>
      <c r="X30" s="166">
        <f t="shared" si="84"/>
        <v>200137</v>
      </c>
      <c r="Y30" s="168">
        <f t="shared" si="84"/>
        <v>87373.900000000009</v>
      </c>
      <c r="AA30" s="28"/>
      <c r="AB30" s="160"/>
      <c r="AC30" s="161"/>
      <c r="AD30" s="162" t="s">
        <v>33</v>
      </c>
      <c r="AE30" s="169">
        <f t="shared" si="85"/>
        <v>7752469.46</v>
      </c>
      <c r="AF30" s="170">
        <f t="shared" si="86"/>
        <v>831864.03999999992</v>
      </c>
      <c r="AG30" s="171">
        <f t="shared" si="86"/>
        <v>774944.75</v>
      </c>
      <c r="AH30" s="171">
        <f t="shared" si="86"/>
        <v>831780.59</v>
      </c>
      <c r="AI30" s="171">
        <f t="shared" si="86"/>
        <v>815445.07000000007</v>
      </c>
      <c r="AJ30" s="171">
        <f t="shared" si="86"/>
        <v>773157.1399999999</v>
      </c>
      <c r="AK30" s="171">
        <f t="shared" si="86"/>
        <v>866305.61999999988</v>
      </c>
      <c r="AL30" s="171">
        <f t="shared" si="86"/>
        <v>962904.24</v>
      </c>
      <c r="AM30" s="171">
        <f t="shared" si="86"/>
        <v>843961.47</v>
      </c>
      <c r="AN30" s="171">
        <f t="shared" si="86"/>
        <v>1052106.54</v>
      </c>
      <c r="AO30" s="171">
        <f t="shared" si="86"/>
        <v>0</v>
      </c>
      <c r="AP30" s="171">
        <f t="shared" si="86"/>
        <v>0</v>
      </c>
      <c r="AQ30" s="172">
        <f t="shared" si="86"/>
        <v>0</v>
      </c>
    </row>
    <row r="31" spans="2:43" ht="7.8" customHeight="1" x14ac:dyDescent="0.25">
      <c r="B31" s="28"/>
      <c r="C31" s="160"/>
      <c r="D31" s="173"/>
      <c r="E31" s="174" t="s">
        <v>30</v>
      </c>
      <c r="F31" s="175">
        <f t="shared" ref="F31:Y31" si="87">IFERROR(F30/F29,0)</f>
        <v>155.89747144465898</v>
      </c>
      <c r="G31" s="175">
        <f t="shared" si="87"/>
        <v>155.89805910124147</v>
      </c>
      <c r="H31" s="175">
        <f t="shared" si="87"/>
        <v>160.73166368515206</v>
      </c>
      <c r="I31" s="176">
        <f t="shared" si="87"/>
        <v>148.02969561989607</v>
      </c>
      <c r="J31" s="177">
        <f t="shared" si="87"/>
        <v>184.86422413793105</v>
      </c>
      <c r="K31" s="177">
        <f t="shared" si="87"/>
        <v>150.8095238095238</v>
      </c>
      <c r="L31" s="177">
        <f t="shared" si="87"/>
        <v>162.62857142857143</v>
      </c>
      <c r="M31" s="178">
        <f t="shared" si="87"/>
        <v>175.96653543307087</v>
      </c>
      <c r="N31" s="175">
        <f t="shared" si="87"/>
        <v>166.11127701375247</v>
      </c>
      <c r="O31" s="176">
        <f t="shared" si="87"/>
        <v>166.79181286549706</v>
      </c>
      <c r="P31" s="177">
        <f t="shared" si="87"/>
        <v>166.96531791907515</v>
      </c>
      <c r="Q31" s="177">
        <f t="shared" si="87"/>
        <v>161.22312925170067</v>
      </c>
      <c r="R31" s="177">
        <f t="shared" si="87"/>
        <v>0</v>
      </c>
      <c r="S31" s="178">
        <f t="shared" si="87"/>
        <v>162.72800000000001</v>
      </c>
      <c r="T31" s="175">
        <f t="shared" si="87"/>
        <v>153.73542357431779</v>
      </c>
      <c r="U31" s="176">
        <f t="shared" si="87"/>
        <v>161.55950278340083</v>
      </c>
      <c r="V31" s="177">
        <f t="shared" si="87"/>
        <v>150.70981882885795</v>
      </c>
      <c r="W31" s="177">
        <f t="shared" si="87"/>
        <v>150.13865175272147</v>
      </c>
      <c r="X31" s="177">
        <f t="shared" si="87"/>
        <v>172.23493975903614</v>
      </c>
      <c r="Y31" s="179">
        <f t="shared" si="87"/>
        <v>152.75157342657343</v>
      </c>
      <c r="AA31" s="28"/>
      <c r="AB31" s="160"/>
      <c r="AC31" s="173"/>
      <c r="AD31" s="174" t="s">
        <v>30</v>
      </c>
      <c r="AE31" s="180">
        <f t="shared" ref="AE31:AQ31" si="88">IFERROR(AE30/AE29,0)</f>
        <v>155.89747144465895</v>
      </c>
      <c r="AF31" s="181">
        <f t="shared" si="88"/>
        <v>155.19851492537313</v>
      </c>
      <c r="AG31" s="182">
        <f t="shared" si="88"/>
        <v>160.11255165289256</v>
      </c>
      <c r="AH31" s="182">
        <f t="shared" si="88"/>
        <v>158.79736349751812</v>
      </c>
      <c r="AI31" s="182">
        <f t="shared" si="88"/>
        <v>151.99348928238584</v>
      </c>
      <c r="AJ31" s="182">
        <f t="shared" si="88"/>
        <v>149.37348145285932</v>
      </c>
      <c r="AK31" s="182">
        <f t="shared" si="88"/>
        <v>159.04270607673948</v>
      </c>
      <c r="AL31" s="182">
        <f t="shared" si="88"/>
        <v>168.96021056325671</v>
      </c>
      <c r="AM31" s="182">
        <f t="shared" si="88"/>
        <v>161.03061820263309</v>
      </c>
      <c r="AN31" s="182">
        <f t="shared" si="88"/>
        <v>142.91042379788101</v>
      </c>
      <c r="AO31" s="182">
        <f t="shared" si="88"/>
        <v>0</v>
      </c>
      <c r="AP31" s="182">
        <f t="shared" si="88"/>
        <v>0</v>
      </c>
      <c r="AQ31" s="183">
        <f t="shared" si="88"/>
        <v>0</v>
      </c>
    </row>
    <row r="32" spans="2:43" ht="7.8" customHeight="1" x14ac:dyDescent="0.25">
      <c r="B32" s="28"/>
      <c r="C32" s="160"/>
      <c r="D32" s="195" t="s">
        <v>42</v>
      </c>
      <c r="E32" s="196" t="s">
        <v>32</v>
      </c>
      <c r="F32" s="197">
        <f t="shared" ref="F32:F33" si="89">SUM(G32,H32,N32,T32)</f>
        <v>62918</v>
      </c>
      <c r="G32" s="197">
        <f t="shared" ref="G32:G33" si="90">SUM(G86,G140,G194,G248,G302,G356,G410,G464,G518,G572,G626,G680)</f>
        <v>0</v>
      </c>
      <c r="H32" s="197">
        <f t="shared" ref="H32:H33" si="91">SUM(I32:M32)</f>
        <v>4610</v>
      </c>
      <c r="I32" s="198">
        <f t="shared" ref="I32:M33" si="92">SUM(I86,I140,I194,I248,I302,I356,I410,I464,I518,I572,I626,I680)</f>
        <v>1585</v>
      </c>
      <c r="J32" s="199">
        <f t="shared" si="92"/>
        <v>1835</v>
      </c>
      <c r="K32" s="199">
        <f t="shared" si="92"/>
        <v>450</v>
      </c>
      <c r="L32" s="199">
        <f t="shared" si="92"/>
        <v>570</v>
      </c>
      <c r="M32" s="200">
        <f t="shared" si="92"/>
        <v>170</v>
      </c>
      <c r="N32" s="197">
        <f t="shared" ref="N32:N33" si="93">SUM(O32:S32)</f>
        <v>9945</v>
      </c>
      <c r="O32" s="198">
        <f t="shared" ref="O32:S33" si="94">SUM(O86,O140,O194,O248,O302,O356,O410,O464,O518,O572,O626,O680)</f>
        <v>5320</v>
      </c>
      <c r="P32" s="199">
        <f t="shared" si="94"/>
        <v>3920</v>
      </c>
      <c r="Q32" s="199">
        <f t="shared" si="94"/>
        <v>705</v>
      </c>
      <c r="R32" s="199">
        <f t="shared" si="94"/>
        <v>0</v>
      </c>
      <c r="S32" s="200">
        <f t="shared" si="94"/>
        <v>0</v>
      </c>
      <c r="T32" s="197">
        <f t="shared" ref="T32:T33" si="95">SUM(U32:Y32)</f>
        <v>48363</v>
      </c>
      <c r="U32" s="198">
        <f t="shared" ref="U32:Y33" si="96">SUM(U86,U140,U194,U248,U302,U356,U410,U464,U518,U572,U626,U680)</f>
        <v>4559</v>
      </c>
      <c r="V32" s="199">
        <f t="shared" si="96"/>
        <v>24213</v>
      </c>
      <c r="W32" s="199">
        <f t="shared" si="96"/>
        <v>15432</v>
      </c>
      <c r="X32" s="199">
        <f t="shared" si="96"/>
        <v>794</v>
      </c>
      <c r="Y32" s="201">
        <f t="shared" si="96"/>
        <v>3365</v>
      </c>
      <c r="AA32" s="28"/>
      <c r="AB32" s="160"/>
      <c r="AC32" s="195" t="s">
        <v>42</v>
      </c>
      <c r="AD32" s="196" t="s">
        <v>32</v>
      </c>
      <c r="AE32" s="202">
        <f t="shared" ref="AE32:AE33" si="97">SUM(AF32:AQ32)</f>
        <v>62918</v>
      </c>
      <c r="AF32" s="203">
        <f t="shared" ref="AF32:AQ33" si="98">SUM(AF86,AF140,AF464,AF788)</f>
        <v>4862</v>
      </c>
      <c r="AG32" s="204">
        <f t="shared" si="98"/>
        <v>4726</v>
      </c>
      <c r="AH32" s="204">
        <f t="shared" si="98"/>
        <v>5219</v>
      </c>
      <c r="AI32" s="204">
        <f t="shared" si="98"/>
        <v>5221</v>
      </c>
      <c r="AJ32" s="204">
        <f t="shared" si="98"/>
        <v>5095</v>
      </c>
      <c r="AK32" s="204">
        <f t="shared" si="98"/>
        <v>5416</v>
      </c>
      <c r="AL32" s="204">
        <f t="shared" si="98"/>
        <v>5123</v>
      </c>
      <c r="AM32" s="204">
        <f t="shared" si="98"/>
        <v>4875</v>
      </c>
      <c r="AN32" s="204">
        <f t="shared" si="98"/>
        <v>5520</v>
      </c>
      <c r="AO32" s="204">
        <f t="shared" si="98"/>
        <v>5637</v>
      </c>
      <c r="AP32" s="204">
        <f t="shared" si="98"/>
        <v>5556</v>
      </c>
      <c r="AQ32" s="205">
        <f t="shared" si="98"/>
        <v>5668</v>
      </c>
    </row>
    <row r="33" spans="2:43" s="41" customFormat="1" ht="7.8" customHeight="1" x14ac:dyDescent="0.25">
      <c r="B33" s="28"/>
      <c r="C33" s="160"/>
      <c r="D33" s="206"/>
      <c r="E33" s="207" t="s">
        <v>33</v>
      </c>
      <c r="F33" s="208">
        <f t="shared" si="89"/>
        <v>10568546</v>
      </c>
      <c r="G33" s="209">
        <f t="shared" si="90"/>
        <v>0</v>
      </c>
      <c r="H33" s="208">
        <f t="shared" si="91"/>
        <v>705705</v>
      </c>
      <c r="I33" s="210">
        <f t="shared" si="92"/>
        <v>240610</v>
      </c>
      <c r="J33" s="211">
        <f t="shared" si="92"/>
        <v>280345</v>
      </c>
      <c r="K33" s="211">
        <f t="shared" si="92"/>
        <v>67800</v>
      </c>
      <c r="L33" s="211">
        <f t="shared" si="92"/>
        <v>91200</v>
      </c>
      <c r="M33" s="212">
        <f t="shared" si="92"/>
        <v>25750</v>
      </c>
      <c r="N33" s="208">
        <f t="shared" si="93"/>
        <v>1566250</v>
      </c>
      <c r="O33" s="210">
        <f t="shared" si="94"/>
        <v>860790</v>
      </c>
      <c r="P33" s="211">
        <f t="shared" si="94"/>
        <v>591810</v>
      </c>
      <c r="Q33" s="211">
        <f t="shared" si="94"/>
        <v>113650</v>
      </c>
      <c r="R33" s="211">
        <f t="shared" si="94"/>
        <v>0</v>
      </c>
      <c r="S33" s="212">
        <f t="shared" si="94"/>
        <v>0</v>
      </c>
      <c r="T33" s="208">
        <f t="shared" si="95"/>
        <v>8296591</v>
      </c>
      <c r="U33" s="210">
        <f t="shared" si="96"/>
        <v>844975</v>
      </c>
      <c r="V33" s="211">
        <f t="shared" si="96"/>
        <v>4171804</v>
      </c>
      <c r="W33" s="211">
        <f t="shared" si="96"/>
        <v>2520266</v>
      </c>
      <c r="X33" s="211">
        <f t="shared" si="96"/>
        <v>146890</v>
      </c>
      <c r="Y33" s="213">
        <f t="shared" si="96"/>
        <v>612656</v>
      </c>
      <c r="AA33" s="28"/>
      <c r="AB33" s="160"/>
      <c r="AC33" s="206"/>
      <c r="AD33" s="207" t="s">
        <v>33</v>
      </c>
      <c r="AE33" s="214">
        <f t="shared" si="97"/>
        <v>10568546</v>
      </c>
      <c r="AF33" s="215">
        <f t="shared" si="98"/>
        <v>750480</v>
      </c>
      <c r="AG33" s="216">
        <f t="shared" si="98"/>
        <v>774480</v>
      </c>
      <c r="AH33" s="216">
        <f t="shared" si="98"/>
        <v>859246</v>
      </c>
      <c r="AI33" s="216">
        <f t="shared" si="98"/>
        <v>794042</v>
      </c>
      <c r="AJ33" s="216">
        <f t="shared" si="98"/>
        <v>833559</v>
      </c>
      <c r="AK33" s="216">
        <f t="shared" si="98"/>
        <v>921824</v>
      </c>
      <c r="AL33" s="216">
        <f t="shared" si="98"/>
        <v>948654</v>
      </c>
      <c r="AM33" s="216">
        <f t="shared" si="98"/>
        <v>858706</v>
      </c>
      <c r="AN33" s="216">
        <f t="shared" si="98"/>
        <v>919469</v>
      </c>
      <c r="AO33" s="216">
        <f t="shared" si="98"/>
        <v>902776</v>
      </c>
      <c r="AP33" s="216">
        <f t="shared" si="98"/>
        <v>922200</v>
      </c>
      <c r="AQ33" s="217">
        <f t="shared" si="98"/>
        <v>1083110</v>
      </c>
    </row>
    <row r="34" spans="2:43" ht="7.8" customHeight="1" x14ac:dyDescent="0.25">
      <c r="B34" s="28"/>
      <c r="C34" s="160"/>
      <c r="D34" s="218"/>
      <c r="E34" s="219" t="s">
        <v>30</v>
      </c>
      <c r="F34" s="220">
        <f t="shared" ref="F34:Y34" si="99">IFERROR(F33/F32,0)</f>
        <v>167.97333036650878</v>
      </c>
      <c r="G34" s="220">
        <f t="shared" si="99"/>
        <v>0</v>
      </c>
      <c r="H34" s="220">
        <f t="shared" si="99"/>
        <v>153.08134490238612</v>
      </c>
      <c r="I34" s="221">
        <f t="shared" si="99"/>
        <v>151.8044164037855</v>
      </c>
      <c r="J34" s="222">
        <f t="shared" si="99"/>
        <v>152.77656675749319</v>
      </c>
      <c r="K34" s="222">
        <f t="shared" si="99"/>
        <v>150.66666666666666</v>
      </c>
      <c r="L34" s="222">
        <f t="shared" si="99"/>
        <v>160</v>
      </c>
      <c r="M34" s="223">
        <f t="shared" si="99"/>
        <v>151.47058823529412</v>
      </c>
      <c r="N34" s="220">
        <f t="shared" si="99"/>
        <v>157.49120160884866</v>
      </c>
      <c r="O34" s="221">
        <f t="shared" si="99"/>
        <v>161.80263157894737</v>
      </c>
      <c r="P34" s="222">
        <f t="shared" si="99"/>
        <v>150.97193877551021</v>
      </c>
      <c r="Q34" s="222">
        <f t="shared" si="99"/>
        <v>161.20567375886526</v>
      </c>
      <c r="R34" s="222">
        <f t="shared" si="99"/>
        <v>0</v>
      </c>
      <c r="S34" s="223">
        <f t="shared" si="99"/>
        <v>0</v>
      </c>
      <c r="T34" s="220">
        <f t="shared" si="99"/>
        <v>171.54831172590616</v>
      </c>
      <c r="U34" s="221">
        <f t="shared" si="99"/>
        <v>185.34218030269795</v>
      </c>
      <c r="V34" s="222">
        <f t="shared" si="99"/>
        <v>172.29603931772189</v>
      </c>
      <c r="W34" s="222">
        <f t="shared" si="99"/>
        <v>163.31428201140488</v>
      </c>
      <c r="X34" s="222">
        <f t="shared" si="99"/>
        <v>185</v>
      </c>
      <c r="Y34" s="224">
        <f t="shared" si="99"/>
        <v>182.06716196136702</v>
      </c>
      <c r="AA34" s="28"/>
      <c r="AB34" s="160"/>
      <c r="AC34" s="218"/>
      <c r="AD34" s="219" t="s">
        <v>30</v>
      </c>
      <c r="AE34" s="225">
        <f t="shared" ref="AE34:AQ34" si="100">IFERROR(AE33/AE32,0)</f>
        <v>167.97333036650878</v>
      </c>
      <c r="AF34" s="226">
        <f t="shared" si="100"/>
        <v>154.35623200329081</v>
      </c>
      <c r="AG34" s="227">
        <f t="shared" si="100"/>
        <v>163.87642826914939</v>
      </c>
      <c r="AH34" s="227">
        <f t="shared" si="100"/>
        <v>164.63805326690937</v>
      </c>
      <c r="AI34" s="227">
        <f t="shared" si="100"/>
        <v>152.08619038498372</v>
      </c>
      <c r="AJ34" s="227">
        <f t="shared" si="100"/>
        <v>163.60333660451423</v>
      </c>
      <c r="AK34" s="227">
        <f t="shared" si="100"/>
        <v>170.20384047267356</v>
      </c>
      <c r="AL34" s="227">
        <f t="shared" si="100"/>
        <v>185.17548311536208</v>
      </c>
      <c r="AM34" s="227">
        <f t="shared" si="100"/>
        <v>176.1448205128205</v>
      </c>
      <c r="AN34" s="227">
        <f t="shared" si="100"/>
        <v>166.57047101449277</v>
      </c>
      <c r="AO34" s="227">
        <f t="shared" si="100"/>
        <v>160.15185382295547</v>
      </c>
      <c r="AP34" s="227">
        <f t="shared" si="100"/>
        <v>165.98272138228941</v>
      </c>
      <c r="AQ34" s="228">
        <f t="shared" si="100"/>
        <v>191.09209597741707</v>
      </c>
    </row>
    <row r="35" spans="2:43" ht="7.8" customHeight="1" x14ac:dyDescent="0.25">
      <c r="B35" s="28"/>
      <c r="C35" s="160"/>
      <c r="D35" s="229" t="s">
        <v>43</v>
      </c>
      <c r="E35" s="185" t="s">
        <v>32</v>
      </c>
      <c r="F35" s="186">
        <f t="shared" ref="F35:Y37" si="101">F32-F29</f>
        <v>13190</v>
      </c>
      <c r="G35" s="186">
        <f t="shared" si="101"/>
        <v>-5719</v>
      </c>
      <c r="H35" s="186">
        <f t="shared" si="101"/>
        <v>1815</v>
      </c>
      <c r="I35" s="187">
        <f t="shared" si="101"/>
        <v>238</v>
      </c>
      <c r="J35" s="188">
        <f t="shared" si="101"/>
        <v>1371</v>
      </c>
      <c r="K35" s="188">
        <f t="shared" si="101"/>
        <v>219</v>
      </c>
      <c r="L35" s="188">
        <f t="shared" si="101"/>
        <v>325</v>
      </c>
      <c r="M35" s="189">
        <f t="shared" si="101"/>
        <v>-338</v>
      </c>
      <c r="N35" s="186">
        <f t="shared" si="101"/>
        <v>3837</v>
      </c>
      <c r="O35" s="187">
        <f t="shared" si="101"/>
        <v>1045</v>
      </c>
      <c r="P35" s="188">
        <f t="shared" si="101"/>
        <v>2882</v>
      </c>
      <c r="Q35" s="188">
        <f t="shared" si="101"/>
        <v>-30</v>
      </c>
      <c r="R35" s="188">
        <f t="shared" si="101"/>
        <v>0</v>
      </c>
      <c r="S35" s="189">
        <f t="shared" si="101"/>
        <v>-60</v>
      </c>
      <c r="T35" s="186">
        <f t="shared" si="101"/>
        <v>13257</v>
      </c>
      <c r="U35" s="187">
        <f t="shared" si="101"/>
        <v>-3345</v>
      </c>
      <c r="V35" s="188">
        <f t="shared" si="101"/>
        <v>8758</v>
      </c>
      <c r="W35" s="188">
        <f t="shared" si="101"/>
        <v>5419</v>
      </c>
      <c r="X35" s="188">
        <f t="shared" si="101"/>
        <v>-368</v>
      </c>
      <c r="Y35" s="190">
        <f t="shared" si="101"/>
        <v>2793</v>
      </c>
      <c r="AA35" s="28"/>
      <c r="AB35" s="160"/>
      <c r="AC35" s="229" t="s">
        <v>43</v>
      </c>
      <c r="AD35" s="185" t="s">
        <v>32</v>
      </c>
      <c r="AE35" s="191">
        <f t="shared" ref="AE35:AQ37" si="102">AE32-AE29</f>
        <v>13190</v>
      </c>
      <c r="AF35" s="192">
        <f t="shared" si="102"/>
        <v>-498</v>
      </c>
      <c r="AG35" s="193">
        <f t="shared" si="102"/>
        <v>-114</v>
      </c>
      <c r="AH35" s="193">
        <f t="shared" si="102"/>
        <v>-19</v>
      </c>
      <c r="AI35" s="193">
        <f t="shared" si="102"/>
        <v>-144</v>
      </c>
      <c r="AJ35" s="193">
        <f t="shared" si="102"/>
        <v>-81</v>
      </c>
      <c r="AK35" s="193">
        <f t="shared" si="102"/>
        <v>-31</v>
      </c>
      <c r="AL35" s="193">
        <f t="shared" si="102"/>
        <v>-576</v>
      </c>
      <c r="AM35" s="193">
        <f t="shared" si="102"/>
        <v>-366</v>
      </c>
      <c r="AN35" s="193">
        <f t="shared" si="102"/>
        <v>-1842</v>
      </c>
      <c r="AO35" s="193">
        <f t="shared" si="102"/>
        <v>5637</v>
      </c>
      <c r="AP35" s="193">
        <f t="shared" si="102"/>
        <v>5556</v>
      </c>
      <c r="AQ35" s="194">
        <f t="shared" si="102"/>
        <v>5668</v>
      </c>
    </row>
    <row r="36" spans="2:43" s="112" customFormat="1" ht="7.8" customHeight="1" x14ac:dyDescent="0.25">
      <c r="B36" s="28"/>
      <c r="C36" s="160"/>
      <c r="D36" s="161"/>
      <c r="E36" s="230" t="s">
        <v>33</v>
      </c>
      <c r="F36" s="163">
        <f t="shared" si="101"/>
        <v>2816076.5399999991</v>
      </c>
      <c r="G36" s="163">
        <f t="shared" si="101"/>
        <v>-891581</v>
      </c>
      <c r="H36" s="163">
        <f t="shared" si="101"/>
        <v>256460</v>
      </c>
      <c r="I36" s="231">
        <f t="shared" si="101"/>
        <v>41214</v>
      </c>
      <c r="J36" s="232">
        <f t="shared" si="101"/>
        <v>194568</v>
      </c>
      <c r="K36" s="232">
        <f t="shared" si="101"/>
        <v>32963</v>
      </c>
      <c r="L36" s="232">
        <f t="shared" si="101"/>
        <v>51356</v>
      </c>
      <c r="M36" s="233">
        <f t="shared" si="101"/>
        <v>-63641</v>
      </c>
      <c r="N36" s="163">
        <f t="shared" si="101"/>
        <v>551642.31999999995</v>
      </c>
      <c r="O36" s="231">
        <f t="shared" si="101"/>
        <v>147755</v>
      </c>
      <c r="P36" s="232">
        <f t="shared" si="101"/>
        <v>418500</v>
      </c>
      <c r="Q36" s="232">
        <f t="shared" si="101"/>
        <v>-4849</v>
      </c>
      <c r="R36" s="232">
        <f t="shared" si="101"/>
        <v>0</v>
      </c>
      <c r="S36" s="233">
        <f t="shared" si="101"/>
        <v>-9763.68</v>
      </c>
      <c r="T36" s="163">
        <f t="shared" si="101"/>
        <v>2899555.2199999997</v>
      </c>
      <c r="U36" s="231">
        <f t="shared" si="101"/>
        <v>-431991.31000000006</v>
      </c>
      <c r="V36" s="232">
        <f t="shared" si="101"/>
        <v>1842583.7500000005</v>
      </c>
      <c r="W36" s="232">
        <f t="shared" si="101"/>
        <v>1016927.6799999999</v>
      </c>
      <c r="X36" s="232">
        <f t="shared" si="101"/>
        <v>-53247</v>
      </c>
      <c r="Y36" s="234">
        <f t="shared" si="101"/>
        <v>525282.1</v>
      </c>
      <c r="AA36" s="28"/>
      <c r="AB36" s="160"/>
      <c r="AC36" s="161"/>
      <c r="AD36" s="230" t="s">
        <v>33</v>
      </c>
      <c r="AE36" s="169">
        <f t="shared" si="102"/>
        <v>2816076.54</v>
      </c>
      <c r="AF36" s="235">
        <f t="shared" si="102"/>
        <v>-81384.039999999921</v>
      </c>
      <c r="AG36" s="236">
        <f t="shared" si="102"/>
        <v>-464.75</v>
      </c>
      <c r="AH36" s="236">
        <f t="shared" si="102"/>
        <v>27465.410000000033</v>
      </c>
      <c r="AI36" s="236">
        <f t="shared" si="102"/>
        <v>-21403.070000000065</v>
      </c>
      <c r="AJ36" s="236">
        <f t="shared" si="102"/>
        <v>60401.860000000102</v>
      </c>
      <c r="AK36" s="236">
        <f t="shared" si="102"/>
        <v>55518.380000000121</v>
      </c>
      <c r="AL36" s="236">
        <f t="shared" si="102"/>
        <v>-14250.239999999991</v>
      </c>
      <c r="AM36" s="236">
        <f t="shared" si="102"/>
        <v>14744.530000000028</v>
      </c>
      <c r="AN36" s="236">
        <f t="shared" si="102"/>
        <v>-132637.54000000004</v>
      </c>
      <c r="AO36" s="236">
        <f t="shared" si="102"/>
        <v>902776</v>
      </c>
      <c r="AP36" s="236">
        <f t="shared" si="102"/>
        <v>922200</v>
      </c>
      <c r="AQ36" s="237">
        <f t="shared" si="102"/>
        <v>1083110</v>
      </c>
    </row>
    <row r="37" spans="2:43" ht="7.8" customHeight="1" x14ac:dyDescent="0.25">
      <c r="B37" s="28"/>
      <c r="C37" s="160"/>
      <c r="D37" s="173"/>
      <c r="E37" s="174" t="s">
        <v>30</v>
      </c>
      <c r="F37" s="175">
        <f t="shared" si="101"/>
        <v>12.0758589218498</v>
      </c>
      <c r="G37" s="175">
        <f t="shared" si="101"/>
        <v>-155.89805910124147</v>
      </c>
      <c r="H37" s="175">
        <f t="shared" si="101"/>
        <v>-7.650318782765936</v>
      </c>
      <c r="I37" s="176">
        <f t="shared" si="101"/>
        <v>3.7747207838894212</v>
      </c>
      <c r="J37" s="177">
        <f t="shared" si="101"/>
        <v>-32.087657380437861</v>
      </c>
      <c r="K37" s="177">
        <f t="shared" si="101"/>
        <v>-0.1428571428571388</v>
      </c>
      <c r="L37" s="177">
        <f t="shared" si="101"/>
        <v>-2.6285714285714334</v>
      </c>
      <c r="M37" s="178">
        <f t="shared" si="101"/>
        <v>-24.495947197776758</v>
      </c>
      <c r="N37" s="175">
        <f t="shared" si="101"/>
        <v>-8.6200754049038153</v>
      </c>
      <c r="O37" s="176">
        <f t="shared" si="101"/>
        <v>-4.9891812865496945</v>
      </c>
      <c r="P37" s="177">
        <f t="shared" si="101"/>
        <v>-15.993379143564937</v>
      </c>
      <c r="Q37" s="177">
        <f t="shared" si="101"/>
        <v>-1.7455492835409814E-2</v>
      </c>
      <c r="R37" s="177">
        <f t="shared" si="101"/>
        <v>0</v>
      </c>
      <c r="S37" s="178">
        <f t="shared" si="101"/>
        <v>-162.72800000000001</v>
      </c>
      <c r="T37" s="175">
        <f t="shared" si="101"/>
        <v>17.812888151588368</v>
      </c>
      <c r="U37" s="176">
        <f t="shared" si="101"/>
        <v>23.782677519297124</v>
      </c>
      <c r="V37" s="177">
        <f t="shared" si="101"/>
        <v>21.586220488863944</v>
      </c>
      <c r="W37" s="177">
        <f t="shared" si="101"/>
        <v>13.175630258683412</v>
      </c>
      <c r="X37" s="177">
        <f t="shared" si="101"/>
        <v>12.765060240963862</v>
      </c>
      <c r="Y37" s="179">
        <f t="shared" si="101"/>
        <v>29.315588534793591</v>
      </c>
      <c r="AA37" s="28"/>
      <c r="AB37" s="160"/>
      <c r="AC37" s="173"/>
      <c r="AD37" s="174" t="s">
        <v>30</v>
      </c>
      <c r="AE37" s="180">
        <f t="shared" si="102"/>
        <v>12.075858921849829</v>
      </c>
      <c r="AF37" s="181">
        <f t="shared" si="102"/>
        <v>-0.84228292208231892</v>
      </c>
      <c r="AG37" s="182">
        <f t="shared" si="102"/>
        <v>3.7638766162568231</v>
      </c>
      <c r="AH37" s="182">
        <f t="shared" si="102"/>
        <v>5.840689769391247</v>
      </c>
      <c r="AI37" s="182">
        <f t="shared" si="102"/>
        <v>9.2701102597885665E-2</v>
      </c>
      <c r="AJ37" s="182">
        <f t="shared" si="102"/>
        <v>14.229855151654903</v>
      </c>
      <c r="AK37" s="182">
        <f t="shared" si="102"/>
        <v>11.161134395934084</v>
      </c>
      <c r="AL37" s="182">
        <f t="shared" si="102"/>
        <v>16.215272552105375</v>
      </c>
      <c r="AM37" s="182">
        <f t="shared" si="102"/>
        <v>15.114202310187409</v>
      </c>
      <c r="AN37" s="182">
        <f t="shared" si="102"/>
        <v>23.660047216611758</v>
      </c>
      <c r="AO37" s="182">
        <f t="shared" si="102"/>
        <v>160.15185382295547</v>
      </c>
      <c r="AP37" s="182">
        <f t="shared" si="102"/>
        <v>165.98272138228941</v>
      </c>
      <c r="AQ37" s="183">
        <f t="shared" si="102"/>
        <v>191.09209597741707</v>
      </c>
    </row>
    <row r="38" spans="2:43" ht="7.8" customHeight="1" x14ac:dyDescent="0.25">
      <c r="B38" s="28"/>
      <c r="C38" s="160"/>
      <c r="D38" s="229" t="s">
        <v>44</v>
      </c>
      <c r="E38" s="185" t="s">
        <v>32</v>
      </c>
      <c r="F38" s="238">
        <f t="shared" ref="F38:Y40" si="103">IFERROR((F32-F29)/ABS(F29),"")</f>
        <v>0.2652429214929215</v>
      </c>
      <c r="G38" s="238">
        <f t="shared" si="103"/>
        <v>-1</v>
      </c>
      <c r="H38" s="238">
        <f t="shared" si="103"/>
        <v>0.6493738819320215</v>
      </c>
      <c r="I38" s="239">
        <f t="shared" si="103"/>
        <v>0.17668893838158872</v>
      </c>
      <c r="J38" s="240">
        <f t="shared" si="103"/>
        <v>2.9547413793103448</v>
      </c>
      <c r="K38" s="240">
        <f t="shared" si="103"/>
        <v>0.94805194805194803</v>
      </c>
      <c r="L38" s="240">
        <f t="shared" si="103"/>
        <v>1.3265306122448979</v>
      </c>
      <c r="M38" s="241">
        <f t="shared" si="103"/>
        <v>-0.66535433070866146</v>
      </c>
      <c r="N38" s="238">
        <f t="shared" si="103"/>
        <v>0.62819253438113953</v>
      </c>
      <c r="O38" s="239">
        <f t="shared" si="103"/>
        <v>0.24444444444444444</v>
      </c>
      <c r="P38" s="240">
        <f t="shared" si="103"/>
        <v>2.7764932562620426</v>
      </c>
      <c r="Q38" s="240">
        <f t="shared" si="103"/>
        <v>-4.0816326530612242E-2</v>
      </c>
      <c r="R38" s="240" t="str">
        <f t="shared" si="103"/>
        <v/>
      </c>
      <c r="S38" s="241">
        <f t="shared" si="103"/>
        <v>-1</v>
      </c>
      <c r="T38" s="238">
        <f t="shared" si="103"/>
        <v>0.37762775593915571</v>
      </c>
      <c r="U38" s="239">
        <f t="shared" si="103"/>
        <v>-0.42320344129554655</v>
      </c>
      <c r="V38" s="240">
        <f t="shared" si="103"/>
        <v>0.56667745066321584</v>
      </c>
      <c r="W38" s="240">
        <f t="shared" si="103"/>
        <v>0.54119644462199146</v>
      </c>
      <c r="X38" s="240">
        <f t="shared" si="103"/>
        <v>-0.31669535283993117</v>
      </c>
      <c r="Y38" s="242">
        <f t="shared" si="103"/>
        <v>4.8828671328671325</v>
      </c>
      <c r="AA38" s="28"/>
      <c r="AB38" s="160"/>
      <c r="AC38" s="229" t="s">
        <v>44</v>
      </c>
      <c r="AD38" s="185" t="s">
        <v>32</v>
      </c>
      <c r="AE38" s="243">
        <f t="shared" ref="AE38:AQ40" si="104">IFERROR((AE32-AE29)/ABS(AE29),"")</f>
        <v>0.2652429214929215</v>
      </c>
      <c r="AF38" s="244">
        <f t="shared" si="104"/>
        <v>-9.2910447761194032E-2</v>
      </c>
      <c r="AG38" s="245">
        <f t="shared" si="104"/>
        <v>-2.3553719008264463E-2</v>
      </c>
      <c r="AH38" s="245">
        <f t="shared" si="104"/>
        <v>-3.6273386788850705E-3</v>
      </c>
      <c r="AI38" s="245">
        <f t="shared" si="104"/>
        <v>-2.6840633737185461E-2</v>
      </c>
      <c r="AJ38" s="245">
        <f t="shared" si="104"/>
        <v>-1.5649149922720249E-2</v>
      </c>
      <c r="AK38" s="245">
        <f t="shared" si="104"/>
        <v>-5.6912061685331378E-3</v>
      </c>
      <c r="AL38" s="245">
        <f t="shared" si="104"/>
        <v>-0.10107036322161783</v>
      </c>
      <c r="AM38" s="245">
        <f t="shared" si="104"/>
        <v>-6.9834001144819691E-2</v>
      </c>
      <c r="AN38" s="245">
        <f t="shared" si="104"/>
        <v>-0.25020374898125508</v>
      </c>
      <c r="AO38" s="245" t="str">
        <f t="shared" si="104"/>
        <v/>
      </c>
      <c r="AP38" s="245" t="str">
        <f t="shared" si="104"/>
        <v/>
      </c>
      <c r="AQ38" s="246" t="str">
        <f t="shared" si="104"/>
        <v/>
      </c>
    </row>
    <row r="39" spans="2:43" ht="7.8" customHeight="1" x14ac:dyDescent="0.25">
      <c r="B39" s="28"/>
      <c r="C39" s="160"/>
      <c r="D39" s="161"/>
      <c r="E39" s="247" t="s">
        <v>33</v>
      </c>
      <c r="F39" s="248">
        <f t="shared" si="103"/>
        <v>0.3632489691871677</v>
      </c>
      <c r="G39" s="248">
        <f t="shared" si="103"/>
        <v>-1</v>
      </c>
      <c r="H39" s="248">
        <f t="shared" si="103"/>
        <v>0.57086890226936304</v>
      </c>
      <c r="I39" s="249">
        <f t="shared" si="103"/>
        <v>0.20669421653393247</v>
      </c>
      <c r="J39" s="250">
        <f t="shared" si="103"/>
        <v>2.2683003602364269</v>
      </c>
      <c r="K39" s="250">
        <f t="shared" si="103"/>
        <v>0.94620661939891493</v>
      </c>
      <c r="L39" s="250">
        <f t="shared" si="103"/>
        <v>1.2889268145768498</v>
      </c>
      <c r="M39" s="251">
        <f t="shared" si="103"/>
        <v>-0.71193968072848501</v>
      </c>
      <c r="N39" s="248">
        <f t="shared" si="103"/>
        <v>0.54370012259319767</v>
      </c>
      <c r="O39" s="249">
        <f t="shared" si="103"/>
        <v>0.20721984194324261</v>
      </c>
      <c r="P39" s="250">
        <f t="shared" si="103"/>
        <v>2.4147481391725809</v>
      </c>
      <c r="Q39" s="250">
        <f t="shared" si="103"/>
        <v>-4.0920176541574191E-2</v>
      </c>
      <c r="R39" s="250" t="str">
        <f t="shared" si="103"/>
        <v/>
      </c>
      <c r="S39" s="251">
        <f t="shared" si="103"/>
        <v>-1</v>
      </c>
      <c r="T39" s="248">
        <f t="shared" si="103"/>
        <v>0.53724958258475719</v>
      </c>
      <c r="U39" s="249">
        <f t="shared" si="103"/>
        <v>-0.33829499385931333</v>
      </c>
      <c r="V39" s="250">
        <f t="shared" si="103"/>
        <v>0.79107321430852273</v>
      </c>
      <c r="W39" s="250">
        <f t="shared" si="103"/>
        <v>0.67644632380554226</v>
      </c>
      <c r="X39" s="250">
        <f t="shared" si="103"/>
        <v>-0.26605275386360344</v>
      </c>
      <c r="Y39" s="252">
        <f t="shared" si="103"/>
        <v>6.011887989433915</v>
      </c>
      <c r="AA39" s="28"/>
      <c r="AB39" s="160"/>
      <c r="AC39" s="161"/>
      <c r="AD39" s="247" t="s">
        <v>33</v>
      </c>
      <c r="AE39" s="253">
        <f t="shared" si="104"/>
        <v>0.36324896918716787</v>
      </c>
      <c r="AF39" s="254">
        <f t="shared" si="104"/>
        <v>-9.7833343054473096E-2</v>
      </c>
      <c r="AG39" s="255">
        <f t="shared" si="104"/>
        <v>-5.9972017359947278E-4</v>
      </c>
      <c r="AH39" s="255">
        <f t="shared" si="104"/>
        <v>3.3020017935258668E-2</v>
      </c>
      <c r="AI39" s="255">
        <f t="shared" si="104"/>
        <v>-2.6247102088679086E-2</v>
      </c>
      <c r="AJ39" s="255">
        <f t="shared" si="104"/>
        <v>7.812365284500912E-2</v>
      </c>
      <c r="AK39" s="255">
        <f t="shared" si="104"/>
        <v>6.408636711833883E-2</v>
      </c>
      <c r="AL39" s="255">
        <f t="shared" si="104"/>
        <v>-1.4799228633576264E-2</v>
      </c>
      <c r="AM39" s="255">
        <f t="shared" si="104"/>
        <v>1.7470619837656839E-2</v>
      </c>
      <c r="AN39" s="255">
        <f t="shared" si="104"/>
        <v>-0.12606854435103124</v>
      </c>
      <c r="AO39" s="255" t="str">
        <f t="shared" si="104"/>
        <v/>
      </c>
      <c r="AP39" s="255" t="str">
        <f t="shared" si="104"/>
        <v/>
      </c>
      <c r="AQ39" s="256" t="str">
        <f t="shared" si="104"/>
        <v/>
      </c>
    </row>
    <row r="40" spans="2:43" ht="7.8" customHeight="1" x14ac:dyDescent="0.25">
      <c r="B40" s="28"/>
      <c r="C40" s="257"/>
      <c r="D40" s="161"/>
      <c r="E40" s="247" t="s">
        <v>30</v>
      </c>
      <c r="F40" s="248">
        <f t="shared" si="103"/>
        <v>7.7460261606209113E-2</v>
      </c>
      <c r="G40" s="248">
        <f t="shared" si="103"/>
        <v>-1</v>
      </c>
      <c r="H40" s="248">
        <f t="shared" si="103"/>
        <v>-4.7596836910440386E-2</v>
      </c>
      <c r="I40" s="249">
        <f t="shared" si="103"/>
        <v>2.5499753735777297E-2</v>
      </c>
      <c r="J40" s="250">
        <f t="shared" si="103"/>
        <v>-0.17357418683939946</v>
      </c>
      <c r="K40" s="250">
        <f t="shared" si="103"/>
        <v>-9.4726870855696714E-4</v>
      </c>
      <c r="L40" s="250">
        <f t="shared" si="103"/>
        <v>-1.6163035839775151E-2</v>
      </c>
      <c r="M40" s="251">
        <f t="shared" si="103"/>
        <v>-0.13920798711806101</v>
      </c>
      <c r="N40" s="248">
        <f t="shared" si="103"/>
        <v>-5.1893378702941119E-2</v>
      </c>
      <c r="O40" s="249">
        <f t="shared" si="103"/>
        <v>-2.9912627009894249E-2</v>
      </c>
      <c r="P40" s="250">
        <f t="shared" si="103"/>
        <v>-9.5788630494607369E-2</v>
      </c>
      <c r="Q40" s="250">
        <f t="shared" si="103"/>
        <v>-1.0826916036444371E-4</v>
      </c>
      <c r="R40" s="250" t="str">
        <f t="shared" si="103"/>
        <v/>
      </c>
      <c r="S40" s="251">
        <f t="shared" si="103"/>
        <v>-1</v>
      </c>
      <c r="T40" s="248">
        <f t="shared" si="103"/>
        <v>0.11586716800488975</v>
      </c>
      <c r="U40" s="249">
        <f t="shared" si="103"/>
        <v>0.14720692444307668</v>
      </c>
      <c r="V40" s="250">
        <f t="shared" si="103"/>
        <v>0.14323035258490147</v>
      </c>
      <c r="W40" s="250">
        <f t="shared" si="103"/>
        <v>8.7756417850239465E-2</v>
      </c>
      <c r="X40" s="250">
        <f t="shared" si="103"/>
        <v>7.4114231751250439E-2</v>
      </c>
      <c r="Y40" s="252">
        <f t="shared" si="103"/>
        <v>0.19191676967494795</v>
      </c>
      <c r="AA40" s="28"/>
      <c r="AB40" s="257"/>
      <c r="AC40" s="161"/>
      <c r="AD40" s="247" t="s">
        <v>30</v>
      </c>
      <c r="AE40" s="253">
        <f t="shared" si="104"/>
        <v>7.7460261606209321E-2</v>
      </c>
      <c r="AF40" s="254">
        <f t="shared" si="104"/>
        <v>-5.4271326145570974E-3</v>
      </c>
      <c r="AG40" s="255">
        <f t="shared" si="104"/>
        <v>2.350769241637294E-2</v>
      </c>
      <c r="AH40" s="255">
        <f t="shared" si="104"/>
        <v>3.6780772934448203E-2</v>
      </c>
      <c r="AI40" s="255">
        <f t="shared" si="104"/>
        <v>6.0990179931758807E-4</v>
      </c>
      <c r="AJ40" s="255">
        <f t="shared" si="104"/>
        <v>9.5263597080621654E-2</v>
      </c>
      <c r="AK40" s="255">
        <f t="shared" si="104"/>
        <v>7.0176964862184499E-2</v>
      </c>
      <c r="AL40" s="255">
        <f t="shared" si="104"/>
        <v>9.5970953741411028E-2</v>
      </c>
      <c r="AM40" s="255">
        <f t="shared" si="104"/>
        <v>9.3859183296237686E-2</v>
      </c>
      <c r="AN40" s="255">
        <f t="shared" si="104"/>
        <v>0.16555858269704868</v>
      </c>
      <c r="AO40" s="255" t="str">
        <f t="shared" si="104"/>
        <v/>
      </c>
      <c r="AP40" s="255" t="str">
        <f t="shared" si="104"/>
        <v/>
      </c>
      <c r="AQ40" s="256" t="str">
        <f t="shared" si="104"/>
        <v/>
      </c>
    </row>
    <row r="41" spans="2:43" ht="7.8" customHeight="1" x14ac:dyDescent="0.25">
      <c r="B41" s="28"/>
      <c r="C41" s="258" t="s">
        <v>45</v>
      </c>
      <c r="D41" s="259" t="s">
        <v>39</v>
      </c>
      <c r="E41" s="260" t="s">
        <v>32</v>
      </c>
      <c r="F41" s="261">
        <f t="shared" ref="F41:F42" si="105">SUM(G41,H41,N41,T41)</f>
        <v>0</v>
      </c>
      <c r="G41" s="261">
        <f t="shared" ref="G41:G42" si="106">SUM(G95,G149,G203,G257,G311,G365,G419,G473,G527,G581,G635,G689)</f>
        <v>0</v>
      </c>
      <c r="H41" s="261">
        <f t="shared" ref="H41:H42" si="107">SUM(I41:M41)</f>
        <v>0</v>
      </c>
      <c r="I41" s="262">
        <f t="shared" ref="I41:M42" si="108">SUM(I95,I149,I203,I257,I311,I365,I419,I473,I527,I581,I635,I689)</f>
        <v>0</v>
      </c>
      <c r="J41" s="263">
        <f t="shared" si="108"/>
        <v>0</v>
      </c>
      <c r="K41" s="263">
        <f t="shared" si="108"/>
        <v>0</v>
      </c>
      <c r="L41" s="263">
        <f t="shared" si="108"/>
        <v>0</v>
      </c>
      <c r="M41" s="264">
        <f t="shared" si="108"/>
        <v>0</v>
      </c>
      <c r="N41" s="261">
        <f t="shared" ref="N41:N42" si="109">SUM(O41:S41)</f>
        <v>0</v>
      </c>
      <c r="O41" s="262">
        <f t="shared" ref="O41:S42" si="110">SUM(O95,O149,O203,O257,O311,O365,O419,O473,O527,O581,O635,O689)</f>
        <v>0</v>
      </c>
      <c r="P41" s="263">
        <f t="shared" si="110"/>
        <v>0</v>
      </c>
      <c r="Q41" s="263">
        <f t="shared" si="110"/>
        <v>0</v>
      </c>
      <c r="R41" s="263">
        <f t="shared" si="110"/>
        <v>0</v>
      </c>
      <c r="S41" s="264">
        <f t="shared" si="110"/>
        <v>0</v>
      </c>
      <c r="T41" s="261">
        <f t="shared" ref="T41:T42" si="111">SUM(U41:Y41)</f>
        <v>0</v>
      </c>
      <c r="U41" s="262">
        <f t="shared" ref="U41:Y42" si="112">SUM(U95,U149,U203,U257,U311,U365,U419,U473,U527,U581,U635,U689)</f>
        <v>0</v>
      </c>
      <c r="V41" s="263">
        <f t="shared" si="112"/>
        <v>0</v>
      </c>
      <c r="W41" s="263">
        <f t="shared" si="112"/>
        <v>0</v>
      </c>
      <c r="X41" s="263">
        <f t="shared" si="112"/>
        <v>0</v>
      </c>
      <c r="Y41" s="265">
        <f t="shared" si="112"/>
        <v>0</v>
      </c>
      <c r="AA41" s="28"/>
      <c r="AB41" s="258" t="s">
        <v>45</v>
      </c>
      <c r="AC41" s="259" t="s">
        <v>39</v>
      </c>
      <c r="AD41" s="260" t="s">
        <v>32</v>
      </c>
      <c r="AE41" s="266">
        <f t="shared" ref="AE41:AE42" si="113">SUM(AF41:AQ41)</f>
        <v>0</v>
      </c>
      <c r="AF41" s="267">
        <f t="shared" ref="AF41:AQ42" si="114">SUM(AF95,AF149,AF473,AF797)</f>
        <v>0</v>
      </c>
      <c r="AG41" s="268">
        <f t="shared" si="114"/>
        <v>0</v>
      </c>
      <c r="AH41" s="268">
        <f t="shared" si="114"/>
        <v>0</v>
      </c>
      <c r="AI41" s="268">
        <f t="shared" si="114"/>
        <v>0</v>
      </c>
      <c r="AJ41" s="268">
        <f t="shared" si="114"/>
        <v>0</v>
      </c>
      <c r="AK41" s="268">
        <f t="shared" si="114"/>
        <v>0</v>
      </c>
      <c r="AL41" s="268">
        <f t="shared" si="114"/>
        <v>0</v>
      </c>
      <c r="AM41" s="268">
        <f t="shared" si="114"/>
        <v>0</v>
      </c>
      <c r="AN41" s="268">
        <f t="shared" si="114"/>
        <v>0</v>
      </c>
      <c r="AO41" s="268">
        <f t="shared" si="114"/>
        <v>0</v>
      </c>
      <c r="AP41" s="268">
        <f t="shared" si="114"/>
        <v>0</v>
      </c>
      <c r="AQ41" s="269">
        <f t="shared" si="114"/>
        <v>0</v>
      </c>
    </row>
    <row r="42" spans="2:43" s="41" customFormat="1" ht="7.8" customHeight="1" x14ac:dyDescent="0.25">
      <c r="B42" s="28"/>
      <c r="C42" s="160"/>
      <c r="D42" s="161"/>
      <c r="E42" s="162" t="s">
        <v>33</v>
      </c>
      <c r="F42" s="163">
        <f t="shared" si="105"/>
        <v>0</v>
      </c>
      <c r="G42" s="164">
        <f t="shared" si="106"/>
        <v>0</v>
      </c>
      <c r="H42" s="163">
        <f t="shared" si="107"/>
        <v>0</v>
      </c>
      <c r="I42" s="165">
        <f t="shared" si="108"/>
        <v>0</v>
      </c>
      <c r="J42" s="166">
        <f t="shared" si="108"/>
        <v>0</v>
      </c>
      <c r="K42" s="166">
        <f t="shared" si="108"/>
        <v>0</v>
      </c>
      <c r="L42" s="166">
        <f t="shared" si="108"/>
        <v>0</v>
      </c>
      <c r="M42" s="167">
        <f t="shared" si="108"/>
        <v>0</v>
      </c>
      <c r="N42" s="163">
        <f t="shared" si="109"/>
        <v>0</v>
      </c>
      <c r="O42" s="165">
        <f t="shared" si="110"/>
        <v>0</v>
      </c>
      <c r="P42" s="166">
        <f t="shared" si="110"/>
        <v>0</v>
      </c>
      <c r="Q42" s="166">
        <f t="shared" si="110"/>
        <v>0</v>
      </c>
      <c r="R42" s="166">
        <f t="shared" si="110"/>
        <v>0</v>
      </c>
      <c r="S42" s="167">
        <f t="shared" si="110"/>
        <v>0</v>
      </c>
      <c r="T42" s="163">
        <f t="shared" si="111"/>
        <v>0</v>
      </c>
      <c r="U42" s="165">
        <f t="shared" si="112"/>
        <v>0</v>
      </c>
      <c r="V42" s="166">
        <f t="shared" si="112"/>
        <v>0</v>
      </c>
      <c r="W42" s="166">
        <f t="shared" si="112"/>
        <v>0</v>
      </c>
      <c r="X42" s="166">
        <f t="shared" si="112"/>
        <v>0</v>
      </c>
      <c r="Y42" s="168">
        <f t="shared" si="112"/>
        <v>0</v>
      </c>
      <c r="AA42" s="28"/>
      <c r="AB42" s="160"/>
      <c r="AC42" s="161"/>
      <c r="AD42" s="162" t="s">
        <v>33</v>
      </c>
      <c r="AE42" s="169">
        <f t="shared" si="113"/>
        <v>0</v>
      </c>
      <c r="AF42" s="170">
        <f t="shared" si="114"/>
        <v>0</v>
      </c>
      <c r="AG42" s="171">
        <f t="shared" si="114"/>
        <v>0</v>
      </c>
      <c r="AH42" s="171">
        <f t="shared" si="114"/>
        <v>0</v>
      </c>
      <c r="AI42" s="171">
        <f t="shared" si="114"/>
        <v>0</v>
      </c>
      <c r="AJ42" s="171">
        <f t="shared" si="114"/>
        <v>0</v>
      </c>
      <c r="AK42" s="171">
        <f t="shared" si="114"/>
        <v>0</v>
      </c>
      <c r="AL42" s="171">
        <f t="shared" si="114"/>
        <v>0</v>
      </c>
      <c r="AM42" s="171">
        <f t="shared" si="114"/>
        <v>0</v>
      </c>
      <c r="AN42" s="171">
        <f t="shared" si="114"/>
        <v>0</v>
      </c>
      <c r="AO42" s="171">
        <f t="shared" si="114"/>
        <v>0</v>
      </c>
      <c r="AP42" s="171">
        <f t="shared" si="114"/>
        <v>0</v>
      </c>
      <c r="AQ42" s="172">
        <f t="shared" si="114"/>
        <v>0</v>
      </c>
    </row>
    <row r="43" spans="2:43" ht="7.8" customHeight="1" x14ac:dyDescent="0.25">
      <c r="B43" s="28"/>
      <c r="C43" s="160"/>
      <c r="D43" s="173"/>
      <c r="E43" s="174" t="s">
        <v>30</v>
      </c>
      <c r="F43" s="175">
        <f t="shared" ref="F43:Y43" si="115">IFERROR(F42/F41,0)</f>
        <v>0</v>
      </c>
      <c r="G43" s="175">
        <f t="shared" si="115"/>
        <v>0</v>
      </c>
      <c r="H43" s="175">
        <f t="shared" si="115"/>
        <v>0</v>
      </c>
      <c r="I43" s="176">
        <f t="shared" si="115"/>
        <v>0</v>
      </c>
      <c r="J43" s="177">
        <f t="shared" si="115"/>
        <v>0</v>
      </c>
      <c r="K43" s="177">
        <f t="shared" si="115"/>
        <v>0</v>
      </c>
      <c r="L43" s="177">
        <f t="shared" si="115"/>
        <v>0</v>
      </c>
      <c r="M43" s="178">
        <f t="shared" si="115"/>
        <v>0</v>
      </c>
      <c r="N43" s="175">
        <f t="shared" si="115"/>
        <v>0</v>
      </c>
      <c r="O43" s="176">
        <f t="shared" si="115"/>
        <v>0</v>
      </c>
      <c r="P43" s="177">
        <f t="shared" si="115"/>
        <v>0</v>
      </c>
      <c r="Q43" s="177">
        <f t="shared" si="115"/>
        <v>0</v>
      </c>
      <c r="R43" s="177">
        <f t="shared" si="115"/>
        <v>0</v>
      </c>
      <c r="S43" s="178">
        <f t="shared" si="115"/>
        <v>0</v>
      </c>
      <c r="T43" s="175">
        <f t="shared" si="115"/>
        <v>0</v>
      </c>
      <c r="U43" s="176">
        <f t="shared" si="115"/>
        <v>0</v>
      </c>
      <c r="V43" s="177">
        <f t="shared" si="115"/>
        <v>0</v>
      </c>
      <c r="W43" s="177">
        <f t="shared" si="115"/>
        <v>0</v>
      </c>
      <c r="X43" s="177">
        <f t="shared" si="115"/>
        <v>0</v>
      </c>
      <c r="Y43" s="179">
        <f t="shared" si="115"/>
        <v>0</v>
      </c>
      <c r="AA43" s="28"/>
      <c r="AB43" s="160"/>
      <c r="AC43" s="173"/>
      <c r="AD43" s="174" t="s">
        <v>30</v>
      </c>
      <c r="AE43" s="180">
        <f t="shared" ref="AE43:AQ43" si="116">IFERROR(AE42/AE41,0)</f>
        <v>0</v>
      </c>
      <c r="AF43" s="181">
        <f t="shared" si="116"/>
        <v>0</v>
      </c>
      <c r="AG43" s="182">
        <f t="shared" si="116"/>
        <v>0</v>
      </c>
      <c r="AH43" s="182">
        <f t="shared" si="116"/>
        <v>0</v>
      </c>
      <c r="AI43" s="182">
        <f t="shared" si="116"/>
        <v>0</v>
      </c>
      <c r="AJ43" s="182">
        <f t="shared" si="116"/>
        <v>0</v>
      </c>
      <c r="AK43" s="182">
        <f t="shared" si="116"/>
        <v>0</v>
      </c>
      <c r="AL43" s="182">
        <f t="shared" si="116"/>
        <v>0</v>
      </c>
      <c r="AM43" s="182">
        <f t="shared" si="116"/>
        <v>0</v>
      </c>
      <c r="AN43" s="182">
        <f t="shared" si="116"/>
        <v>0</v>
      </c>
      <c r="AO43" s="182">
        <f t="shared" si="116"/>
        <v>0</v>
      </c>
      <c r="AP43" s="182">
        <f t="shared" si="116"/>
        <v>0</v>
      </c>
      <c r="AQ43" s="183">
        <f t="shared" si="116"/>
        <v>0</v>
      </c>
    </row>
    <row r="44" spans="2:43" ht="7.8" customHeight="1" x14ac:dyDescent="0.25">
      <c r="B44" s="28"/>
      <c r="C44" s="160"/>
      <c r="D44" s="184" t="s">
        <v>40</v>
      </c>
      <c r="E44" s="185" t="s">
        <v>32</v>
      </c>
      <c r="F44" s="186">
        <f t="shared" ref="F44:F45" si="117">SUM(G44,H44,N44,T44)</f>
        <v>25587</v>
      </c>
      <c r="G44" s="186">
        <f t="shared" ref="G44:G45" si="118">SUM(G98,G152,G206,G260,G314,G368,G422,G476,G530,G584,G638,G692)</f>
        <v>2980</v>
      </c>
      <c r="H44" s="186">
        <f t="shared" ref="H44:H45" si="119">SUM(I44:M44)</f>
        <v>1420</v>
      </c>
      <c r="I44" s="187">
        <f t="shared" ref="I44:M45" si="120">SUM(I98,I152,I206,I260,I314,I368,I422,I476,I530,I584,I638,I692)</f>
        <v>442</v>
      </c>
      <c r="J44" s="188">
        <f t="shared" si="120"/>
        <v>421</v>
      </c>
      <c r="K44" s="188">
        <f t="shared" si="120"/>
        <v>133</v>
      </c>
      <c r="L44" s="188">
        <f t="shared" si="120"/>
        <v>0</v>
      </c>
      <c r="M44" s="189">
        <f t="shared" si="120"/>
        <v>424</v>
      </c>
      <c r="N44" s="186">
        <f t="shared" ref="N44:N45" si="121">SUM(O44:S44)</f>
        <v>4537</v>
      </c>
      <c r="O44" s="187">
        <f t="shared" ref="O44:S45" si="122">SUM(O98,O152,O206,O260,O314,O368,O422,O476,O530,O584,O638,O692)</f>
        <v>2402</v>
      </c>
      <c r="P44" s="188">
        <f t="shared" si="122"/>
        <v>1619</v>
      </c>
      <c r="Q44" s="188">
        <f t="shared" si="122"/>
        <v>502</v>
      </c>
      <c r="R44" s="188">
        <f t="shared" si="122"/>
        <v>0</v>
      </c>
      <c r="S44" s="189">
        <f t="shared" si="122"/>
        <v>14</v>
      </c>
      <c r="T44" s="186">
        <f t="shared" ref="T44:T45" si="123">SUM(U44:Y44)</f>
        <v>16650</v>
      </c>
      <c r="U44" s="187">
        <f t="shared" ref="U44:Y45" si="124">SUM(U98,U152,U206,U260,U314,U368,U422,U476,U530,U584,U638,U692)</f>
        <v>1499</v>
      </c>
      <c r="V44" s="188">
        <f t="shared" si="124"/>
        <v>6245</v>
      </c>
      <c r="W44" s="188">
        <f t="shared" si="124"/>
        <v>6965</v>
      </c>
      <c r="X44" s="188">
        <f t="shared" si="124"/>
        <v>857</v>
      </c>
      <c r="Y44" s="190">
        <f t="shared" si="124"/>
        <v>1084</v>
      </c>
      <c r="AA44" s="28"/>
      <c r="AB44" s="160"/>
      <c r="AC44" s="184" t="s">
        <v>40</v>
      </c>
      <c r="AD44" s="185" t="s">
        <v>32</v>
      </c>
      <c r="AE44" s="191">
        <f t="shared" ref="AE44:AE45" si="125">SUM(AF44:AQ44)</f>
        <v>25587</v>
      </c>
      <c r="AF44" s="192">
        <f t="shared" ref="AF44:AQ45" si="126">SUM(AF98,AF152,AF476,AF800)</f>
        <v>2051</v>
      </c>
      <c r="AG44" s="193">
        <f t="shared" si="126"/>
        <v>2072</v>
      </c>
      <c r="AH44" s="193">
        <f t="shared" si="126"/>
        <v>2480</v>
      </c>
      <c r="AI44" s="193">
        <f t="shared" si="126"/>
        <v>2038</v>
      </c>
      <c r="AJ44" s="193">
        <f t="shared" si="126"/>
        <v>2195</v>
      </c>
      <c r="AK44" s="193">
        <f t="shared" si="126"/>
        <v>2314</v>
      </c>
      <c r="AL44" s="193">
        <f t="shared" si="126"/>
        <v>2042</v>
      </c>
      <c r="AM44" s="193">
        <f t="shared" si="126"/>
        <v>2339</v>
      </c>
      <c r="AN44" s="193">
        <f t="shared" si="126"/>
        <v>1788</v>
      </c>
      <c r="AO44" s="193">
        <f t="shared" si="126"/>
        <v>1797</v>
      </c>
      <c r="AP44" s="193">
        <f t="shared" si="126"/>
        <v>2364</v>
      </c>
      <c r="AQ44" s="194">
        <f t="shared" si="126"/>
        <v>2107</v>
      </c>
    </row>
    <row r="45" spans="2:43" s="41" customFormat="1" ht="7.8" customHeight="1" x14ac:dyDescent="0.25">
      <c r="B45" s="28"/>
      <c r="C45" s="160"/>
      <c r="D45" s="161"/>
      <c r="E45" s="162" t="s">
        <v>33</v>
      </c>
      <c r="F45" s="163">
        <f t="shared" si="117"/>
        <v>4335201.21</v>
      </c>
      <c r="G45" s="164">
        <f t="shared" si="118"/>
        <v>465225</v>
      </c>
      <c r="H45" s="163">
        <f t="shared" si="119"/>
        <v>241906</v>
      </c>
      <c r="I45" s="165">
        <f t="shared" si="120"/>
        <v>75893</v>
      </c>
      <c r="J45" s="166">
        <f t="shared" si="120"/>
        <v>69966</v>
      </c>
      <c r="K45" s="166">
        <f t="shared" si="120"/>
        <v>23875</v>
      </c>
      <c r="L45" s="166">
        <f t="shared" si="120"/>
        <v>0</v>
      </c>
      <c r="M45" s="167">
        <f t="shared" si="120"/>
        <v>72172</v>
      </c>
      <c r="N45" s="163">
        <f t="shared" si="121"/>
        <v>728907</v>
      </c>
      <c r="O45" s="165">
        <f t="shared" si="122"/>
        <v>396444</v>
      </c>
      <c r="P45" s="166">
        <f t="shared" si="122"/>
        <v>249704</v>
      </c>
      <c r="Q45" s="166">
        <f t="shared" si="122"/>
        <v>80504</v>
      </c>
      <c r="R45" s="166">
        <f t="shared" si="122"/>
        <v>0</v>
      </c>
      <c r="S45" s="167">
        <f t="shared" si="122"/>
        <v>2255</v>
      </c>
      <c r="T45" s="163">
        <f t="shared" si="123"/>
        <v>2899163.21</v>
      </c>
      <c r="U45" s="165">
        <f t="shared" si="124"/>
        <v>316819.64999999997</v>
      </c>
      <c r="V45" s="166">
        <f t="shared" si="124"/>
        <v>1007699.4199999999</v>
      </c>
      <c r="W45" s="166">
        <f t="shared" si="124"/>
        <v>1262661.1400000001</v>
      </c>
      <c r="X45" s="166">
        <f t="shared" si="124"/>
        <v>142517</v>
      </c>
      <c r="Y45" s="168">
        <f t="shared" si="124"/>
        <v>169466</v>
      </c>
      <c r="AA45" s="28"/>
      <c r="AB45" s="160"/>
      <c r="AC45" s="161"/>
      <c r="AD45" s="162" t="s">
        <v>33</v>
      </c>
      <c r="AE45" s="169">
        <f t="shared" si="125"/>
        <v>4335201.21</v>
      </c>
      <c r="AF45" s="170">
        <f t="shared" si="126"/>
        <v>350338</v>
      </c>
      <c r="AG45" s="171">
        <f t="shared" si="126"/>
        <v>362959.83999999997</v>
      </c>
      <c r="AH45" s="171">
        <f t="shared" si="126"/>
        <v>408936.77</v>
      </c>
      <c r="AI45" s="171">
        <f t="shared" si="126"/>
        <v>318078.15000000002</v>
      </c>
      <c r="AJ45" s="171">
        <f t="shared" si="126"/>
        <v>357875.84</v>
      </c>
      <c r="AK45" s="171">
        <f t="shared" si="126"/>
        <v>408965.56</v>
      </c>
      <c r="AL45" s="171">
        <f t="shared" si="126"/>
        <v>398266.85</v>
      </c>
      <c r="AM45" s="171">
        <f t="shared" si="126"/>
        <v>424105.76999999996</v>
      </c>
      <c r="AN45" s="171">
        <f t="shared" si="126"/>
        <v>304778.98</v>
      </c>
      <c r="AO45" s="171">
        <f t="shared" si="126"/>
        <v>279769.88</v>
      </c>
      <c r="AP45" s="171">
        <f t="shared" si="126"/>
        <v>353817.53</v>
      </c>
      <c r="AQ45" s="172">
        <f t="shared" si="126"/>
        <v>367308.04000000004</v>
      </c>
    </row>
    <row r="46" spans="2:43" ht="7.8" customHeight="1" x14ac:dyDescent="0.25">
      <c r="B46" s="28"/>
      <c r="C46" s="160"/>
      <c r="D46" s="173"/>
      <c r="E46" s="174" t="s">
        <v>30</v>
      </c>
      <c r="F46" s="175">
        <f t="shared" ref="F46:Y46" si="127">IFERROR(F45/F44,0)</f>
        <v>169.42983585414467</v>
      </c>
      <c r="G46" s="175">
        <f t="shared" si="127"/>
        <v>156.11577181208054</v>
      </c>
      <c r="H46" s="175">
        <f t="shared" si="127"/>
        <v>170.35633802816901</v>
      </c>
      <c r="I46" s="176">
        <f t="shared" si="127"/>
        <v>171.70361990950227</v>
      </c>
      <c r="J46" s="177">
        <f t="shared" si="127"/>
        <v>166.19002375296913</v>
      </c>
      <c r="K46" s="177">
        <f t="shared" si="127"/>
        <v>179.51127819548873</v>
      </c>
      <c r="L46" s="177">
        <f t="shared" si="127"/>
        <v>0</v>
      </c>
      <c r="M46" s="178">
        <f t="shared" si="127"/>
        <v>170.21698113207546</v>
      </c>
      <c r="N46" s="175">
        <f t="shared" si="127"/>
        <v>160.65836455807803</v>
      </c>
      <c r="O46" s="176">
        <f t="shared" si="127"/>
        <v>165.04746044962531</v>
      </c>
      <c r="P46" s="177">
        <f t="shared" si="127"/>
        <v>154.23347745521926</v>
      </c>
      <c r="Q46" s="177">
        <f t="shared" si="127"/>
        <v>160.36653386454182</v>
      </c>
      <c r="R46" s="177">
        <f t="shared" si="127"/>
        <v>0</v>
      </c>
      <c r="S46" s="178">
        <f t="shared" si="127"/>
        <v>161.07142857142858</v>
      </c>
      <c r="T46" s="175">
        <f t="shared" si="127"/>
        <v>174.12391651651652</v>
      </c>
      <c r="U46" s="176">
        <f t="shared" si="127"/>
        <v>211.35400266844562</v>
      </c>
      <c r="V46" s="177">
        <f t="shared" si="127"/>
        <v>161.36099599679741</v>
      </c>
      <c r="W46" s="177">
        <f t="shared" si="127"/>
        <v>181.28659583632449</v>
      </c>
      <c r="X46" s="177">
        <f t="shared" si="127"/>
        <v>166.2975495915986</v>
      </c>
      <c r="Y46" s="179">
        <f t="shared" si="127"/>
        <v>156.33394833948338</v>
      </c>
      <c r="AA46" s="28"/>
      <c r="AB46" s="160"/>
      <c r="AC46" s="173"/>
      <c r="AD46" s="174" t="s">
        <v>30</v>
      </c>
      <c r="AE46" s="180">
        <f t="shared" ref="AE46:AQ46" si="128">IFERROR(AE45/AE44,0)</f>
        <v>169.42983585414467</v>
      </c>
      <c r="AF46" s="181">
        <f t="shared" si="128"/>
        <v>170.81326182350074</v>
      </c>
      <c r="AG46" s="182">
        <f t="shared" si="128"/>
        <v>175.17366795366794</v>
      </c>
      <c r="AH46" s="182">
        <f t="shared" si="128"/>
        <v>164.89385887096776</v>
      </c>
      <c r="AI46" s="182">
        <f t="shared" si="128"/>
        <v>156.07367517173702</v>
      </c>
      <c r="AJ46" s="182">
        <f t="shared" si="128"/>
        <v>163.04138496583144</v>
      </c>
      <c r="AK46" s="182">
        <f t="shared" si="128"/>
        <v>176.73533275713052</v>
      </c>
      <c r="AL46" s="182">
        <f t="shared" si="128"/>
        <v>195.03763467189029</v>
      </c>
      <c r="AM46" s="182">
        <f t="shared" si="128"/>
        <v>181.31926891834115</v>
      </c>
      <c r="AN46" s="182">
        <f t="shared" si="128"/>
        <v>170.45804250559283</v>
      </c>
      <c r="AO46" s="182">
        <f t="shared" si="128"/>
        <v>155.6871897607123</v>
      </c>
      <c r="AP46" s="182">
        <f t="shared" si="128"/>
        <v>149.66900592216584</v>
      </c>
      <c r="AQ46" s="183">
        <f t="shared" si="128"/>
        <v>174.32749881347891</v>
      </c>
    </row>
    <row r="47" spans="2:43" ht="7.8" customHeight="1" x14ac:dyDescent="0.25">
      <c r="B47" s="28"/>
      <c r="C47" s="160"/>
      <c r="D47" s="184" t="s">
        <v>41</v>
      </c>
      <c r="E47" s="185" t="s">
        <v>32</v>
      </c>
      <c r="F47" s="186">
        <f t="shared" ref="F47:F48" si="129">SUM(G47,H47,N47,T47)</f>
        <v>17701</v>
      </c>
      <c r="G47" s="186">
        <f t="shared" ref="G47:G48" si="130">SUM(G101,G155,G209,G263,G317,G371,G425,G479,G533,G587,G641,G695)</f>
        <v>2186</v>
      </c>
      <c r="H47" s="186">
        <f t="shared" ref="H47:H48" si="131">SUM(I47:M47)</f>
        <v>806</v>
      </c>
      <c r="I47" s="187">
        <f t="shared" ref="I47:M48" si="132">SUM(I101,I155,I209,I263,I317,I371,I425,I479,I533,I587,I641,I695)</f>
        <v>198</v>
      </c>
      <c r="J47" s="188">
        <f t="shared" si="132"/>
        <v>233</v>
      </c>
      <c r="K47" s="188">
        <f t="shared" si="132"/>
        <v>93</v>
      </c>
      <c r="L47" s="188">
        <f t="shared" si="132"/>
        <v>147</v>
      </c>
      <c r="M47" s="189">
        <f t="shared" si="132"/>
        <v>135</v>
      </c>
      <c r="N47" s="186">
        <f t="shared" ref="N47:N48" si="133">SUM(O47:S47)</f>
        <v>2152</v>
      </c>
      <c r="O47" s="187">
        <f t="shared" ref="O47:S48" si="134">SUM(O101,O155,O209,O263,O317,O371,O425,O479,O533,O587,O641,O695)</f>
        <v>1370</v>
      </c>
      <c r="P47" s="188">
        <f t="shared" si="134"/>
        <v>456</v>
      </c>
      <c r="Q47" s="188">
        <f t="shared" si="134"/>
        <v>294</v>
      </c>
      <c r="R47" s="188">
        <f t="shared" si="134"/>
        <v>0</v>
      </c>
      <c r="S47" s="189">
        <f t="shared" si="134"/>
        <v>32</v>
      </c>
      <c r="T47" s="186">
        <f t="shared" ref="T47:T48" si="135">SUM(U47:Y47)</f>
        <v>12557</v>
      </c>
      <c r="U47" s="187">
        <f t="shared" ref="U47:Y48" si="136">SUM(U101,U155,U209,U263,U317,U371,U425,U479,U533,U587,U641,U695)</f>
        <v>977</v>
      </c>
      <c r="V47" s="188">
        <f t="shared" si="136"/>
        <v>6675</v>
      </c>
      <c r="W47" s="188">
        <f t="shared" si="136"/>
        <v>4174</v>
      </c>
      <c r="X47" s="188">
        <f t="shared" si="136"/>
        <v>494</v>
      </c>
      <c r="Y47" s="190">
        <f t="shared" si="136"/>
        <v>237</v>
      </c>
      <c r="AA47" s="28"/>
      <c r="AB47" s="160"/>
      <c r="AC47" s="184" t="s">
        <v>41</v>
      </c>
      <c r="AD47" s="185" t="s">
        <v>32</v>
      </c>
      <c r="AE47" s="191">
        <f t="shared" ref="AE47:AE48" si="137">SUM(AF47:AQ47)</f>
        <v>17701</v>
      </c>
      <c r="AF47" s="192">
        <f t="shared" ref="AF47:AQ48" si="138">SUM(AF101,AF155,AF479,AF803)</f>
        <v>2240</v>
      </c>
      <c r="AG47" s="193">
        <f t="shared" si="138"/>
        <v>2025</v>
      </c>
      <c r="AH47" s="193">
        <f t="shared" si="138"/>
        <v>2267</v>
      </c>
      <c r="AI47" s="193">
        <f t="shared" si="138"/>
        <v>2012</v>
      </c>
      <c r="AJ47" s="193">
        <f t="shared" si="138"/>
        <v>2512</v>
      </c>
      <c r="AK47" s="193">
        <f t="shared" si="138"/>
        <v>2063</v>
      </c>
      <c r="AL47" s="193">
        <f t="shared" si="138"/>
        <v>2047</v>
      </c>
      <c r="AM47" s="193">
        <f t="shared" si="138"/>
        <v>2535</v>
      </c>
      <c r="AN47" s="193">
        <f t="shared" si="138"/>
        <v>0</v>
      </c>
      <c r="AO47" s="193">
        <f t="shared" si="138"/>
        <v>0</v>
      </c>
      <c r="AP47" s="193">
        <f t="shared" si="138"/>
        <v>0</v>
      </c>
      <c r="AQ47" s="194">
        <f t="shared" si="138"/>
        <v>0</v>
      </c>
    </row>
    <row r="48" spans="2:43" s="41" customFormat="1" ht="7.8" customHeight="1" x14ac:dyDescent="0.25">
      <c r="B48" s="28"/>
      <c r="C48" s="160"/>
      <c r="D48" s="161"/>
      <c r="E48" s="162" t="s">
        <v>33</v>
      </c>
      <c r="F48" s="163">
        <f t="shared" si="129"/>
        <v>2918521.2800000003</v>
      </c>
      <c r="G48" s="164">
        <f t="shared" si="130"/>
        <v>342874</v>
      </c>
      <c r="H48" s="163">
        <f t="shared" si="131"/>
        <v>134940</v>
      </c>
      <c r="I48" s="165">
        <f t="shared" si="132"/>
        <v>32815</v>
      </c>
      <c r="J48" s="166">
        <f t="shared" si="132"/>
        <v>40424</v>
      </c>
      <c r="K48" s="166">
        <f t="shared" si="132"/>
        <v>14017</v>
      </c>
      <c r="L48" s="166">
        <f t="shared" si="132"/>
        <v>24388</v>
      </c>
      <c r="M48" s="167">
        <f t="shared" si="132"/>
        <v>23296</v>
      </c>
      <c r="N48" s="163">
        <f t="shared" si="133"/>
        <v>361431.84</v>
      </c>
      <c r="O48" s="165">
        <f t="shared" si="134"/>
        <v>231914</v>
      </c>
      <c r="P48" s="166">
        <f t="shared" si="134"/>
        <v>76444</v>
      </c>
      <c r="Q48" s="166">
        <f t="shared" si="134"/>
        <v>47651</v>
      </c>
      <c r="R48" s="166">
        <f t="shared" si="134"/>
        <v>0</v>
      </c>
      <c r="S48" s="167">
        <f t="shared" si="134"/>
        <v>5422.84</v>
      </c>
      <c r="T48" s="163">
        <f t="shared" si="135"/>
        <v>2079275.44</v>
      </c>
      <c r="U48" s="165">
        <f t="shared" si="136"/>
        <v>214324.82000000004</v>
      </c>
      <c r="V48" s="166">
        <f t="shared" si="136"/>
        <v>1052854.44</v>
      </c>
      <c r="W48" s="166">
        <f t="shared" si="136"/>
        <v>690852.99</v>
      </c>
      <c r="X48" s="166">
        <f t="shared" si="136"/>
        <v>84570</v>
      </c>
      <c r="Y48" s="168">
        <f t="shared" si="136"/>
        <v>36673.19</v>
      </c>
      <c r="AA48" s="28"/>
      <c r="AB48" s="160"/>
      <c r="AC48" s="161"/>
      <c r="AD48" s="162" t="s">
        <v>33</v>
      </c>
      <c r="AE48" s="169">
        <f t="shared" si="137"/>
        <v>2918521.2799999993</v>
      </c>
      <c r="AF48" s="170">
        <f t="shared" si="138"/>
        <v>363699.93999999994</v>
      </c>
      <c r="AG48" s="171">
        <f t="shared" si="138"/>
        <v>345150</v>
      </c>
      <c r="AH48" s="171">
        <f t="shared" si="138"/>
        <v>366879.59</v>
      </c>
      <c r="AI48" s="171">
        <f t="shared" si="138"/>
        <v>325355.23</v>
      </c>
      <c r="AJ48" s="171">
        <f t="shared" si="138"/>
        <v>390870.32999999996</v>
      </c>
      <c r="AK48" s="171">
        <f t="shared" si="138"/>
        <v>338429.80000000005</v>
      </c>
      <c r="AL48" s="171">
        <f t="shared" si="138"/>
        <v>366426.61</v>
      </c>
      <c r="AM48" s="171">
        <f t="shared" si="138"/>
        <v>421709.77999999991</v>
      </c>
      <c r="AN48" s="171">
        <f t="shared" si="138"/>
        <v>0</v>
      </c>
      <c r="AO48" s="171">
        <f t="shared" si="138"/>
        <v>0</v>
      </c>
      <c r="AP48" s="171">
        <f t="shared" si="138"/>
        <v>0</v>
      </c>
      <c r="AQ48" s="172">
        <f t="shared" si="138"/>
        <v>0</v>
      </c>
    </row>
    <row r="49" spans="2:43" ht="7.8" customHeight="1" x14ac:dyDescent="0.25">
      <c r="B49" s="28"/>
      <c r="C49" s="160"/>
      <c r="D49" s="173"/>
      <c r="E49" s="174" t="s">
        <v>30</v>
      </c>
      <c r="F49" s="175">
        <f t="shared" ref="F49:Y49" si="139">IFERROR(F48/F47,0)</f>
        <v>164.87889271792557</v>
      </c>
      <c r="G49" s="175">
        <f t="shared" si="139"/>
        <v>156.84995425434585</v>
      </c>
      <c r="H49" s="175">
        <f t="shared" si="139"/>
        <v>167.41935483870967</v>
      </c>
      <c r="I49" s="176">
        <f t="shared" si="139"/>
        <v>165.73232323232324</v>
      </c>
      <c r="J49" s="177">
        <f t="shared" si="139"/>
        <v>173.49356223175965</v>
      </c>
      <c r="K49" s="177">
        <f t="shared" si="139"/>
        <v>150.72043010752688</v>
      </c>
      <c r="L49" s="177">
        <f t="shared" si="139"/>
        <v>165.9047619047619</v>
      </c>
      <c r="M49" s="178">
        <f t="shared" si="139"/>
        <v>172.56296296296296</v>
      </c>
      <c r="N49" s="175">
        <f t="shared" si="139"/>
        <v>167.95159851301116</v>
      </c>
      <c r="O49" s="176">
        <f t="shared" si="139"/>
        <v>169.28029197080292</v>
      </c>
      <c r="P49" s="177">
        <f t="shared" si="139"/>
        <v>167.64035087719299</v>
      </c>
      <c r="Q49" s="177">
        <f t="shared" si="139"/>
        <v>162.07823129251702</v>
      </c>
      <c r="R49" s="177">
        <f t="shared" si="139"/>
        <v>0</v>
      </c>
      <c r="S49" s="178">
        <f t="shared" si="139"/>
        <v>169.46375</v>
      </c>
      <c r="T49" s="175">
        <f t="shared" si="139"/>
        <v>165.58695866847177</v>
      </c>
      <c r="U49" s="176">
        <f t="shared" si="139"/>
        <v>219.37033776867966</v>
      </c>
      <c r="V49" s="177">
        <f t="shared" si="139"/>
        <v>157.73100224719101</v>
      </c>
      <c r="W49" s="177">
        <f t="shared" si="139"/>
        <v>165.51341399137519</v>
      </c>
      <c r="X49" s="177">
        <f t="shared" si="139"/>
        <v>171.19433198380565</v>
      </c>
      <c r="Y49" s="179">
        <f t="shared" si="139"/>
        <v>154.73919831223628</v>
      </c>
      <c r="AA49" s="28"/>
      <c r="AB49" s="160"/>
      <c r="AC49" s="173"/>
      <c r="AD49" s="174" t="s">
        <v>30</v>
      </c>
      <c r="AE49" s="180">
        <f t="shared" ref="AE49:AQ49" si="140">IFERROR(AE48/AE47,0)</f>
        <v>164.87889271792551</v>
      </c>
      <c r="AF49" s="181">
        <f t="shared" si="140"/>
        <v>162.3660446428571</v>
      </c>
      <c r="AG49" s="182">
        <f t="shared" si="140"/>
        <v>170.44444444444446</v>
      </c>
      <c r="AH49" s="182">
        <f t="shared" si="140"/>
        <v>161.83484340538158</v>
      </c>
      <c r="AI49" s="182">
        <f t="shared" si="140"/>
        <v>161.7073707753479</v>
      </c>
      <c r="AJ49" s="182">
        <f t="shared" si="140"/>
        <v>155.60124601910826</v>
      </c>
      <c r="AK49" s="182">
        <f t="shared" si="140"/>
        <v>164.04740668928747</v>
      </c>
      <c r="AL49" s="182">
        <f t="shared" si="140"/>
        <v>179.00664875427455</v>
      </c>
      <c r="AM49" s="182">
        <f t="shared" si="140"/>
        <v>166.35494280078893</v>
      </c>
      <c r="AN49" s="182">
        <f t="shared" si="140"/>
        <v>0</v>
      </c>
      <c r="AO49" s="182">
        <f t="shared" si="140"/>
        <v>0</v>
      </c>
      <c r="AP49" s="182">
        <f t="shared" si="140"/>
        <v>0</v>
      </c>
      <c r="AQ49" s="183">
        <f t="shared" si="140"/>
        <v>0</v>
      </c>
    </row>
    <row r="50" spans="2:43" ht="7.8" customHeight="1" x14ac:dyDescent="0.25">
      <c r="B50" s="28"/>
      <c r="C50" s="160"/>
      <c r="D50" s="195" t="s">
        <v>42</v>
      </c>
      <c r="E50" s="196" t="s">
        <v>32</v>
      </c>
      <c r="F50" s="197">
        <f t="shared" ref="F50:F51" si="141">SUM(G50,H50,N50,T50)</f>
        <v>26316</v>
      </c>
      <c r="G50" s="197">
        <f t="shared" ref="G50:G51" si="142">SUM(G104,G158,G212,G266,G320,G374,G428,G482,G536,G590,G644,G698)</f>
        <v>0</v>
      </c>
      <c r="H50" s="197">
        <f t="shared" ref="H50:H51" si="143">SUM(I50:M50)</f>
        <v>1940</v>
      </c>
      <c r="I50" s="198">
        <f t="shared" ref="I50:M51" si="144">SUM(I104,I158,I212,I266,I320,I374,I428,I482,I536,I590,I644,I698)</f>
        <v>615</v>
      </c>
      <c r="J50" s="199">
        <f t="shared" si="144"/>
        <v>830</v>
      </c>
      <c r="K50" s="199">
        <f t="shared" si="144"/>
        <v>160</v>
      </c>
      <c r="L50" s="199">
        <f t="shared" si="144"/>
        <v>265</v>
      </c>
      <c r="M50" s="200">
        <f t="shared" si="144"/>
        <v>70</v>
      </c>
      <c r="N50" s="197">
        <f t="shared" ref="N50:N51" si="145">SUM(O50:S50)</f>
        <v>5055</v>
      </c>
      <c r="O50" s="198">
        <f t="shared" ref="O50:S51" si="146">SUM(O104,O158,O212,O266,O320,O374,O428,O482,O536,O590,O644,O698)</f>
        <v>2395</v>
      </c>
      <c r="P50" s="199">
        <f t="shared" si="146"/>
        <v>2230</v>
      </c>
      <c r="Q50" s="199">
        <f t="shared" si="146"/>
        <v>430</v>
      </c>
      <c r="R50" s="199">
        <f t="shared" si="146"/>
        <v>0</v>
      </c>
      <c r="S50" s="200">
        <f t="shared" si="146"/>
        <v>0</v>
      </c>
      <c r="T50" s="197">
        <f t="shared" ref="T50:T51" si="147">SUM(U50:Y50)</f>
        <v>19321</v>
      </c>
      <c r="U50" s="198">
        <f t="shared" ref="U50:Y51" si="148">SUM(U104,U158,U212,U266,U320,U374,U428,U482,U536,U590,U644,U698)</f>
        <v>2341</v>
      </c>
      <c r="V50" s="199">
        <f t="shared" si="148"/>
        <v>6804</v>
      </c>
      <c r="W50" s="199">
        <f t="shared" si="148"/>
        <v>7435</v>
      </c>
      <c r="X50" s="199">
        <f t="shared" si="148"/>
        <v>406</v>
      </c>
      <c r="Y50" s="201">
        <f t="shared" si="148"/>
        <v>2335</v>
      </c>
      <c r="AA50" s="28"/>
      <c r="AB50" s="160"/>
      <c r="AC50" s="195" t="s">
        <v>42</v>
      </c>
      <c r="AD50" s="196" t="s">
        <v>32</v>
      </c>
      <c r="AE50" s="202">
        <f t="shared" ref="AE50:AE51" si="149">SUM(AF50:AQ50)</f>
        <v>26316</v>
      </c>
      <c r="AF50" s="203">
        <f t="shared" ref="AF50:AQ51" si="150">SUM(AF104,AF158,AF482,AF806)</f>
        <v>2565</v>
      </c>
      <c r="AG50" s="204">
        <f t="shared" si="150"/>
        <v>2149</v>
      </c>
      <c r="AH50" s="204">
        <f t="shared" si="150"/>
        <v>2161</v>
      </c>
      <c r="AI50" s="204">
        <f t="shared" si="150"/>
        <v>2165</v>
      </c>
      <c r="AJ50" s="204">
        <f t="shared" si="150"/>
        <v>2579</v>
      </c>
      <c r="AK50" s="204">
        <f t="shared" si="150"/>
        <v>2159</v>
      </c>
      <c r="AL50" s="204">
        <f t="shared" si="150"/>
        <v>2252</v>
      </c>
      <c r="AM50" s="204">
        <f t="shared" si="150"/>
        <v>2294</v>
      </c>
      <c r="AN50" s="204">
        <f t="shared" si="150"/>
        <v>2032</v>
      </c>
      <c r="AO50" s="204">
        <f t="shared" si="150"/>
        <v>2198</v>
      </c>
      <c r="AP50" s="204">
        <f t="shared" si="150"/>
        <v>1984</v>
      </c>
      <c r="AQ50" s="205">
        <f t="shared" si="150"/>
        <v>1778</v>
      </c>
    </row>
    <row r="51" spans="2:43" s="41" customFormat="1" ht="7.8" customHeight="1" x14ac:dyDescent="0.25">
      <c r="B51" s="28"/>
      <c r="C51" s="160"/>
      <c r="D51" s="206"/>
      <c r="E51" s="207" t="s">
        <v>33</v>
      </c>
      <c r="F51" s="208">
        <f t="shared" si="141"/>
        <v>4339590</v>
      </c>
      <c r="G51" s="209">
        <f t="shared" si="142"/>
        <v>0</v>
      </c>
      <c r="H51" s="208">
        <f t="shared" si="143"/>
        <v>299300</v>
      </c>
      <c r="I51" s="210">
        <f t="shared" si="144"/>
        <v>94360</v>
      </c>
      <c r="J51" s="211">
        <f t="shared" si="144"/>
        <v>127130</v>
      </c>
      <c r="K51" s="211">
        <f t="shared" si="144"/>
        <v>24200</v>
      </c>
      <c r="L51" s="211">
        <f t="shared" si="144"/>
        <v>42810</v>
      </c>
      <c r="M51" s="212">
        <f t="shared" si="144"/>
        <v>10800</v>
      </c>
      <c r="N51" s="208">
        <f t="shared" si="145"/>
        <v>794495</v>
      </c>
      <c r="O51" s="210">
        <f t="shared" si="146"/>
        <v>383885</v>
      </c>
      <c r="P51" s="211">
        <f t="shared" si="146"/>
        <v>341850</v>
      </c>
      <c r="Q51" s="211">
        <f t="shared" si="146"/>
        <v>68760</v>
      </c>
      <c r="R51" s="211">
        <f t="shared" si="146"/>
        <v>0</v>
      </c>
      <c r="S51" s="212">
        <f t="shared" si="146"/>
        <v>0</v>
      </c>
      <c r="T51" s="208">
        <f t="shared" si="147"/>
        <v>3245795</v>
      </c>
      <c r="U51" s="210">
        <f t="shared" si="148"/>
        <v>435775</v>
      </c>
      <c r="V51" s="211">
        <f t="shared" si="148"/>
        <v>1120832</v>
      </c>
      <c r="W51" s="211">
        <f t="shared" si="148"/>
        <v>1183784</v>
      </c>
      <c r="X51" s="211">
        <f t="shared" si="148"/>
        <v>75110</v>
      </c>
      <c r="Y51" s="213">
        <f t="shared" si="148"/>
        <v>430294</v>
      </c>
      <c r="AA51" s="28"/>
      <c r="AB51" s="160"/>
      <c r="AC51" s="206"/>
      <c r="AD51" s="207" t="s">
        <v>33</v>
      </c>
      <c r="AE51" s="214">
        <f t="shared" si="149"/>
        <v>4339590</v>
      </c>
      <c r="AF51" s="215">
        <f t="shared" si="150"/>
        <v>354020</v>
      </c>
      <c r="AG51" s="216">
        <f t="shared" si="150"/>
        <v>353670</v>
      </c>
      <c r="AH51" s="216">
        <f t="shared" si="150"/>
        <v>354879</v>
      </c>
      <c r="AI51" s="216">
        <f t="shared" si="150"/>
        <v>333646</v>
      </c>
      <c r="AJ51" s="216">
        <f t="shared" si="150"/>
        <v>417991</v>
      </c>
      <c r="AK51" s="216">
        <f t="shared" si="150"/>
        <v>363531</v>
      </c>
      <c r="AL51" s="216">
        <f t="shared" si="150"/>
        <v>423656</v>
      </c>
      <c r="AM51" s="216">
        <f t="shared" si="150"/>
        <v>407352</v>
      </c>
      <c r="AN51" s="216">
        <f t="shared" si="150"/>
        <v>351831</v>
      </c>
      <c r="AO51" s="216">
        <f t="shared" si="150"/>
        <v>351424</v>
      </c>
      <c r="AP51" s="216">
        <f t="shared" si="150"/>
        <v>325800</v>
      </c>
      <c r="AQ51" s="217">
        <f t="shared" si="150"/>
        <v>301790</v>
      </c>
    </row>
    <row r="52" spans="2:43" ht="7.8" customHeight="1" x14ac:dyDescent="0.25">
      <c r="B52" s="28"/>
      <c r="C52" s="160"/>
      <c r="D52" s="218"/>
      <c r="E52" s="219" t="s">
        <v>30</v>
      </c>
      <c r="F52" s="220">
        <f t="shared" ref="F52:Y52" si="151">IFERROR(F51/F50,0)</f>
        <v>164.90310077519379</v>
      </c>
      <c r="G52" s="220">
        <f t="shared" si="151"/>
        <v>0</v>
      </c>
      <c r="H52" s="220">
        <f t="shared" si="151"/>
        <v>154.27835051546393</v>
      </c>
      <c r="I52" s="221">
        <f t="shared" si="151"/>
        <v>153.4308943089431</v>
      </c>
      <c r="J52" s="222">
        <f t="shared" si="151"/>
        <v>153.16867469879517</v>
      </c>
      <c r="K52" s="222">
        <f t="shared" si="151"/>
        <v>151.25</v>
      </c>
      <c r="L52" s="222">
        <f t="shared" si="151"/>
        <v>161.54716981132074</v>
      </c>
      <c r="M52" s="223">
        <f t="shared" si="151"/>
        <v>154.28571428571428</v>
      </c>
      <c r="N52" s="220">
        <f t="shared" si="151"/>
        <v>157.17012858555884</v>
      </c>
      <c r="O52" s="221">
        <f t="shared" si="151"/>
        <v>160.28601252609604</v>
      </c>
      <c r="P52" s="222">
        <f t="shared" si="151"/>
        <v>153.29596412556054</v>
      </c>
      <c r="Q52" s="222">
        <f t="shared" si="151"/>
        <v>159.90697674418604</v>
      </c>
      <c r="R52" s="222">
        <f t="shared" si="151"/>
        <v>0</v>
      </c>
      <c r="S52" s="223">
        <f t="shared" si="151"/>
        <v>0</v>
      </c>
      <c r="T52" s="220">
        <f t="shared" si="151"/>
        <v>167.99311629832823</v>
      </c>
      <c r="U52" s="221">
        <f t="shared" si="151"/>
        <v>186.14908158906451</v>
      </c>
      <c r="V52" s="222">
        <f t="shared" si="151"/>
        <v>164.73133450911229</v>
      </c>
      <c r="W52" s="222">
        <f t="shared" si="151"/>
        <v>159.21775386684601</v>
      </c>
      <c r="X52" s="222">
        <f t="shared" si="151"/>
        <v>185</v>
      </c>
      <c r="Y52" s="224">
        <f t="shared" si="151"/>
        <v>184.28008565310492</v>
      </c>
      <c r="AA52" s="28"/>
      <c r="AB52" s="160"/>
      <c r="AC52" s="218"/>
      <c r="AD52" s="219" t="s">
        <v>30</v>
      </c>
      <c r="AE52" s="225">
        <f t="shared" ref="AE52:AQ52" si="152">IFERROR(AE51/AE50,0)</f>
        <v>164.90310077519379</v>
      </c>
      <c r="AF52" s="226">
        <f t="shared" si="152"/>
        <v>138.01949317738791</v>
      </c>
      <c r="AG52" s="227">
        <f t="shared" si="152"/>
        <v>164.57422056770591</v>
      </c>
      <c r="AH52" s="227">
        <f t="shared" si="152"/>
        <v>164.21980564553448</v>
      </c>
      <c r="AI52" s="227">
        <f t="shared" si="152"/>
        <v>154.10900692840647</v>
      </c>
      <c r="AJ52" s="227">
        <f t="shared" si="152"/>
        <v>162.07483520744475</v>
      </c>
      <c r="AK52" s="227">
        <f t="shared" si="152"/>
        <v>168.37934228809635</v>
      </c>
      <c r="AL52" s="227">
        <f t="shared" si="152"/>
        <v>188.12433392539964</v>
      </c>
      <c r="AM52" s="227">
        <f t="shared" si="152"/>
        <v>177.57279860505668</v>
      </c>
      <c r="AN52" s="227">
        <f t="shared" si="152"/>
        <v>173.14517716535434</v>
      </c>
      <c r="AO52" s="227">
        <f t="shared" si="152"/>
        <v>159.88353048225659</v>
      </c>
      <c r="AP52" s="227">
        <f t="shared" si="152"/>
        <v>164.21370967741936</v>
      </c>
      <c r="AQ52" s="228">
        <f t="shared" si="152"/>
        <v>169.73565804274466</v>
      </c>
    </row>
    <row r="53" spans="2:43" ht="7.8" customHeight="1" x14ac:dyDescent="0.25">
      <c r="B53" s="28"/>
      <c r="C53" s="160"/>
      <c r="D53" s="229" t="s">
        <v>43</v>
      </c>
      <c r="E53" s="185" t="s">
        <v>32</v>
      </c>
      <c r="F53" s="186">
        <f t="shared" ref="F53:Y55" si="153">F50-F47</f>
        <v>8615</v>
      </c>
      <c r="G53" s="186">
        <f t="shared" si="153"/>
        <v>-2186</v>
      </c>
      <c r="H53" s="186">
        <f t="shared" si="153"/>
        <v>1134</v>
      </c>
      <c r="I53" s="187">
        <f t="shared" si="153"/>
        <v>417</v>
      </c>
      <c r="J53" s="188">
        <f t="shared" si="153"/>
        <v>597</v>
      </c>
      <c r="K53" s="188">
        <f t="shared" si="153"/>
        <v>67</v>
      </c>
      <c r="L53" s="188">
        <f t="shared" si="153"/>
        <v>118</v>
      </c>
      <c r="M53" s="189">
        <f t="shared" si="153"/>
        <v>-65</v>
      </c>
      <c r="N53" s="186">
        <f t="shared" si="153"/>
        <v>2903</v>
      </c>
      <c r="O53" s="187">
        <f t="shared" si="153"/>
        <v>1025</v>
      </c>
      <c r="P53" s="188">
        <f t="shared" si="153"/>
        <v>1774</v>
      </c>
      <c r="Q53" s="188">
        <f t="shared" si="153"/>
        <v>136</v>
      </c>
      <c r="R53" s="188">
        <f t="shared" si="153"/>
        <v>0</v>
      </c>
      <c r="S53" s="189">
        <f t="shared" si="153"/>
        <v>-32</v>
      </c>
      <c r="T53" s="186">
        <f t="shared" si="153"/>
        <v>6764</v>
      </c>
      <c r="U53" s="187">
        <f t="shared" si="153"/>
        <v>1364</v>
      </c>
      <c r="V53" s="188">
        <f t="shared" si="153"/>
        <v>129</v>
      </c>
      <c r="W53" s="188">
        <f t="shared" si="153"/>
        <v>3261</v>
      </c>
      <c r="X53" s="188">
        <f t="shared" si="153"/>
        <v>-88</v>
      </c>
      <c r="Y53" s="190">
        <f t="shared" si="153"/>
        <v>2098</v>
      </c>
      <c r="AA53" s="28"/>
      <c r="AB53" s="160"/>
      <c r="AC53" s="229" t="s">
        <v>43</v>
      </c>
      <c r="AD53" s="185" t="s">
        <v>32</v>
      </c>
      <c r="AE53" s="191">
        <f t="shared" ref="AE53:AQ55" si="154">AE50-AE47</f>
        <v>8615</v>
      </c>
      <c r="AF53" s="192">
        <f t="shared" si="154"/>
        <v>325</v>
      </c>
      <c r="AG53" s="193">
        <f t="shared" si="154"/>
        <v>124</v>
      </c>
      <c r="AH53" s="193">
        <f t="shared" si="154"/>
        <v>-106</v>
      </c>
      <c r="AI53" s="193">
        <f t="shared" si="154"/>
        <v>153</v>
      </c>
      <c r="AJ53" s="193">
        <f t="shared" si="154"/>
        <v>67</v>
      </c>
      <c r="AK53" s="193">
        <f t="shared" si="154"/>
        <v>96</v>
      </c>
      <c r="AL53" s="193">
        <f t="shared" si="154"/>
        <v>205</v>
      </c>
      <c r="AM53" s="193">
        <f t="shared" si="154"/>
        <v>-241</v>
      </c>
      <c r="AN53" s="193">
        <f t="shared" si="154"/>
        <v>2032</v>
      </c>
      <c r="AO53" s="193">
        <f t="shared" si="154"/>
        <v>2198</v>
      </c>
      <c r="AP53" s="193">
        <f t="shared" si="154"/>
        <v>1984</v>
      </c>
      <c r="AQ53" s="194">
        <f t="shared" si="154"/>
        <v>1778</v>
      </c>
    </row>
    <row r="54" spans="2:43" s="112" customFormat="1" ht="7.8" customHeight="1" x14ac:dyDescent="0.25">
      <c r="B54" s="28"/>
      <c r="C54" s="160"/>
      <c r="D54" s="161"/>
      <c r="E54" s="230" t="s">
        <v>33</v>
      </c>
      <c r="F54" s="163">
        <f t="shared" si="153"/>
        <v>1421068.7199999997</v>
      </c>
      <c r="G54" s="163">
        <f t="shared" si="153"/>
        <v>-342874</v>
      </c>
      <c r="H54" s="163">
        <f t="shared" si="153"/>
        <v>164360</v>
      </c>
      <c r="I54" s="231">
        <f t="shared" si="153"/>
        <v>61545</v>
      </c>
      <c r="J54" s="232">
        <f t="shared" si="153"/>
        <v>86706</v>
      </c>
      <c r="K54" s="232">
        <f t="shared" si="153"/>
        <v>10183</v>
      </c>
      <c r="L54" s="232">
        <f t="shared" si="153"/>
        <v>18422</v>
      </c>
      <c r="M54" s="233">
        <f t="shared" si="153"/>
        <v>-12496</v>
      </c>
      <c r="N54" s="163">
        <f t="shared" si="153"/>
        <v>433063.16</v>
      </c>
      <c r="O54" s="231">
        <f t="shared" si="153"/>
        <v>151971</v>
      </c>
      <c r="P54" s="232">
        <f t="shared" si="153"/>
        <v>265406</v>
      </c>
      <c r="Q54" s="232">
        <f t="shared" si="153"/>
        <v>21109</v>
      </c>
      <c r="R54" s="232">
        <f t="shared" si="153"/>
        <v>0</v>
      </c>
      <c r="S54" s="233">
        <f t="shared" si="153"/>
        <v>-5422.84</v>
      </c>
      <c r="T54" s="163">
        <f t="shared" si="153"/>
        <v>1166519.56</v>
      </c>
      <c r="U54" s="231">
        <f t="shared" si="153"/>
        <v>221450.17999999996</v>
      </c>
      <c r="V54" s="232">
        <f t="shared" si="153"/>
        <v>67977.560000000056</v>
      </c>
      <c r="W54" s="232">
        <f t="shared" si="153"/>
        <v>492931.01</v>
      </c>
      <c r="X54" s="232">
        <f t="shared" si="153"/>
        <v>-9460</v>
      </c>
      <c r="Y54" s="234">
        <f t="shared" si="153"/>
        <v>393620.81</v>
      </c>
      <c r="AA54" s="28"/>
      <c r="AB54" s="160"/>
      <c r="AC54" s="161"/>
      <c r="AD54" s="230" t="s">
        <v>33</v>
      </c>
      <c r="AE54" s="169">
        <f t="shared" si="154"/>
        <v>1421068.7200000007</v>
      </c>
      <c r="AF54" s="235">
        <f t="shared" si="154"/>
        <v>-9679.9399999999441</v>
      </c>
      <c r="AG54" s="236">
        <f t="shared" si="154"/>
        <v>8520</v>
      </c>
      <c r="AH54" s="236">
        <f t="shared" si="154"/>
        <v>-12000.590000000026</v>
      </c>
      <c r="AI54" s="236">
        <f t="shared" si="154"/>
        <v>8290.7700000000186</v>
      </c>
      <c r="AJ54" s="236">
        <f t="shared" si="154"/>
        <v>27120.670000000042</v>
      </c>
      <c r="AK54" s="236">
        <f t="shared" si="154"/>
        <v>25101.199999999953</v>
      </c>
      <c r="AL54" s="236">
        <f t="shared" si="154"/>
        <v>57229.390000000014</v>
      </c>
      <c r="AM54" s="236">
        <f t="shared" si="154"/>
        <v>-14357.779999999912</v>
      </c>
      <c r="AN54" s="236">
        <f t="shared" si="154"/>
        <v>351831</v>
      </c>
      <c r="AO54" s="236">
        <f t="shared" si="154"/>
        <v>351424</v>
      </c>
      <c r="AP54" s="236">
        <f t="shared" si="154"/>
        <v>325800</v>
      </c>
      <c r="AQ54" s="237">
        <f t="shared" si="154"/>
        <v>301790</v>
      </c>
    </row>
    <row r="55" spans="2:43" ht="7.8" customHeight="1" x14ac:dyDescent="0.25">
      <c r="B55" s="28"/>
      <c r="C55" s="160"/>
      <c r="D55" s="173"/>
      <c r="E55" s="174" t="s">
        <v>30</v>
      </c>
      <c r="F55" s="175">
        <f t="shared" si="153"/>
        <v>2.4208057268225502E-2</v>
      </c>
      <c r="G55" s="175">
        <f t="shared" si="153"/>
        <v>-156.84995425434585</v>
      </c>
      <c r="H55" s="175">
        <f t="shared" si="153"/>
        <v>-13.141004323245738</v>
      </c>
      <c r="I55" s="176">
        <f t="shared" si="153"/>
        <v>-12.301428923380143</v>
      </c>
      <c r="J55" s="177">
        <f t="shared" si="153"/>
        <v>-20.324887532964482</v>
      </c>
      <c r="K55" s="177">
        <f t="shared" si="153"/>
        <v>0.52956989247311981</v>
      </c>
      <c r="L55" s="177">
        <f t="shared" si="153"/>
        <v>-4.3575920934411556</v>
      </c>
      <c r="M55" s="178">
        <f t="shared" si="153"/>
        <v>-18.277248677248679</v>
      </c>
      <c r="N55" s="175">
        <f t="shared" si="153"/>
        <v>-10.781469927452321</v>
      </c>
      <c r="O55" s="176">
        <f t="shared" si="153"/>
        <v>-8.9942794447068763</v>
      </c>
      <c r="P55" s="177">
        <f t="shared" si="153"/>
        <v>-14.344386751632442</v>
      </c>
      <c r="Q55" s="177">
        <f t="shared" si="153"/>
        <v>-2.1712545483309782</v>
      </c>
      <c r="R55" s="177">
        <f t="shared" si="153"/>
        <v>0</v>
      </c>
      <c r="S55" s="178">
        <f t="shared" si="153"/>
        <v>-169.46375</v>
      </c>
      <c r="T55" s="175">
        <f t="shared" si="153"/>
        <v>2.406157629856466</v>
      </c>
      <c r="U55" s="176">
        <f t="shared" si="153"/>
        <v>-33.221256179615153</v>
      </c>
      <c r="V55" s="177">
        <f t="shared" si="153"/>
        <v>7.0003322619212724</v>
      </c>
      <c r="W55" s="177">
        <f t="shared" si="153"/>
        <v>-6.2956601245291779</v>
      </c>
      <c r="X55" s="177">
        <f t="shared" si="153"/>
        <v>13.805668016194346</v>
      </c>
      <c r="Y55" s="179">
        <f t="shared" si="153"/>
        <v>29.540887340868636</v>
      </c>
      <c r="AA55" s="28"/>
      <c r="AB55" s="160"/>
      <c r="AC55" s="173"/>
      <c r="AD55" s="174" t="s">
        <v>30</v>
      </c>
      <c r="AE55" s="180">
        <f t="shared" si="154"/>
        <v>2.4208057268282346E-2</v>
      </c>
      <c r="AF55" s="181">
        <f t="shared" si="154"/>
        <v>-24.34655146546919</v>
      </c>
      <c r="AG55" s="182">
        <f t="shared" si="154"/>
        <v>-5.8702238767385495</v>
      </c>
      <c r="AH55" s="182">
        <f t="shared" si="154"/>
        <v>2.3849622401529018</v>
      </c>
      <c r="AI55" s="182">
        <f t="shared" si="154"/>
        <v>-7.5983638469414245</v>
      </c>
      <c r="AJ55" s="182">
        <f t="shared" si="154"/>
        <v>6.47358918833649</v>
      </c>
      <c r="AK55" s="182">
        <f t="shared" si="154"/>
        <v>4.331935598808883</v>
      </c>
      <c r="AL55" s="182">
        <f t="shared" si="154"/>
        <v>9.117685171125089</v>
      </c>
      <c r="AM55" s="182">
        <f t="shared" si="154"/>
        <v>11.217855804267742</v>
      </c>
      <c r="AN55" s="182">
        <f t="shared" si="154"/>
        <v>173.14517716535434</v>
      </c>
      <c r="AO55" s="182">
        <f t="shared" si="154"/>
        <v>159.88353048225659</v>
      </c>
      <c r="AP55" s="182">
        <f t="shared" si="154"/>
        <v>164.21370967741936</v>
      </c>
      <c r="AQ55" s="183">
        <f t="shared" si="154"/>
        <v>169.73565804274466</v>
      </c>
    </row>
    <row r="56" spans="2:43" ht="7.8" customHeight="1" x14ac:dyDescent="0.25">
      <c r="B56" s="28"/>
      <c r="C56" s="160"/>
      <c r="D56" s="229" t="s">
        <v>44</v>
      </c>
      <c r="E56" s="185" t="s">
        <v>32</v>
      </c>
      <c r="F56" s="238">
        <f t="shared" ref="F56:Y58" si="155">IFERROR((F50-F47)/ABS(F47),"")</f>
        <v>0.48669566691147392</v>
      </c>
      <c r="G56" s="238">
        <f t="shared" si="155"/>
        <v>-1</v>
      </c>
      <c r="H56" s="238">
        <f t="shared" si="155"/>
        <v>1.4069478908188586</v>
      </c>
      <c r="I56" s="239">
        <f t="shared" si="155"/>
        <v>2.106060606060606</v>
      </c>
      <c r="J56" s="240">
        <f t="shared" si="155"/>
        <v>2.5622317596566524</v>
      </c>
      <c r="K56" s="240">
        <f t="shared" si="155"/>
        <v>0.72043010752688175</v>
      </c>
      <c r="L56" s="240">
        <f t="shared" si="155"/>
        <v>0.80272108843537415</v>
      </c>
      <c r="M56" s="241">
        <f t="shared" si="155"/>
        <v>-0.48148148148148145</v>
      </c>
      <c r="N56" s="238">
        <f t="shared" si="155"/>
        <v>1.3489776951672863</v>
      </c>
      <c r="O56" s="239">
        <f t="shared" si="155"/>
        <v>0.74817518248175185</v>
      </c>
      <c r="P56" s="240">
        <f t="shared" si="155"/>
        <v>3.8903508771929824</v>
      </c>
      <c r="Q56" s="240">
        <f t="shared" si="155"/>
        <v>0.46258503401360546</v>
      </c>
      <c r="R56" s="240" t="str">
        <f t="shared" si="155"/>
        <v/>
      </c>
      <c r="S56" s="241">
        <f t="shared" si="155"/>
        <v>-1</v>
      </c>
      <c r="T56" s="238">
        <f t="shared" si="155"/>
        <v>0.53866369355737831</v>
      </c>
      <c r="U56" s="239">
        <f t="shared" si="155"/>
        <v>1.3961105424769704</v>
      </c>
      <c r="V56" s="240">
        <f t="shared" si="155"/>
        <v>1.9325842696629212E-2</v>
      </c>
      <c r="W56" s="240">
        <f t="shared" si="155"/>
        <v>0.78126497364638237</v>
      </c>
      <c r="X56" s="240">
        <f t="shared" si="155"/>
        <v>-0.17813765182186234</v>
      </c>
      <c r="Y56" s="242">
        <f t="shared" si="155"/>
        <v>8.852320675105485</v>
      </c>
      <c r="AA56" s="28"/>
      <c r="AB56" s="160"/>
      <c r="AC56" s="229" t="s">
        <v>44</v>
      </c>
      <c r="AD56" s="185" t="s">
        <v>32</v>
      </c>
      <c r="AE56" s="243">
        <f t="shared" ref="AE56:AQ58" si="156">IFERROR((AE50-AE47)/ABS(AE47),"")</f>
        <v>0.48669566691147392</v>
      </c>
      <c r="AF56" s="244">
        <f t="shared" si="156"/>
        <v>0.14508928571428573</v>
      </c>
      <c r="AG56" s="245">
        <f t="shared" si="156"/>
        <v>6.123456790123457E-2</v>
      </c>
      <c r="AH56" s="245">
        <f t="shared" si="156"/>
        <v>-4.6757829730921921E-2</v>
      </c>
      <c r="AI56" s="245">
        <f t="shared" si="156"/>
        <v>7.6043737574552683E-2</v>
      </c>
      <c r="AJ56" s="245">
        <f t="shared" si="156"/>
        <v>2.6671974522292995E-2</v>
      </c>
      <c r="AK56" s="245">
        <f t="shared" si="156"/>
        <v>4.65341735336888E-2</v>
      </c>
      <c r="AL56" s="245">
        <f t="shared" si="156"/>
        <v>0.10014655593551539</v>
      </c>
      <c r="AM56" s="245">
        <f t="shared" si="156"/>
        <v>-9.5069033530571986E-2</v>
      </c>
      <c r="AN56" s="245" t="str">
        <f t="shared" si="156"/>
        <v/>
      </c>
      <c r="AO56" s="245" t="str">
        <f t="shared" si="156"/>
        <v/>
      </c>
      <c r="AP56" s="245" t="str">
        <f t="shared" si="156"/>
        <v/>
      </c>
      <c r="AQ56" s="246" t="str">
        <f t="shared" si="156"/>
        <v/>
      </c>
    </row>
    <row r="57" spans="2:43" ht="7.8" customHeight="1" x14ac:dyDescent="0.25">
      <c r="B57" s="28"/>
      <c r="C57" s="160"/>
      <c r="D57" s="161"/>
      <c r="E57" s="247" t="s">
        <v>33</v>
      </c>
      <c r="F57" s="248">
        <f t="shared" si="155"/>
        <v>0.48691394842253799</v>
      </c>
      <c r="G57" s="248">
        <f t="shared" si="155"/>
        <v>-1</v>
      </c>
      <c r="H57" s="248">
        <f t="shared" si="155"/>
        <v>1.2180228249592411</v>
      </c>
      <c r="I57" s="249">
        <f t="shared" si="155"/>
        <v>1.8755142465335974</v>
      </c>
      <c r="J57" s="250">
        <f t="shared" si="155"/>
        <v>2.1449139125272114</v>
      </c>
      <c r="K57" s="250">
        <f t="shared" si="155"/>
        <v>0.72647499464935439</v>
      </c>
      <c r="L57" s="250">
        <f t="shared" si="155"/>
        <v>0.7553714941774643</v>
      </c>
      <c r="M57" s="251">
        <f t="shared" si="155"/>
        <v>-0.53640109890109888</v>
      </c>
      <c r="N57" s="248">
        <f t="shared" si="155"/>
        <v>1.1981876306193719</v>
      </c>
      <c r="O57" s="249">
        <f t="shared" si="155"/>
        <v>0.65529032313702495</v>
      </c>
      <c r="P57" s="250">
        <f t="shared" si="155"/>
        <v>3.4719009994244154</v>
      </c>
      <c r="Q57" s="250">
        <f t="shared" si="155"/>
        <v>0.44299175253404965</v>
      </c>
      <c r="R57" s="250" t="str">
        <f t="shared" si="155"/>
        <v/>
      </c>
      <c r="S57" s="251">
        <f t="shared" si="155"/>
        <v>-1</v>
      </c>
      <c r="T57" s="248">
        <f t="shared" si="155"/>
        <v>0.56102214144365603</v>
      </c>
      <c r="U57" s="249">
        <f t="shared" si="155"/>
        <v>1.0332456128972833</v>
      </c>
      <c r="V57" s="250">
        <f t="shared" si="155"/>
        <v>6.4565012424699531E-2</v>
      </c>
      <c r="W57" s="250">
        <f t="shared" si="155"/>
        <v>0.71351071376270658</v>
      </c>
      <c r="X57" s="250">
        <f t="shared" si="155"/>
        <v>-0.11185999763509519</v>
      </c>
      <c r="Y57" s="252">
        <f t="shared" si="155"/>
        <v>10.733203465528904</v>
      </c>
      <c r="AA57" s="28"/>
      <c r="AB57" s="160"/>
      <c r="AC57" s="161"/>
      <c r="AD57" s="247" t="s">
        <v>33</v>
      </c>
      <c r="AE57" s="253">
        <f t="shared" si="156"/>
        <v>0.48691394842253849</v>
      </c>
      <c r="AF57" s="254">
        <f t="shared" si="156"/>
        <v>-2.6615181734701263E-2</v>
      </c>
      <c r="AG57" s="255">
        <f t="shared" si="156"/>
        <v>2.4684919600173837E-2</v>
      </c>
      <c r="AH57" s="255">
        <f t="shared" si="156"/>
        <v>-3.2709887186692571E-2</v>
      </c>
      <c r="AI57" s="255">
        <f t="shared" si="156"/>
        <v>2.5482209091890175E-2</v>
      </c>
      <c r="AJ57" s="255">
        <f t="shared" si="156"/>
        <v>6.9385338099210658E-2</v>
      </c>
      <c r="AK57" s="255">
        <f t="shared" si="156"/>
        <v>7.4169591448507044E-2</v>
      </c>
      <c r="AL57" s="255">
        <f t="shared" si="156"/>
        <v>0.1561824071674271</v>
      </c>
      <c r="AM57" s="255">
        <f t="shared" si="156"/>
        <v>-3.404659005062656E-2</v>
      </c>
      <c r="AN57" s="255" t="str">
        <f t="shared" si="156"/>
        <v/>
      </c>
      <c r="AO57" s="255" t="str">
        <f t="shared" si="156"/>
        <v/>
      </c>
      <c r="AP57" s="255" t="str">
        <f t="shared" si="156"/>
        <v/>
      </c>
      <c r="AQ57" s="256" t="str">
        <f t="shared" si="156"/>
        <v/>
      </c>
    </row>
    <row r="58" spans="2:43" ht="7.8" customHeight="1" x14ac:dyDescent="0.25">
      <c r="B58" s="28"/>
      <c r="C58" s="270"/>
      <c r="D58" s="271"/>
      <c r="E58" s="272" t="s">
        <v>30</v>
      </c>
      <c r="F58" s="273">
        <f t="shared" si="155"/>
        <v>1.4682326445290115E-4</v>
      </c>
      <c r="G58" s="273">
        <f t="shared" si="155"/>
        <v>-1</v>
      </c>
      <c r="H58" s="273">
        <f t="shared" si="155"/>
        <v>-7.8491547980851242E-2</v>
      </c>
      <c r="I58" s="274">
        <f t="shared" si="155"/>
        <v>-7.4224681603817413E-2</v>
      </c>
      <c r="J58" s="275">
        <f t="shared" si="155"/>
        <v>-0.11715067274838523</v>
      </c>
      <c r="K58" s="275">
        <f t="shared" si="155"/>
        <v>3.5135906399372291E-3</v>
      </c>
      <c r="L58" s="275">
        <f t="shared" si="155"/>
        <v>-2.6265623984576426E-2</v>
      </c>
      <c r="M58" s="276">
        <f t="shared" si="155"/>
        <v>-0.10591640502354789</v>
      </c>
      <c r="N58" s="273">
        <f t="shared" si="155"/>
        <v>-6.419391076302905E-2</v>
      </c>
      <c r="O58" s="274">
        <f t="shared" si="155"/>
        <v>-5.3132466514520124E-2</v>
      </c>
      <c r="P58" s="275">
        <f t="shared" si="155"/>
        <v>-8.556643240469354E-2</v>
      </c>
      <c r="Q58" s="275">
        <f t="shared" si="155"/>
        <v>-1.3396336639510347E-2</v>
      </c>
      <c r="R58" s="275" t="str">
        <f t="shared" si="155"/>
        <v/>
      </c>
      <c r="S58" s="276">
        <f t="shared" si="155"/>
        <v>-1</v>
      </c>
      <c r="T58" s="273">
        <f t="shared" si="155"/>
        <v>1.4531081730137516E-2</v>
      </c>
      <c r="U58" s="274">
        <f t="shared" si="155"/>
        <v>-0.15143914404073219</v>
      </c>
      <c r="V58" s="275">
        <f t="shared" si="155"/>
        <v>4.4381460601832567E-2</v>
      </c>
      <c r="W58" s="275">
        <f t="shared" si="155"/>
        <v>-3.8037159482779088E-2</v>
      </c>
      <c r="X58" s="275">
        <f t="shared" si="155"/>
        <v>8.0643254109022205E-2</v>
      </c>
      <c r="Y58" s="277">
        <f t="shared" si="155"/>
        <v>0.19090758943483965</v>
      </c>
      <c r="AA58" s="28"/>
      <c r="AB58" s="270"/>
      <c r="AC58" s="271"/>
      <c r="AD58" s="272" t="s">
        <v>30</v>
      </c>
      <c r="AE58" s="278">
        <f t="shared" si="156"/>
        <v>1.4682326445324595E-4</v>
      </c>
      <c r="AF58" s="279">
        <f t="shared" si="156"/>
        <v>-0.149948540774164</v>
      </c>
      <c r="AG58" s="280">
        <f t="shared" si="156"/>
        <v>-3.444068767317271E-2</v>
      </c>
      <c r="AH58" s="280">
        <f t="shared" si="156"/>
        <v>1.4737013302993028E-2</v>
      </c>
      <c r="AI58" s="280">
        <f t="shared" si="156"/>
        <v>-4.6988358109522774E-2</v>
      </c>
      <c r="AJ58" s="280">
        <f t="shared" si="156"/>
        <v>4.1603710471197097E-2</v>
      </c>
      <c r="AK58" s="280">
        <f t="shared" si="156"/>
        <v>2.6406608225229351E-2</v>
      </c>
      <c r="AL58" s="280">
        <f t="shared" si="156"/>
        <v>5.0934896745880594E-2</v>
      </c>
      <c r="AM58" s="280">
        <f t="shared" si="156"/>
        <v>6.7433258161142789E-2</v>
      </c>
      <c r="AN58" s="280" t="str">
        <f t="shared" si="156"/>
        <v/>
      </c>
      <c r="AO58" s="280" t="str">
        <f t="shared" si="156"/>
        <v/>
      </c>
      <c r="AP58" s="280" t="str">
        <f t="shared" si="156"/>
        <v/>
      </c>
      <c r="AQ58" s="281" t="str">
        <f t="shared" si="156"/>
        <v/>
      </c>
    </row>
    <row r="59" spans="2:43" ht="7.8" customHeight="1" x14ac:dyDescent="0.25">
      <c r="B59" s="282" t="s">
        <v>46</v>
      </c>
      <c r="C59" s="283" t="s">
        <v>9</v>
      </c>
      <c r="D59" s="284" t="s">
        <v>39</v>
      </c>
      <c r="E59" s="285" t="s">
        <v>32</v>
      </c>
      <c r="F59" s="286">
        <f>SUM(G59,H59,N59,T59)</f>
        <v>0</v>
      </c>
      <c r="G59" s="286">
        <f>SUM(G77,G95)</f>
        <v>0</v>
      </c>
      <c r="H59" s="286">
        <f>SUM(I59:M59)</f>
        <v>0</v>
      </c>
      <c r="I59" s="287">
        <f t="shared" ref="I59:M60" si="157">SUM(I77,I95)</f>
        <v>0</v>
      </c>
      <c r="J59" s="288">
        <f t="shared" si="157"/>
        <v>0</v>
      </c>
      <c r="K59" s="288">
        <f t="shared" si="157"/>
        <v>0</v>
      </c>
      <c r="L59" s="288">
        <f t="shared" si="157"/>
        <v>0</v>
      </c>
      <c r="M59" s="289">
        <f t="shared" si="157"/>
        <v>0</v>
      </c>
      <c r="N59" s="286">
        <f>SUM(O59:S59)</f>
        <v>0</v>
      </c>
      <c r="O59" s="287">
        <f t="shared" ref="O59:S60" si="158">SUM(O77,O95)</f>
        <v>0</v>
      </c>
      <c r="P59" s="288">
        <f t="shared" si="158"/>
        <v>0</v>
      </c>
      <c r="Q59" s="288">
        <f t="shared" si="158"/>
        <v>0</v>
      </c>
      <c r="R59" s="288">
        <f t="shared" si="158"/>
        <v>0</v>
      </c>
      <c r="S59" s="289">
        <f t="shared" si="158"/>
        <v>0</v>
      </c>
      <c r="T59" s="286">
        <f>SUM(U59:Y59)</f>
        <v>0</v>
      </c>
      <c r="U59" s="287">
        <f t="shared" ref="U59:Y60" si="159">SUM(U77,U95)</f>
        <v>0</v>
      </c>
      <c r="V59" s="288">
        <f t="shared" si="159"/>
        <v>0</v>
      </c>
      <c r="W59" s="288">
        <f t="shared" si="159"/>
        <v>0</v>
      </c>
      <c r="X59" s="288">
        <f t="shared" si="159"/>
        <v>0</v>
      </c>
      <c r="Y59" s="290">
        <f t="shared" si="159"/>
        <v>0</v>
      </c>
      <c r="AA59" s="291" t="s">
        <v>47</v>
      </c>
      <c r="AB59" s="292" t="s">
        <v>9</v>
      </c>
      <c r="AC59" s="293" t="s">
        <v>39</v>
      </c>
      <c r="AD59" s="294" t="s">
        <v>32</v>
      </c>
      <c r="AE59" s="286">
        <f t="shared" ref="AE59:AE60" si="160">SUM(AF59:AQ59)</f>
        <v>0</v>
      </c>
      <c r="AF59" s="287">
        <f t="shared" ref="AF59:AQ60" si="161">SUM(AF77,AF95)</f>
        <v>0</v>
      </c>
      <c r="AG59" s="288">
        <f t="shared" si="161"/>
        <v>0</v>
      </c>
      <c r="AH59" s="288">
        <f t="shared" si="161"/>
        <v>0</v>
      </c>
      <c r="AI59" s="288">
        <f t="shared" si="161"/>
        <v>0</v>
      </c>
      <c r="AJ59" s="288">
        <f t="shared" si="161"/>
        <v>0</v>
      </c>
      <c r="AK59" s="288">
        <f t="shared" si="161"/>
        <v>0</v>
      </c>
      <c r="AL59" s="288">
        <f t="shared" si="161"/>
        <v>0</v>
      </c>
      <c r="AM59" s="288">
        <f t="shared" si="161"/>
        <v>0</v>
      </c>
      <c r="AN59" s="288">
        <f t="shared" si="161"/>
        <v>0</v>
      </c>
      <c r="AO59" s="288">
        <f t="shared" si="161"/>
        <v>0</v>
      </c>
      <c r="AP59" s="288">
        <f t="shared" si="161"/>
        <v>0</v>
      </c>
      <c r="AQ59" s="290">
        <f t="shared" si="161"/>
        <v>0</v>
      </c>
    </row>
    <row r="60" spans="2:43" s="41" customFormat="1" ht="7.8" customHeight="1" x14ac:dyDescent="0.25">
      <c r="B60" s="282"/>
      <c r="C60" s="295"/>
      <c r="D60" s="296"/>
      <c r="E60" s="297" t="s">
        <v>33</v>
      </c>
      <c r="F60" s="298">
        <f>SUM(G60,H60,N60,T60)</f>
        <v>0</v>
      </c>
      <c r="G60" s="298">
        <f>SUM(G78,G96)</f>
        <v>0</v>
      </c>
      <c r="H60" s="298">
        <f>SUM(I60:M60)</f>
        <v>0</v>
      </c>
      <c r="I60" s="299">
        <f t="shared" si="157"/>
        <v>0</v>
      </c>
      <c r="J60" s="300">
        <f t="shared" si="157"/>
        <v>0</v>
      </c>
      <c r="K60" s="300">
        <f t="shared" si="157"/>
        <v>0</v>
      </c>
      <c r="L60" s="300">
        <f t="shared" si="157"/>
        <v>0</v>
      </c>
      <c r="M60" s="301">
        <f t="shared" si="157"/>
        <v>0</v>
      </c>
      <c r="N60" s="298">
        <f>SUM(O60:S60)</f>
        <v>0</v>
      </c>
      <c r="O60" s="299">
        <f t="shared" si="158"/>
        <v>0</v>
      </c>
      <c r="P60" s="300">
        <f t="shared" si="158"/>
        <v>0</v>
      </c>
      <c r="Q60" s="300">
        <f t="shared" si="158"/>
        <v>0</v>
      </c>
      <c r="R60" s="300">
        <f t="shared" si="158"/>
        <v>0</v>
      </c>
      <c r="S60" s="301">
        <f t="shared" si="158"/>
        <v>0</v>
      </c>
      <c r="T60" s="298">
        <f>SUM(U60:Y60)</f>
        <v>0</v>
      </c>
      <c r="U60" s="299">
        <f t="shared" si="159"/>
        <v>0</v>
      </c>
      <c r="V60" s="300">
        <f t="shared" si="159"/>
        <v>0</v>
      </c>
      <c r="W60" s="300">
        <f t="shared" si="159"/>
        <v>0</v>
      </c>
      <c r="X60" s="300">
        <f t="shared" si="159"/>
        <v>0</v>
      </c>
      <c r="Y60" s="302">
        <f t="shared" si="159"/>
        <v>0</v>
      </c>
      <c r="AA60" s="291"/>
      <c r="AB60" s="303"/>
      <c r="AC60" s="304"/>
      <c r="AD60" s="305" t="s">
        <v>33</v>
      </c>
      <c r="AE60" s="298">
        <f t="shared" si="160"/>
        <v>0</v>
      </c>
      <c r="AF60" s="299">
        <f t="shared" si="161"/>
        <v>0</v>
      </c>
      <c r="AG60" s="300">
        <f t="shared" si="161"/>
        <v>0</v>
      </c>
      <c r="AH60" s="300">
        <f t="shared" si="161"/>
        <v>0</v>
      </c>
      <c r="AI60" s="300">
        <f t="shared" si="161"/>
        <v>0</v>
      </c>
      <c r="AJ60" s="300">
        <f t="shared" si="161"/>
        <v>0</v>
      </c>
      <c r="AK60" s="300">
        <f t="shared" si="161"/>
        <v>0</v>
      </c>
      <c r="AL60" s="300">
        <f t="shared" si="161"/>
        <v>0</v>
      </c>
      <c r="AM60" s="300">
        <f t="shared" si="161"/>
        <v>0</v>
      </c>
      <c r="AN60" s="300">
        <f t="shared" si="161"/>
        <v>0</v>
      </c>
      <c r="AO60" s="300">
        <f t="shared" si="161"/>
        <v>0</v>
      </c>
      <c r="AP60" s="300">
        <f t="shared" si="161"/>
        <v>0</v>
      </c>
      <c r="AQ60" s="302">
        <f t="shared" si="161"/>
        <v>0</v>
      </c>
    </row>
    <row r="61" spans="2:43" ht="7.8" customHeight="1" x14ac:dyDescent="0.25">
      <c r="B61" s="282"/>
      <c r="C61" s="295"/>
      <c r="D61" s="306"/>
      <c r="E61" s="307" t="s">
        <v>30</v>
      </c>
      <c r="F61" s="308">
        <f t="shared" ref="F61:H61" si="162">IFERROR(F60/F59,0)</f>
        <v>0</v>
      </c>
      <c r="G61" s="308">
        <f t="shared" si="162"/>
        <v>0</v>
      </c>
      <c r="H61" s="308">
        <f t="shared" si="162"/>
        <v>0</v>
      </c>
      <c r="I61" s="309">
        <f>IFERROR(I60/I59,0)</f>
        <v>0</v>
      </c>
      <c r="J61" s="310">
        <f t="shared" ref="J61:Y61" si="163">IFERROR(J60/J59,0)</f>
        <v>0</v>
      </c>
      <c r="K61" s="310">
        <f t="shared" si="163"/>
        <v>0</v>
      </c>
      <c r="L61" s="310">
        <f t="shared" si="163"/>
        <v>0</v>
      </c>
      <c r="M61" s="311">
        <f t="shared" si="163"/>
        <v>0</v>
      </c>
      <c r="N61" s="308">
        <f t="shared" si="163"/>
        <v>0</v>
      </c>
      <c r="O61" s="309">
        <f t="shared" si="163"/>
        <v>0</v>
      </c>
      <c r="P61" s="310">
        <f t="shared" si="163"/>
        <v>0</v>
      </c>
      <c r="Q61" s="310">
        <f t="shared" si="163"/>
        <v>0</v>
      </c>
      <c r="R61" s="310">
        <f t="shared" si="163"/>
        <v>0</v>
      </c>
      <c r="S61" s="311">
        <f t="shared" si="163"/>
        <v>0</v>
      </c>
      <c r="T61" s="308">
        <f t="shared" si="163"/>
        <v>0</v>
      </c>
      <c r="U61" s="309">
        <f t="shared" si="163"/>
        <v>0</v>
      </c>
      <c r="V61" s="310">
        <f t="shared" si="163"/>
        <v>0</v>
      </c>
      <c r="W61" s="310">
        <f t="shared" si="163"/>
        <v>0</v>
      </c>
      <c r="X61" s="310">
        <f t="shared" si="163"/>
        <v>0</v>
      </c>
      <c r="Y61" s="312">
        <f t="shared" si="163"/>
        <v>0</v>
      </c>
      <c r="AA61" s="291"/>
      <c r="AB61" s="303"/>
      <c r="AC61" s="313"/>
      <c r="AD61" s="314" t="s">
        <v>30</v>
      </c>
      <c r="AE61" s="308">
        <f t="shared" ref="AE61:AQ61" si="164">IFERROR(AE60/AE59,0)</f>
        <v>0</v>
      </c>
      <c r="AF61" s="309">
        <f t="shared" si="164"/>
        <v>0</v>
      </c>
      <c r="AG61" s="310">
        <f t="shared" si="164"/>
        <v>0</v>
      </c>
      <c r="AH61" s="310">
        <f t="shared" si="164"/>
        <v>0</v>
      </c>
      <c r="AI61" s="310">
        <f t="shared" si="164"/>
        <v>0</v>
      </c>
      <c r="AJ61" s="310">
        <f t="shared" si="164"/>
        <v>0</v>
      </c>
      <c r="AK61" s="310">
        <f t="shared" si="164"/>
        <v>0</v>
      </c>
      <c r="AL61" s="310">
        <f t="shared" si="164"/>
        <v>0</v>
      </c>
      <c r="AM61" s="310">
        <f t="shared" si="164"/>
        <v>0</v>
      </c>
      <c r="AN61" s="310">
        <f t="shared" si="164"/>
        <v>0</v>
      </c>
      <c r="AO61" s="310">
        <f t="shared" si="164"/>
        <v>0</v>
      </c>
      <c r="AP61" s="310">
        <f t="shared" si="164"/>
        <v>0</v>
      </c>
      <c r="AQ61" s="312">
        <f t="shared" si="164"/>
        <v>0</v>
      </c>
    </row>
    <row r="62" spans="2:43" ht="7.8" customHeight="1" x14ac:dyDescent="0.25">
      <c r="B62" s="282"/>
      <c r="C62" s="295"/>
      <c r="D62" s="315" t="s">
        <v>40</v>
      </c>
      <c r="E62" s="316" t="s">
        <v>32</v>
      </c>
      <c r="F62" s="317">
        <f t="shared" ref="F62:F63" si="165">SUM(G62,H62,N62,T62)</f>
        <v>7716</v>
      </c>
      <c r="G62" s="317">
        <f t="shared" ref="G62:G63" si="166">SUM(G80,G98)</f>
        <v>596</v>
      </c>
      <c r="H62" s="317">
        <f t="shared" ref="H62:H63" si="167">SUM(I62:M62)</f>
        <v>372</v>
      </c>
      <c r="I62" s="318">
        <f t="shared" ref="I62:M63" si="168">SUM(I80,I98)</f>
        <v>202</v>
      </c>
      <c r="J62" s="319">
        <f t="shared" si="168"/>
        <v>39</v>
      </c>
      <c r="K62" s="319">
        <f t="shared" si="168"/>
        <v>20</v>
      </c>
      <c r="L62" s="319">
        <f t="shared" si="168"/>
        <v>0</v>
      </c>
      <c r="M62" s="320">
        <f t="shared" si="168"/>
        <v>111</v>
      </c>
      <c r="N62" s="317">
        <f t="shared" ref="N62:N63" si="169">SUM(O62:S62)</f>
        <v>1385</v>
      </c>
      <c r="O62" s="318">
        <f t="shared" ref="O62:S63" si="170">SUM(O80,O98)</f>
        <v>1046</v>
      </c>
      <c r="P62" s="319">
        <f t="shared" si="170"/>
        <v>226</v>
      </c>
      <c r="Q62" s="319">
        <f t="shared" si="170"/>
        <v>108</v>
      </c>
      <c r="R62" s="319">
        <f t="shared" si="170"/>
        <v>0</v>
      </c>
      <c r="S62" s="320">
        <f t="shared" si="170"/>
        <v>5</v>
      </c>
      <c r="T62" s="317">
        <f t="shared" ref="T62:T63" si="171">SUM(U62:Y62)</f>
        <v>5363</v>
      </c>
      <c r="U62" s="318">
        <f t="shared" ref="U62:Y63" si="172">SUM(U80,U98)</f>
        <v>558</v>
      </c>
      <c r="V62" s="319">
        <f t="shared" si="172"/>
        <v>2176</v>
      </c>
      <c r="W62" s="319">
        <f t="shared" si="172"/>
        <v>1873</v>
      </c>
      <c r="X62" s="319">
        <f t="shared" si="172"/>
        <v>397</v>
      </c>
      <c r="Y62" s="321">
        <f t="shared" si="172"/>
        <v>359</v>
      </c>
      <c r="AA62" s="291"/>
      <c r="AB62" s="303"/>
      <c r="AC62" s="322" t="s">
        <v>40</v>
      </c>
      <c r="AD62" s="323" t="s">
        <v>32</v>
      </c>
      <c r="AE62" s="317">
        <f t="shared" ref="AE62:AE63" si="173">SUM(AF62:AQ62)</f>
        <v>10512</v>
      </c>
      <c r="AF62" s="318">
        <f t="shared" ref="AF62:AQ63" si="174">SUM(AF80,AF98)</f>
        <v>596</v>
      </c>
      <c r="AG62" s="319">
        <f t="shared" si="174"/>
        <v>555</v>
      </c>
      <c r="AH62" s="319">
        <f t="shared" si="174"/>
        <v>570</v>
      </c>
      <c r="AI62" s="319">
        <f t="shared" si="174"/>
        <v>948</v>
      </c>
      <c r="AJ62" s="319">
        <f t="shared" si="174"/>
        <v>1045</v>
      </c>
      <c r="AK62" s="319">
        <f t="shared" si="174"/>
        <v>1022</v>
      </c>
      <c r="AL62" s="319">
        <f t="shared" si="174"/>
        <v>1064</v>
      </c>
      <c r="AM62" s="319">
        <f t="shared" si="174"/>
        <v>1053</v>
      </c>
      <c r="AN62" s="319">
        <f t="shared" si="174"/>
        <v>1001</v>
      </c>
      <c r="AO62" s="319">
        <f t="shared" si="174"/>
        <v>918</v>
      </c>
      <c r="AP62" s="319">
        <f t="shared" si="174"/>
        <v>781</v>
      </c>
      <c r="AQ62" s="321">
        <f t="shared" si="174"/>
        <v>959</v>
      </c>
    </row>
    <row r="63" spans="2:43" s="41" customFormat="1" ht="7.8" customHeight="1" x14ac:dyDescent="0.25">
      <c r="B63" s="282"/>
      <c r="C63" s="295"/>
      <c r="D63" s="296"/>
      <c r="E63" s="297" t="s">
        <v>33</v>
      </c>
      <c r="F63" s="298">
        <f t="shared" si="165"/>
        <v>1275990</v>
      </c>
      <c r="G63" s="298">
        <f t="shared" si="166"/>
        <v>92976</v>
      </c>
      <c r="H63" s="298">
        <f t="shared" si="167"/>
        <v>68476</v>
      </c>
      <c r="I63" s="299">
        <f t="shared" si="168"/>
        <v>35829</v>
      </c>
      <c r="J63" s="300">
        <f t="shared" si="168"/>
        <v>6762</v>
      </c>
      <c r="K63" s="300">
        <f t="shared" si="168"/>
        <v>3820</v>
      </c>
      <c r="L63" s="300">
        <f t="shared" si="168"/>
        <v>0</v>
      </c>
      <c r="M63" s="301">
        <f t="shared" si="168"/>
        <v>22065</v>
      </c>
      <c r="N63" s="298">
        <f t="shared" si="169"/>
        <v>255469</v>
      </c>
      <c r="O63" s="299">
        <f t="shared" si="170"/>
        <v>194804</v>
      </c>
      <c r="P63" s="300">
        <f t="shared" si="170"/>
        <v>40795</v>
      </c>
      <c r="Q63" s="300">
        <f t="shared" si="170"/>
        <v>19225</v>
      </c>
      <c r="R63" s="300">
        <f t="shared" si="170"/>
        <v>0</v>
      </c>
      <c r="S63" s="301">
        <f t="shared" si="170"/>
        <v>645</v>
      </c>
      <c r="T63" s="298">
        <f t="shared" si="171"/>
        <v>859069</v>
      </c>
      <c r="U63" s="299">
        <f t="shared" si="172"/>
        <v>118614.31999999999</v>
      </c>
      <c r="V63" s="300">
        <f t="shared" si="172"/>
        <v>264253.29000000004</v>
      </c>
      <c r="W63" s="300">
        <f t="shared" si="172"/>
        <v>348198.39</v>
      </c>
      <c r="X63" s="300">
        <f t="shared" si="172"/>
        <v>73745</v>
      </c>
      <c r="Y63" s="302">
        <f t="shared" si="172"/>
        <v>54258</v>
      </c>
      <c r="AA63" s="291"/>
      <c r="AB63" s="303"/>
      <c r="AC63" s="304"/>
      <c r="AD63" s="305" t="s">
        <v>33</v>
      </c>
      <c r="AE63" s="298">
        <f t="shared" si="173"/>
        <v>1639750</v>
      </c>
      <c r="AF63" s="299">
        <f t="shared" si="174"/>
        <v>92976</v>
      </c>
      <c r="AG63" s="300">
        <f t="shared" si="174"/>
        <v>86926</v>
      </c>
      <c r="AH63" s="300">
        <f t="shared" si="174"/>
        <v>88920</v>
      </c>
      <c r="AI63" s="300">
        <f t="shared" si="174"/>
        <v>147576</v>
      </c>
      <c r="AJ63" s="300">
        <f t="shared" si="174"/>
        <v>163020</v>
      </c>
      <c r="AK63" s="300">
        <f t="shared" si="174"/>
        <v>159432</v>
      </c>
      <c r="AL63" s="300">
        <f t="shared" si="174"/>
        <v>165984</v>
      </c>
      <c r="AM63" s="300">
        <f t="shared" si="174"/>
        <v>164268</v>
      </c>
      <c r="AN63" s="300">
        <f t="shared" si="174"/>
        <v>156000</v>
      </c>
      <c r="AO63" s="300">
        <f t="shared" si="174"/>
        <v>143208</v>
      </c>
      <c r="AP63" s="300">
        <f t="shared" si="174"/>
        <v>121836</v>
      </c>
      <c r="AQ63" s="302">
        <f t="shared" si="174"/>
        <v>149604</v>
      </c>
    </row>
    <row r="64" spans="2:43" ht="7.8" customHeight="1" x14ac:dyDescent="0.25">
      <c r="B64" s="282"/>
      <c r="C64" s="295"/>
      <c r="D64" s="306"/>
      <c r="E64" s="307" t="s">
        <v>30</v>
      </c>
      <c r="F64" s="308">
        <f t="shared" ref="F64:Y64" si="175">IFERROR(F63/F62,0)</f>
        <v>165.36936236391912</v>
      </c>
      <c r="G64" s="308">
        <f t="shared" si="175"/>
        <v>156</v>
      </c>
      <c r="H64" s="308">
        <f t="shared" si="175"/>
        <v>184.07526881720429</v>
      </c>
      <c r="I64" s="309">
        <f t="shared" si="175"/>
        <v>177.37128712871288</v>
      </c>
      <c r="J64" s="310">
        <f t="shared" si="175"/>
        <v>173.38461538461539</v>
      </c>
      <c r="K64" s="310">
        <f t="shared" si="175"/>
        <v>191</v>
      </c>
      <c r="L64" s="310">
        <f t="shared" si="175"/>
        <v>0</v>
      </c>
      <c r="M64" s="311">
        <f t="shared" si="175"/>
        <v>198.78378378378378</v>
      </c>
      <c r="N64" s="308">
        <f t="shared" si="175"/>
        <v>184.45415162454873</v>
      </c>
      <c r="O64" s="309">
        <f t="shared" si="175"/>
        <v>186.23709369024857</v>
      </c>
      <c r="P64" s="310">
        <f t="shared" si="175"/>
        <v>180.50884955752213</v>
      </c>
      <c r="Q64" s="310">
        <f t="shared" si="175"/>
        <v>178.00925925925927</v>
      </c>
      <c r="R64" s="310">
        <f t="shared" si="175"/>
        <v>0</v>
      </c>
      <c r="S64" s="311">
        <f t="shared" si="175"/>
        <v>129</v>
      </c>
      <c r="T64" s="308">
        <f t="shared" si="175"/>
        <v>160.18441170986389</v>
      </c>
      <c r="U64" s="309">
        <f t="shared" si="175"/>
        <v>212.57046594982077</v>
      </c>
      <c r="V64" s="310">
        <f t="shared" si="175"/>
        <v>121.43993106617648</v>
      </c>
      <c r="W64" s="310">
        <f t="shared" si="175"/>
        <v>185.9041057127603</v>
      </c>
      <c r="X64" s="310">
        <f t="shared" si="175"/>
        <v>185.75566750629724</v>
      </c>
      <c r="Y64" s="312">
        <f t="shared" si="175"/>
        <v>151.13649025069637</v>
      </c>
      <c r="AA64" s="291"/>
      <c r="AB64" s="303"/>
      <c r="AC64" s="313"/>
      <c r="AD64" s="314" t="s">
        <v>30</v>
      </c>
      <c r="AE64" s="308">
        <f t="shared" ref="AE64:AQ64" si="176">IFERROR(AE63/AE62,0)</f>
        <v>155.98839421613394</v>
      </c>
      <c r="AF64" s="309">
        <f t="shared" si="176"/>
        <v>156</v>
      </c>
      <c r="AG64" s="310">
        <f t="shared" si="176"/>
        <v>156.62342342342342</v>
      </c>
      <c r="AH64" s="310">
        <f t="shared" si="176"/>
        <v>156</v>
      </c>
      <c r="AI64" s="310">
        <f t="shared" si="176"/>
        <v>155.67088607594937</v>
      </c>
      <c r="AJ64" s="310">
        <f t="shared" si="176"/>
        <v>156</v>
      </c>
      <c r="AK64" s="310">
        <f t="shared" si="176"/>
        <v>156</v>
      </c>
      <c r="AL64" s="310">
        <f t="shared" si="176"/>
        <v>156</v>
      </c>
      <c r="AM64" s="310">
        <f t="shared" si="176"/>
        <v>156</v>
      </c>
      <c r="AN64" s="310">
        <f t="shared" si="176"/>
        <v>155.84415584415584</v>
      </c>
      <c r="AO64" s="310">
        <f t="shared" si="176"/>
        <v>156</v>
      </c>
      <c r="AP64" s="310">
        <f t="shared" si="176"/>
        <v>156</v>
      </c>
      <c r="AQ64" s="312">
        <f t="shared" si="176"/>
        <v>156</v>
      </c>
    </row>
    <row r="65" spans="2:43" ht="7.8" customHeight="1" x14ac:dyDescent="0.25">
      <c r="B65" s="282"/>
      <c r="C65" s="295"/>
      <c r="D65" s="315" t="s">
        <v>41</v>
      </c>
      <c r="E65" s="316" t="s">
        <v>32</v>
      </c>
      <c r="F65" s="317">
        <f t="shared" ref="F65:F66" si="177">SUM(G65,H65,N65,T65)</f>
        <v>7600</v>
      </c>
      <c r="G65" s="317">
        <f t="shared" ref="G65:G66" si="178">SUM(G83,G101)</f>
        <v>956</v>
      </c>
      <c r="H65" s="317">
        <f t="shared" ref="H65:H66" si="179">SUM(I65:M65)</f>
        <v>125</v>
      </c>
      <c r="I65" s="318">
        <f t="shared" ref="I65:M66" si="180">SUM(I83,I101)</f>
        <v>41</v>
      </c>
      <c r="J65" s="319">
        <f t="shared" si="180"/>
        <v>39</v>
      </c>
      <c r="K65" s="319">
        <f t="shared" si="180"/>
        <v>0</v>
      </c>
      <c r="L65" s="319">
        <f t="shared" si="180"/>
        <v>0</v>
      </c>
      <c r="M65" s="320">
        <f t="shared" si="180"/>
        <v>45</v>
      </c>
      <c r="N65" s="317">
        <f t="shared" ref="N65:N66" si="181">SUM(O65:S65)</f>
        <v>870</v>
      </c>
      <c r="O65" s="318">
        <f t="shared" ref="O65:S66" si="182">SUM(O83,O101)</f>
        <v>569</v>
      </c>
      <c r="P65" s="319">
        <f t="shared" si="182"/>
        <v>189</v>
      </c>
      <c r="Q65" s="319">
        <f t="shared" si="182"/>
        <v>112</v>
      </c>
      <c r="R65" s="319">
        <f t="shared" si="182"/>
        <v>0</v>
      </c>
      <c r="S65" s="320">
        <f t="shared" si="182"/>
        <v>0</v>
      </c>
      <c r="T65" s="317">
        <f t="shared" ref="T65:T66" si="183">SUM(U65:Y65)</f>
        <v>5649</v>
      </c>
      <c r="U65" s="318">
        <f t="shared" ref="U65:Y66" si="184">SUM(U83,U101)</f>
        <v>460</v>
      </c>
      <c r="V65" s="319">
        <f t="shared" si="184"/>
        <v>2230</v>
      </c>
      <c r="W65" s="319">
        <f t="shared" si="184"/>
        <v>2484</v>
      </c>
      <c r="X65" s="319">
        <f t="shared" si="184"/>
        <v>273</v>
      </c>
      <c r="Y65" s="321">
        <f t="shared" si="184"/>
        <v>202</v>
      </c>
      <c r="AA65" s="291"/>
      <c r="AB65" s="303"/>
      <c r="AC65" s="322" t="s">
        <v>41</v>
      </c>
      <c r="AD65" s="323" t="s">
        <v>32</v>
      </c>
      <c r="AE65" s="317">
        <f t="shared" ref="AE65:AE66" si="185">SUM(AF65:AQ65)</f>
        <v>7905</v>
      </c>
      <c r="AF65" s="318">
        <f t="shared" ref="AF65:AQ66" si="186">SUM(AF83,AF101)</f>
        <v>956</v>
      </c>
      <c r="AG65" s="319">
        <f t="shared" si="186"/>
        <v>874</v>
      </c>
      <c r="AH65" s="319">
        <f t="shared" si="186"/>
        <v>962</v>
      </c>
      <c r="AI65" s="319">
        <f t="shared" si="186"/>
        <v>902</v>
      </c>
      <c r="AJ65" s="319">
        <f t="shared" si="186"/>
        <v>954</v>
      </c>
      <c r="AK65" s="319">
        <f t="shared" si="186"/>
        <v>911</v>
      </c>
      <c r="AL65" s="319">
        <f t="shared" si="186"/>
        <v>960</v>
      </c>
      <c r="AM65" s="319">
        <f t="shared" si="186"/>
        <v>964</v>
      </c>
      <c r="AN65" s="319">
        <f t="shared" si="186"/>
        <v>422</v>
      </c>
      <c r="AO65" s="319">
        <f t="shared" si="186"/>
        <v>0</v>
      </c>
      <c r="AP65" s="319">
        <f t="shared" si="186"/>
        <v>0</v>
      </c>
      <c r="AQ65" s="321">
        <f t="shared" si="186"/>
        <v>0</v>
      </c>
    </row>
    <row r="66" spans="2:43" s="41" customFormat="1" ht="7.8" customHeight="1" x14ac:dyDescent="0.25">
      <c r="B66" s="282"/>
      <c r="C66" s="295"/>
      <c r="D66" s="296"/>
      <c r="E66" s="297" t="s">
        <v>33</v>
      </c>
      <c r="F66" s="298">
        <f t="shared" si="177"/>
        <v>1195563.98</v>
      </c>
      <c r="G66" s="298">
        <f t="shared" si="178"/>
        <v>149136</v>
      </c>
      <c r="H66" s="298">
        <f t="shared" si="179"/>
        <v>24369</v>
      </c>
      <c r="I66" s="299">
        <f t="shared" si="180"/>
        <v>7488</v>
      </c>
      <c r="J66" s="300">
        <f t="shared" si="180"/>
        <v>7551</v>
      </c>
      <c r="K66" s="300">
        <f t="shared" si="180"/>
        <v>0</v>
      </c>
      <c r="L66" s="300">
        <f t="shared" si="180"/>
        <v>0</v>
      </c>
      <c r="M66" s="301">
        <f t="shared" si="180"/>
        <v>9330</v>
      </c>
      <c r="N66" s="298">
        <f t="shared" si="181"/>
        <v>167310</v>
      </c>
      <c r="O66" s="299">
        <f t="shared" si="182"/>
        <v>107708</v>
      </c>
      <c r="P66" s="300">
        <f t="shared" si="182"/>
        <v>38837</v>
      </c>
      <c r="Q66" s="300">
        <f t="shared" si="182"/>
        <v>20765</v>
      </c>
      <c r="R66" s="300">
        <f t="shared" si="182"/>
        <v>0</v>
      </c>
      <c r="S66" s="301">
        <f t="shared" si="182"/>
        <v>0</v>
      </c>
      <c r="T66" s="298">
        <f t="shared" si="183"/>
        <v>854748.98</v>
      </c>
      <c r="U66" s="299">
        <f t="shared" si="184"/>
        <v>99524.7</v>
      </c>
      <c r="V66" s="300">
        <f t="shared" si="184"/>
        <v>334262.5</v>
      </c>
      <c r="W66" s="300">
        <f t="shared" si="184"/>
        <v>338294.77999999991</v>
      </c>
      <c r="X66" s="300">
        <f t="shared" si="184"/>
        <v>52411</v>
      </c>
      <c r="Y66" s="302">
        <f t="shared" si="184"/>
        <v>30256</v>
      </c>
      <c r="AA66" s="291"/>
      <c r="AB66" s="303"/>
      <c r="AC66" s="304"/>
      <c r="AD66" s="305" t="s">
        <v>33</v>
      </c>
      <c r="AE66" s="298">
        <f t="shared" si="185"/>
        <v>1234455</v>
      </c>
      <c r="AF66" s="299">
        <f t="shared" si="186"/>
        <v>149136</v>
      </c>
      <c r="AG66" s="300">
        <f t="shared" si="186"/>
        <v>136344</v>
      </c>
      <c r="AH66" s="300">
        <f t="shared" si="186"/>
        <v>150540</v>
      </c>
      <c r="AI66" s="300">
        <f t="shared" si="186"/>
        <v>140712</v>
      </c>
      <c r="AJ66" s="300">
        <f t="shared" si="186"/>
        <v>148668</v>
      </c>
      <c r="AK66" s="300">
        <f t="shared" si="186"/>
        <v>142116</v>
      </c>
      <c r="AL66" s="300">
        <f t="shared" si="186"/>
        <v>149694</v>
      </c>
      <c r="AM66" s="300">
        <f t="shared" si="186"/>
        <v>151212</v>
      </c>
      <c r="AN66" s="300">
        <f t="shared" si="186"/>
        <v>66033</v>
      </c>
      <c r="AO66" s="300">
        <f t="shared" si="186"/>
        <v>0</v>
      </c>
      <c r="AP66" s="300">
        <f t="shared" si="186"/>
        <v>0</v>
      </c>
      <c r="AQ66" s="302">
        <f t="shared" si="186"/>
        <v>0</v>
      </c>
    </row>
    <row r="67" spans="2:43" ht="7.8" customHeight="1" x14ac:dyDescent="0.25">
      <c r="B67" s="282"/>
      <c r="C67" s="295"/>
      <c r="D67" s="306"/>
      <c r="E67" s="307" t="s">
        <v>30</v>
      </c>
      <c r="F67" s="308">
        <f t="shared" ref="F67:Y67" si="187">IFERROR(F66/F65,0)</f>
        <v>157.31104999999999</v>
      </c>
      <c r="G67" s="308">
        <f t="shared" si="187"/>
        <v>156</v>
      </c>
      <c r="H67" s="308">
        <f t="shared" si="187"/>
        <v>194.952</v>
      </c>
      <c r="I67" s="309">
        <f t="shared" si="187"/>
        <v>182.63414634146341</v>
      </c>
      <c r="J67" s="310">
        <f t="shared" si="187"/>
        <v>193.61538461538461</v>
      </c>
      <c r="K67" s="310">
        <f t="shared" si="187"/>
        <v>0</v>
      </c>
      <c r="L67" s="310">
        <f t="shared" si="187"/>
        <v>0</v>
      </c>
      <c r="M67" s="311">
        <f t="shared" si="187"/>
        <v>207.33333333333334</v>
      </c>
      <c r="N67" s="308">
        <f t="shared" si="187"/>
        <v>192.31034482758622</v>
      </c>
      <c r="O67" s="309">
        <f t="shared" si="187"/>
        <v>189.29349736379612</v>
      </c>
      <c r="P67" s="310">
        <f t="shared" si="187"/>
        <v>205.48677248677248</v>
      </c>
      <c r="Q67" s="310">
        <f t="shared" si="187"/>
        <v>185.40178571428572</v>
      </c>
      <c r="R67" s="310">
        <f t="shared" si="187"/>
        <v>0</v>
      </c>
      <c r="S67" s="311">
        <f t="shared" si="187"/>
        <v>0</v>
      </c>
      <c r="T67" s="308">
        <f t="shared" si="187"/>
        <v>151.30978580279694</v>
      </c>
      <c r="U67" s="309">
        <f t="shared" si="187"/>
        <v>216.35804347826087</v>
      </c>
      <c r="V67" s="310">
        <f t="shared" si="187"/>
        <v>149.89349775784754</v>
      </c>
      <c r="W67" s="310">
        <f t="shared" si="187"/>
        <v>136.18952495974233</v>
      </c>
      <c r="X67" s="310">
        <f t="shared" si="187"/>
        <v>191.98168498168499</v>
      </c>
      <c r="Y67" s="312">
        <f t="shared" si="187"/>
        <v>149.78217821782178</v>
      </c>
      <c r="AA67" s="291"/>
      <c r="AB67" s="303"/>
      <c r="AC67" s="313"/>
      <c r="AD67" s="314" t="s">
        <v>30</v>
      </c>
      <c r="AE67" s="308">
        <f t="shared" ref="AE67:AQ67" si="188">IFERROR(AE66/AE65,0)</f>
        <v>156.16129032258064</v>
      </c>
      <c r="AF67" s="309">
        <f t="shared" si="188"/>
        <v>156</v>
      </c>
      <c r="AG67" s="310">
        <f t="shared" si="188"/>
        <v>156</v>
      </c>
      <c r="AH67" s="310">
        <f t="shared" si="188"/>
        <v>156.48648648648648</v>
      </c>
      <c r="AI67" s="310">
        <f t="shared" si="188"/>
        <v>156</v>
      </c>
      <c r="AJ67" s="310">
        <f t="shared" si="188"/>
        <v>155.83647798742138</v>
      </c>
      <c r="AK67" s="310">
        <f t="shared" si="188"/>
        <v>156</v>
      </c>
      <c r="AL67" s="310">
        <f t="shared" si="188"/>
        <v>155.93125000000001</v>
      </c>
      <c r="AM67" s="310">
        <f t="shared" si="188"/>
        <v>156.85892116182572</v>
      </c>
      <c r="AN67" s="310">
        <f t="shared" si="188"/>
        <v>156.47630331753555</v>
      </c>
      <c r="AO67" s="310">
        <f t="shared" si="188"/>
        <v>0</v>
      </c>
      <c r="AP67" s="310">
        <f t="shared" si="188"/>
        <v>0</v>
      </c>
      <c r="AQ67" s="312">
        <f t="shared" si="188"/>
        <v>0</v>
      </c>
    </row>
    <row r="68" spans="2:43" ht="7.8" customHeight="1" x14ac:dyDescent="0.25">
      <c r="B68" s="282"/>
      <c r="C68" s="295"/>
      <c r="D68" s="324" t="s">
        <v>42</v>
      </c>
      <c r="E68" s="325" t="s">
        <v>32</v>
      </c>
      <c r="F68" s="326">
        <f t="shared" ref="F68:F69" si="189">SUM(G68,H68,N68,T68)</f>
        <v>7427</v>
      </c>
      <c r="G68" s="326">
        <f t="shared" ref="G68:G69" si="190">SUM(G86,G104)</f>
        <v>0</v>
      </c>
      <c r="H68" s="326">
        <f t="shared" ref="H68:H69" si="191">SUM(I68:M68)</f>
        <v>305</v>
      </c>
      <c r="I68" s="327">
        <f t="shared" ref="I68:M69" si="192">SUM(I86,I104)</f>
        <v>105</v>
      </c>
      <c r="J68" s="328">
        <f t="shared" si="192"/>
        <v>70</v>
      </c>
      <c r="K68" s="328">
        <f t="shared" si="192"/>
        <v>0</v>
      </c>
      <c r="L68" s="328">
        <f t="shared" si="192"/>
        <v>130</v>
      </c>
      <c r="M68" s="329">
        <f t="shared" si="192"/>
        <v>0</v>
      </c>
      <c r="N68" s="326">
        <f t="shared" ref="N68:N69" si="193">SUM(O68:S68)</f>
        <v>1310</v>
      </c>
      <c r="O68" s="327">
        <f t="shared" ref="O68:S69" si="194">SUM(O86,O104)</f>
        <v>680</v>
      </c>
      <c r="P68" s="328">
        <f t="shared" si="194"/>
        <v>500</v>
      </c>
      <c r="Q68" s="328">
        <f t="shared" si="194"/>
        <v>130</v>
      </c>
      <c r="R68" s="328">
        <f t="shared" si="194"/>
        <v>0</v>
      </c>
      <c r="S68" s="329">
        <f t="shared" si="194"/>
        <v>0</v>
      </c>
      <c r="T68" s="326">
        <f t="shared" ref="T68:T69" si="195">SUM(U68:Y68)</f>
        <v>5812</v>
      </c>
      <c r="U68" s="327">
        <f t="shared" ref="U68:Y69" si="196">SUM(U86,U104)</f>
        <v>400</v>
      </c>
      <c r="V68" s="328">
        <f t="shared" si="196"/>
        <v>2806</v>
      </c>
      <c r="W68" s="328">
        <f t="shared" si="196"/>
        <v>2206</v>
      </c>
      <c r="X68" s="328">
        <f t="shared" si="196"/>
        <v>100</v>
      </c>
      <c r="Y68" s="330">
        <f t="shared" si="196"/>
        <v>300</v>
      </c>
      <c r="AA68" s="291"/>
      <c r="AB68" s="303"/>
      <c r="AC68" s="331" t="s">
        <v>42</v>
      </c>
      <c r="AD68" s="332" t="s">
        <v>32</v>
      </c>
      <c r="AE68" s="333">
        <f t="shared" ref="AE68:AE69" si="197">SUM(AF68:AQ68)</f>
        <v>0</v>
      </c>
      <c r="AF68" s="334">
        <f t="shared" ref="AF68:AQ69" si="198">SUM(AF86,AF104)</f>
        <v>0</v>
      </c>
      <c r="AG68" s="335">
        <f t="shared" si="198"/>
        <v>0</v>
      </c>
      <c r="AH68" s="335">
        <f t="shared" si="198"/>
        <v>0</v>
      </c>
      <c r="AI68" s="335">
        <f t="shared" si="198"/>
        <v>0</v>
      </c>
      <c r="AJ68" s="335">
        <f t="shared" si="198"/>
        <v>0</v>
      </c>
      <c r="AK68" s="335">
        <f t="shared" si="198"/>
        <v>0</v>
      </c>
      <c r="AL68" s="335">
        <f t="shared" si="198"/>
        <v>0</v>
      </c>
      <c r="AM68" s="335">
        <f t="shared" si="198"/>
        <v>0</v>
      </c>
      <c r="AN68" s="335">
        <f t="shared" si="198"/>
        <v>0</v>
      </c>
      <c r="AO68" s="335">
        <f t="shared" si="198"/>
        <v>0</v>
      </c>
      <c r="AP68" s="335">
        <f t="shared" si="198"/>
        <v>0</v>
      </c>
      <c r="AQ68" s="336">
        <f t="shared" si="198"/>
        <v>0</v>
      </c>
    </row>
    <row r="69" spans="2:43" s="41" customFormat="1" ht="7.8" customHeight="1" x14ac:dyDescent="0.25">
      <c r="B69" s="282"/>
      <c r="C69" s="295"/>
      <c r="D69" s="337"/>
      <c r="E69" s="338" t="s">
        <v>33</v>
      </c>
      <c r="F69" s="339">
        <f t="shared" si="189"/>
        <v>1104500</v>
      </c>
      <c r="G69" s="339">
        <f t="shared" si="190"/>
        <v>0</v>
      </c>
      <c r="H69" s="339">
        <f t="shared" si="191"/>
        <v>52500</v>
      </c>
      <c r="I69" s="340">
        <f t="shared" si="192"/>
        <v>17850</v>
      </c>
      <c r="J69" s="341">
        <f t="shared" si="192"/>
        <v>11900</v>
      </c>
      <c r="K69" s="341">
        <f t="shared" si="192"/>
        <v>0</v>
      </c>
      <c r="L69" s="341">
        <f t="shared" si="192"/>
        <v>22750</v>
      </c>
      <c r="M69" s="342">
        <f t="shared" si="192"/>
        <v>0</v>
      </c>
      <c r="N69" s="339">
        <f t="shared" si="193"/>
        <v>227400</v>
      </c>
      <c r="O69" s="340">
        <f t="shared" si="194"/>
        <v>119000</v>
      </c>
      <c r="P69" s="341">
        <f t="shared" si="194"/>
        <v>85000</v>
      </c>
      <c r="Q69" s="341">
        <f t="shared" si="194"/>
        <v>23400</v>
      </c>
      <c r="R69" s="341">
        <f t="shared" si="194"/>
        <v>0</v>
      </c>
      <c r="S69" s="342">
        <f t="shared" si="194"/>
        <v>0</v>
      </c>
      <c r="T69" s="339">
        <f t="shared" si="195"/>
        <v>824600</v>
      </c>
      <c r="U69" s="340">
        <f t="shared" si="196"/>
        <v>74000</v>
      </c>
      <c r="V69" s="341">
        <f t="shared" si="196"/>
        <v>397900</v>
      </c>
      <c r="W69" s="341">
        <f t="shared" si="196"/>
        <v>280500</v>
      </c>
      <c r="X69" s="341">
        <f t="shared" si="196"/>
        <v>18500</v>
      </c>
      <c r="Y69" s="343">
        <f t="shared" si="196"/>
        <v>53700</v>
      </c>
      <c r="AA69" s="291"/>
      <c r="AB69" s="303"/>
      <c r="AC69" s="344"/>
      <c r="AD69" s="345" t="s">
        <v>33</v>
      </c>
      <c r="AE69" s="346">
        <f t="shared" si="197"/>
        <v>0</v>
      </c>
      <c r="AF69" s="347">
        <f t="shared" si="198"/>
        <v>0</v>
      </c>
      <c r="AG69" s="348">
        <f t="shared" si="198"/>
        <v>0</v>
      </c>
      <c r="AH69" s="348">
        <f t="shared" si="198"/>
        <v>0</v>
      </c>
      <c r="AI69" s="348">
        <f t="shared" si="198"/>
        <v>0</v>
      </c>
      <c r="AJ69" s="348">
        <f t="shared" si="198"/>
        <v>0</v>
      </c>
      <c r="AK69" s="348">
        <f t="shared" si="198"/>
        <v>0</v>
      </c>
      <c r="AL69" s="348">
        <f t="shared" si="198"/>
        <v>0</v>
      </c>
      <c r="AM69" s="348">
        <f t="shared" si="198"/>
        <v>0</v>
      </c>
      <c r="AN69" s="348">
        <f t="shared" si="198"/>
        <v>0</v>
      </c>
      <c r="AO69" s="348">
        <f t="shared" si="198"/>
        <v>0</v>
      </c>
      <c r="AP69" s="348">
        <f t="shared" si="198"/>
        <v>0</v>
      </c>
      <c r="AQ69" s="349">
        <f t="shared" si="198"/>
        <v>0</v>
      </c>
    </row>
    <row r="70" spans="2:43" ht="7.8" customHeight="1" x14ac:dyDescent="0.25">
      <c r="B70" s="282"/>
      <c r="C70" s="295"/>
      <c r="D70" s="350"/>
      <c r="E70" s="351" t="s">
        <v>30</v>
      </c>
      <c r="F70" s="352">
        <f t="shared" ref="F70:Y70" si="199">IFERROR(F69/F68,0)</f>
        <v>148.71415107041875</v>
      </c>
      <c r="G70" s="352">
        <f t="shared" si="199"/>
        <v>0</v>
      </c>
      <c r="H70" s="352">
        <f t="shared" si="199"/>
        <v>172.13114754098362</v>
      </c>
      <c r="I70" s="353">
        <f t="shared" si="199"/>
        <v>170</v>
      </c>
      <c r="J70" s="354">
        <f t="shared" si="199"/>
        <v>170</v>
      </c>
      <c r="K70" s="354">
        <f t="shared" si="199"/>
        <v>0</v>
      </c>
      <c r="L70" s="354">
        <f t="shared" si="199"/>
        <v>175</v>
      </c>
      <c r="M70" s="355">
        <f t="shared" si="199"/>
        <v>0</v>
      </c>
      <c r="N70" s="352">
        <f t="shared" si="199"/>
        <v>173.58778625954199</v>
      </c>
      <c r="O70" s="353">
        <f t="shared" si="199"/>
        <v>175</v>
      </c>
      <c r="P70" s="354">
        <f t="shared" si="199"/>
        <v>170</v>
      </c>
      <c r="Q70" s="354">
        <f t="shared" si="199"/>
        <v>180</v>
      </c>
      <c r="R70" s="354">
        <f t="shared" si="199"/>
        <v>0</v>
      </c>
      <c r="S70" s="355">
        <f t="shared" si="199"/>
        <v>0</v>
      </c>
      <c r="T70" s="352">
        <f t="shared" si="199"/>
        <v>141.87887130075705</v>
      </c>
      <c r="U70" s="353">
        <f t="shared" si="199"/>
        <v>185</v>
      </c>
      <c r="V70" s="354">
        <f t="shared" si="199"/>
        <v>141.80327868852459</v>
      </c>
      <c r="W70" s="354">
        <f t="shared" si="199"/>
        <v>127.1532184950136</v>
      </c>
      <c r="X70" s="354">
        <f t="shared" si="199"/>
        <v>185</v>
      </c>
      <c r="Y70" s="356">
        <f t="shared" si="199"/>
        <v>179</v>
      </c>
      <c r="AA70" s="291"/>
      <c r="AB70" s="303"/>
      <c r="AC70" s="357"/>
      <c r="AD70" s="358" t="s">
        <v>30</v>
      </c>
      <c r="AE70" s="359">
        <f t="shared" ref="AE70:AQ70" si="200">IFERROR(AE69/AE68,0)</f>
        <v>0</v>
      </c>
      <c r="AF70" s="360">
        <f t="shared" si="200"/>
        <v>0</v>
      </c>
      <c r="AG70" s="361">
        <f t="shared" si="200"/>
        <v>0</v>
      </c>
      <c r="AH70" s="361">
        <f t="shared" si="200"/>
        <v>0</v>
      </c>
      <c r="AI70" s="361">
        <f t="shared" si="200"/>
        <v>0</v>
      </c>
      <c r="AJ70" s="361">
        <f t="shared" si="200"/>
        <v>0</v>
      </c>
      <c r="AK70" s="361">
        <f t="shared" si="200"/>
        <v>0</v>
      </c>
      <c r="AL70" s="361">
        <f t="shared" si="200"/>
        <v>0</v>
      </c>
      <c r="AM70" s="361">
        <f t="shared" si="200"/>
        <v>0</v>
      </c>
      <c r="AN70" s="361">
        <f t="shared" si="200"/>
        <v>0</v>
      </c>
      <c r="AO70" s="361">
        <f t="shared" si="200"/>
        <v>0</v>
      </c>
      <c r="AP70" s="361">
        <f t="shared" si="200"/>
        <v>0</v>
      </c>
      <c r="AQ70" s="362">
        <f t="shared" si="200"/>
        <v>0</v>
      </c>
    </row>
    <row r="71" spans="2:43" ht="7.8" customHeight="1" x14ac:dyDescent="0.25">
      <c r="B71" s="282"/>
      <c r="C71" s="295"/>
      <c r="D71" s="363" t="s">
        <v>43</v>
      </c>
      <c r="E71" s="316" t="s">
        <v>32</v>
      </c>
      <c r="F71" s="317">
        <f>F68-F65</f>
        <v>-173</v>
      </c>
      <c r="G71" s="317">
        <f t="shared" ref="G71:Y73" si="201">G68-G65</f>
        <v>-956</v>
      </c>
      <c r="H71" s="317">
        <f t="shared" si="201"/>
        <v>180</v>
      </c>
      <c r="I71" s="318">
        <f t="shared" si="201"/>
        <v>64</v>
      </c>
      <c r="J71" s="319">
        <f t="shared" si="201"/>
        <v>31</v>
      </c>
      <c r="K71" s="319">
        <f t="shared" si="201"/>
        <v>0</v>
      </c>
      <c r="L71" s="319">
        <f t="shared" si="201"/>
        <v>130</v>
      </c>
      <c r="M71" s="320">
        <f t="shared" si="201"/>
        <v>-45</v>
      </c>
      <c r="N71" s="317">
        <f t="shared" si="201"/>
        <v>440</v>
      </c>
      <c r="O71" s="318">
        <f t="shared" si="201"/>
        <v>111</v>
      </c>
      <c r="P71" s="319">
        <f t="shared" si="201"/>
        <v>311</v>
      </c>
      <c r="Q71" s="319">
        <f t="shared" si="201"/>
        <v>18</v>
      </c>
      <c r="R71" s="319">
        <f t="shared" si="201"/>
        <v>0</v>
      </c>
      <c r="S71" s="320">
        <f t="shared" si="201"/>
        <v>0</v>
      </c>
      <c r="T71" s="317">
        <f t="shared" si="201"/>
        <v>163</v>
      </c>
      <c r="U71" s="318">
        <f t="shared" si="201"/>
        <v>-60</v>
      </c>
      <c r="V71" s="319">
        <f t="shared" si="201"/>
        <v>576</v>
      </c>
      <c r="W71" s="319">
        <f t="shared" si="201"/>
        <v>-278</v>
      </c>
      <c r="X71" s="319">
        <f t="shared" si="201"/>
        <v>-173</v>
      </c>
      <c r="Y71" s="321">
        <f t="shared" si="201"/>
        <v>98</v>
      </c>
      <c r="AA71" s="291"/>
      <c r="AB71" s="303"/>
      <c r="AC71" s="364" t="s">
        <v>43</v>
      </c>
      <c r="AD71" s="323" t="s">
        <v>32</v>
      </c>
      <c r="AE71" s="317">
        <f t="shared" ref="AE71:AQ73" si="202">AE68-AE65</f>
        <v>-7905</v>
      </c>
      <c r="AF71" s="318">
        <f t="shared" si="202"/>
        <v>-956</v>
      </c>
      <c r="AG71" s="319">
        <f t="shared" si="202"/>
        <v>-874</v>
      </c>
      <c r="AH71" s="319">
        <f t="shared" si="202"/>
        <v>-962</v>
      </c>
      <c r="AI71" s="319">
        <f t="shared" si="202"/>
        <v>-902</v>
      </c>
      <c r="AJ71" s="319">
        <f t="shared" si="202"/>
        <v>-954</v>
      </c>
      <c r="AK71" s="319">
        <f t="shared" si="202"/>
        <v>-911</v>
      </c>
      <c r="AL71" s="319">
        <f t="shared" si="202"/>
        <v>-960</v>
      </c>
      <c r="AM71" s="319">
        <f t="shared" si="202"/>
        <v>-964</v>
      </c>
      <c r="AN71" s="319">
        <f t="shared" si="202"/>
        <v>-422</v>
      </c>
      <c r="AO71" s="319">
        <f t="shared" si="202"/>
        <v>0</v>
      </c>
      <c r="AP71" s="319">
        <f t="shared" si="202"/>
        <v>0</v>
      </c>
      <c r="AQ71" s="321">
        <f t="shared" si="202"/>
        <v>0</v>
      </c>
    </row>
    <row r="72" spans="2:43" s="366" customFormat="1" ht="7.8" customHeight="1" x14ac:dyDescent="0.25">
      <c r="B72" s="282"/>
      <c r="C72" s="295"/>
      <c r="D72" s="296"/>
      <c r="E72" s="365" t="s">
        <v>33</v>
      </c>
      <c r="F72" s="298">
        <f t="shared" ref="F72:F73" si="203">F69-F66</f>
        <v>-91063.979999999981</v>
      </c>
      <c r="G72" s="298">
        <f t="shared" si="201"/>
        <v>-149136</v>
      </c>
      <c r="H72" s="298">
        <f t="shared" si="201"/>
        <v>28131</v>
      </c>
      <c r="I72" s="299">
        <f t="shared" si="201"/>
        <v>10362</v>
      </c>
      <c r="J72" s="300">
        <f t="shared" si="201"/>
        <v>4349</v>
      </c>
      <c r="K72" s="300">
        <f t="shared" si="201"/>
        <v>0</v>
      </c>
      <c r="L72" s="300">
        <f t="shared" si="201"/>
        <v>22750</v>
      </c>
      <c r="M72" s="301">
        <f t="shared" si="201"/>
        <v>-9330</v>
      </c>
      <c r="N72" s="298">
        <f t="shared" si="201"/>
        <v>60090</v>
      </c>
      <c r="O72" s="299">
        <f t="shared" si="201"/>
        <v>11292</v>
      </c>
      <c r="P72" s="300">
        <f t="shared" si="201"/>
        <v>46163</v>
      </c>
      <c r="Q72" s="300">
        <f t="shared" si="201"/>
        <v>2635</v>
      </c>
      <c r="R72" s="300">
        <f t="shared" si="201"/>
        <v>0</v>
      </c>
      <c r="S72" s="301">
        <f t="shared" si="201"/>
        <v>0</v>
      </c>
      <c r="T72" s="298">
        <f t="shared" si="201"/>
        <v>-30148.979999999981</v>
      </c>
      <c r="U72" s="299">
        <f t="shared" si="201"/>
        <v>-25524.699999999997</v>
      </c>
      <c r="V72" s="300">
        <f t="shared" si="201"/>
        <v>63637.5</v>
      </c>
      <c r="W72" s="300">
        <f t="shared" si="201"/>
        <v>-57794.779999999912</v>
      </c>
      <c r="X72" s="300">
        <f t="shared" si="201"/>
        <v>-33911</v>
      </c>
      <c r="Y72" s="302">
        <f t="shared" si="201"/>
        <v>23444</v>
      </c>
      <c r="AA72" s="291"/>
      <c r="AB72" s="303"/>
      <c r="AC72" s="367"/>
      <c r="AD72" s="368" t="s">
        <v>33</v>
      </c>
      <c r="AE72" s="298">
        <f t="shared" si="202"/>
        <v>-1234455</v>
      </c>
      <c r="AF72" s="299">
        <f t="shared" si="202"/>
        <v>-149136</v>
      </c>
      <c r="AG72" s="300">
        <f t="shared" si="202"/>
        <v>-136344</v>
      </c>
      <c r="AH72" s="300">
        <f t="shared" si="202"/>
        <v>-150540</v>
      </c>
      <c r="AI72" s="300">
        <f t="shared" si="202"/>
        <v>-140712</v>
      </c>
      <c r="AJ72" s="300">
        <f t="shared" si="202"/>
        <v>-148668</v>
      </c>
      <c r="AK72" s="300">
        <f t="shared" si="202"/>
        <v>-142116</v>
      </c>
      <c r="AL72" s="300">
        <f t="shared" si="202"/>
        <v>-149694</v>
      </c>
      <c r="AM72" s="300">
        <f t="shared" si="202"/>
        <v>-151212</v>
      </c>
      <c r="AN72" s="300">
        <f t="shared" si="202"/>
        <v>-66033</v>
      </c>
      <c r="AO72" s="300">
        <f t="shared" si="202"/>
        <v>0</v>
      </c>
      <c r="AP72" s="300">
        <f t="shared" si="202"/>
        <v>0</v>
      </c>
      <c r="AQ72" s="302">
        <f t="shared" si="202"/>
        <v>0</v>
      </c>
    </row>
    <row r="73" spans="2:43" ht="7.8" customHeight="1" x14ac:dyDescent="0.25">
      <c r="B73" s="282"/>
      <c r="C73" s="295"/>
      <c r="D73" s="306"/>
      <c r="E73" s="307" t="s">
        <v>30</v>
      </c>
      <c r="F73" s="308">
        <f t="shared" si="203"/>
        <v>-8.5968989295812435</v>
      </c>
      <c r="G73" s="308">
        <f t="shared" si="201"/>
        <v>-156</v>
      </c>
      <c r="H73" s="308">
        <f t="shared" si="201"/>
        <v>-22.820852459016379</v>
      </c>
      <c r="I73" s="309">
        <f t="shared" si="201"/>
        <v>-12.634146341463406</v>
      </c>
      <c r="J73" s="310">
        <f t="shared" si="201"/>
        <v>-23.615384615384613</v>
      </c>
      <c r="K73" s="310">
        <f t="shared" si="201"/>
        <v>0</v>
      </c>
      <c r="L73" s="310">
        <f t="shared" si="201"/>
        <v>175</v>
      </c>
      <c r="M73" s="311">
        <f t="shared" si="201"/>
        <v>-207.33333333333334</v>
      </c>
      <c r="N73" s="308">
        <f t="shared" si="201"/>
        <v>-18.722558568044235</v>
      </c>
      <c r="O73" s="309">
        <f t="shared" si="201"/>
        <v>-14.293497363796121</v>
      </c>
      <c r="P73" s="310">
        <f t="shared" si="201"/>
        <v>-35.48677248677248</v>
      </c>
      <c r="Q73" s="310">
        <f t="shared" si="201"/>
        <v>-5.4017857142857224</v>
      </c>
      <c r="R73" s="310">
        <f t="shared" si="201"/>
        <v>0</v>
      </c>
      <c r="S73" s="311">
        <f t="shared" si="201"/>
        <v>0</v>
      </c>
      <c r="T73" s="308">
        <f t="shared" si="201"/>
        <v>-9.430914502039883</v>
      </c>
      <c r="U73" s="309">
        <f t="shared" si="201"/>
        <v>-31.358043478260868</v>
      </c>
      <c r="V73" s="310">
        <f t="shared" si="201"/>
        <v>-8.0902190693229556</v>
      </c>
      <c r="W73" s="310">
        <f t="shared" si="201"/>
        <v>-9.0363064647287246</v>
      </c>
      <c r="X73" s="310">
        <f t="shared" si="201"/>
        <v>-6.9816849816849924</v>
      </c>
      <c r="Y73" s="312">
        <f t="shared" si="201"/>
        <v>29.21782178217822</v>
      </c>
      <c r="AA73" s="291"/>
      <c r="AB73" s="303"/>
      <c r="AC73" s="369"/>
      <c r="AD73" s="314" t="s">
        <v>30</v>
      </c>
      <c r="AE73" s="308">
        <f t="shared" si="202"/>
        <v>-156.16129032258064</v>
      </c>
      <c r="AF73" s="309">
        <f t="shared" si="202"/>
        <v>-156</v>
      </c>
      <c r="AG73" s="310">
        <f t="shared" si="202"/>
        <v>-156</v>
      </c>
      <c r="AH73" s="310">
        <f t="shared" si="202"/>
        <v>-156.48648648648648</v>
      </c>
      <c r="AI73" s="310">
        <f t="shared" si="202"/>
        <v>-156</v>
      </c>
      <c r="AJ73" s="310">
        <f t="shared" si="202"/>
        <v>-155.83647798742138</v>
      </c>
      <c r="AK73" s="310">
        <f t="shared" si="202"/>
        <v>-156</v>
      </c>
      <c r="AL73" s="310">
        <f t="shared" si="202"/>
        <v>-155.93125000000001</v>
      </c>
      <c r="AM73" s="310">
        <f t="shared" si="202"/>
        <v>-156.85892116182572</v>
      </c>
      <c r="AN73" s="310">
        <f t="shared" si="202"/>
        <v>-156.47630331753555</v>
      </c>
      <c r="AO73" s="310">
        <f t="shared" si="202"/>
        <v>0</v>
      </c>
      <c r="AP73" s="310">
        <f t="shared" si="202"/>
        <v>0</v>
      </c>
      <c r="AQ73" s="312">
        <f t="shared" si="202"/>
        <v>0</v>
      </c>
    </row>
    <row r="74" spans="2:43" ht="7.8" customHeight="1" x14ac:dyDescent="0.25">
      <c r="B74" s="282"/>
      <c r="C74" s="295"/>
      <c r="D74" s="363" t="s">
        <v>44</v>
      </c>
      <c r="E74" s="316" t="s">
        <v>32</v>
      </c>
      <c r="F74" s="370">
        <f>IFERROR((F68-F65)/ABS(F65),"")</f>
        <v>-2.2763157894736843E-2</v>
      </c>
      <c r="G74" s="370">
        <f t="shared" ref="G74:Y76" si="204">IFERROR((G68-G65)/ABS(G65),"")</f>
        <v>-1</v>
      </c>
      <c r="H74" s="370">
        <f t="shared" si="204"/>
        <v>1.44</v>
      </c>
      <c r="I74" s="371">
        <f t="shared" si="204"/>
        <v>1.5609756097560976</v>
      </c>
      <c r="J74" s="372">
        <f t="shared" si="204"/>
        <v>0.79487179487179482</v>
      </c>
      <c r="K74" s="372" t="str">
        <f t="shared" si="204"/>
        <v/>
      </c>
      <c r="L74" s="372" t="str">
        <f t="shared" si="204"/>
        <v/>
      </c>
      <c r="M74" s="373">
        <f t="shared" si="204"/>
        <v>-1</v>
      </c>
      <c r="N74" s="370">
        <f t="shared" si="204"/>
        <v>0.50574712643678166</v>
      </c>
      <c r="O74" s="371">
        <f t="shared" si="204"/>
        <v>0.19507908611599298</v>
      </c>
      <c r="P74" s="372">
        <f t="shared" si="204"/>
        <v>1.6455026455026456</v>
      </c>
      <c r="Q74" s="372">
        <f t="shared" si="204"/>
        <v>0.16071428571428573</v>
      </c>
      <c r="R74" s="372" t="str">
        <f t="shared" si="204"/>
        <v/>
      </c>
      <c r="S74" s="373" t="str">
        <f t="shared" si="204"/>
        <v/>
      </c>
      <c r="T74" s="370">
        <f t="shared" si="204"/>
        <v>2.8854664542396883E-2</v>
      </c>
      <c r="U74" s="371">
        <f t="shared" si="204"/>
        <v>-0.13043478260869565</v>
      </c>
      <c r="V74" s="372">
        <f t="shared" si="204"/>
        <v>0.25829596412556055</v>
      </c>
      <c r="W74" s="372">
        <f t="shared" si="204"/>
        <v>-0.11191626409017713</v>
      </c>
      <c r="X74" s="372">
        <f t="shared" si="204"/>
        <v>-0.63369963369963367</v>
      </c>
      <c r="Y74" s="374">
        <f t="shared" si="204"/>
        <v>0.48514851485148514</v>
      </c>
      <c r="AA74" s="291"/>
      <c r="AB74" s="303"/>
      <c r="AC74" s="364" t="s">
        <v>44</v>
      </c>
      <c r="AD74" s="323" t="s">
        <v>32</v>
      </c>
      <c r="AE74" s="370">
        <f t="shared" ref="AE74:AQ76" si="205">IFERROR((AE68-AE65)/ABS(AE65),"")</f>
        <v>-1</v>
      </c>
      <c r="AF74" s="371">
        <f t="shared" si="205"/>
        <v>-1</v>
      </c>
      <c r="AG74" s="372">
        <f t="shared" si="205"/>
        <v>-1</v>
      </c>
      <c r="AH74" s="372">
        <f t="shared" si="205"/>
        <v>-1</v>
      </c>
      <c r="AI74" s="372">
        <f t="shared" si="205"/>
        <v>-1</v>
      </c>
      <c r="AJ74" s="372">
        <f t="shared" si="205"/>
        <v>-1</v>
      </c>
      <c r="AK74" s="372">
        <f t="shared" si="205"/>
        <v>-1</v>
      </c>
      <c r="AL74" s="372">
        <f t="shared" si="205"/>
        <v>-1</v>
      </c>
      <c r="AM74" s="372">
        <f t="shared" si="205"/>
        <v>-1</v>
      </c>
      <c r="AN74" s="372">
        <f t="shared" si="205"/>
        <v>-1</v>
      </c>
      <c r="AO74" s="372" t="str">
        <f t="shared" si="205"/>
        <v/>
      </c>
      <c r="AP74" s="372" t="str">
        <f t="shared" si="205"/>
        <v/>
      </c>
      <c r="AQ74" s="374" t="str">
        <f t="shared" si="205"/>
        <v/>
      </c>
    </row>
    <row r="75" spans="2:43" ht="7.8" customHeight="1" x14ac:dyDescent="0.25">
      <c r="B75" s="282"/>
      <c r="C75" s="295"/>
      <c r="D75" s="296"/>
      <c r="E75" s="375" t="s">
        <v>33</v>
      </c>
      <c r="F75" s="376">
        <f t="shared" ref="F75:F76" si="206">IFERROR((F69-F66)/ABS(F66),"")</f>
        <v>-7.616821978862226E-2</v>
      </c>
      <c r="G75" s="376">
        <f t="shared" si="204"/>
        <v>-1</v>
      </c>
      <c r="H75" s="376">
        <f t="shared" si="204"/>
        <v>1.1543764618983134</v>
      </c>
      <c r="I75" s="377">
        <f t="shared" si="204"/>
        <v>1.3838141025641026</v>
      </c>
      <c r="J75" s="378">
        <f t="shared" si="204"/>
        <v>0.57595020527082508</v>
      </c>
      <c r="K75" s="378" t="str">
        <f t="shared" si="204"/>
        <v/>
      </c>
      <c r="L75" s="378" t="str">
        <f t="shared" si="204"/>
        <v/>
      </c>
      <c r="M75" s="379">
        <f t="shared" si="204"/>
        <v>-1</v>
      </c>
      <c r="N75" s="376">
        <f t="shared" si="204"/>
        <v>0.35915366684597455</v>
      </c>
      <c r="O75" s="377">
        <f t="shared" si="204"/>
        <v>0.10483900917294908</v>
      </c>
      <c r="P75" s="378">
        <f t="shared" si="204"/>
        <v>1.1886345495275124</v>
      </c>
      <c r="Q75" s="378">
        <f t="shared" si="204"/>
        <v>0.12689621960028893</v>
      </c>
      <c r="R75" s="378" t="str">
        <f t="shared" si="204"/>
        <v/>
      </c>
      <c r="S75" s="379" t="str">
        <f t="shared" si="204"/>
        <v/>
      </c>
      <c r="T75" s="376">
        <f t="shared" si="204"/>
        <v>-3.5272320535556512E-2</v>
      </c>
      <c r="U75" s="377">
        <f t="shared" si="204"/>
        <v>-0.25646598281632599</v>
      </c>
      <c r="V75" s="378">
        <f t="shared" si="204"/>
        <v>0.19038181070266633</v>
      </c>
      <c r="W75" s="378">
        <f t="shared" si="204"/>
        <v>-0.17084147736479979</v>
      </c>
      <c r="X75" s="378">
        <f t="shared" si="204"/>
        <v>-0.6470206636011524</v>
      </c>
      <c r="Y75" s="380">
        <f t="shared" si="204"/>
        <v>0.77485457429931248</v>
      </c>
      <c r="AA75" s="291"/>
      <c r="AB75" s="303"/>
      <c r="AC75" s="367"/>
      <c r="AD75" s="381" t="s">
        <v>33</v>
      </c>
      <c r="AE75" s="376">
        <f t="shared" si="205"/>
        <v>-1</v>
      </c>
      <c r="AF75" s="377">
        <f t="shared" si="205"/>
        <v>-1</v>
      </c>
      <c r="AG75" s="378">
        <f t="shared" si="205"/>
        <v>-1</v>
      </c>
      <c r="AH75" s="378">
        <f t="shared" si="205"/>
        <v>-1</v>
      </c>
      <c r="AI75" s="378">
        <f t="shared" si="205"/>
        <v>-1</v>
      </c>
      <c r="AJ75" s="378">
        <f t="shared" si="205"/>
        <v>-1</v>
      </c>
      <c r="AK75" s="378">
        <f t="shared" si="205"/>
        <v>-1</v>
      </c>
      <c r="AL75" s="378">
        <f t="shared" si="205"/>
        <v>-1</v>
      </c>
      <c r="AM75" s="378">
        <f t="shared" si="205"/>
        <v>-1</v>
      </c>
      <c r="AN75" s="378">
        <f t="shared" si="205"/>
        <v>-1</v>
      </c>
      <c r="AO75" s="378" t="str">
        <f t="shared" si="205"/>
        <v/>
      </c>
      <c r="AP75" s="378" t="str">
        <f t="shared" si="205"/>
        <v/>
      </c>
      <c r="AQ75" s="380" t="str">
        <f t="shared" si="205"/>
        <v/>
      </c>
    </row>
    <row r="76" spans="2:43" ht="7.8" customHeight="1" x14ac:dyDescent="0.25">
      <c r="B76" s="282"/>
      <c r="C76" s="382"/>
      <c r="D76" s="383"/>
      <c r="E76" s="384" t="s">
        <v>30</v>
      </c>
      <c r="F76" s="385">
        <f t="shared" si="206"/>
        <v>-5.4649046774408051E-2</v>
      </c>
      <c r="G76" s="385">
        <f t="shared" si="204"/>
        <v>-1</v>
      </c>
      <c r="H76" s="385">
        <f t="shared" si="204"/>
        <v>-0.11705882709085508</v>
      </c>
      <c r="I76" s="386">
        <f t="shared" si="204"/>
        <v>-6.917735042735039E-2</v>
      </c>
      <c r="J76" s="387">
        <f t="shared" si="204"/>
        <v>-0.12197059992054031</v>
      </c>
      <c r="K76" s="387" t="str">
        <f t="shared" si="204"/>
        <v/>
      </c>
      <c r="L76" s="387" t="str">
        <f t="shared" si="204"/>
        <v/>
      </c>
      <c r="M76" s="388">
        <f t="shared" si="204"/>
        <v>-1</v>
      </c>
      <c r="N76" s="385">
        <f t="shared" si="204"/>
        <v>-9.7355961712978806E-2</v>
      </c>
      <c r="O76" s="386">
        <f t="shared" si="204"/>
        <v>-7.5509711442046948E-2</v>
      </c>
      <c r="P76" s="387">
        <f t="shared" si="204"/>
        <v>-0.17269614027860028</v>
      </c>
      <c r="Q76" s="387">
        <f t="shared" si="204"/>
        <v>-2.9135564652058795E-2</v>
      </c>
      <c r="R76" s="387" t="str">
        <f t="shared" si="204"/>
        <v/>
      </c>
      <c r="S76" s="388" t="str">
        <f t="shared" si="204"/>
        <v/>
      </c>
      <c r="T76" s="385">
        <f t="shared" si="204"/>
        <v>-6.2328516638912285E-2</v>
      </c>
      <c r="U76" s="386">
        <f t="shared" si="204"/>
        <v>-0.14493588023877488</v>
      </c>
      <c r="V76" s="387">
        <f t="shared" si="204"/>
        <v>-5.3973115514274528E-2</v>
      </c>
      <c r="W76" s="387">
        <f t="shared" si="204"/>
        <v>-6.635096544613002E-2</v>
      </c>
      <c r="X76" s="387">
        <f t="shared" si="204"/>
        <v>-3.6366411631146185E-2</v>
      </c>
      <c r="Y76" s="389">
        <f t="shared" si="204"/>
        <v>0.19506874669487045</v>
      </c>
      <c r="AA76" s="291"/>
      <c r="AB76" s="390"/>
      <c r="AC76" s="391"/>
      <c r="AD76" s="392" t="s">
        <v>30</v>
      </c>
      <c r="AE76" s="385">
        <f t="shared" si="205"/>
        <v>-1</v>
      </c>
      <c r="AF76" s="386">
        <f t="shared" si="205"/>
        <v>-1</v>
      </c>
      <c r="AG76" s="387">
        <f t="shared" si="205"/>
        <v>-1</v>
      </c>
      <c r="AH76" s="387">
        <f t="shared" si="205"/>
        <v>-1</v>
      </c>
      <c r="AI76" s="387">
        <f t="shared" si="205"/>
        <v>-1</v>
      </c>
      <c r="AJ76" s="387">
        <f t="shared" si="205"/>
        <v>-1</v>
      </c>
      <c r="AK76" s="387">
        <f t="shared" si="205"/>
        <v>-1</v>
      </c>
      <c r="AL76" s="387">
        <f t="shared" si="205"/>
        <v>-1</v>
      </c>
      <c r="AM76" s="387">
        <f t="shared" si="205"/>
        <v>-1</v>
      </c>
      <c r="AN76" s="387">
        <f t="shared" si="205"/>
        <v>-1</v>
      </c>
      <c r="AO76" s="387" t="str">
        <f t="shared" si="205"/>
        <v/>
      </c>
      <c r="AP76" s="387" t="str">
        <f t="shared" si="205"/>
        <v/>
      </c>
      <c r="AQ76" s="389" t="str">
        <f t="shared" si="205"/>
        <v/>
      </c>
    </row>
    <row r="77" spans="2:43" ht="7.8" customHeight="1" x14ac:dyDescent="0.25">
      <c r="B77" s="282"/>
      <c r="C77" s="393" t="s">
        <v>48</v>
      </c>
      <c r="D77" s="394" t="s">
        <v>39</v>
      </c>
      <c r="E77" s="395" t="s">
        <v>32</v>
      </c>
      <c r="F77" s="396">
        <f t="shared" ref="F77:F78" si="207">SUM(G77,H77,N77,T77)</f>
        <v>0</v>
      </c>
      <c r="G77" s="396"/>
      <c r="H77" s="396">
        <f t="shared" ref="H77:H78" si="208">SUM(I77:M77)</f>
        <v>0</v>
      </c>
      <c r="I77" s="397"/>
      <c r="J77" s="398"/>
      <c r="K77" s="398"/>
      <c r="L77" s="398"/>
      <c r="M77" s="399"/>
      <c r="N77" s="396">
        <f t="shared" ref="N77:N78" si="209">SUM(O77:S77)</f>
        <v>0</v>
      </c>
      <c r="O77" s="397"/>
      <c r="P77" s="398"/>
      <c r="Q77" s="398"/>
      <c r="R77" s="398"/>
      <c r="S77" s="399"/>
      <c r="T77" s="396">
        <f t="shared" ref="T77:T78" si="210">SUM(U77:Y77)</f>
        <v>0</v>
      </c>
      <c r="U77" s="397"/>
      <c r="V77" s="398"/>
      <c r="W77" s="398"/>
      <c r="X77" s="398"/>
      <c r="Y77" s="400"/>
      <c r="AA77" s="291"/>
      <c r="AB77" s="401" t="s">
        <v>48</v>
      </c>
      <c r="AC77" s="402" t="s">
        <v>39</v>
      </c>
      <c r="AD77" s="403" t="s">
        <v>32</v>
      </c>
      <c r="AE77" s="396">
        <f t="shared" ref="AE77:AE78" si="211">SUM(AF77:AQ77)</f>
        <v>0</v>
      </c>
      <c r="AF77" s="397">
        <f>$G$77</f>
        <v>0</v>
      </c>
      <c r="AG77" s="398">
        <f>$G$131</f>
        <v>0</v>
      </c>
      <c r="AH77" s="398">
        <f>$G$185</f>
        <v>0</v>
      </c>
      <c r="AI77" s="398">
        <f>$G$239</f>
        <v>0</v>
      </c>
      <c r="AJ77" s="398">
        <f>$G$293</f>
        <v>0</v>
      </c>
      <c r="AK77" s="398">
        <f>$G$347</f>
        <v>0</v>
      </c>
      <c r="AL77" s="398">
        <f>$G$401</f>
        <v>0</v>
      </c>
      <c r="AM77" s="398">
        <f>$G$455</f>
        <v>0</v>
      </c>
      <c r="AN77" s="398">
        <f>$G$509</f>
        <v>0</v>
      </c>
      <c r="AO77" s="398">
        <f>$G$563</f>
        <v>0</v>
      </c>
      <c r="AP77" s="398">
        <f>$G$617</f>
        <v>0</v>
      </c>
      <c r="AQ77" s="400">
        <f>$G$671</f>
        <v>0</v>
      </c>
    </row>
    <row r="78" spans="2:43" s="41" customFormat="1" ht="7.8" customHeight="1" x14ac:dyDescent="0.25">
      <c r="B78" s="282"/>
      <c r="C78" s="404"/>
      <c r="D78" s="405"/>
      <c r="E78" s="406" t="s">
        <v>33</v>
      </c>
      <c r="F78" s="407">
        <f t="shared" si="207"/>
        <v>0</v>
      </c>
      <c r="G78" s="407"/>
      <c r="H78" s="407">
        <f t="shared" si="208"/>
        <v>0</v>
      </c>
      <c r="I78" s="408"/>
      <c r="J78" s="409"/>
      <c r="K78" s="409"/>
      <c r="L78" s="409"/>
      <c r="M78" s="410"/>
      <c r="N78" s="407">
        <f t="shared" si="209"/>
        <v>0</v>
      </c>
      <c r="O78" s="408"/>
      <c r="P78" s="409"/>
      <c r="Q78" s="409"/>
      <c r="R78" s="409"/>
      <c r="S78" s="410"/>
      <c r="T78" s="407">
        <f t="shared" si="210"/>
        <v>0</v>
      </c>
      <c r="U78" s="408"/>
      <c r="V78" s="409"/>
      <c r="W78" s="409"/>
      <c r="X78" s="409"/>
      <c r="Y78" s="411"/>
      <c r="AA78" s="291"/>
      <c r="AB78" s="412"/>
      <c r="AC78" s="413"/>
      <c r="AD78" s="414" t="s">
        <v>33</v>
      </c>
      <c r="AE78" s="407">
        <f t="shared" si="211"/>
        <v>0</v>
      </c>
      <c r="AF78" s="408">
        <f>$G$78</f>
        <v>0</v>
      </c>
      <c r="AG78" s="409">
        <f>$G$132</f>
        <v>0</v>
      </c>
      <c r="AH78" s="409">
        <f>$G$186</f>
        <v>0</v>
      </c>
      <c r="AI78" s="409">
        <f>$G$240</f>
        <v>0</v>
      </c>
      <c r="AJ78" s="409">
        <f>$G$294</f>
        <v>0</v>
      </c>
      <c r="AK78" s="409">
        <f>$G$348</f>
        <v>0</v>
      </c>
      <c r="AL78" s="409">
        <f>$G$402</f>
        <v>0</v>
      </c>
      <c r="AM78" s="409">
        <f>$G$456</f>
        <v>0</v>
      </c>
      <c r="AN78" s="409">
        <f>$G$510</f>
        <v>0</v>
      </c>
      <c r="AO78" s="409">
        <f>$G$564</f>
        <v>0</v>
      </c>
      <c r="AP78" s="409">
        <f>$G$618</f>
        <v>0</v>
      </c>
      <c r="AQ78" s="411">
        <f>$G$672</f>
        <v>0</v>
      </c>
    </row>
    <row r="79" spans="2:43" ht="7.8" customHeight="1" x14ac:dyDescent="0.25">
      <c r="B79" s="282"/>
      <c r="C79" s="404"/>
      <c r="D79" s="415"/>
      <c r="E79" s="416" t="s">
        <v>30</v>
      </c>
      <c r="F79" s="417">
        <f t="shared" ref="F79:Y79" si="212">IFERROR(F78/F77,0)</f>
        <v>0</v>
      </c>
      <c r="G79" s="417">
        <f t="shared" si="212"/>
        <v>0</v>
      </c>
      <c r="H79" s="417">
        <f t="shared" si="212"/>
        <v>0</v>
      </c>
      <c r="I79" s="418">
        <f t="shared" si="212"/>
        <v>0</v>
      </c>
      <c r="J79" s="419">
        <f t="shared" si="212"/>
        <v>0</v>
      </c>
      <c r="K79" s="419">
        <f t="shared" si="212"/>
        <v>0</v>
      </c>
      <c r="L79" s="419">
        <f t="shared" si="212"/>
        <v>0</v>
      </c>
      <c r="M79" s="420">
        <f t="shared" si="212"/>
        <v>0</v>
      </c>
      <c r="N79" s="417">
        <f t="shared" si="212"/>
        <v>0</v>
      </c>
      <c r="O79" s="418">
        <f t="shared" si="212"/>
        <v>0</v>
      </c>
      <c r="P79" s="419">
        <f t="shared" si="212"/>
        <v>0</v>
      </c>
      <c r="Q79" s="419">
        <f t="shared" si="212"/>
        <v>0</v>
      </c>
      <c r="R79" s="419">
        <f t="shared" si="212"/>
        <v>0</v>
      </c>
      <c r="S79" s="420">
        <f t="shared" si="212"/>
        <v>0</v>
      </c>
      <c r="T79" s="417">
        <f t="shared" si="212"/>
        <v>0</v>
      </c>
      <c r="U79" s="418">
        <f t="shared" si="212"/>
        <v>0</v>
      </c>
      <c r="V79" s="419">
        <f t="shared" si="212"/>
        <v>0</v>
      </c>
      <c r="W79" s="419">
        <f t="shared" si="212"/>
        <v>0</v>
      </c>
      <c r="X79" s="419">
        <f t="shared" si="212"/>
        <v>0</v>
      </c>
      <c r="Y79" s="421">
        <f t="shared" si="212"/>
        <v>0</v>
      </c>
      <c r="AA79" s="291"/>
      <c r="AB79" s="412"/>
      <c r="AC79" s="422"/>
      <c r="AD79" s="423" t="s">
        <v>30</v>
      </c>
      <c r="AE79" s="417">
        <f t="shared" ref="AE79:AQ79" si="213">IFERROR(AE78/AE77,0)</f>
        <v>0</v>
      </c>
      <c r="AF79" s="418">
        <f t="shared" si="213"/>
        <v>0</v>
      </c>
      <c r="AG79" s="419">
        <f t="shared" si="213"/>
        <v>0</v>
      </c>
      <c r="AH79" s="419">
        <f t="shared" si="213"/>
        <v>0</v>
      </c>
      <c r="AI79" s="419">
        <f t="shared" si="213"/>
        <v>0</v>
      </c>
      <c r="AJ79" s="419">
        <f t="shared" si="213"/>
        <v>0</v>
      </c>
      <c r="AK79" s="419">
        <f t="shared" si="213"/>
        <v>0</v>
      </c>
      <c r="AL79" s="419">
        <f t="shared" si="213"/>
        <v>0</v>
      </c>
      <c r="AM79" s="419">
        <f t="shared" si="213"/>
        <v>0</v>
      </c>
      <c r="AN79" s="419">
        <f t="shared" si="213"/>
        <v>0</v>
      </c>
      <c r="AO79" s="419">
        <f t="shared" si="213"/>
        <v>0</v>
      </c>
      <c r="AP79" s="419">
        <f t="shared" si="213"/>
        <v>0</v>
      </c>
      <c r="AQ79" s="421">
        <f t="shared" si="213"/>
        <v>0</v>
      </c>
    </row>
    <row r="80" spans="2:43" ht="7.8" customHeight="1" x14ac:dyDescent="0.25">
      <c r="B80" s="282"/>
      <c r="C80" s="404"/>
      <c r="D80" s="424" t="s">
        <v>40</v>
      </c>
      <c r="E80" s="425" t="s">
        <v>32</v>
      </c>
      <c r="F80" s="426">
        <f t="shared" ref="F80:F81" si="214">SUM(G80,H80,N80,T80)</f>
        <v>5665</v>
      </c>
      <c r="G80" s="426">
        <v>443</v>
      </c>
      <c r="H80" s="426">
        <f t="shared" ref="H80:H81" si="215">SUM(I80:M80)</f>
        <v>294</v>
      </c>
      <c r="I80" s="427">
        <v>160</v>
      </c>
      <c r="J80" s="428">
        <v>39</v>
      </c>
      <c r="K80" s="428">
        <v>0</v>
      </c>
      <c r="L80" s="428">
        <v>0</v>
      </c>
      <c r="M80" s="429">
        <v>95</v>
      </c>
      <c r="N80" s="426">
        <f t="shared" ref="N80:N81" si="216">SUM(O80:S80)</f>
        <v>1019</v>
      </c>
      <c r="O80" s="427">
        <v>779</v>
      </c>
      <c r="P80" s="428">
        <v>154</v>
      </c>
      <c r="Q80" s="428">
        <v>81</v>
      </c>
      <c r="R80" s="428">
        <v>0</v>
      </c>
      <c r="S80" s="429">
        <v>5</v>
      </c>
      <c r="T80" s="426">
        <f t="shared" ref="T80:T81" si="217">SUM(U80:Y80)</f>
        <v>3909</v>
      </c>
      <c r="U80" s="427">
        <v>393</v>
      </c>
      <c r="V80" s="428">
        <v>1627</v>
      </c>
      <c r="W80" s="428">
        <v>1381</v>
      </c>
      <c r="X80" s="428">
        <v>262</v>
      </c>
      <c r="Y80" s="430">
        <v>246</v>
      </c>
      <c r="AA80" s="291"/>
      <c r="AB80" s="412"/>
      <c r="AC80" s="431" t="s">
        <v>40</v>
      </c>
      <c r="AD80" s="432" t="s">
        <v>32</v>
      </c>
      <c r="AE80" s="426">
        <f t="shared" ref="AE80:AE81" si="218">SUM(AF80:AQ80)</f>
        <v>7532</v>
      </c>
      <c r="AF80" s="427">
        <f>$G$80</f>
        <v>443</v>
      </c>
      <c r="AG80" s="428">
        <f>$G$134</f>
        <v>403</v>
      </c>
      <c r="AH80" s="428">
        <f>$G$188</f>
        <v>385</v>
      </c>
      <c r="AI80" s="428">
        <f>$G$242</f>
        <v>696</v>
      </c>
      <c r="AJ80" s="428">
        <f>$G$296</f>
        <v>743</v>
      </c>
      <c r="AK80" s="428">
        <f>$G$350</f>
        <v>717</v>
      </c>
      <c r="AL80" s="428">
        <f>$G$404</f>
        <v>787</v>
      </c>
      <c r="AM80" s="428">
        <f>$G$458</f>
        <v>711</v>
      </c>
      <c r="AN80" s="428">
        <f>$G$512</f>
        <v>732</v>
      </c>
      <c r="AO80" s="428">
        <f>$G$566</f>
        <v>674</v>
      </c>
      <c r="AP80" s="428">
        <f>$G$620</f>
        <v>530</v>
      </c>
      <c r="AQ80" s="430">
        <f>$G$674</f>
        <v>711</v>
      </c>
    </row>
    <row r="81" spans="2:43" s="41" customFormat="1" ht="7.8" customHeight="1" x14ac:dyDescent="0.25">
      <c r="B81" s="282"/>
      <c r="C81" s="404"/>
      <c r="D81" s="405"/>
      <c r="E81" s="406" t="s">
        <v>33</v>
      </c>
      <c r="F81" s="407">
        <f t="shared" si="214"/>
        <v>925652</v>
      </c>
      <c r="G81" s="407">
        <v>69108</v>
      </c>
      <c r="H81" s="407">
        <f t="shared" si="215"/>
        <v>54057</v>
      </c>
      <c r="I81" s="408">
        <v>28630</v>
      </c>
      <c r="J81" s="409">
        <v>6762</v>
      </c>
      <c r="K81" s="409">
        <v>0</v>
      </c>
      <c r="L81" s="409">
        <v>0</v>
      </c>
      <c r="M81" s="410">
        <v>18665</v>
      </c>
      <c r="N81" s="407">
        <f t="shared" si="216"/>
        <v>188430</v>
      </c>
      <c r="O81" s="408">
        <v>145420</v>
      </c>
      <c r="P81" s="409">
        <v>27930</v>
      </c>
      <c r="Q81" s="409">
        <v>14435</v>
      </c>
      <c r="R81" s="409">
        <v>0</v>
      </c>
      <c r="S81" s="410">
        <v>645</v>
      </c>
      <c r="T81" s="407">
        <f t="shared" si="217"/>
        <v>614057</v>
      </c>
      <c r="U81" s="408">
        <v>82221.219999999987</v>
      </c>
      <c r="V81" s="409">
        <v>192580.82000000007</v>
      </c>
      <c r="W81" s="409">
        <v>253567.96000000002</v>
      </c>
      <c r="X81" s="409">
        <v>48914</v>
      </c>
      <c r="Y81" s="411">
        <v>36773</v>
      </c>
      <c r="AA81" s="291"/>
      <c r="AB81" s="412"/>
      <c r="AC81" s="413"/>
      <c r="AD81" s="414" t="s">
        <v>33</v>
      </c>
      <c r="AE81" s="407">
        <f t="shared" si="218"/>
        <v>1174525</v>
      </c>
      <c r="AF81" s="408">
        <f>$G$81</f>
        <v>69108</v>
      </c>
      <c r="AG81" s="409">
        <f>$G$135</f>
        <v>63214</v>
      </c>
      <c r="AH81" s="409">
        <f>$G$189</f>
        <v>60060</v>
      </c>
      <c r="AI81" s="409">
        <f>$G$243</f>
        <v>108219</v>
      </c>
      <c r="AJ81" s="409">
        <f>$G$297</f>
        <v>115908</v>
      </c>
      <c r="AK81" s="409">
        <f>$G$351</f>
        <v>111762</v>
      </c>
      <c r="AL81" s="409">
        <f>$G$405</f>
        <v>122727</v>
      </c>
      <c r="AM81" s="409">
        <f>$G$459</f>
        <v>110886</v>
      </c>
      <c r="AN81" s="409">
        <f>$G$513</f>
        <v>114036</v>
      </c>
      <c r="AO81" s="409">
        <f>$G$567</f>
        <v>105099</v>
      </c>
      <c r="AP81" s="409">
        <f>$G$621</f>
        <v>82635</v>
      </c>
      <c r="AQ81" s="411">
        <f>$G$675</f>
        <v>110871</v>
      </c>
    </row>
    <row r="82" spans="2:43" ht="7.8" customHeight="1" x14ac:dyDescent="0.25">
      <c r="B82" s="282"/>
      <c r="C82" s="404"/>
      <c r="D82" s="415"/>
      <c r="E82" s="416" t="s">
        <v>30</v>
      </c>
      <c r="F82" s="417">
        <f t="shared" ref="F82:Y82" si="219">IFERROR(F81/F80,0)</f>
        <v>163.39841129744042</v>
      </c>
      <c r="G82" s="417">
        <f t="shared" si="219"/>
        <v>156</v>
      </c>
      <c r="H82" s="417">
        <f t="shared" si="219"/>
        <v>183.86734693877551</v>
      </c>
      <c r="I82" s="418">
        <f t="shared" si="219"/>
        <v>178.9375</v>
      </c>
      <c r="J82" s="419">
        <f t="shared" si="219"/>
        <v>173.38461538461539</v>
      </c>
      <c r="K82" s="419">
        <f t="shared" si="219"/>
        <v>0</v>
      </c>
      <c r="L82" s="419">
        <f t="shared" si="219"/>
        <v>0</v>
      </c>
      <c r="M82" s="420">
        <f t="shared" si="219"/>
        <v>196.47368421052633</v>
      </c>
      <c r="N82" s="417">
        <f t="shared" si="219"/>
        <v>184.91658488714427</v>
      </c>
      <c r="O82" s="418">
        <f t="shared" si="219"/>
        <v>186.67522464698331</v>
      </c>
      <c r="P82" s="419">
        <f t="shared" si="219"/>
        <v>181.36363636363637</v>
      </c>
      <c r="Q82" s="419">
        <f t="shared" si="219"/>
        <v>178.20987654320987</v>
      </c>
      <c r="R82" s="419">
        <f t="shared" si="219"/>
        <v>0</v>
      </c>
      <c r="S82" s="420">
        <f t="shared" si="219"/>
        <v>129</v>
      </c>
      <c r="T82" s="417">
        <f t="shared" si="219"/>
        <v>157.08800204655921</v>
      </c>
      <c r="U82" s="418">
        <f t="shared" si="219"/>
        <v>209.21430025445289</v>
      </c>
      <c r="V82" s="419">
        <f t="shared" si="219"/>
        <v>118.36559311616476</v>
      </c>
      <c r="W82" s="419">
        <f t="shared" si="219"/>
        <v>183.61184648805215</v>
      </c>
      <c r="X82" s="419">
        <f t="shared" si="219"/>
        <v>186.69465648854961</v>
      </c>
      <c r="Y82" s="421">
        <f t="shared" si="219"/>
        <v>149.48373983739836</v>
      </c>
      <c r="AA82" s="291"/>
      <c r="AB82" s="412"/>
      <c r="AC82" s="422"/>
      <c r="AD82" s="423" t="s">
        <v>30</v>
      </c>
      <c r="AE82" s="417">
        <f t="shared" ref="AE82:AQ82" si="220">IFERROR(AE81/AE80,0)</f>
        <v>155.93799787573022</v>
      </c>
      <c r="AF82" s="418">
        <f t="shared" si="220"/>
        <v>156</v>
      </c>
      <c r="AG82" s="419">
        <f t="shared" si="220"/>
        <v>156.85856079404468</v>
      </c>
      <c r="AH82" s="419">
        <f t="shared" si="220"/>
        <v>156</v>
      </c>
      <c r="AI82" s="419">
        <f t="shared" si="220"/>
        <v>155.48706896551724</v>
      </c>
      <c r="AJ82" s="419">
        <f t="shared" si="220"/>
        <v>156</v>
      </c>
      <c r="AK82" s="419">
        <f t="shared" si="220"/>
        <v>155.87447698744771</v>
      </c>
      <c r="AL82" s="419">
        <f t="shared" si="220"/>
        <v>155.94282083862771</v>
      </c>
      <c r="AM82" s="419">
        <f t="shared" si="220"/>
        <v>155.957805907173</v>
      </c>
      <c r="AN82" s="419">
        <f t="shared" si="220"/>
        <v>155.78688524590163</v>
      </c>
      <c r="AO82" s="419">
        <f t="shared" si="220"/>
        <v>155.93323442136497</v>
      </c>
      <c r="AP82" s="419">
        <f t="shared" si="220"/>
        <v>155.91509433962264</v>
      </c>
      <c r="AQ82" s="421">
        <f t="shared" si="220"/>
        <v>155.9367088607595</v>
      </c>
    </row>
    <row r="83" spans="2:43" ht="7.8" customHeight="1" x14ac:dyDescent="0.25">
      <c r="B83" s="282"/>
      <c r="C83" s="404"/>
      <c r="D83" s="424" t="s">
        <v>41</v>
      </c>
      <c r="E83" s="425" t="s">
        <v>32</v>
      </c>
      <c r="F83" s="426">
        <f t="shared" ref="F83:F84" si="221">SUM(G83,H83,N83,T83)</f>
        <v>5360</v>
      </c>
      <c r="G83" s="426">
        <v>676</v>
      </c>
      <c r="H83" s="426">
        <f t="shared" ref="H83:H84" si="222">SUM(I83:M83)</f>
        <v>82</v>
      </c>
      <c r="I83" s="427">
        <v>20</v>
      </c>
      <c r="J83" s="428">
        <v>39</v>
      </c>
      <c r="K83" s="428">
        <v>0</v>
      </c>
      <c r="L83" s="428">
        <v>0</v>
      </c>
      <c r="M83" s="429">
        <v>23</v>
      </c>
      <c r="N83" s="426">
        <f t="shared" ref="N83:N84" si="223">SUM(O83:S83)</f>
        <v>645</v>
      </c>
      <c r="O83" s="427">
        <v>431</v>
      </c>
      <c r="P83" s="428">
        <v>134</v>
      </c>
      <c r="Q83" s="428">
        <v>80</v>
      </c>
      <c r="R83" s="428">
        <v>0</v>
      </c>
      <c r="S83" s="429">
        <v>0</v>
      </c>
      <c r="T83" s="426">
        <f t="shared" ref="T83:T84" si="224">SUM(U83:Y83)</f>
        <v>3957</v>
      </c>
      <c r="U83" s="427">
        <v>323</v>
      </c>
      <c r="V83" s="428">
        <v>1575</v>
      </c>
      <c r="W83" s="428">
        <v>1724</v>
      </c>
      <c r="X83" s="428">
        <v>194</v>
      </c>
      <c r="Y83" s="430">
        <v>141</v>
      </c>
      <c r="AA83" s="291"/>
      <c r="AB83" s="412"/>
      <c r="AC83" s="431" t="s">
        <v>41</v>
      </c>
      <c r="AD83" s="432" t="s">
        <v>32</v>
      </c>
      <c r="AE83" s="426">
        <f t="shared" ref="AE83:AE84" si="225">SUM(AF83:AQ83)</f>
        <v>5719</v>
      </c>
      <c r="AF83" s="427">
        <f>$G$83</f>
        <v>676</v>
      </c>
      <c r="AG83" s="428">
        <f>$G$137</f>
        <v>625</v>
      </c>
      <c r="AH83" s="428">
        <f>$G$191</f>
        <v>673</v>
      </c>
      <c r="AI83" s="428">
        <f>$G$245</f>
        <v>656</v>
      </c>
      <c r="AJ83" s="428">
        <f>$G$299</f>
        <v>643</v>
      </c>
      <c r="AK83" s="428">
        <f>$G$353</f>
        <v>666</v>
      </c>
      <c r="AL83" s="428">
        <f>$G$407</f>
        <v>708</v>
      </c>
      <c r="AM83" s="428">
        <f>$G$461</f>
        <v>650</v>
      </c>
      <c r="AN83" s="428">
        <f>$G$515</f>
        <v>422</v>
      </c>
      <c r="AO83" s="428">
        <f>$G$569</f>
        <v>0</v>
      </c>
      <c r="AP83" s="428">
        <f>$G$623</f>
        <v>0</v>
      </c>
      <c r="AQ83" s="430">
        <f>$G$677</f>
        <v>0</v>
      </c>
    </row>
    <row r="84" spans="2:43" s="41" customFormat="1" ht="7.8" customHeight="1" x14ac:dyDescent="0.25">
      <c r="B84" s="282"/>
      <c r="C84" s="404"/>
      <c r="D84" s="405"/>
      <c r="E84" s="406" t="s">
        <v>33</v>
      </c>
      <c r="F84" s="407">
        <f t="shared" si="221"/>
        <v>831864.03999999992</v>
      </c>
      <c r="G84" s="407">
        <v>105456</v>
      </c>
      <c r="H84" s="407">
        <f t="shared" si="222"/>
        <v>16061</v>
      </c>
      <c r="I84" s="408">
        <v>3660</v>
      </c>
      <c r="J84" s="409">
        <v>7551</v>
      </c>
      <c r="K84" s="409">
        <v>0</v>
      </c>
      <c r="L84" s="409">
        <v>0</v>
      </c>
      <c r="M84" s="410">
        <v>4850</v>
      </c>
      <c r="N84" s="407">
        <f t="shared" si="223"/>
        <v>123432</v>
      </c>
      <c r="O84" s="408">
        <v>81810</v>
      </c>
      <c r="P84" s="409">
        <v>27088</v>
      </c>
      <c r="Q84" s="409">
        <v>14534</v>
      </c>
      <c r="R84" s="409">
        <v>0</v>
      </c>
      <c r="S84" s="410">
        <v>0</v>
      </c>
      <c r="T84" s="407">
        <f t="shared" si="224"/>
        <v>586915.03999999992</v>
      </c>
      <c r="U84" s="408">
        <v>68734.399999999994</v>
      </c>
      <c r="V84" s="409">
        <v>231979.13</v>
      </c>
      <c r="W84" s="409">
        <v>227658.50999999992</v>
      </c>
      <c r="X84" s="409">
        <v>37344</v>
      </c>
      <c r="Y84" s="411">
        <v>21199</v>
      </c>
      <c r="AA84" s="291"/>
      <c r="AB84" s="412"/>
      <c r="AC84" s="413"/>
      <c r="AD84" s="414" t="s">
        <v>33</v>
      </c>
      <c r="AE84" s="407">
        <f t="shared" si="225"/>
        <v>891581</v>
      </c>
      <c r="AF84" s="408">
        <f>$G$84</f>
        <v>105456</v>
      </c>
      <c r="AG84" s="409">
        <f>$G$138</f>
        <v>97185</v>
      </c>
      <c r="AH84" s="409">
        <f>$G$192</f>
        <v>105131</v>
      </c>
      <c r="AI84" s="409">
        <f>$G$246</f>
        <v>102276</v>
      </c>
      <c r="AJ84" s="409">
        <f>$G$300</f>
        <v>100002</v>
      </c>
      <c r="AK84" s="409">
        <f>$G$354</f>
        <v>103671</v>
      </c>
      <c r="AL84" s="409">
        <f>$G$408</f>
        <v>110292</v>
      </c>
      <c r="AM84" s="409">
        <f>$G$462</f>
        <v>101535</v>
      </c>
      <c r="AN84" s="409">
        <f>$G$516</f>
        <v>66033</v>
      </c>
      <c r="AO84" s="409">
        <f>$G$570</f>
        <v>0</v>
      </c>
      <c r="AP84" s="409">
        <f>$G$624</f>
        <v>0</v>
      </c>
      <c r="AQ84" s="411">
        <f>$G$678</f>
        <v>0</v>
      </c>
    </row>
    <row r="85" spans="2:43" ht="7.8" customHeight="1" x14ac:dyDescent="0.25">
      <c r="B85" s="282"/>
      <c r="C85" s="404"/>
      <c r="D85" s="415"/>
      <c r="E85" s="416" t="s">
        <v>30</v>
      </c>
      <c r="F85" s="417">
        <f t="shared" ref="F85:Y85" si="226">IFERROR(F84/F83,0)</f>
        <v>155.19851492537313</v>
      </c>
      <c r="G85" s="417">
        <f t="shared" si="226"/>
        <v>156</v>
      </c>
      <c r="H85" s="417">
        <f t="shared" si="226"/>
        <v>195.86585365853659</v>
      </c>
      <c r="I85" s="418">
        <f t="shared" si="226"/>
        <v>183</v>
      </c>
      <c r="J85" s="419">
        <f t="shared" si="226"/>
        <v>193.61538461538461</v>
      </c>
      <c r="K85" s="419">
        <f t="shared" si="226"/>
        <v>0</v>
      </c>
      <c r="L85" s="419">
        <f t="shared" si="226"/>
        <v>0</v>
      </c>
      <c r="M85" s="420">
        <f t="shared" si="226"/>
        <v>210.86956521739131</v>
      </c>
      <c r="N85" s="417">
        <f t="shared" si="226"/>
        <v>191.36744186046511</v>
      </c>
      <c r="O85" s="418">
        <f t="shared" si="226"/>
        <v>189.81438515081206</v>
      </c>
      <c r="P85" s="419">
        <f t="shared" si="226"/>
        <v>202.14925373134329</v>
      </c>
      <c r="Q85" s="419">
        <f t="shared" si="226"/>
        <v>181.67500000000001</v>
      </c>
      <c r="R85" s="419">
        <f t="shared" si="226"/>
        <v>0</v>
      </c>
      <c r="S85" s="420">
        <f t="shared" si="226"/>
        <v>0</v>
      </c>
      <c r="T85" s="417">
        <f t="shared" si="226"/>
        <v>148.32323477381854</v>
      </c>
      <c r="U85" s="418">
        <f t="shared" si="226"/>
        <v>212.79999999999998</v>
      </c>
      <c r="V85" s="419">
        <f t="shared" si="226"/>
        <v>147.28833650793652</v>
      </c>
      <c r="W85" s="419">
        <f t="shared" si="226"/>
        <v>132.05249999999995</v>
      </c>
      <c r="X85" s="419">
        <f t="shared" si="226"/>
        <v>192.49484536082474</v>
      </c>
      <c r="Y85" s="421">
        <f t="shared" si="226"/>
        <v>150.34751773049646</v>
      </c>
      <c r="AA85" s="291"/>
      <c r="AB85" s="412"/>
      <c r="AC85" s="422"/>
      <c r="AD85" s="423" t="s">
        <v>30</v>
      </c>
      <c r="AE85" s="417">
        <f t="shared" ref="AE85:AQ85" si="227">IFERROR(AE84/AE83,0)</f>
        <v>155.89805910124147</v>
      </c>
      <c r="AF85" s="418">
        <f t="shared" si="227"/>
        <v>156</v>
      </c>
      <c r="AG85" s="419">
        <f t="shared" si="227"/>
        <v>155.49600000000001</v>
      </c>
      <c r="AH85" s="419">
        <f t="shared" si="227"/>
        <v>156.21248142644873</v>
      </c>
      <c r="AI85" s="419">
        <f t="shared" si="227"/>
        <v>155.90853658536585</v>
      </c>
      <c r="AJ85" s="419">
        <f t="shared" si="227"/>
        <v>155.52410575427683</v>
      </c>
      <c r="AK85" s="419">
        <f t="shared" si="227"/>
        <v>155.66216216216216</v>
      </c>
      <c r="AL85" s="419">
        <f t="shared" si="227"/>
        <v>155.77966101694915</v>
      </c>
      <c r="AM85" s="419">
        <f t="shared" si="227"/>
        <v>156.2076923076923</v>
      </c>
      <c r="AN85" s="419">
        <f t="shared" si="227"/>
        <v>156.47630331753555</v>
      </c>
      <c r="AO85" s="419">
        <f t="shared" si="227"/>
        <v>0</v>
      </c>
      <c r="AP85" s="419">
        <f t="shared" si="227"/>
        <v>0</v>
      </c>
      <c r="AQ85" s="421">
        <f t="shared" si="227"/>
        <v>0</v>
      </c>
    </row>
    <row r="86" spans="2:43" ht="7.8" customHeight="1" x14ac:dyDescent="0.25">
      <c r="B86" s="282"/>
      <c r="C86" s="404"/>
      <c r="D86" s="433" t="s">
        <v>42</v>
      </c>
      <c r="E86" s="434" t="s">
        <v>32</v>
      </c>
      <c r="F86" s="435">
        <f t="shared" ref="F86:F87" si="228">SUM(G86,H86,N86,T86)</f>
        <v>4862</v>
      </c>
      <c r="G86" s="435">
        <v>0</v>
      </c>
      <c r="H86" s="435">
        <v>210</v>
      </c>
      <c r="I86" s="436">
        <v>80</v>
      </c>
      <c r="J86" s="437">
        <v>50</v>
      </c>
      <c r="K86" s="437">
        <v>0</v>
      </c>
      <c r="L86" s="437">
        <v>80</v>
      </c>
      <c r="M86" s="438">
        <v>0</v>
      </c>
      <c r="N86" s="435">
        <f t="shared" ref="N86:N87" si="229">SUM(O86:S86)</f>
        <v>880</v>
      </c>
      <c r="O86" s="436">
        <v>500</v>
      </c>
      <c r="P86" s="437">
        <v>300</v>
      </c>
      <c r="Q86" s="437">
        <v>80</v>
      </c>
      <c r="R86" s="437">
        <v>0</v>
      </c>
      <c r="S86" s="438">
        <v>0</v>
      </c>
      <c r="T86" s="435">
        <f t="shared" ref="T86:T87" si="230">SUM(U86:Y86)</f>
        <v>3772</v>
      </c>
      <c r="U86" s="436">
        <v>281</v>
      </c>
      <c r="V86" s="437">
        <v>1831</v>
      </c>
      <c r="W86" s="437">
        <v>1380</v>
      </c>
      <c r="X86" s="437">
        <v>71</v>
      </c>
      <c r="Y86" s="439">
        <v>209</v>
      </c>
      <c r="AA86" s="291"/>
      <c r="AB86" s="412"/>
      <c r="AC86" s="440" t="s">
        <v>42</v>
      </c>
      <c r="AD86" s="441" t="s">
        <v>32</v>
      </c>
      <c r="AE86" s="442">
        <f t="shared" ref="AE86:AE87" si="231">SUM(AF86:AQ86)</f>
        <v>0</v>
      </c>
      <c r="AF86" s="443">
        <f>$G$86</f>
        <v>0</v>
      </c>
      <c r="AG86" s="444">
        <f>$G$140</f>
        <v>0</v>
      </c>
      <c r="AH86" s="444">
        <f>$G$194</f>
        <v>0</v>
      </c>
      <c r="AI86" s="444">
        <f>$G$248</f>
        <v>0</v>
      </c>
      <c r="AJ86" s="444">
        <f>$G$302</f>
        <v>0</v>
      </c>
      <c r="AK86" s="444">
        <f>$G$356</f>
        <v>0</v>
      </c>
      <c r="AL86" s="444">
        <f>$G$410</f>
        <v>0</v>
      </c>
      <c r="AM86" s="444">
        <f>$G$464</f>
        <v>0</v>
      </c>
      <c r="AN86" s="444">
        <f>$G$518</f>
        <v>0</v>
      </c>
      <c r="AO86" s="444">
        <f>$G$572</f>
        <v>0</v>
      </c>
      <c r="AP86" s="444">
        <f>$G$626</f>
        <v>0</v>
      </c>
      <c r="AQ86" s="445">
        <f>$G$680</f>
        <v>0</v>
      </c>
    </row>
    <row r="87" spans="2:43" s="41" customFormat="1" ht="7.8" customHeight="1" x14ac:dyDescent="0.25">
      <c r="B87" s="282"/>
      <c r="C87" s="404"/>
      <c r="D87" s="446"/>
      <c r="E87" s="447" t="s">
        <v>33</v>
      </c>
      <c r="F87" s="448">
        <f t="shared" si="228"/>
        <v>750480</v>
      </c>
      <c r="G87" s="448">
        <v>0</v>
      </c>
      <c r="H87" s="448">
        <v>36100</v>
      </c>
      <c r="I87" s="449">
        <v>13600</v>
      </c>
      <c r="J87" s="450">
        <v>8500</v>
      </c>
      <c r="K87" s="450">
        <v>0</v>
      </c>
      <c r="L87" s="450">
        <v>14000</v>
      </c>
      <c r="M87" s="451">
        <v>0</v>
      </c>
      <c r="N87" s="448">
        <f t="shared" si="229"/>
        <v>152900</v>
      </c>
      <c r="O87" s="449">
        <v>87500</v>
      </c>
      <c r="P87" s="450">
        <v>51000</v>
      </c>
      <c r="Q87" s="450">
        <v>14400</v>
      </c>
      <c r="R87" s="450">
        <v>0</v>
      </c>
      <c r="S87" s="451">
        <v>0</v>
      </c>
      <c r="T87" s="448">
        <f t="shared" si="230"/>
        <v>561480</v>
      </c>
      <c r="U87" s="449">
        <v>51985</v>
      </c>
      <c r="V87" s="450">
        <v>272994</v>
      </c>
      <c r="W87" s="450">
        <v>185955</v>
      </c>
      <c r="X87" s="450">
        <v>13135</v>
      </c>
      <c r="Y87" s="452">
        <v>37411</v>
      </c>
      <c r="AA87" s="291"/>
      <c r="AB87" s="412"/>
      <c r="AC87" s="453"/>
      <c r="AD87" s="454" t="s">
        <v>33</v>
      </c>
      <c r="AE87" s="455">
        <f t="shared" si="231"/>
        <v>0</v>
      </c>
      <c r="AF87" s="456">
        <f>$G$87</f>
        <v>0</v>
      </c>
      <c r="AG87" s="457">
        <f>$G$141</f>
        <v>0</v>
      </c>
      <c r="AH87" s="457">
        <f>$G$195</f>
        <v>0</v>
      </c>
      <c r="AI87" s="457">
        <f>$G$249</f>
        <v>0</v>
      </c>
      <c r="AJ87" s="457">
        <f>$G$303</f>
        <v>0</v>
      </c>
      <c r="AK87" s="457">
        <f>$G$357</f>
        <v>0</v>
      </c>
      <c r="AL87" s="457">
        <f>$G$411</f>
        <v>0</v>
      </c>
      <c r="AM87" s="457">
        <f>$G$465</f>
        <v>0</v>
      </c>
      <c r="AN87" s="457">
        <f>$G$519</f>
        <v>0</v>
      </c>
      <c r="AO87" s="457">
        <f>$G$573</f>
        <v>0</v>
      </c>
      <c r="AP87" s="457">
        <f>$G$627</f>
        <v>0</v>
      </c>
      <c r="AQ87" s="458">
        <f>$G$681</f>
        <v>0</v>
      </c>
    </row>
    <row r="88" spans="2:43" ht="7.8" customHeight="1" x14ac:dyDescent="0.25">
      <c r="B88" s="282"/>
      <c r="C88" s="404"/>
      <c r="D88" s="459"/>
      <c r="E88" s="460" t="s">
        <v>30</v>
      </c>
      <c r="F88" s="461">
        <f t="shared" ref="F88:Y88" si="232">IFERROR(F87/F86,0)</f>
        <v>154.35623200329081</v>
      </c>
      <c r="G88" s="461">
        <f t="shared" si="232"/>
        <v>0</v>
      </c>
      <c r="H88" s="461">
        <f t="shared" si="232"/>
        <v>171.9047619047619</v>
      </c>
      <c r="I88" s="462">
        <f t="shared" si="232"/>
        <v>170</v>
      </c>
      <c r="J88" s="463">
        <f t="shared" si="232"/>
        <v>170</v>
      </c>
      <c r="K88" s="463">
        <f t="shared" si="232"/>
        <v>0</v>
      </c>
      <c r="L88" s="463">
        <f t="shared" si="232"/>
        <v>175</v>
      </c>
      <c r="M88" s="464">
        <f t="shared" si="232"/>
        <v>0</v>
      </c>
      <c r="N88" s="461">
        <f t="shared" si="232"/>
        <v>173.75</v>
      </c>
      <c r="O88" s="462">
        <f t="shared" si="232"/>
        <v>175</v>
      </c>
      <c r="P88" s="463">
        <f t="shared" si="232"/>
        <v>170</v>
      </c>
      <c r="Q88" s="463">
        <f t="shared" si="232"/>
        <v>180</v>
      </c>
      <c r="R88" s="463">
        <f t="shared" si="232"/>
        <v>0</v>
      </c>
      <c r="S88" s="464">
        <f t="shared" si="232"/>
        <v>0</v>
      </c>
      <c r="T88" s="461">
        <f t="shared" si="232"/>
        <v>148.85471898197244</v>
      </c>
      <c r="U88" s="462">
        <f t="shared" si="232"/>
        <v>185</v>
      </c>
      <c r="V88" s="463">
        <f t="shared" si="232"/>
        <v>149.09557618787548</v>
      </c>
      <c r="W88" s="463">
        <f t="shared" si="232"/>
        <v>134.75</v>
      </c>
      <c r="X88" s="463">
        <f t="shared" si="232"/>
        <v>185</v>
      </c>
      <c r="Y88" s="465">
        <f t="shared" si="232"/>
        <v>179</v>
      </c>
      <c r="AA88" s="291"/>
      <c r="AB88" s="412"/>
      <c r="AC88" s="466"/>
      <c r="AD88" s="467" t="s">
        <v>30</v>
      </c>
      <c r="AE88" s="468">
        <f t="shared" ref="AE88:AQ88" si="233">IFERROR(AE87/AE86,0)</f>
        <v>0</v>
      </c>
      <c r="AF88" s="469">
        <f t="shared" si="233"/>
        <v>0</v>
      </c>
      <c r="AG88" s="470">
        <f t="shared" si="233"/>
        <v>0</v>
      </c>
      <c r="AH88" s="470">
        <f t="shared" si="233"/>
        <v>0</v>
      </c>
      <c r="AI88" s="470">
        <f t="shared" si="233"/>
        <v>0</v>
      </c>
      <c r="AJ88" s="470">
        <f t="shared" si="233"/>
        <v>0</v>
      </c>
      <c r="AK88" s="470">
        <f t="shared" si="233"/>
        <v>0</v>
      </c>
      <c r="AL88" s="470">
        <f t="shared" si="233"/>
        <v>0</v>
      </c>
      <c r="AM88" s="470">
        <f t="shared" si="233"/>
        <v>0</v>
      </c>
      <c r="AN88" s="470">
        <f t="shared" si="233"/>
        <v>0</v>
      </c>
      <c r="AO88" s="470">
        <f t="shared" si="233"/>
        <v>0</v>
      </c>
      <c r="AP88" s="470">
        <f t="shared" si="233"/>
        <v>0</v>
      </c>
      <c r="AQ88" s="471">
        <f t="shared" si="233"/>
        <v>0</v>
      </c>
    </row>
    <row r="89" spans="2:43" ht="7.8" customHeight="1" x14ac:dyDescent="0.25">
      <c r="B89" s="282"/>
      <c r="C89" s="404"/>
      <c r="D89" s="472" t="s">
        <v>43</v>
      </c>
      <c r="E89" s="425" t="s">
        <v>32</v>
      </c>
      <c r="F89" s="426">
        <f t="shared" ref="F89:Y91" si="234">F86-F83</f>
        <v>-498</v>
      </c>
      <c r="G89" s="426">
        <f t="shared" si="234"/>
        <v>-676</v>
      </c>
      <c r="H89" s="426">
        <f t="shared" si="234"/>
        <v>128</v>
      </c>
      <c r="I89" s="427">
        <f t="shared" si="234"/>
        <v>60</v>
      </c>
      <c r="J89" s="428">
        <f t="shared" si="234"/>
        <v>11</v>
      </c>
      <c r="K89" s="428">
        <f t="shared" si="234"/>
        <v>0</v>
      </c>
      <c r="L89" s="428">
        <f t="shared" si="234"/>
        <v>80</v>
      </c>
      <c r="M89" s="429">
        <f t="shared" si="234"/>
        <v>-23</v>
      </c>
      <c r="N89" s="426">
        <f t="shared" si="234"/>
        <v>235</v>
      </c>
      <c r="O89" s="427">
        <f t="shared" si="234"/>
        <v>69</v>
      </c>
      <c r="P89" s="428">
        <f t="shared" si="234"/>
        <v>166</v>
      </c>
      <c r="Q89" s="428">
        <f t="shared" si="234"/>
        <v>0</v>
      </c>
      <c r="R89" s="428">
        <f t="shared" si="234"/>
        <v>0</v>
      </c>
      <c r="S89" s="429">
        <f t="shared" si="234"/>
        <v>0</v>
      </c>
      <c r="T89" s="426">
        <f t="shared" si="234"/>
        <v>-185</v>
      </c>
      <c r="U89" s="427">
        <f t="shared" si="234"/>
        <v>-42</v>
      </c>
      <c r="V89" s="428">
        <f t="shared" si="234"/>
        <v>256</v>
      </c>
      <c r="W89" s="428">
        <f t="shared" si="234"/>
        <v>-344</v>
      </c>
      <c r="X89" s="428">
        <f t="shared" si="234"/>
        <v>-123</v>
      </c>
      <c r="Y89" s="430">
        <f t="shared" si="234"/>
        <v>68</v>
      </c>
      <c r="AA89" s="291"/>
      <c r="AB89" s="412"/>
      <c r="AC89" s="473" t="s">
        <v>43</v>
      </c>
      <c r="AD89" s="432" t="s">
        <v>32</v>
      </c>
      <c r="AE89" s="426">
        <f t="shared" ref="AE89:AQ91" si="235">AE86-AE83</f>
        <v>-5719</v>
      </c>
      <c r="AF89" s="427">
        <f t="shared" si="235"/>
        <v>-676</v>
      </c>
      <c r="AG89" s="428">
        <f t="shared" si="235"/>
        <v>-625</v>
      </c>
      <c r="AH89" s="428">
        <f t="shared" si="235"/>
        <v>-673</v>
      </c>
      <c r="AI89" s="428">
        <f t="shared" si="235"/>
        <v>-656</v>
      </c>
      <c r="AJ89" s="428">
        <f t="shared" si="235"/>
        <v>-643</v>
      </c>
      <c r="AK89" s="428">
        <f t="shared" si="235"/>
        <v>-666</v>
      </c>
      <c r="AL89" s="428">
        <f t="shared" si="235"/>
        <v>-708</v>
      </c>
      <c r="AM89" s="428">
        <f t="shared" si="235"/>
        <v>-650</v>
      </c>
      <c r="AN89" s="428">
        <f t="shared" si="235"/>
        <v>-422</v>
      </c>
      <c r="AO89" s="428">
        <f t="shared" si="235"/>
        <v>0</v>
      </c>
      <c r="AP89" s="428">
        <f t="shared" si="235"/>
        <v>0</v>
      </c>
      <c r="AQ89" s="430">
        <f t="shared" si="235"/>
        <v>0</v>
      </c>
    </row>
    <row r="90" spans="2:43" s="366" customFormat="1" ht="7.8" customHeight="1" x14ac:dyDescent="0.25">
      <c r="B90" s="282"/>
      <c r="C90" s="404"/>
      <c r="D90" s="405"/>
      <c r="E90" s="474" t="s">
        <v>33</v>
      </c>
      <c r="F90" s="407">
        <f t="shared" si="234"/>
        <v>-81384.039999999921</v>
      </c>
      <c r="G90" s="407">
        <f t="shared" si="234"/>
        <v>-105456</v>
      </c>
      <c r="H90" s="407">
        <f t="shared" si="234"/>
        <v>20039</v>
      </c>
      <c r="I90" s="408">
        <f t="shared" si="234"/>
        <v>9940</v>
      </c>
      <c r="J90" s="409">
        <f t="shared" si="234"/>
        <v>949</v>
      </c>
      <c r="K90" s="409">
        <f t="shared" si="234"/>
        <v>0</v>
      </c>
      <c r="L90" s="409">
        <f t="shared" si="234"/>
        <v>14000</v>
      </c>
      <c r="M90" s="410">
        <f t="shared" si="234"/>
        <v>-4850</v>
      </c>
      <c r="N90" s="407">
        <f t="shared" si="234"/>
        <v>29468</v>
      </c>
      <c r="O90" s="408">
        <f t="shared" si="234"/>
        <v>5690</v>
      </c>
      <c r="P90" s="409">
        <f t="shared" si="234"/>
        <v>23912</v>
      </c>
      <c r="Q90" s="409">
        <f t="shared" si="234"/>
        <v>-134</v>
      </c>
      <c r="R90" s="409">
        <f t="shared" si="234"/>
        <v>0</v>
      </c>
      <c r="S90" s="410">
        <f t="shared" si="234"/>
        <v>0</v>
      </c>
      <c r="T90" s="407">
        <f t="shared" si="234"/>
        <v>-25435.039999999921</v>
      </c>
      <c r="U90" s="408">
        <f t="shared" si="234"/>
        <v>-16749.399999999994</v>
      </c>
      <c r="V90" s="409">
        <f t="shared" si="234"/>
        <v>41014.869999999995</v>
      </c>
      <c r="W90" s="409">
        <f t="shared" si="234"/>
        <v>-41703.509999999922</v>
      </c>
      <c r="X90" s="409">
        <f t="shared" si="234"/>
        <v>-24209</v>
      </c>
      <c r="Y90" s="411">
        <f t="shared" si="234"/>
        <v>16212</v>
      </c>
      <c r="AA90" s="291"/>
      <c r="AB90" s="412"/>
      <c r="AC90" s="475"/>
      <c r="AD90" s="476" t="s">
        <v>33</v>
      </c>
      <c r="AE90" s="407">
        <f t="shared" si="235"/>
        <v>-891581</v>
      </c>
      <c r="AF90" s="408">
        <f t="shared" si="235"/>
        <v>-105456</v>
      </c>
      <c r="AG90" s="409">
        <f t="shared" si="235"/>
        <v>-97185</v>
      </c>
      <c r="AH90" s="409">
        <f t="shared" si="235"/>
        <v>-105131</v>
      </c>
      <c r="AI90" s="409">
        <f t="shared" si="235"/>
        <v>-102276</v>
      </c>
      <c r="AJ90" s="409">
        <f t="shared" si="235"/>
        <v>-100002</v>
      </c>
      <c r="AK90" s="409">
        <f t="shared" si="235"/>
        <v>-103671</v>
      </c>
      <c r="AL90" s="409">
        <f t="shared" si="235"/>
        <v>-110292</v>
      </c>
      <c r="AM90" s="409">
        <f t="shared" si="235"/>
        <v>-101535</v>
      </c>
      <c r="AN90" s="409">
        <f t="shared" si="235"/>
        <v>-66033</v>
      </c>
      <c r="AO90" s="409">
        <f t="shared" si="235"/>
        <v>0</v>
      </c>
      <c r="AP90" s="409">
        <f t="shared" si="235"/>
        <v>0</v>
      </c>
      <c r="AQ90" s="411">
        <f t="shared" si="235"/>
        <v>0</v>
      </c>
    </row>
    <row r="91" spans="2:43" ht="7.8" customHeight="1" x14ac:dyDescent="0.25">
      <c r="B91" s="282"/>
      <c r="C91" s="404"/>
      <c r="D91" s="415"/>
      <c r="E91" s="416" t="s">
        <v>30</v>
      </c>
      <c r="F91" s="417">
        <f t="shared" si="234"/>
        <v>-0.84228292208231892</v>
      </c>
      <c r="G91" s="417">
        <f t="shared" si="234"/>
        <v>-156</v>
      </c>
      <c r="H91" s="417">
        <f t="shared" si="234"/>
        <v>-23.961091753774696</v>
      </c>
      <c r="I91" s="418">
        <f t="shared" si="234"/>
        <v>-13</v>
      </c>
      <c r="J91" s="419">
        <f t="shared" si="234"/>
        <v>-23.615384615384613</v>
      </c>
      <c r="K91" s="419">
        <f t="shared" si="234"/>
        <v>0</v>
      </c>
      <c r="L91" s="419">
        <f t="shared" si="234"/>
        <v>175</v>
      </c>
      <c r="M91" s="420">
        <f t="shared" si="234"/>
        <v>-210.86956521739131</v>
      </c>
      <c r="N91" s="417">
        <f t="shared" si="234"/>
        <v>-17.617441860465107</v>
      </c>
      <c r="O91" s="418">
        <f t="shared" si="234"/>
        <v>-14.814385150812058</v>
      </c>
      <c r="P91" s="419">
        <f t="shared" si="234"/>
        <v>-32.149253731343293</v>
      </c>
      <c r="Q91" s="419">
        <f t="shared" si="234"/>
        <v>-1.6750000000000114</v>
      </c>
      <c r="R91" s="419">
        <f t="shared" si="234"/>
        <v>0</v>
      </c>
      <c r="S91" s="420">
        <f t="shared" si="234"/>
        <v>0</v>
      </c>
      <c r="T91" s="417">
        <f t="shared" si="234"/>
        <v>0.53148420815389841</v>
      </c>
      <c r="U91" s="418">
        <f t="shared" si="234"/>
        <v>-27.799999999999983</v>
      </c>
      <c r="V91" s="419">
        <f t="shared" si="234"/>
        <v>1.8072396799389594</v>
      </c>
      <c r="W91" s="419">
        <f t="shared" si="234"/>
        <v>2.6975000000000477</v>
      </c>
      <c r="X91" s="419">
        <f t="shared" si="234"/>
        <v>-7.4948453608247405</v>
      </c>
      <c r="Y91" s="421">
        <f t="shared" si="234"/>
        <v>28.652482269503537</v>
      </c>
      <c r="AA91" s="291"/>
      <c r="AB91" s="412"/>
      <c r="AC91" s="477"/>
      <c r="AD91" s="423" t="s">
        <v>30</v>
      </c>
      <c r="AE91" s="417">
        <f t="shared" si="235"/>
        <v>-155.89805910124147</v>
      </c>
      <c r="AF91" s="418">
        <f t="shared" si="235"/>
        <v>-156</v>
      </c>
      <c r="AG91" s="419">
        <f t="shared" si="235"/>
        <v>-155.49600000000001</v>
      </c>
      <c r="AH91" s="419">
        <f t="shared" si="235"/>
        <v>-156.21248142644873</v>
      </c>
      <c r="AI91" s="419">
        <f t="shared" si="235"/>
        <v>-155.90853658536585</v>
      </c>
      <c r="AJ91" s="419">
        <f t="shared" si="235"/>
        <v>-155.52410575427683</v>
      </c>
      <c r="AK91" s="419">
        <f t="shared" si="235"/>
        <v>-155.66216216216216</v>
      </c>
      <c r="AL91" s="419">
        <f t="shared" si="235"/>
        <v>-155.77966101694915</v>
      </c>
      <c r="AM91" s="419">
        <f t="shared" si="235"/>
        <v>-156.2076923076923</v>
      </c>
      <c r="AN91" s="419">
        <f t="shared" si="235"/>
        <v>-156.47630331753555</v>
      </c>
      <c r="AO91" s="419">
        <f t="shared" si="235"/>
        <v>0</v>
      </c>
      <c r="AP91" s="419">
        <f t="shared" si="235"/>
        <v>0</v>
      </c>
      <c r="AQ91" s="421">
        <f t="shared" si="235"/>
        <v>0</v>
      </c>
    </row>
    <row r="92" spans="2:43" ht="7.8" customHeight="1" x14ac:dyDescent="0.25">
      <c r="B92" s="282"/>
      <c r="C92" s="404"/>
      <c r="D92" s="472" t="s">
        <v>44</v>
      </c>
      <c r="E92" s="425" t="s">
        <v>32</v>
      </c>
      <c r="F92" s="478">
        <f t="shared" ref="F92:Y94" si="236">IFERROR((F86-F83)/ABS(F83),"")</f>
        <v>-9.2910447761194032E-2</v>
      </c>
      <c r="G92" s="478">
        <f t="shared" si="236"/>
        <v>-1</v>
      </c>
      <c r="H92" s="478">
        <f t="shared" si="236"/>
        <v>1.5609756097560976</v>
      </c>
      <c r="I92" s="479">
        <f t="shared" si="236"/>
        <v>3</v>
      </c>
      <c r="J92" s="480">
        <f t="shared" si="236"/>
        <v>0.28205128205128205</v>
      </c>
      <c r="K92" s="480" t="str">
        <f t="shared" si="236"/>
        <v/>
      </c>
      <c r="L92" s="480" t="str">
        <f t="shared" si="236"/>
        <v/>
      </c>
      <c r="M92" s="481">
        <f t="shared" si="236"/>
        <v>-1</v>
      </c>
      <c r="N92" s="478">
        <f t="shared" si="236"/>
        <v>0.36434108527131781</v>
      </c>
      <c r="O92" s="479">
        <f t="shared" si="236"/>
        <v>0.16009280742459397</v>
      </c>
      <c r="P92" s="480">
        <f t="shared" si="236"/>
        <v>1.2388059701492538</v>
      </c>
      <c r="Q92" s="480">
        <f t="shared" si="236"/>
        <v>0</v>
      </c>
      <c r="R92" s="480" t="str">
        <f t="shared" si="236"/>
        <v/>
      </c>
      <c r="S92" s="481" t="str">
        <f t="shared" si="236"/>
        <v/>
      </c>
      <c r="T92" s="478">
        <f t="shared" si="236"/>
        <v>-4.6752590346221888E-2</v>
      </c>
      <c r="U92" s="479">
        <f t="shared" si="236"/>
        <v>-0.13003095975232198</v>
      </c>
      <c r="V92" s="480">
        <f t="shared" si="236"/>
        <v>0.16253968253968254</v>
      </c>
      <c r="W92" s="480">
        <f t="shared" si="236"/>
        <v>-0.19953596287703015</v>
      </c>
      <c r="X92" s="480">
        <f t="shared" si="236"/>
        <v>-0.634020618556701</v>
      </c>
      <c r="Y92" s="482">
        <f t="shared" si="236"/>
        <v>0.48226950354609927</v>
      </c>
      <c r="AA92" s="291"/>
      <c r="AB92" s="412"/>
      <c r="AC92" s="473" t="s">
        <v>44</v>
      </c>
      <c r="AD92" s="432" t="s">
        <v>32</v>
      </c>
      <c r="AE92" s="478">
        <f t="shared" ref="AE92:AQ94" si="237">IFERROR((AE86-AE83)/ABS(AE83),"")</f>
        <v>-1</v>
      </c>
      <c r="AF92" s="479">
        <f t="shared" si="237"/>
        <v>-1</v>
      </c>
      <c r="AG92" s="480">
        <f t="shared" si="237"/>
        <v>-1</v>
      </c>
      <c r="AH92" s="480">
        <f t="shared" si="237"/>
        <v>-1</v>
      </c>
      <c r="AI92" s="480">
        <f t="shared" si="237"/>
        <v>-1</v>
      </c>
      <c r="AJ92" s="480">
        <f t="shared" si="237"/>
        <v>-1</v>
      </c>
      <c r="AK92" s="480">
        <f t="shared" si="237"/>
        <v>-1</v>
      </c>
      <c r="AL92" s="480">
        <f t="shared" si="237"/>
        <v>-1</v>
      </c>
      <c r="AM92" s="480">
        <f t="shared" si="237"/>
        <v>-1</v>
      </c>
      <c r="AN92" s="480">
        <f t="shared" si="237"/>
        <v>-1</v>
      </c>
      <c r="AO92" s="480" t="str">
        <f t="shared" si="237"/>
        <v/>
      </c>
      <c r="AP92" s="480" t="str">
        <f t="shared" si="237"/>
        <v/>
      </c>
      <c r="AQ92" s="482" t="str">
        <f t="shared" si="237"/>
        <v/>
      </c>
    </row>
    <row r="93" spans="2:43" ht="7.8" customHeight="1" x14ac:dyDescent="0.25">
      <c r="B93" s="282"/>
      <c r="C93" s="404"/>
      <c r="D93" s="405"/>
      <c r="E93" s="483" t="s">
        <v>33</v>
      </c>
      <c r="F93" s="484">
        <f t="shared" si="236"/>
        <v>-9.7833343054473096E-2</v>
      </c>
      <c r="G93" s="484">
        <f t="shared" si="236"/>
        <v>-1</v>
      </c>
      <c r="H93" s="484">
        <f t="shared" si="236"/>
        <v>1.2476807172654256</v>
      </c>
      <c r="I93" s="485">
        <f t="shared" si="236"/>
        <v>2.7158469945355193</v>
      </c>
      <c r="J93" s="486">
        <f t="shared" si="236"/>
        <v>0.12567871805058933</v>
      </c>
      <c r="K93" s="486" t="str">
        <f t="shared" si="236"/>
        <v/>
      </c>
      <c r="L93" s="486" t="str">
        <f t="shared" si="236"/>
        <v/>
      </c>
      <c r="M93" s="487">
        <f t="shared" si="236"/>
        <v>-1</v>
      </c>
      <c r="N93" s="484">
        <f t="shared" si="236"/>
        <v>0.23873873873873874</v>
      </c>
      <c r="O93" s="485">
        <f t="shared" si="236"/>
        <v>6.9551399584402887E-2</v>
      </c>
      <c r="P93" s="486">
        <f t="shared" si="236"/>
        <v>0.88275251033668045</v>
      </c>
      <c r="Q93" s="486">
        <f t="shared" si="236"/>
        <v>-9.2197605614421363E-3</v>
      </c>
      <c r="R93" s="486" t="str">
        <f t="shared" si="236"/>
        <v/>
      </c>
      <c r="S93" s="487" t="str">
        <f t="shared" si="236"/>
        <v/>
      </c>
      <c r="T93" s="484">
        <f t="shared" si="236"/>
        <v>-4.333683457830613E-2</v>
      </c>
      <c r="U93" s="485">
        <f t="shared" si="236"/>
        <v>-0.24368293023580617</v>
      </c>
      <c r="V93" s="486">
        <f t="shared" si="236"/>
        <v>0.17680413751012858</v>
      </c>
      <c r="W93" s="486">
        <f t="shared" si="236"/>
        <v>-0.18318449857200567</v>
      </c>
      <c r="X93" s="486">
        <f t="shared" si="236"/>
        <v>-0.64827013710368464</v>
      </c>
      <c r="Y93" s="488">
        <f t="shared" si="236"/>
        <v>0.76475305438935803</v>
      </c>
      <c r="AA93" s="291"/>
      <c r="AB93" s="412"/>
      <c r="AC93" s="475"/>
      <c r="AD93" s="489" t="s">
        <v>33</v>
      </c>
      <c r="AE93" s="484">
        <f t="shared" si="237"/>
        <v>-1</v>
      </c>
      <c r="AF93" s="485">
        <f t="shared" si="237"/>
        <v>-1</v>
      </c>
      <c r="AG93" s="486">
        <f t="shared" si="237"/>
        <v>-1</v>
      </c>
      <c r="AH93" s="486">
        <f t="shared" si="237"/>
        <v>-1</v>
      </c>
      <c r="AI93" s="486">
        <f t="shared" si="237"/>
        <v>-1</v>
      </c>
      <c r="AJ93" s="486">
        <f t="shared" si="237"/>
        <v>-1</v>
      </c>
      <c r="AK93" s="486">
        <f t="shared" si="237"/>
        <v>-1</v>
      </c>
      <c r="AL93" s="486">
        <f t="shared" si="237"/>
        <v>-1</v>
      </c>
      <c r="AM93" s="486">
        <f t="shared" si="237"/>
        <v>-1</v>
      </c>
      <c r="AN93" s="486">
        <f t="shared" si="237"/>
        <v>-1</v>
      </c>
      <c r="AO93" s="486" t="str">
        <f t="shared" si="237"/>
        <v/>
      </c>
      <c r="AP93" s="486" t="str">
        <f t="shared" si="237"/>
        <v/>
      </c>
      <c r="AQ93" s="488" t="str">
        <f t="shared" si="237"/>
        <v/>
      </c>
    </row>
    <row r="94" spans="2:43" ht="7.8" customHeight="1" x14ac:dyDescent="0.25">
      <c r="B94" s="282"/>
      <c r="C94" s="490"/>
      <c r="D94" s="405"/>
      <c r="E94" s="483" t="s">
        <v>30</v>
      </c>
      <c r="F94" s="484">
        <f t="shared" si="236"/>
        <v>-5.4271326145570974E-3</v>
      </c>
      <c r="G94" s="484">
        <f t="shared" si="236"/>
        <v>-1</v>
      </c>
      <c r="H94" s="484">
        <f t="shared" si="236"/>
        <v>-0.12233419611540533</v>
      </c>
      <c r="I94" s="485">
        <f t="shared" si="236"/>
        <v>-7.1038251366120214E-2</v>
      </c>
      <c r="J94" s="486">
        <f t="shared" si="236"/>
        <v>-0.12197059992054031</v>
      </c>
      <c r="K94" s="486" t="str">
        <f t="shared" si="236"/>
        <v/>
      </c>
      <c r="L94" s="486" t="str">
        <f t="shared" si="236"/>
        <v/>
      </c>
      <c r="M94" s="487">
        <f t="shared" si="236"/>
        <v>-1</v>
      </c>
      <c r="N94" s="484">
        <f t="shared" si="236"/>
        <v>-9.2060810810810759E-2</v>
      </c>
      <c r="O94" s="485">
        <f t="shared" si="236"/>
        <v>-7.8046693558244673E-2</v>
      </c>
      <c r="P94" s="486">
        <f t="shared" si="236"/>
        <v>-0.1590372120496161</v>
      </c>
      <c r="Q94" s="486">
        <f t="shared" si="236"/>
        <v>-9.219760561442197E-3</v>
      </c>
      <c r="R94" s="486" t="str">
        <f t="shared" si="236"/>
        <v/>
      </c>
      <c r="S94" s="487" t="str">
        <f t="shared" si="236"/>
        <v/>
      </c>
      <c r="T94" s="484">
        <f t="shared" si="236"/>
        <v>3.5832835561088639E-3</v>
      </c>
      <c r="U94" s="485">
        <f t="shared" si="236"/>
        <v>-0.13063909774436083</v>
      </c>
      <c r="V94" s="486">
        <f t="shared" si="236"/>
        <v>1.2270080053769753E-2</v>
      </c>
      <c r="W94" s="486">
        <f t="shared" si="236"/>
        <v>2.0427481494103093E-2</v>
      </c>
      <c r="X94" s="486">
        <f t="shared" si="236"/>
        <v>-3.8935304198800334E-2</v>
      </c>
      <c r="Y94" s="488">
        <f t="shared" si="236"/>
        <v>0.19057502712392085</v>
      </c>
      <c r="AA94" s="291"/>
      <c r="AB94" s="412"/>
      <c r="AC94" s="475"/>
      <c r="AD94" s="489" t="s">
        <v>30</v>
      </c>
      <c r="AE94" s="484">
        <f t="shared" si="237"/>
        <v>-1</v>
      </c>
      <c r="AF94" s="485">
        <f t="shared" si="237"/>
        <v>-1</v>
      </c>
      <c r="AG94" s="486">
        <f t="shared" si="237"/>
        <v>-1</v>
      </c>
      <c r="AH94" s="486">
        <f t="shared" si="237"/>
        <v>-1</v>
      </c>
      <c r="AI94" s="486">
        <f t="shared" si="237"/>
        <v>-1</v>
      </c>
      <c r="AJ94" s="486">
        <f t="shared" si="237"/>
        <v>-1</v>
      </c>
      <c r="AK94" s="486">
        <f t="shared" si="237"/>
        <v>-1</v>
      </c>
      <c r="AL94" s="486">
        <f t="shared" si="237"/>
        <v>-1</v>
      </c>
      <c r="AM94" s="486">
        <f t="shared" si="237"/>
        <v>-1</v>
      </c>
      <c r="AN94" s="486">
        <f t="shared" si="237"/>
        <v>-1</v>
      </c>
      <c r="AO94" s="486" t="str">
        <f t="shared" si="237"/>
        <v/>
      </c>
      <c r="AP94" s="486" t="str">
        <f t="shared" si="237"/>
        <v/>
      </c>
      <c r="AQ94" s="488" t="str">
        <f t="shared" si="237"/>
        <v/>
      </c>
    </row>
    <row r="95" spans="2:43" ht="7.8" customHeight="1" x14ac:dyDescent="0.25">
      <c r="B95" s="282"/>
      <c r="C95" s="491" t="s">
        <v>49</v>
      </c>
      <c r="D95" s="492" t="s">
        <v>39</v>
      </c>
      <c r="E95" s="493" t="s">
        <v>32</v>
      </c>
      <c r="F95" s="494">
        <f t="shared" ref="F95:F96" si="238">SUM(G95,H95,N95,T95)</f>
        <v>0</v>
      </c>
      <c r="G95" s="494"/>
      <c r="H95" s="494">
        <f t="shared" ref="H95:H96" si="239">SUM(I95:M95)</f>
        <v>0</v>
      </c>
      <c r="I95" s="495"/>
      <c r="J95" s="496"/>
      <c r="K95" s="496"/>
      <c r="L95" s="496"/>
      <c r="M95" s="497"/>
      <c r="N95" s="494">
        <f t="shared" ref="N95:N96" si="240">SUM(O95:S95)</f>
        <v>0</v>
      </c>
      <c r="O95" s="495"/>
      <c r="P95" s="496"/>
      <c r="Q95" s="496"/>
      <c r="R95" s="496"/>
      <c r="S95" s="497"/>
      <c r="T95" s="494">
        <f t="shared" ref="T95:T96" si="241">SUM(U95:Y95)</f>
        <v>0</v>
      </c>
      <c r="U95" s="495"/>
      <c r="V95" s="496"/>
      <c r="W95" s="496"/>
      <c r="X95" s="496"/>
      <c r="Y95" s="498"/>
      <c r="AA95" s="291"/>
      <c r="AB95" s="499" t="s">
        <v>49</v>
      </c>
      <c r="AC95" s="500" t="s">
        <v>39</v>
      </c>
      <c r="AD95" s="501" t="s">
        <v>32</v>
      </c>
      <c r="AE95" s="494">
        <f t="shared" ref="AE95:AE96" si="242">SUM(AF95:AQ95)</f>
        <v>0</v>
      </c>
      <c r="AF95" s="495">
        <f>$G$95</f>
        <v>0</v>
      </c>
      <c r="AG95" s="496">
        <f>$G$149</f>
        <v>0</v>
      </c>
      <c r="AH95" s="496">
        <f>$G$203</f>
        <v>0</v>
      </c>
      <c r="AI95" s="496">
        <f>$G$257</f>
        <v>0</v>
      </c>
      <c r="AJ95" s="496">
        <f>$G$311</f>
        <v>0</v>
      </c>
      <c r="AK95" s="496">
        <f>$G$365</f>
        <v>0</v>
      </c>
      <c r="AL95" s="496">
        <f>$G$419</f>
        <v>0</v>
      </c>
      <c r="AM95" s="496">
        <f>$G$473</f>
        <v>0</v>
      </c>
      <c r="AN95" s="496">
        <f>$G$527</f>
        <v>0</v>
      </c>
      <c r="AO95" s="496">
        <f>$G$581</f>
        <v>0</v>
      </c>
      <c r="AP95" s="496">
        <f>$G$635</f>
        <v>0</v>
      </c>
      <c r="AQ95" s="498">
        <f>$G$689</f>
        <v>0</v>
      </c>
    </row>
    <row r="96" spans="2:43" s="41" customFormat="1" ht="7.8" customHeight="1" x14ac:dyDescent="0.25">
      <c r="B96" s="282"/>
      <c r="C96" s="404"/>
      <c r="D96" s="405"/>
      <c r="E96" s="406" t="s">
        <v>33</v>
      </c>
      <c r="F96" s="407">
        <f t="shared" si="238"/>
        <v>0</v>
      </c>
      <c r="G96" s="407"/>
      <c r="H96" s="407">
        <f t="shared" si="239"/>
        <v>0</v>
      </c>
      <c r="I96" s="408"/>
      <c r="J96" s="409"/>
      <c r="K96" s="409"/>
      <c r="L96" s="409"/>
      <c r="M96" s="410"/>
      <c r="N96" s="407">
        <f t="shared" si="240"/>
        <v>0</v>
      </c>
      <c r="O96" s="408"/>
      <c r="P96" s="409"/>
      <c r="Q96" s="409"/>
      <c r="R96" s="409"/>
      <c r="S96" s="410"/>
      <c r="T96" s="407">
        <f t="shared" si="241"/>
        <v>0</v>
      </c>
      <c r="U96" s="408"/>
      <c r="V96" s="409"/>
      <c r="W96" s="409"/>
      <c r="X96" s="409"/>
      <c r="Y96" s="411"/>
      <c r="AA96" s="291"/>
      <c r="AB96" s="412"/>
      <c r="AC96" s="413"/>
      <c r="AD96" s="414" t="s">
        <v>33</v>
      </c>
      <c r="AE96" s="407">
        <f t="shared" si="242"/>
        <v>0</v>
      </c>
      <c r="AF96" s="408">
        <f>$G$96</f>
        <v>0</v>
      </c>
      <c r="AG96" s="409">
        <f>$G$150</f>
        <v>0</v>
      </c>
      <c r="AH96" s="409">
        <f>$G$204</f>
        <v>0</v>
      </c>
      <c r="AI96" s="409">
        <f>$G$258</f>
        <v>0</v>
      </c>
      <c r="AJ96" s="409">
        <f>$G$312</f>
        <v>0</v>
      </c>
      <c r="AK96" s="409">
        <f>$G$366</f>
        <v>0</v>
      </c>
      <c r="AL96" s="409">
        <f>$G$420</f>
        <v>0</v>
      </c>
      <c r="AM96" s="409">
        <f>$G$474</f>
        <v>0</v>
      </c>
      <c r="AN96" s="409">
        <f>$G$528</f>
        <v>0</v>
      </c>
      <c r="AO96" s="409">
        <f>$G$582</f>
        <v>0</v>
      </c>
      <c r="AP96" s="409">
        <f>$G$636</f>
        <v>0</v>
      </c>
      <c r="AQ96" s="411">
        <f>$G$690</f>
        <v>0</v>
      </c>
    </row>
    <row r="97" spans="2:43" ht="7.8" customHeight="1" x14ac:dyDescent="0.25">
      <c r="B97" s="282"/>
      <c r="C97" s="404"/>
      <c r="D97" s="415"/>
      <c r="E97" s="416" t="s">
        <v>30</v>
      </c>
      <c r="F97" s="417">
        <f t="shared" ref="F97:Y97" si="243">IFERROR(F96/F95,0)</f>
        <v>0</v>
      </c>
      <c r="G97" s="417">
        <f t="shared" si="243"/>
        <v>0</v>
      </c>
      <c r="H97" s="417">
        <f t="shared" si="243"/>
        <v>0</v>
      </c>
      <c r="I97" s="418">
        <f t="shared" si="243"/>
        <v>0</v>
      </c>
      <c r="J97" s="419">
        <f t="shared" si="243"/>
        <v>0</v>
      </c>
      <c r="K97" s="419">
        <f t="shared" si="243"/>
        <v>0</v>
      </c>
      <c r="L97" s="419">
        <f t="shared" si="243"/>
        <v>0</v>
      </c>
      <c r="M97" s="420">
        <f t="shared" si="243"/>
        <v>0</v>
      </c>
      <c r="N97" s="417">
        <f t="shared" si="243"/>
        <v>0</v>
      </c>
      <c r="O97" s="418">
        <f t="shared" si="243"/>
        <v>0</v>
      </c>
      <c r="P97" s="419">
        <f t="shared" si="243"/>
        <v>0</v>
      </c>
      <c r="Q97" s="419">
        <f t="shared" si="243"/>
        <v>0</v>
      </c>
      <c r="R97" s="419">
        <f t="shared" si="243"/>
        <v>0</v>
      </c>
      <c r="S97" s="420">
        <f t="shared" si="243"/>
        <v>0</v>
      </c>
      <c r="T97" s="417">
        <f t="shared" si="243"/>
        <v>0</v>
      </c>
      <c r="U97" s="418">
        <f t="shared" si="243"/>
        <v>0</v>
      </c>
      <c r="V97" s="419">
        <f t="shared" si="243"/>
        <v>0</v>
      </c>
      <c r="W97" s="419">
        <f t="shared" si="243"/>
        <v>0</v>
      </c>
      <c r="X97" s="419">
        <f t="shared" si="243"/>
        <v>0</v>
      </c>
      <c r="Y97" s="421">
        <f t="shared" si="243"/>
        <v>0</v>
      </c>
      <c r="AA97" s="291"/>
      <c r="AB97" s="412"/>
      <c r="AC97" s="422"/>
      <c r="AD97" s="423" t="s">
        <v>30</v>
      </c>
      <c r="AE97" s="417">
        <f t="shared" ref="AE97:AQ97" si="244">IFERROR(AE96/AE95,0)</f>
        <v>0</v>
      </c>
      <c r="AF97" s="418">
        <f t="shared" si="244"/>
        <v>0</v>
      </c>
      <c r="AG97" s="419">
        <f t="shared" si="244"/>
        <v>0</v>
      </c>
      <c r="AH97" s="419">
        <f t="shared" si="244"/>
        <v>0</v>
      </c>
      <c r="AI97" s="419">
        <f t="shared" si="244"/>
        <v>0</v>
      </c>
      <c r="AJ97" s="419">
        <f t="shared" si="244"/>
        <v>0</v>
      </c>
      <c r="AK97" s="419">
        <f t="shared" si="244"/>
        <v>0</v>
      </c>
      <c r="AL97" s="419">
        <f t="shared" si="244"/>
        <v>0</v>
      </c>
      <c r="AM97" s="419">
        <f t="shared" si="244"/>
        <v>0</v>
      </c>
      <c r="AN97" s="419">
        <f t="shared" si="244"/>
        <v>0</v>
      </c>
      <c r="AO97" s="419">
        <f t="shared" si="244"/>
        <v>0</v>
      </c>
      <c r="AP97" s="419">
        <f t="shared" si="244"/>
        <v>0</v>
      </c>
      <c r="AQ97" s="421">
        <f t="shared" si="244"/>
        <v>0</v>
      </c>
    </row>
    <row r="98" spans="2:43" ht="7.8" customHeight="1" x14ac:dyDescent="0.25">
      <c r="B98" s="282"/>
      <c r="C98" s="404"/>
      <c r="D98" s="424" t="s">
        <v>40</v>
      </c>
      <c r="E98" s="425" t="s">
        <v>32</v>
      </c>
      <c r="F98" s="426">
        <f t="shared" ref="F98:F99" si="245">SUM(G98,H98,N98,T98)</f>
        <v>2051</v>
      </c>
      <c r="G98" s="426">
        <v>153</v>
      </c>
      <c r="H98" s="426">
        <f t="shared" ref="H98:H99" si="246">SUM(I98:M98)</f>
        <v>78</v>
      </c>
      <c r="I98" s="427">
        <v>42</v>
      </c>
      <c r="J98" s="428">
        <v>0</v>
      </c>
      <c r="K98" s="428">
        <v>20</v>
      </c>
      <c r="L98" s="428">
        <v>0</v>
      </c>
      <c r="M98" s="429">
        <v>16</v>
      </c>
      <c r="N98" s="426">
        <f t="shared" ref="N98:N99" si="247">SUM(O98:S98)</f>
        <v>366</v>
      </c>
      <c r="O98" s="427">
        <v>267</v>
      </c>
      <c r="P98" s="428">
        <v>72</v>
      </c>
      <c r="Q98" s="428">
        <v>27</v>
      </c>
      <c r="R98" s="428">
        <v>0</v>
      </c>
      <c r="S98" s="429">
        <v>0</v>
      </c>
      <c r="T98" s="426">
        <f t="shared" ref="T98:T99" si="248">SUM(U98:Y98)</f>
        <v>1454</v>
      </c>
      <c r="U98" s="427">
        <v>165</v>
      </c>
      <c r="V98" s="428">
        <v>549</v>
      </c>
      <c r="W98" s="428">
        <v>492</v>
      </c>
      <c r="X98" s="428">
        <v>135</v>
      </c>
      <c r="Y98" s="430">
        <v>113</v>
      </c>
      <c r="AA98" s="291"/>
      <c r="AB98" s="412"/>
      <c r="AC98" s="431" t="s">
        <v>40</v>
      </c>
      <c r="AD98" s="432" t="s">
        <v>32</v>
      </c>
      <c r="AE98" s="426">
        <f t="shared" ref="AE98:AE99" si="249">SUM(AF98:AQ98)</f>
        <v>2980</v>
      </c>
      <c r="AF98" s="427">
        <f>$G$98</f>
        <v>153</v>
      </c>
      <c r="AG98" s="428">
        <f>$G$152</f>
        <v>152</v>
      </c>
      <c r="AH98" s="428">
        <f>$G$206</f>
        <v>185</v>
      </c>
      <c r="AI98" s="428">
        <f>$G$260</f>
        <v>252</v>
      </c>
      <c r="AJ98" s="428">
        <f>$G$314</f>
        <v>302</v>
      </c>
      <c r="AK98" s="428">
        <f>$G$368</f>
        <v>305</v>
      </c>
      <c r="AL98" s="428">
        <f>$G$422</f>
        <v>277</v>
      </c>
      <c r="AM98" s="428">
        <f>$G$476</f>
        <v>342</v>
      </c>
      <c r="AN98" s="428">
        <f>$G$530</f>
        <v>269</v>
      </c>
      <c r="AO98" s="428">
        <f>$G$584</f>
        <v>244</v>
      </c>
      <c r="AP98" s="428">
        <f>$G$638</f>
        <v>251</v>
      </c>
      <c r="AQ98" s="430">
        <f>$G$692</f>
        <v>248</v>
      </c>
    </row>
    <row r="99" spans="2:43" s="41" customFormat="1" ht="7.8" customHeight="1" x14ac:dyDescent="0.25">
      <c r="B99" s="282"/>
      <c r="C99" s="404"/>
      <c r="D99" s="405"/>
      <c r="E99" s="406" t="s">
        <v>33</v>
      </c>
      <c r="F99" s="407">
        <f t="shared" si="245"/>
        <v>350338</v>
      </c>
      <c r="G99" s="407">
        <v>23868</v>
      </c>
      <c r="H99" s="407">
        <f t="shared" si="246"/>
        <v>14419</v>
      </c>
      <c r="I99" s="408">
        <v>7199</v>
      </c>
      <c r="J99" s="409">
        <v>0</v>
      </c>
      <c r="K99" s="409">
        <v>3820</v>
      </c>
      <c r="L99" s="409">
        <v>0</v>
      </c>
      <c r="M99" s="410">
        <v>3400</v>
      </c>
      <c r="N99" s="407">
        <f t="shared" si="247"/>
        <v>67039</v>
      </c>
      <c r="O99" s="408">
        <v>49384</v>
      </c>
      <c r="P99" s="409">
        <v>12865</v>
      </c>
      <c r="Q99" s="409">
        <v>4790</v>
      </c>
      <c r="R99" s="409">
        <v>0</v>
      </c>
      <c r="S99" s="410">
        <v>0</v>
      </c>
      <c r="T99" s="407">
        <f t="shared" si="248"/>
        <v>245012</v>
      </c>
      <c r="U99" s="408">
        <v>36393.100000000006</v>
      </c>
      <c r="V99" s="409">
        <v>71672.469999999987</v>
      </c>
      <c r="W99" s="409">
        <v>94630.43</v>
      </c>
      <c r="X99" s="409">
        <v>24831</v>
      </c>
      <c r="Y99" s="411">
        <v>17485</v>
      </c>
      <c r="AA99" s="291"/>
      <c r="AB99" s="412"/>
      <c r="AC99" s="413"/>
      <c r="AD99" s="414" t="s">
        <v>33</v>
      </c>
      <c r="AE99" s="407">
        <f t="shared" si="249"/>
        <v>465225</v>
      </c>
      <c r="AF99" s="408">
        <f>$G$99</f>
        <v>23868</v>
      </c>
      <c r="AG99" s="409">
        <f>$G$153</f>
        <v>23712</v>
      </c>
      <c r="AH99" s="409">
        <f>$G$207</f>
        <v>28860</v>
      </c>
      <c r="AI99" s="409">
        <f>$G$261</f>
        <v>39357</v>
      </c>
      <c r="AJ99" s="409">
        <f>$G$315</f>
        <v>47112</v>
      </c>
      <c r="AK99" s="409">
        <f>$G$369</f>
        <v>47670</v>
      </c>
      <c r="AL99" s="409">
        <f>$G$423</f>
        <v>43257</v>
      </c>
      <c r="AM99" s="409">
        <f>$G$477</f>
        <v>53382</v>
      </c>
      <c r="AN99" s="409">
        <f>$G$531</f>
        <v>41964</v>
      </c>
      <c r="AO99" s="409">
        <f>$G$585</f>
        <v>38109</v>
      </c>
      <c r="AP99" s="409">
        <f>$G$639</f>
        <v>39201</v>
      </c>
      <c r="AQ99" s="411">
        <f>$G$693</f>
        <v>38733</v>
      </c>
    </row>
    <row r="100" spans="2:43" ht="7.8" customHeight="1" x14ac:dyDescent="0.25">
      <c r="B100" s="282"/>
      <c r="C100" s="404"/>
      <c r="D100" s="415"/>
      <c r="E100" s="416" t="s">
        <v>30</v>
      </c>
      <c r="F100" s="417">
        <f t="shared" ref="F100:Y100" si="250">IFERROR(F99/F98,0)</f>
        <v>170.81326182350074</v>
      </c>
      <c r="G100" s="417">
        <f t="shared" si="250"/>
        <v>156</v>
      </c>
      <c r="H100" s="417">
        <f t="shared" si="250"/>
        <v>184.85897435897436</v>
      </c>
      <c r="I100" s="418">
        <f t="shared" si="250"/>
        <v>171.4047619047619</v>
      </c>
      <c r="J100" s="419">
        <f t="shared" si="250"/>
        <v>0</v>
      </c>
      <c r="K100" s="419">
        <f t="shared" si="250"/>
        <v>191</v>
      </c>
      <c r="L100" s="419">
        <f t="shared" si="250"/>
        <v>0</v>
      </c>
      <c r="M100" s="420">
        <f t="shared" si="250"/>
        <v>212.5</v>
      </c>
      <c r="N100" s="417">
        <f t="shared" si="250"/>
        <v>183.16666666666666</v>
      </c>
      <c r="O100" s="418">
        <f t="shared" si="250"/>
        <v>184.95880149812734</v>
      </c>
      <c r="P100" s="419">
        <f t="shared" si="250"/>
        <v>178.68055555555554</v>
      </c>
      <c r="Q100" s="419">
        <f t="shared" si="250"/>
        <v>177.40740740740742</v>
      </c>
      <c r="R100" s="419">
        <f t="shared" si="250"/>
        <v>0</v>
      </c>
      <c r="S100" s="420">
        <f t="shared" si="250"/>
        <v>0</v>
      </c>
      <c r="T100" s="417">
        <f t="shared" si="250"/>
        <v>168.50894085281982</v>
      </c>
      <c r="U100" s="418">
        <f t="shared" si="250"/>
        <v>220.56424242424245</v>
      </c>
      <c r="V100" s="419">
        <f t="shared" si="250"/>
        <v>130.55094717668484</v>
      </c>
      <c r="W100" s="419">
        <f t="shared" si="250"/>
        <v>192.33827235772355</v>
      </c>
      <c r="X100" s="419">
        <f t="shared" si="250"/>
        <v>183.93333333333334</v>
      </c>
      <c r="Y100" s="421">
        <f t="shared" si="250"/>
        <v>154.73451327433628</v>
      </c>
      <c r="AA100" s="291"/>
      <c r="AB100" s="412"/>
      <c r="AC100" s="422"/>
      <c r="AD100" s="423" t="s">
        <v>30</v>
      </c>
      <c r="AE100" s="417">
        <f t="shared" ref="AE100:AQ100" si="251">IFERROR(AE99/AE98,0)</f>
        <v>156.11577181208054</v>
      </c>
      <c r="AF100" s="418">
        <f t="shared" si="251"/>
        <v>156</v>
      </c>
      <c r="AG100" s="419">
        <f t="shared" si="251"/>
        <v>156</v>
      </c>
      <c r="AH100" s="419">
        <f t="shared" si="251"/>
        <v>156</v>
      </c>
      <c r="AI100" s="419">
        <f t="shared" si="251"/>
        <v>156.17857142857142</v>
      </c>
      <c r="AJ100" s="419">
        <f t="shared" si="251"/>
        <v>156</v>
      </c>
      <c r="AK100" s="419">
        <f t="shared" si="251"/>
        <v>156.29508196721312</v>
      </c>
      <c r="AL100" s="419">
        <f t="shared" si="251"/>
        <v>156.1624548736462</v>
      </c>
      <c r="AM100" s="419">
        <f t="shared" si="251"/>
        <v>156.08771929824562</v>
      </c>
      <c r="AN100" s="419">
        <f t="shared" si="251"/>
        <v>156</v>
      </c>
      <c r="AO100" s="419">
        <f t="shared" si="251"/>
        <v>156.1844262295082</v>
      </c>
      <c r="AP100" s="419">
        <f t="shared" si="251"/>
        <v>156.17928286852589</v>
      </c>
      <c r="AQ100" s="421">
        <f t="shared" si="251"/>
        <v>156.18145161290323</v>
      </c>
    </row>
    <row r="101" spans="2:43" ht="7.8" customHeight="1" x14ac:dyDescent="0.25">
      <c r="B101" s="282"/>
      <c r="C101" s="404"/>
      <c r="D101" s="424" t="s">
        <v>41</v>
      </c>
      <c r="E101" s="425" t="s">
        <v>32</v>
      </c>
      <c r="F101" s="426">
        <f t="shared" ref="F101:F102" si="252">SUM(G101,H101,N101,T101)</f>
        <v>2240</v>
      </c>
      <c r="G101" s="426">
        <v>280</v>
      </c>
      <c r="H101" s="426">
        <f t="shared" ref="H101:H102" si="253">SUM(I101:M101)</f>
        <v>43</v>
      </c>
      <c r="I101" s="427">
        <v>21</v>
      </c>
      <c r="J101" s="428">
        <v>0</v>
      </c>
      <c r="K101" s="428">
        <v>0</v>
      </c>
      <c r="L101" s="428">
        <v>0</v>
      </c>
      <c r="M101" s="429">
        <v>22</v>
      </c>
      <c r="N101" s="426">
        <f t="shared" ref="N101:N102" si="254">SUM(O101:S101)</f>
        <v>225</v>
      </c>
      <c r="O101" s="427">
        <v>138</v>
      </c>
      <c r="P101" s="428">
        <v>55</v>
      </c>
      <c r="Q101" s="428">
        <v>32</v>
      </c>
      <c r="R101" s="428">
        <v>0</v>
      </c>
      <c r="S101" s="429">
        <v>0</v>
      </c>
      <c r="T101" s="426">
        <f t="shared" ref="T101:T102" si="255">SUM(U101:Y101)</f>
        <v>1692</v>
      </c>
      <c r="U101" s="427">
        <v>137</v>
      </c>
      <c r="V101" s="428">
        <v>655</v>
      </c>
      <c r="W101" s="428">
        <v>760</v>
      </c>
      <c r="X101" s="428">
        <v>79</v>
      </c>
      <c r="Y101" s="430">
        <v>61</v>
      </c>
      <c r="AA101" s="291"/>
      <c r="AB101" s="412"/>
      <c r="AC101" s="431" t="s">
        <v>41</v>
      </c>
      <c r="AD101" s="432" t="s">
        <v>32</v>
      </c>
      <c r="AE101" s="426">
        <f t="shared" ref="AE101:AE102" si="256">SUM(AF101:AQ101)</f>
        <v>2186</v>
      </c>
      <c r="AF101" s="427">
        <f>$G$101</f>
        <v>280</v>
      </c>
      <c r="AG101" s="428">
        <f>$G$155</f>
        <v>249</v>
      </c>
      <c r="AH101" s="428">
        <f>$G$209</f>
        <v>289</v>
      </c>
      <c r="AI101" s="428">
        <f>$G$263</f>
        <v>246</v>
      </c>
      <c r="AJ101" s="428">
        <f>$G$317</f>
        <v>311</v>
      </c>
      <c r="AK101" s="428">
        <f>$G$371</f>
        <v>245</v>
      </c>
      <c r="AL101" s="428">
        <f>$G$425</f>
        <v>252</v>
      </c>
      <c r="AM101" s="428">
        <f>$G$479</f>
        <v>314</v>
      </c>
      <c r="AN101" s="428">
        <f>$G$533</f>
        <v>0</v>
      </c>
      <c r="AO101" s="428">
        <f>$G$587</f>
        <v>0</v>
      </c>
      <c r="AP101" s="428">
        <f>$G$641</f>
        <v>0</v>
      </c>
      <c r="AQ101" s="430">
        <f>$G$695</f>
        <v>0</v>
      </c>
    </row>
    <row r="102" spans="2:43" s="41" customFormat="1" ht="7.8" customHeight="1" x14ac:dyDescent="0.25">
      <c r="B102" s="282"/>
      <c r="C102" s="404"/>
      <c r="D102" s="405"/>
      <c r="E102" s="406" t="s">
        <v>33</v>
      </c>
      <c r="F102" s="407">
        <f t="shared" si="252"/>
        <v>363699.93999999994</v>
      </c>
      <c r="G102" s="407">
        <v>43680</v>
      </c>
      <c r="H102" s="407">
        <f t="shared" si="253"/>
        <v>8308</v>
      </c>
      <c r="I102" s="408">
        <v>3828</v>
      </c>
      <c r="J102" s="409">
        <v>0</v>
      </c>
      <c r="K102" s="409">
        <v>0</v>
      </c>
      <c r="L102" s="409">
        <v>0</v>
      </c>
      <c r="M102" s="410">
        <v>4480</v>
      </c>
      <c r="N102" s="407">
        <f t="shared" si="254"/>
        <v>43878</v>
      </c>
      <c r="O102" s="408">
        <v>25898</v>
      </c>
      <c r="P102" s="409">
        <v>11749</v>
      </c>
      <c r="Q102" s="409">
        <v>6231</v>
      </c>
      <c r="R102" s="409">
        <v>0</v>
      </c>
      <c r="S102" s="410">
        <v>0</v>
      </c>
      <c r="T102" s="407">
        <f t="shared" si="255"/>
        <v>267833.93999999994</v>
      </c>
      <c r="U102" s="408">
        <v>30790.3</v>
      </c>
      <c r="V102" s="409">
        <v>102283.37</v>
      </c>
      <c r="W102" s="409">
        <v>110636.26999999999</v>
      </c>
      <c r="X102" s="409">
        <v>15067</v>
      </c>
      <c r="Y102" s="411">
        <v>9057</v>
      </c>
      <c r="AA102" s="291"/>
      <c r="AB102" s="412"/>
      <c r="AC102" s="413"/>
      <c r="AD102" s="414" t="s">
        <v>33</v>
      </c>
      <c r="AE102" s="407">
        <f t="shared" si="256"/>
        <v>342874</v>
      </c>
      <c r="AF102" s="408">
        <f>$G$102</f>
        <v>43680</v>
      </c>
      <c r="AG102" s="409">
        <f>$G$156</f>
        <v>39159</v>
      </c>
      <c r="AH102" s="409">
        <f>$G$210</f>
        <v>45409</v>
      </c>
      <c r="AI102" s="409">
        <f>$G$264</f>
        <v>38436</v>
      </c>
      <c r="AJ102" s="409">
        <f>$G$318</f>
        <v>48666</v>
      </c>
      <c r="AK102" s="409">
        <f>$G$372</f>
        <v>38445</v>
      </c>
      <c r="AL102" s="409">
        <f>$G$426</f>
        <v>39402</v>
      </c>
      <c r="AM102" s="409">
        <f>$G$480</f>
        <v>49677</v>
      </c>
      <c r="AN102" s="409">
        <f>$G$534</f>
        <v>0</v>
      </c>
      <c r="AO102" s="409">
        <f>$G$588</f>
        <v>0</v>
      </c>
      <c r="AP102" s="409">
        <f>$G$642</f>
        <v>0</v>
      </c>
      <c r="AQ102" s="411">
        <f>$G$696</f>
        <v>0</v>
      </c>
    </row>
    <row r="103" spans="2:43" ht="7.8" customHeight="1" x14ac:dyDescent="0.25">
      <c r="B103" s="282"/>
      <c r="C103" s="404"/>
      <c r="D103" s="415"/>
      <c r="E103" s="416" t="s">
        <v>30</v>
      </c>
      <c r="F103" s="417">
        <f t="shared" ref="F103:Y103" si="257">IFERROR(F102/F101,0)</f>
        <v>162.3660446428571</v>
      </c>
      <c r="G103" s="417">
        <f t="shared" si="257"/>
        <v>156</v>
      </c>
      <c r="H103" s="417">
        <f t="shared" si="257"/>
        <v>193.2093023255814</v>
      </c>
      <c r="I103" s="418">
        <f t="shared" si="257"/>
        <v>182.28571428571428</v>
      </c>
      <c r="J103" s="419">
        <f t="shared" si="257"/>
        <v>0</v>
      </c>
      <c r="K103" s="419">
        <f t="shared" si="257"/>
        <v>0</v>
      </c>
      <c r="L103" s="419">
        <f t="shared" si="257"/>
        <v>0</v>
      </c>
      <c r="M103" s="420">
        <f t="shared" si="257"/>
        <v>203.63636363636363</v>
      </c>
      <c r="N103" s="417">
        <f t="shared" si="257"/>
        <v>195.01333333333332</v>
      </c>
      <c r="O103" s="418">
        <f t="shared" si="257"/>
        <v>187.66666666666666</v>
      </c>
      <c r="P103" s="419">
        <f t="shared" si="257"/>
        <v>213.61818181818182</v>
      </c>
      <c r="Q103" s="419">
        <f t="shared" si="257"/>
        <v>194.71875</v>
      </c>
      <c r="R103" s="419">
        <f t="shared" si="257"/>
        <v>0</v>
      </c>
      <c r="S103" s="420">
        <f t="shared" si="257"/>
        <v>0</v>
      </c>
      <c r="T103" s="417">
        <f t="shared" si="257"/>
        <v>158.29429078014181</v>
      </c>
      <c r="U103" s="418">
        <f t="shared" si="257"/>
        <v>224.74671532846716</v>
      </c>
      <c r="V103" s="419">
        <f t="shared" si="257"/>
        <v>156.15781679389312</v>
      </c>
      <c r="W103" s="419">
        <f t="shared" si="257"/>
        <v>145.57403947368419</v>
      </c>
      <c r="X103" s="419">
        <f t="shared" si="257"/>
        <v>190.72151898734177</v>
      </c>
      <c r="Y103" s="421">
        <f t="shared" si="257"/>
        <v>148.47540983606558</v>
      </c>
      <c r="AA103" s="291"/>
      <c r="AB103" s="412"/>
      <c r="AC103" s="422"/>
      <c r="AD103" s="423" t="s">
        <v>30</v>
      </c>
      <c r="AE103" s="417">
        <f t="shared" ref="AE103:AQ103" si="258">IFERROR(AE102/AE101,0)</f>
        <v>156.84995425434585</v>
      </c>
      <c r="AF103" s="418">
        <f t="shared" si="258"/>
        <v>156</v>
      </c>
      <c r="AG103" s="419">
        <f t="shared" si="258"/>
        <v>157.26506024096386</v>
      </c>
      <c r="AH103" s="419">
        <f t="shared" si="258"/>
        <v>157.12456747404843</v>
      </c>
      <c r="AI103" s="419">
        <f t="shared" si="258"/>
        <v>156.2439024390244</v>
      </c>
      <c r="AJ103" s="419">
        <f t="shared" si="258"/>
        <v>156.48231511254019</v>
      </c>
      <c r="AK103" s="419">
        <f t="shared" si="258"/>
        <v>156.91836734693877</v>
      </c>
      <c r="AL103" s="419">
        <f t="shared" si="258"/>
        <v>156.35714285714286</v>
      </c>
      <c r="AM103" s="419">
        <f t="shared" si="258"/>
        <v>158.20700636942675</v>
      </c>
      <c r="AN103" s="419">
        <f t="shared" si="258"/>
        <v>0</v>
      </c>
      <c r="AO103" s="419">
        <f t="shared" si="258"/>
        <v>0</v>
      </c>
      <c r="AP103" s="419">
        <f t="shared" si="258"/>
        <v>0</v>
      </c>
      <c r="AQ103" s="421">
        <f t="shared" si="258"/>
        <v>0</v>
      </c>
    </row>
    <row r="104" spans="2:43" ht="7.8" customHeight="1" x14ac:dyDescent="0.25">
      <c r="B104" s="282"/>
      <c r="C104" s="404"/>
      <c r="D104" s="433" t="s">
        <v>42</v>
      </c>
      <c r="E104" s="434" t="s">
        <v>32</v>
      </c>
      <c r="F104" s="435">
        <f t="shared" ref="F104:F105" si="259">SUM(G104,H104,N104,T104)</f>
        <v>2565</v>
      </c>
      <c r="G104" s="435">
        <v>0</v>
      </c>
      <c r="H104" s="435">
        <v>95</v>
      </c>
      <c r="I104" s="436">
        <v>25</v>
      </c>
      <c r="J104" s="437">
        <v>20</v>
      </c>
      <c r="K104" s="437">
        <v>0</v>
      </c>
      <c r="L104" s="437">
        <v>50</v>
      </c>
      <c r="M104" s="438">
        <v>0</v>
      </c>
      <c r="N104" s="435">
        <f t="shared" ref="N104:N105" si="260">SUM(O104:S104)</f>
        <v>430</v>
      </c>
      <c r="O104" s="436">
        <v>180</v>
      </c>
      <c r="P104" s="437">
        <v>200</v>
      </c>
      <c r="Q104" s="437">
        <v>50</v>
      </c>
      <c r="R104" s="437">
        <v>0</v>
      </c>
      <c r="S104" s="438">
        <v>0</v>
      </c>
      <c r="T104" s="435">
        <f t="shared" ref="T104:T105" si="261">SUM(U104:Y104)</f>
        <v>2040</v>
      </c>
      <c r="U104" s="436">
        <v>119</v>
      </c>
      <c r="V104" s="437">
        <v>975</v>
      </c>
      <c r="W104" s="437">
        <v>826</v>
      </c>
      <c r="X104" s="437">
        <v>29</v>
      </c>
      <c r="Y104" s="439">
        <v>91</v>
      </c>
      <c r="AA104" s="291"/>
      <c r="AB104" s="412"/>
      <c r="AC104" s="440" t="s">
        <v>42</v>
      </c>
      <c r="AD104" s="441" t="s">
        <v>32</v>
      </c>
      <c r="AE104" s="442">
        <f t="shared" ref="AE104:AE105" si="262">SUM(AF104:AQ104)</f>
        <v>0</v>
      </c>
      <c r="AF104" s="443">
        <f>$G$104</f>
        <v>0</v>
      </c>
      <c r="AG104" s="444">
        <f>$G$158</f>
        <v>0</v>
      </c>
      <c r="AH104" s="444">
        <f>$G$212</f>
        <v>0</v>
      </c>
      <c r="AI104" s="444">
        <f>$G$266</f>
        <v>0</v>
      </c>
      <c r="AJ104" s="444">
        <f>$G$320</f>
        <v>0</v>
      </c>
      <c r="AK104" s="444">
        <f>$G$374</f>
        <v>0</v>
      </c>
      <c r="AL104" s="444">
        <f>$G$428</f>
        <v>0</v>
      </c>
      <c r="AM104" s="444">
        <f>$G$482</f>
        <v>0</v>
      </c>
      <c r="AN104" s="444">
        <f>$G$536</f>
        <v>0</v>
      </c>
      <c r="AO104" s="444">
        <f>$G$590</f>
        <v>0</v>
      </c>
      <c r="AP104" s="444">
        <f>$G$644</f>
        <v>0</v>
      </c>
      <c r="AQ104" s="445">
        <f>$G$698</f>
        <v>0</v>
      </c>
    </row>
    <row r="105" spans="2:43" s="41" customFormat="1" ht="7.8" customHeight="1" x14ac:dyDescent="0.25">
      <c r="B105" s="282"/>
      <c r="C105" s="404"/>
      <c r="D105" s="446"/>
      <c r="E105" s="447" t="s">
        <v>33</v>
      </c>
      <c r="F105" s="448">
        <f t="shared" si="259"/>
        <v>354020</v>
      </c>
      <c r="G105" s="448">
        <v>0</v>
      </c>
      <c r="H105" s="448">
        <v>16400</v>
      </c>
      <c r="I105" s="449">
        <v>4250</v>
      </c>
      <c r="J105" s="450">
        <v>3400</v>
      </c>
      <c r="K105" s="450">
        <v>0</v>
      </c>
      <c r="L105" s="450">
        <v>8750</v>
      </c>
      <c r="M105" s="451">
        <v>0</v>
      </c>
      <c r="N105" s="448">
        <f t="shared" si="260"/>
        <v>74500</v>
      </c>
      <c r="O105" s="449">
        <v>31500</v>
      </c>
      <c r="P105" s="450">
        <v>34000</v>
      </c>
      <c r="Q105" s="450">
        <v>9000</v>
      </c>
      <c r="R105" s="450">
        <v>0</v>
      </c>
      <c r="S105" s="451">
        <v>0</v>
      </c>
      <c r="T105" s="448">
        <f t="shared" si="261"/>
        <v>263120</v>
      </c>
      <c r="U105" s="449">
        <v>22015</v>
      </c>
      <c r="V105" s="450">
        <v>124906</v>
      </c>
      <c r="W105" s="450">
        <v>94545</v>
      </c>
      <c r="X105" s="450">
        <v>5365</v>
      </c>
      <c r="Y105" s="452">
        <v>16289</v>
      </c>
      <c r="AA105" s="291"/>
      <c r="AB105" s="412"/>
      <c r="AC105" s="453"/>
      <c r="AD105" s="454" t="s">
        <v>33</v>
      </c>
      <c r="AE105" s="455">
        <f t="shared" si="262"/>
        <v>0</v>
      </c>
      <c r="AF105" s="456">
        <f>$G$105</f>
        <v>0</v>
      </c>
      <c r="AG105" s="457">
        <f>$G$159</f>
        <v>0</v>
      </c>
      <c r="AH105" s="457">
        <f>$G$213</f>
        <v>0</v>
      </c>
      <c r="AI105" s="457">
        <f>$G$267</f>
        <v>0</v>
      </c>
      <c r="AJ105" s="457">
        <f>$G$321</f>
        <v>0</v>
      </c>
      <c r="AK105" s="457">
        <f>$G$375</f>
        <v>0</v>
      </c>
      <c r="AL105" s="457">
        <f>$G$429</f>
        <v>0</v>
      </c>
      <c r="AM105" s="457">
        <f>$G$483</f>
        <v>0</v>
      </c>
      <c r="AN105" s="457">
        <f>$G$537</f>
        <v>0</v>
      </c>
      <c r="AO105" s="457">
        <f>$G$591</f>
        <v>0</v>
      </c>
      <c r="AP105" s="457">
        <f>$G$645</f>
        <v>0</v>
      </c>
      <c r="AQ105" s="458">
        <f>$G$699</f>
        <v>0</v>
      </c>
    </row>
    <row r="106" spans="2:43" ht="7.8" customHeight="1" x14ac:dyDescent="0.25">
      <c r="B106" s="282"/>
      <c r="C106" s="404"/>
      <c r="D106" s="459"/>
      <c r="E106" s="460" t="s">
        <v>30</v>
      </c>
      <c r="F106" s="461">
        <f t="shared" ref="F106:Y106" si="263">IFERROR(F105/F104,0)</f>
        <v>138.01949317738791</v>
      </c>
      <c r="G106" s="461">
        <f t="shared" si="263"/>
        <v>0</v>
      </c>
      <c r="H106" s="461">
        <f t="shared" si="263"/>
        <v>172.63157894736841</v>
      </c>
      <c r="I106" s="462">
        <f t="shared" si="263"/>
        <v>170</v>
      </c>
      <c r="J106" s="463">
        <f t="shared" si="263"/>
        <v>170</v>
      </c>
      <c r="K106" s="463">
        <f t="shared" si="263"/>
        <v>0</v>
      </c>
      <c r="L106" s="463">
        <f t="shared" si="263"/>
        <v>175</v>
      </c>
      <c r="M106" s="464">
        <f t="shared" si="263"/>
        <v>0</v>
      </c>
      <c r="N106" s="461">
        <f t="shared" si="263"/>
        <v>173.25581395348837</v>
      </c>
      <c r="O106" s="462">
        <f t="shared" si="263"/>
        <v>175</v>
      </c>
      <c r="P106" s="463">
        <f t="shared" si="263"/>
        <v>170</v>
      </c>
      <c r="Q106" s="463">
        <f t="shared" si="263"/>
        <v>180</v>
      </c>
      <c r="R106" s="463">
        <f t="shared" si="263"/>
        <v>0</v>
      </c>
      <c r="S106" s="464">
        <f t="shared" si="263"/>
        <v>0</v>
      </c>
      <c r="T106" s="461">
        <f t="shared" si="263"/>
        <v>128.98039215686273</v>
      </c>
      <c r="U106" s="462">
        <f t="shared" si="263"/>
        <v>185</v>
      </c>
      <c r="V106" s="463">
        <f t="shared" si="263"/>
        <v>128.10871794871795</v>
      </c>
      <c r="W106" s="463">
        <f t="shared" si="263"/>
        <v>114.46125907990314</v>
      </c>
      <c r="X106" s="463">
        <f t="shared" si="263"/>
        <v>185</v>
      </c>
      <c r="Y106" s="465">
        <f t="shared" si="263"/>
        <v>179</v>
      </c>
      <c r="AA106" s="291"/>
      <c r="AB106" s="412"/>
      <c r="AC106" s="466"/>
      <c r="AD106" s="467" t="s">
        <v>30</v>
      </c>
      <c r="AE106" s="468">
        <f t="shared" ref="AE106:AQ106" si="264">IFERROR(AE105/AE104,0)</f>
        <v>0</v>
      </c>
      <c r="AF106" s="469">
        <f t="shared" si="264"/>
        <v>0</v>
      </c>
      <c r="AG106" s="470">
        <f t="shared" si="264"/>
        <v>0</v>
      </c>
      <c r="AH106" s="470">
        <f t="shared" si="264"/>
        <v>0</v>
      </c>
      <c r="AI106" s="470">
        <f t="shared" si="264"/>
        <v>0</v>
      </c>
      <c r="AJ106" s="470">
        <f t="shared" si="264"/>
        <v>0</v>
      </c>
      <c r="AK106" s="470">
        <f t="shared" si="264"/>
        <v>0</v>
      </c>
      <c r="AL106" s="470">
        <f t="shared" si="264"/>
        <v>0</v>
      </c>
      <c r="AM106" s="470">
        <f t="shared" si="264"/>
        <v>0</v>
      </c>
      <c r="AN106" s="470">
        <f t="shared" si="264"/>
        <v>0</v>
      </c>
      <c r="AO106" s="470">
        <f t="shared" si="264"/>
        <v>0</v>
      </c>
      <c r="AP106" s="470">
        <f t="shared" si="264"/>
        <v>0</v>
      </c>
      <c r="AQ106" s="471">
        <f t="shared" si="264"/>
        <v>0</v>
      </c>
    </row>
    <row r="107" spans="2:43" ht="7.8" customHeight="1" x14ac:dyDescent="0.25">
      <c r="B107" s="282"/>
      <c r="C107" s="404"/>
      <c r="D107" s="472" t="s">
        <v>43</v>
      </c>
      <c r="E107" s="425" t="s">
        <v>32</v>
      </c>
      <c r="F107" s="426">
        <f t="shared" ref="F107:Y109" si="265">F104-F101</f>
        <v>325</v>
      </c>
      <c r="G107" s="426">
        <f t="shared" si="265"/>
        <v>-280</v>
      </c>
      <c r="H107" s="426">
        <f t="shared" si="265"/>
        <v>52</v>
      </c>
      <c r="I107" s="427">
        <f t="shared" si="265"/>
        <v>4</v>
      </c>
      <c r="J107" s="428">
        <f t="shared" si="265"/>
        <v>20</v>
      </c>
      <c r="K107" s="428">
        <f t="shared" si="265"/>
        <v>0</v>
      </c>
      <c r="L107" s="428">
        <f t="shared" si="265"/>
        <v>50</v>
      </c>
      <c r="M107" s="429">
        <f t="shared" si="265"/>
        <v>-22</v>
      </c>
      <c r="N107" s="426">
        <f t="shared" si="265"/>
        <v>205</v>
      </c>
      <c r="O107" s="427">
        <f t="shared" si="265"/>
        <v>42</v>
      </c>
      <c r="P107" s="428">
        <f t="shared" si="265"/>
        <v>145</v>
      </c>
      <c r="Q107" s="428">
        <f t="shared" si="265"/>
        <v>18</v>
      </c>
      <c r="R107" s="428">
        <f t="shared" si="265"/>
        <v>0</v>
      </c>
      <c r="S107" s="429">
        <f t="shared" si="265"/>
        <v>0</v>
      </c>
      <c r="T107" s="426">
        <f t="shared" si="265"/>
        <v>348</v>
      </c>
      <c r="U107" s="427">
        <f t="shared" si="265"/>
        <v>-18</v>
      </c>
      <c r="V107" s="428">
        <f t="shared" si="265"/>
        <v>320</v>
      </c>
      <c r="W107" s="428">
        <f t="shared" si="265"/>
        <v>66</v>
      </c>
      <c r="X107" s="428">
        <f t="shared" si="265"/>
        <v>-50</v>
      </c>
      <c r="Y107" s="430">
        <f t="shared" si="265"/>
        <v>30</v>
      </c>
      <c r="AA107" s="291"/>
      <c r="AB107" s="412"/>
      <c r="AC107" s="473" t="s">
        <v>43</v>
      </c>
      <c r="AD107" s="432" t="s">
        <v>32</v>
      </c>
      <c r="AE107" s="426">
        <f t="shared" ref="AE107:AQ109" si="266">AE104-AE101</f>
        <v>-2186</v>
      </c>
      <c r="AF107" s="427">
        <f t="shared" si="266"/>
        <v>-280</v>
      </c>
      <c r="AG107" s="428">
        <f t="shared" si="266"/>
        <v>-249</v>
      </c>
      <c r="AH107" s="428">
        <f t="shared" si="266"/>
        <v>-289</v>
      </c>
      <c r="AI107" s="428">
        <f t="shared" si="266"/>
        <v>-246</v>
      </c>
      <c r="AJ107" s="428">
        <f t="shared" si="266"/>
        <v>-311</v>
      </c>
      <c r="AK107" s="428">
        <f t="shared" si="266"/>
        <v>-245</v>
      </c>
      <c r="AL107" s="428">
        <f t="shared" si="266"/>
        <v>-252</v>
      </c>
      <c r="AM107" s="428">
        <f t="shared" si="266"/>
        <v>-314</v>
      </c>
      <c r="AN107" s="428">
        <f t="shared" si="266"/>
        <v>0</v>
      </c>
      <c r="AO107" s="428">
        <f t="shared" si="266"/>
        <v>0</v>
      </c>
      <c r="AP107" s="428">
        <f t="shared" si="266"/>
        <v>0</v>
      </c>
      <c r="AQ107" s="430">
        <f t="shared" si="266"/>
        <v>0</v>
      </c>
    </row>
    <row r="108" spans="2:43" s="366" customFormat="1" ht="7.8" customHeight="1" x14ac:dyDescent="0.25">
      <c r="B108" s="282"/>
      <c r="C108" s="404"/>
      <c r="D108" s="405"/>
      <c r="E108" s="474" t="s">
        <v>33</v>
      </c>
      <c r="F108" s="407">
        <f t="shared" si="265"/>
        <v>-9679.9399999999441</v>
      </c>
      <c r="G108" s="407">
        <f t="shared" si="265"/>
        <v>-43680</v>
      </c>
      <c r="H108" s="407">
        <f t="shared" si="265"/>
        <v>8092</v>
      </c>
      <c r="I108" s="408">
        <f t="shared" si="265"/>
        <v>422</v>
      </c>
      <c r="J108" s="409">
        <f t="shared" si="265"/>
        <v>3400</v>
      </c>
      <c r="K108" s="409">
        <f t="shared" si="265"/>
        <v>0</v>
      </c>
      <c r="L108" s="409">
        <f t="shared" si="265"/>
        <v>8750</v>
      </c>
      <c r="M108" s="410">
        <f t="shared" si="265"/>
        <v>-4480</v>
      </c>
      <c r="N108" s="407">
        <f t="shared" si="265"/>
        <v>30622</v>
      </c>
      <c r="O108" s="408">
        <f t="shared" si="265"/>
        <v>5602</v>
      </c>
      <c r="P108" s="409">
        <f t="shared" si="265"/>
        <v>22251</v>
      </c>
      <c r="Q108" s="409">
        <f t="shared" si="265"/>
        <v>2769</v>
      </c>
      <c r="R108" s="409">
        <f t="shared" si="265"/>
        <v>0</v>
      </c>
      <c r="S108" s="410">
        <f t="shared" si="265"/>
        <v>0</v>
      </c>
      <c r="T108" s="407">
        <f t="shared" si="265"/>
        <v>-4713.9399999999441</v>
      </c>
      <c r="U108" s="408">
        <f t="shared" si="265"/>
        <v>-8775.2999999999993</v>
      </c>
      <c r="V108" s="409">
        <f t="shared" si="265"/>
        <v>22622.630000000005</v>
      </c>
      <c r="W108" s="409">
        <f t="shared" si="265"/>
        <v>-16091.26999999999</v>
      </c>
      <c r="X108" s="409">
        <f t="shared" si="265"/>
        <v>-9702</v>
      </c>
      <c r="Y108" s="411">
        <f t="shared" si="265"/>
        <v>7232</v>
      </c>
      <c r="AA108" s="291"/>
      <c r="AB108" s="412"/>
      <c r="AC108" s="475"/>
      <c r="AD108" s="476" t="s">
        <v>33</v>
      </c>
      <c r="AE108" s="407">
        <f t="shared" si="266"/>
        <v>-342874</v>
      </c>
      <c r="AF108" s="408">
        <f t="shared" si="266"/>
        <v>-43680</v>
      </c>
      <c r="AG108" s="409">
        <f t="shared" si="266"/>
        <v>-39159</v>
      </c>
      <c r="AH108" s="409">
        <f t="shared" si="266"/>
        <v>-45409</v>
      </c>
      <c r="AI108" s="409">
        <f t="shared" si="266"/>
        <v>-38436</v>
      </c>
      <c r="AJ108" s="409">
        <f t="shared" si="266"/>
        <v>-48666</v>
      </c>
      <c r="AK108" s="409">
        <f t="shared" si="266"/>
        <v>-38445</v>
      </c>
      <c r="AL108" s="409">
        <f t="shared" si="266"/>
        <v>-39402</v>
      </c>
      <c r="AM108" s="409">
        <f t="shared" si="266"/>
        <v>-49677</v>
      </c>
      <c r="AN108" s="409">
        <f t="shared" si="266"/>
        <v>0</v>
      </c>
      <c r="AO108" s="409">
        <f t="shared" si="266"/>
        <v>0</v>
      </c>
      <c r="AP108" s="409">
        <f t="shared" si="266"/>
        <v>0</v>
      </c>
      <c r="AQ108" s="411">
        <f t="shared" si="266"/>
        <v>0</v>
      </c>
    </row>
    <row r="109" spans="2:43" ht="7.8" customHeight="1" x14ac:dyDescent="0.25">
      <c r="B109" s="282"/>
      <c r="C109" s="404"/>
      <c r="D109" s="415"/>
      <c r="E109" s="416" t="s">
        <v>30</v>
      </c>
      <c r="F109" s="417">
        <f t="shared" si="265"/>
        <v>-24.34655146546919</v>
      </c>
      <c r="G109" s="417">
        <f t="shared" si="265"/>
        <v>-156</v>
      </c>
      <c r="H109" s="417">
        <f t="shared" si="265"/>
        <v>-20.577723378212994</v>
      </c>
      <c r="I109" s="418">
        <f t="shared" si="265"/>
        <v>-12.285714285714278</v>
      </c>
      <c r="J109" s="419">
        <f t="shared" si="265"/>
        <v>170</v>
      </c>
      <c r="K109" s="419">
        <f t="shared" si="265"/>
        <v>0</v>
      </c>
      <c r="L109" s="419">
        <f t="shared" si="265"/>
        <v>175</v>
      </c>
      <c r="M109" s="420">
        <f t="shared" si="265"/>
        <v>-203.63636363636363</v>
      </c>
      <c r="N109" s="417">
        <f t="shared" si="265"/>
        <v>-21.75751937984495</v>
      </c>
      <c r="O109" s="418">
        <f t="shared" si="265"/>
        <v>-12.666666666666657</v>
      </c>
      <c r="P109" s="419">
        <f t="shared" si="265"/>
        <v>-43.618181818181824</v>
      </c>
      <c r="Q109" s="419">
        <f t="shared" si="265"/>
        <v>-14.71875</v>
      </c>
      <c r="R109" s="419">
        <f t="shared" si="265"/>
        <v>0</v>
      </c>
      <c r="S109" s="420">
        <f t="shared" si="265"/>
        <v>0</v>
      </c>
      <c r="T109" s="417">
        <f t="shared" si="265"/>
        <v>-29.313898623279073</v>
      </c>
      <c r="U109" s="418">
        <f t="shared" si="265"/>
        <v>-39.746715328467161</v>
      </c>
      <c r="V109" s="419">
        <f t="shared" si="265"/>
        <v>-28.049098845175166</v>
      </c>
      <c r="W109" s="419">
        <f t="shared" si="265"/>
        <v>-31.112780393781051</v>
      </c>
      <c r="X109" s="419">
        <f t="shared" si="265"/>
        <v>-5.7215189873417671</v>
      </c>
      <c r="Y109" s="421">
        <f t="shared" si="265"/>
        <v>30.52459016393442</v>
      </c>
      <c r="AA109" s="291"/>
      <c r="AB109" s="412"/>
      <c r="AC109" s="477"/>
      <c r="AD109" s="423" t="s">
        <v>30</v>
      </c>
      <c r="AE109" s="417">
        <f t="shared" si="266"/>
        <v>-156.84995425434585</v>
      </c>
      <c r="AF109" s="418">
        <f t="shared" si="266"/>
        <v>-156</v>
      </c>
      <c r="AG109" s="419">
        <f t="shared" si="266"/>
        <v>-157.26506024096386</v>
      </c>
      <c r="AH109" s="419">
        <f t="shared" si="266"/>
        <v>-157.12456747404843</v>
      </c>
      <c r="AI109" s="419">
        <f t="shared" si="266"/>
        <v>-156.2439024390244</v>
      </c>
      <c r="AJ109" s="419">
        <f t="shared" si="266"/>
        <v>-156.48231511254019</v>
      </c>
      <c r="AK109" s="419">
        <f t="shared" si="266"/>
        <v>-156.91836734693877</v>
      </c>
      <c r="AL109" s="419">
        <f t="shared" si="266"/>
        <v>-156.35714285714286</v>
      </c>
      <c r="AM109" s="419">
        <f t="shared" si="266"/>
        <v>-158.20700636942675</v>
      </c>
      <c r="AN109" s="419">
        <f t="shared" si="266"/>
        <v>0</v>
      </c>
      <c r="AO109" s="419">
        <f t="shared" si="266"/>
        <v>0</v>
      </c>
      <c r="AP109" s="419">
        <f t="shared" si="266"/>
        <v>0</v>
      </c>
      <c r="AQ109" s="421">
        <f t="shared" si="266"/>
        <v>0</v>
      </c>
    </row>
    <row r="110" spans="2:43" ht="7.8" customHeight="1" x14ac:dyDescent="0.25">
      <c r="B110" s="282"/>
      <c r="C110" s="404"/>
      <c r="D110" s="472" t="s">
        <v>44</v>
      </c>
      <c r="E110" s="425" t="s">
        <v>32</v>
      </c>
      <c r="F110" s="478">
        <f t="shared" ref="F110:Y112" si="267">IFERROR((F104-F101)/ABS(F101),"")</f>
        <v>0.14508928571428573</v>
      </c>
      <c r="G110" s="478">
        <f t="shared" si="267"/>
        <v>-1</v>
      </c>
      <c r="H110" s="478">
        <f t="shared" si="267"/>
        <v>1.2093023255813953</v>
      </c>
      <c r="I110" s="479">
        <f t="shared" si="267"/>
        <v>0.19047619047619047</v>
      </c>
      <c r="J110" s="480" t="str">
        <f t="shared" si="267"/>
        <v/>
      </c>
      <c r="K110" s="480" t="str">
        <f t="shared" si="267"/>
        <v/>
      </c>
      <c r="L110" s="480" t="str">
        <f t="shared" si="267"/>
        <v/>
      </c>
      <c r="M110" s="481">
        <f t="shared" si="267"/>
        <v>-1</v>
      </c>
      <c r="N110" s="478">
        <f t="shared" si="267"/>
        <v>0.91111111111111109</v>
      </c>
      <c r="O110" s="479">
        <f t="shared" si="267"/>
        <v>0.30434782608695654</v>
      </c>
      <c r="P110" s="480">
        <f t="shared" si="267"/>
        <v>2.6363636363636362</v>
      </c>
      <c r="Q110" s="480">
        <f t="shared" si="267"/>
        <v>0.5625</v>
      </c>
      <c r="R110" s="480" t="str">
        <f t="shared" si="267"/>
        <v/>
      </c>
      <c r="S110" s="481" t="str">
        <f t="shared" si="267"/>
        <v/>
      </c>
      <c r="T110" s="478">
        <f t="shared" si="267"/>
        <v>0.20567375886524822</v>
      </c>
      <c r="U110" s="479">
        <f t="shared" si="267"/>
        <v>-0.13138686131386862</v>
      </c>
      <c r="V110" s="480">
        <f t="shared" si="267"/>
        <v>0.48854961832061067</v>
      </c>
      <c r="W110" s="480">
        <f t="shared" si="267"/>
        <v>8.6842105263157901E-2</v>
      </c>
      <c r="X110" s="480">
        <f t="shared" si="267"/>
        <v>-0.63291139240506333</v>
      </c>
      <c r="Y110" s="482">
        <f t="shared" si="267"/>
        <v>0.49180327868852458</v>
      </c>
      <c r="AA110" s="291"/>
      <c r="AB110" s="412"/>
      <c r="AC110" s="473" t="s">
        <v>44</v>
      </c>
      <c r="AD110" s="432" t="s">
        <v>32</v>
      </c>
      <c r="AE110" s="478">
        <f t="shared" ref="AE110:AQ112" si="268">IFERROR((AE104-AE101)/ABS(AE101),"")</f>
        <v>-1</v>
      </c>
      <c r="AF110" s="479">
        <f t="shared" si="268"/>
        <v>-1</v>
      </c>
      <c r="AG110" s="480">
        <f t="shared" si="268"/>
        <v>-1</v>
      </c>
      <c r="AH110" s="480">
        <f t="shared" si="268"/>
        <v>-1</v>
      </c>
      <c r="AI110" s="480">
        <f t="shared" si="268"/>
        <v>-1</v>
      </c>
      <c r="AJ110" s="480">
        <f t="shared" si="268"/>
        <v>-1</v>
      </c>
      <c r="AK110" s="480">
        <f t="shared" si="268"/>
        <v>-1</v>
      </c>
      <c r="AL110" s="480">
        <f t="shared" si="268"/>
        <v>-1</v>
      </c>
      <c r="AM110" s="480">
        <f t="shared" si="268"/>
        <v>-1</v>
      </c>
      <c r="AN110" s="480" t="str">
        <f t="shared" si="268"/>
        <v/>
      </c>
      <c r="AO110" s="480" t="str">
        <f t="shared" si="268"/>
        <v/>
      </c>
      <c r="AP110" s="480" t="str">
        <f t="shared" si="268"/>
        <v/>
      </c>
      <c r="AQ110" s="482" t="str">
        <f t="shared" si="268"/>
        <v/>
      </c>
    </row>
    <row r="111" spans="2:43" ht="7.8" customHeight="1" x14ac:dyDescent="0.25">
      <c r="B111" s="282"/>
      <c r="C111" s="404"/>
      <c r="D111" s="405"/>
      <c r="E111" s="483" t="s">
        <v>33</v>
      </c>
      <c r="F111" s="484">
        <f t="shared" si="267"/>
        <v>-2.6615181734701263E-2</v>
      </c>
      <c r="G111" s="484">
        <f t="shared" si="267"/>
        <v>-1</v>
      </c>
      <c r="H111" s="484">
        <f t="shared" si="267"/>
        <v>0.97400096292729899</v>
      </c>
      <c r="I111" s="485">
        <f t="shared" si="267"/>
        <v>0.11024033437826541</v>
      </c>
      <c r="J111" s="486" t="str">
        <f t="shared" si="267"/>
        <v/>
      </c>
      <c r="K111" s="486" t="str">
        <f t="shared" si="267"/>
        <v/>
      </c>
      <c r="L111" s="486" t="str">
        <f t="shared" si="267"/>
        <v/>
      </c>
      <c r="M111" s="487">
        <f t="shared" si="267"/>
        <v>-1</v>
      </c>
      <c r="N111" s="484">
        <f t="shared" si="267"/>
        <v>0.69788960299010894</v>
      </c>
      <c r="O111" s="485">
        <f t="shared" si="267"/>
        <v>0.21631013977913352</v>
      </c>
      <c r="P111" s="486">
        <f t="shared" si="267"/>
        <v>1.8938633075155333</v>
      </c>
      <c r="Q111" s="486">
        <f t="shared" si="267"/>
        <v>0.4443909484833895</v>
      </c>
      <c r="R111" s="486" t="str">
        <f t="shared" si="267"/>
        <v/>
      </c>
      <c r="S111" s="487" t="str">
        <f t="shared" si="267"/>
        <v/>
      </c>
      <c r="T111" s="484">
        <f t="shared" si="267"/>
        <v>-1.7600233935997599E-2</v>
      </c>
      <c r="U111" s="485">
        <f t="shared" si="267"/>
        <v>-0.28500209481557504</v>
      </c>
      <c r="V111" s="486">
        <f t="shared" si="267"/>
        <v>0.22117603281941145</v>
      </c>
      <c r="W111" s="486">
        <f t="shared" si="267"/>
        <v>-0.14544299080220249</v>
      </c>
      <c r="X111" s="486">
        <f t="shared" si="267"/>
        <v>-0.6439238069954204</v>
      </c>
      <c r="Y111" s="488">
        <f t="shared" si="267"/>
        <v>0.79849839902837583</v>
      </c>
      <c r="AA111" s="291"/>
      <c r="AB111" s="412"/>
      <c r="AC111" s="475"/>
      <c r="AD111" s="489" t="s">
        <v>33</v>
      </c>
      <c r="AE111" s="484">
        <f t="shared" si="268"/>
        <v>-1</v>
      </c>
      <c r="AF111" s="485">
        <f t="shared" si="268"/>
        <v>-1</v>
      </c>
      <c r="AG111" s="486">
        <f t="shared" si="268"/>
        <v>-1</v>
      </c>
      <c r="AH111" s="486">
        <f t="shared" si="268"/>
        <v>-1</v>
      </c>
      <c r="AI111" s="486">
        <f t="shared" si="268"/>
        <v>-1</v>
      </c>
      <c r="AJ111" s="486">
        <f t="shared" si="268"/>
        <v>-1</v>
      </c>
      <c r="AK111" s="486">
        <f t="shared" si="268"/>
        <v>-1</v>
      </c>
      <c r="AL111" s="486">
        <f t="shared" si="268"/>
        <v>-1</v>
      </c>
      <c r="AM111" s="486">
        <f t="shared" si="268"/>
        <v>-1</v>
      </c>
      <c r="AN111" s="486" t="str">
        <f t="shared" si="268"/>
        <v/>
      </c>
      <c r="AO111" s="486" t="str">
        <f t="shared" si="268"/>
        <v/>
      </c>
      <c r="AP111" s="486" t="str">
        <f t="shared" si="268"/>
        <v/>
      </c>
      <c r="AQ111" s="488" t="str">
        <f t="shared" si="268"/>
        <v/>
      </c>
    </row>
    <row r="112" spans="2:43" ht="7.8" customHeight="1" x14ac:dyDescent="0.25">
      <c r="B112" s="282"/>
      <c r="C112" s="502"/>
      <c r="D112" s="503"/>
      <c r="E112" s="504" t="s">
        <v>30</v>
      </c>
      <c r="F112" s="505">
        <f t="shared" si="267"/>
        <v>-0.149948540774164</v>
      </c>
      <c r="G112" s="505">
        <f t="shared" si="267"/>
        <v>-1</v>
      </c>
      <c r="H112" s="505">
        <f t="shared" si="267"/>
        <v>-0.10650482730659108</v>
      </c>
      <c r="I112" s="506">
        <f t="shared" si="267"/>
        <v>-6.7398119122257016E-2</v>
      </c>
      <c r="J112" s="507" t="str">
        <f t="shared" si="267"/>
        <v/>
      </c>
      <c r="K112" s="507" t="str">
        <f t="shared" si="267"/>
        <v/>
      </c>
      <c r="L112" s="507" t="str">
        <f t="shared" si="267"/>
        <v/>
      </c>
      <c r="M112" s="508">
        <f t="shared" si="267"/>
        <v>-1</v>
      </c>
      <c r="N112" s="505">
        <f t="shared" si="267"/>
        <v>-0.11156939378424527</v>
      </c>
      <c r="O112" s="506">
        <f t="shared" si="267"/>
        <v>-6.7495559502664254E-2</v>
      </c>
      <c r="P112" s="507">
        <f t="shared" si="267"/>
        <v>-0.20418759043322837</v>
      </c>
      <c r="Q112" s="507">
        <f t="shared" si="267"/>
        <v>-7.5589792970630718E-2</v>
      </c>
      <c r="R112" s="507" t="str">
        <f t="shared" si="267"/>
        <v/>
      </c>
      <c r="S112" s="508" t="str">
        <f t="shared" si="267"/>
        <v/>
      </c>
      <c r="T112" s="505">
        <f t="shared" si="267"/>
        <v>-0.18518607638220982</v>
      </c>
      <c r="U112" s="506">
        <f t="shared" si="267"/>
        <v>-0.17685115117423347</v>
      </c>
      <c r="V112" s="507">
        <f t="shared" si="267"/>
        <v>-0.17962020359311329</v>
      </c>
      <c r="W112" s="507">
        <f t="shared" si="267"/>
        <v>-0.21372478572599746</v>
      </c>
      <c r="X112" s="507">
        <f t="shared" si="267"/>
        <v>-2.9999336297869491E-2</v>
      </c>
      <c r="Y112" s="509">
        <f t="shared" si="267"/>
        <v>0.20558683890913101</v>
      </c>
      <c r="AA112" s="291"/>
      <c r="AB112" s="510"/>
      <c r="AC112" s="511"/>
      <c r="AD112" s="512" t="s">
        <v>30</v>
      </c>
      <c r="AE112" s="505">
        <f t="shared" si="268"/>
        <v>-1</v>
      </c>
      <c r="AF112" s="506">
        <f t="shared" si="268"/>
        <v>-1</v>
      </c>
      <c r="AG112" s="507">
        <f t="shared" si="268"/>
        <v>-1</v>
      </c>
      <c r="AH112" s="507">
        <f t="shared" si="268"/>
        <v>-1</v>
      </c>
      <c r="AI112" s="507">
        <f t="shared" si="268"/>
        <v>-1</v>
      </c>
      <c r="AJ112" s="507">
        <f t="shared" si="268"/>
        <v>-1</v>
      </c>
      <c r="AK112" s="507">
        <f t="shared" si="268"/>
        <v>-1</v>
      </c>
      <c r="AL112" s="507">
        <f t="shared" si="268"/>
        <v>-1</v>
      </c>
      <c r="AM112" s="507">
        <f t="shared" si="268"/>
        <v>-1</v>
      </c>
      <c r="AN112" s="507" t="str">
        <f t="shared" si="268"/>
        <v/>
      </c>
      <c r="AO112" s="507" t="str">
        <f t="shared" si="268"/>
        <v/>
      </c>
      <c r="AP112" s="507" t="str">
        <f t="shared" si="268"/>
        <v/>
      </c>
      <c r="AQ112" s="509" t="str">
        <f t="shared" si="268"/>
        <v/>
      </c>
    </row>
    <row r="113" spans="1:43" ht="7.8" customHeight="1" x14ac:dyDescent="0.25">
      <c r="B113" s="282" t="s">
        <v>50</v>
      </c>
      <c r="C113" s="283" t="s">
        <v>9</v>
      </c>
      <c r="D113" s="284" t="s">
        <v>39</v>
      </c>
      <c r="E113" s="285" t="s">
        <v>32</v>
      </c>
      <c r="F113" s="286">
        <f t="shared" ref="F113:F114" si="269">SUM(G113,H113,N113,T113)</f>
        <v>0</v>
      </c>
      <c r="G113" s="286">
        <f t="shared" ref="G113:G114" si="270">SUM(G131,G149)</f>
        <v>0</v>
      </c>
      <c r="H113" s="286">
        <f t="shared" ref="H113:H114" si="271">SUM(I113:M113)</f>
        <v>0</v>
      </c>
      <c r="I113" s="287">
        <f t="shared" ref="I113:M114" si="272">SUM(I131,I149)</f>
        <v>0</v>
      </c>
      <c r="J113" s="288">
        <f t="shared" si="272"/>
        <v>0</v>
      </c>
      <c r="K113" s="288">
        <f t="shared" si="272"/>
        <v>0</v>
      </c>
      <c r="L113" s="288">
        <f t="shared" si="272"/>
        <v>0</v>
      </c>
      <c r="M113" s="289">
        <f t="shared" si="272"/>
        <v>0</v>
      </c>
      <c r="N113" s="286">
        <f t="shared" ref="N113:N114" si="273">SUM(O113:S113)</f>
        <v>0</v>
      </c>
      <c r="O113" s="287">
        <f t="shared" ref="O113:S114" si="274">SUM(O131,O149)</f>
        <v>0</v>
      </c>
      <c r="P113" s="288">
        <f t="shared" si="274"/>
        <v>0</v>
      </c>
      <c r="Q113" s="288">
        <f t="shared" si="274"/>
        <v>0</v>
      </c>
      <c r="R113" s="288">
        <f t="shared" si="274"/>
        <v>0</v>
      </c>
      <c r="S113" s="289">
        <f t="shared" si="274"/>
        <v>0</v>
      </c>
      <c r="T113" s="286">
        <f t="shared" ref="T113:T114" si="275">SUM(U113:Y113)</f>
        <v>0</v>
      </c>
      <c r="U113" s="287">
        <f t="shared" ref="U113:Y114" si="276">SUM(U131,U149)</f>
        <v>0</v>
      </c>
      <c r="V113" s="288">
        <f t="shared" si="276"/>
        <v>0</v>
      </c>
      <c r="W113" s="288">
        <f t="shared" si="276"/>
        <v>0</v>
      </c>
      <c r="X113" s="288">
        <f t="shared" si="276"/>
        <v>0</v>
      </c>
      <c r="Y113" s="290">
        <f t="shared" si="276"/>
        <v>0</v>
      </c>
      <c r="AA113" s="513" t="s">
        <v>51</v>
      </c>
      <c r="AB113" s="514" t="s">
        <v>9</v>
      </c>
      <c r="AC113" s="515" t="s">
        <v>39</v>
      </c>
      <c r="AD113" s="516" t="s">
        <v>32</v>
      </c>
      <c r="AE113" s="517">
        <f t="shared" ref="AE113:AE114" si="277">SUM(AF113:AQ113)</f>
        <v>0</v>
      </c>
      <c r="AF113" s="518">
        <f t="shared" ref="AF113:AQ114" si="278">SUM(AF131,AF149)</f>
        <v>0</v>
      </c>
      <c r="AG113" s="519">
        <f t="shared" si="278"/>
        <v>0</v>
      </c>
      <c r="AH113" s="519">
        <f t="shared" si="278"/>
        <v>0</v>
      </c>
      <c r="AI113" s="519">
        <f t="shared" si="278"/>
        <v>0</v>
      </c>
      <c r="AJ113" s="519">
        <f t="shared" si="278"/>
        <v>0</v>
      </c>
      <c r="AK113" s="519">
        <f t="shared" si="278"/>
        <v>0</v>
      </c>
      <c r="AL113" s="519">
        <f t="shared" si="278"/>
        <v>0</v>
      </c>
      <c r="AM113" s="519">
        <f t="shared" si="278"/>
        <v>0</v>
      </c>
      <c r="AN113" s="519">
        <f t="shared" si="278"/>
        <v>0</v>
      </c>
      <c r="AO113" s="519">
        <f t="shared" si="278"/>
        <v>0</v>
      </c>
      <c r="AP113" s="519">
        <f t="shared" si="278"/>
        <v>0</v>
      </c>
      <c r="AQ113" s="520">
        <f t="shared" si="278"/>
        <v>0</v>
      </c>
    </row>
    <row r="114" spans="1:43" s="41" customFormat="1" ht="7.8" customHeight="1" x14ac:dyDescent="0.25">
      <c r="B114" s="282"/>
      <c r="C114" s="295"/>
      <c r="D114" s="296"/>
      <c r="E114" s="297" t="s">
        <v>33</v>
      </c>
      <c r="F114" s="298">
        <f t="shared" si="269"/>
        <v>0</v>
      </c>
      <c r="G114" s="298">
        <f t="shared" si="270"/>
        <v>0</v>
      </c>
      <c r="H114" s="298">
        <f t="shared" si="271"/>
        <v>0</v>
      </c>
      <c r="I114" s="299">
        <f t="shared" si="272"/>
        <v>0</v>
      </c>
      <c r="J114" s="300">
        <f t="shared" si="272"/>
        <v>0</v>
      </c>
      <c r="K114" s="300">
        <f t="shared" si="272"/>
        <v>0</v>
      </c>
      <c r="L114" s="300">
        <f t="shared" si="272"/>
        <v>0</v>
      </c>
      <c r="M114" s="301">
        <f t="shared" si="272"/>
        <v>0</v>
      </c>
      <c r="N114" s="298">
        <f t="shared" si="273"/>
        <v>0</v>
      </c>
      <c r="O114" s="299">
        <f t="shared" si="274"/>
        <v>0</v>
      </c>
      <c r="P114" s="300">
        <f t="shared" si="274"/>
        <v>0</v>
      </c>
      <c r="Q114" s="300">
        <f t="shared" si="274"/>
        <v>0</v>
      </c>
      <c r="R114" s="300">
        <f t="shared" si="274"/>
        <v>0</v>
      </c>
      <c r="S114" s="301">
        <f t="shared" si="274"/>
        <v>0</v>
      </c>
      <c r="T114" s="298">
        <f t="shared" si="275"/>
        <v>0</v>
      </c>
      <c r="U114" s="299">
        <f t="shared" si="276"/>
        <v>0</v>
      </c>
      <c r="V114" s="300">
        <f t="shared" si="276"/>
        <v>0</v>
      </c>
      <c r="W114" s="300">
        <f t="shared" si="276"/>
        <v>0</v>
      </c>
      <c r="X114" s="300">
        <f t="shared" si="276"/>
        <v>0</v>
      </c>
      <c r="Y114" s="302">
        <f t="shared" si="276"/>
        <v>0</v>
      </c>
      <c r="AA114" s="513"/>
      <c r="AB114" s="521"/>
      <c r="AC114" s="522"/>
      <c r="AD114" s="523" t="s">
        <v>33</v>
      </c>
      <c r="AE114" s="339">
        <f t="shared" si="277"/>
        <v>0</v>
      </c>
      <c r="AF114" s="340">
        <f t="shared" si="278"/>
        <v>0</v>
      </c>
      <c r="AG114" s="341">
        <f t="shared" si="278"/>
        <v>0</v>
      </c>
      <c r="AH114" s="341">
        <f t="shared" si="278"/>
        <v>0</v>
      </c>
      <c r="AI114" s="341">
        <f t="shared" si="278"/>
        <v>0</v>
      </c>
      <c r="AJ114" s="341">
        <f t="shared" si="278"/>
        <v>0</v>
      </c>
      <c r="AK114" s="341">
        <f t="shared" si="278"/>
        <v>0</v>
      </c>
      <c r="AL114" s="341">
        <f t="shared" si="278"/>
        <v>0</v>
      </c>
      <c r="AM114" s="341">
        <f t="shared" si="278"/>
        <v>0</v>
      </c>
      <c r="AN114" s="341">
        <f t="shared" si="278"/>
        <v>0</v>
      </c>
      <c r="AO114" s="341">
        <f t="shared" si="278"/>
        <v>0</v>
      </c>
      <c r="AP114" s="341">
        <f t="shared" si="278"/>
        <v>0</v>
      </c>
      <c r="AQ114" s="343">
        <f t="shared" si="278"/>
        <v>0</v>
      </c>
    </row>
    <row r="115" spans="1:43" ht="7.8" customHeight="1" x14ac:dyDescent="0.25">
      <c r="B115" s="282"/>
      <c r="C115" s="295"/>
      <c r="D115" s="306"/>
      <c r="E115" s="307" t="s">
        <v>30</v>
      </c>
      <c r="F115" s="308">
        <f t="shared" ref="F115:Y115" si="279">IFERROR(F114/F113,0)</f>
        <v>0</v>
      </c>
      <c r="G115" s="308">
        <f t="shared" si="279"/>
        <v>0</v>
      </c>
      <c r="H115" s="308">
        <f t="shared" si="279"/>
        <v>0</v>
      </c>
      <c r="I115" s="309">
        <f t="shared" si="279"/>
        <v>0</v>
      </c>
      <c r="J115" s="310">
        <f t="shared" si="279"/>
        <v>0</v>
      </c>
      <c r="K115" s="310">
        <f t="shared" si="279"/>
        <v>0</v>
      </c>
      <c r="L115" s="310">
        <f t="shared" si="279"/>
        <v>0</v>
      </c>
      <c r="M115" s="311">
        <f t="shared" si="279"/>
        <v>0</v>
      </c>
      <c r="N115" s="308">
        <f t="shared" si="279"/>
        <v>0</v>
      </c>
      <c r="O115" s="309">
        <f t="shared" si="279"/>
        <v>0</v>
      </c>
      <c r="P115" s="310">
        <f t="shared" si="279"/>
        <v>0</v>
      </c>
      <c r="Q115" s="310">
        <f t="shared" si="279"/>
        <v>0</v>
      </c>
      <c r="R115" s="310">
        <f t="shared" si="279"/>
        <v>0</v>
      </c>
      <c r="S115" s="311">
        <f t="shared" si="279"/>
        <v>0</v>
      </c>
      <c r="T115" s="308">
        <f t="shared" si="279"/>
        <v>0</v>
      </c>
      <c r="U115" s="309">
        <f t="shared" si="279"/>
        <v>0</v>
      </c>
      <c r="V115" s="310">
        <f t="shared" si="279"/>
        <v>0</v>
      </c>
      <c r="W115" s="310">
        <f t="shared" si="279"/>
        <v>0</v>
      </c>
      <c r="X115" s="310">
        <f t="shared" si="279"/>
        <v>0</v>
      </c>
      <c r="Y115" s="312">
        <f t="shared" si="279"/>
        <v>0</v>
      </c>
      <c r="AA115" s="513"/>
      <c r="AB115" s="521"/>
      <c r="AC115" s="524"/>
      <c r="AD115" s="525" t="s">
        <v>30</v>
      </c>
      <c r="AE115" s="352">
        <f t="shared" ref="AE115:AQ115" si="280">IFERROR(AE114/AE113,0)</f>
        <v>0</v>
      </c>
      <c r="AF115" s="353">
        <f t="shared" si="280"/>
        <v>0</v>
      </c>
      <c r="AG115" s="354">
        <f t="shared" si="280"/>
        <v>0</v>
      </c>
      <c r="AH115" s="354">
        <f t="shared" si="280"/>
        <v>0</v>
      </c>
      <c r="AI115" s="354">
        <f t="shared" si="280"/>
        <v>0</v>
      </c>
      <c r="AJ115" s="354">
        <f t="shared" si="280"/>
        <v>0</v>
      </c>
      <c r="AK115" s="354">
        <f t="shared" si="280"/>
        <v>0</v>
      </c>
      <c r="AL115" s="354">
        <f t="shared" si="280"/>
        <v>0</v>
      </c>
      <c r="AM115" s="354">
        <f t="shared" si="280"/>
        <v>0</v>
      </c>
      <c r="AN115" s="354">
        <f t="shared" si="280"/>
        <v>0</v>
      </c>
      <c r="AO115" s="354">
        <f t="shared" si="280"/>
        <v>0</v>
      </c>
      <c r="AP115" s="354">
        <f t="shared" si="280"/>
        <v>0</v>
      </c>
      <c r="AQ115" s="356">
        <f t="shared" si="280"/>
        <v>0</v>
      </c>
    </row>
    <row r="116" spans="1:43" ht="7.8" customHeight="1" x14ac:dyDescent="0.25">
      <c r="A116" s="526"/>
      <c r="B116" s="282"/>
      <c r="C116" s="295"/>
      <c r="D116" s="315" t="s">
        <v>40</v>
      </c>
      <c r="E116" s="316" t="s">
        <v>32</v>
      </c>
      <c r="F116" s="317">
        <f t="shared" ref="F116:F117" si="281">SUM(G116,H116,N116,T116)</f>
        <v>7274</v>
      </c>
      <c r="G116" s="317">
        <f t="shared" ref="G116:G171" si="282">SUM(G134,G152)</f>
        <v>555</v>
      </c>
      <c r="H116" s="317">
        <f t="shared" ref="H116:H117" si="283">SUM(I116:M116)</f>
        <v>540</v>
      </c>
      <c r="I116" s="318">
        <f t="shared" ref="I116:M117" si="284">SUM(I134,I152)</f>
        <v>366</v>
      </c>
      <c r="J116" s="319">
        <f t="shared" si="284"/>
        <v>0</v>
      </c>
      <c r="K116" s="319">
        <f t="shared" si="284"/>
        <v>20</v>
      </c>
      <c r="L116" s="319">
        <f t="shared" si="284"/>
        <v>0</v>
      </c>
      <c r="M116" s="320">
        <f t="shared" si="284"/>
        <v>154</v>
      </c>
      <c r="N116" s="317">
        <f t="shared" ref="N116:N117" si="285">SUM(O116:S116)</f>
        <v>1414</v>
      </c>
      <c r="O116" s="318">
        <f t="shared" ref="O116:S117" si="286">SUM(O134,O152)</f>
        <v>985</v>
      </c>
      <c r="P116" s="319">
        <f t="shared" si="286"/>
        <v>350</v>
      </c>
      <c r="Q116" s="319">
        <f t="shared" si="286"/>
        <v>75</v>
      </c>
      <c r="R116" s="319">
        <f t="shared" si="286"/>
        <v>0</v>
      </c>
      <c r="S116" s="320">
        <f t="shared" si="286"/>
        <v>4</v>
      </c>
      <c r="T116" s="317">
        <f t="shared" ref="T116:T117" si="287">SUM(U116:Y116)</f>
        <v>4765</v>
      </c>
      <c r="U116" s="318">
        <f t="shared" ref="U116:Y117" si="288">SUM(U134,U152)</f>
        <v>487</v>
      </c>
      <c r="V116" s="319">
        <f t="shared" si="288"/>
        <v>1554</v>
      </c>
      <c r="W116" s="319">
        <f t="shared" si="288"/>
        <v>1925</v>
      </c>
      <c r="X116" s="319">
        <f t="shared" si="288"/>
        <v>328</v>
      </c>
      <c r="Y116" s="321">
        <f t="shared" si="288"/>
        <v>471</v>
      </c>
      <c r="Z116" s="526"/>
      <c r="AA116" s="513"/>
      <c r="AB116" s="521"/>
      <c r="AC116" s="527" t="s">
        <v>40</v>
      </c>
      <c r="AD116" s="528" t="s">
        <v>32</v>
      </c>
      <c r="AE116" s="326">
        <f t="shared" ref="AE116:AE117" si="289">SUM(AF116:AQ116)</f>
        <v>6073</v>
      </c>
      <c r="AF116" s="327">
        <f t="shared" ref="AF116:AQ117" si="290">SUM(AF134,AF152)</f>
        <v>372</v>
      </c>
      <c r="AG116" s="328">
        <f t="shared" si="290"/>
        <v>540</v>
      </c>
      <c r="AH116" s="328">
        <f t="shared" si="290"/>
        <v>652</v>
      </c>
      <c r="AI116" s="328">
        <f t="shared" si="290"/>
        <v>390</v>
      </c>
      <c r="AJ116" s="328">
        <f t="shared" si="290"/>
        <v>246</v>
      </c>
      <c r="AK116" s="328">
        <f t="shared" si="290"/>
        <v>497</v>
      </c>
      <c r="AL116" s="328">
        <f t="shared" si="290"/>
        <v>416</v>
      </c>
      <c r="AM116" s="328">
        <f t="shared" si="290"/>
        <v>643</v>
      </c>
      <c r="AN116" s="328">
        <f t="shared" si="290"/>
        <v>330</v>
      </c>
      <c r="AO116" s="328">
        <f t="shared" si="290"/>
        <v>972</v>
      </c>
      <c r="AP116" s="328">
        <f t="shared" si="290"/>
        <v>671</v>
      </c>
      <c r="AQ116" s="330">
        <f t="shared" si="290"/>
        <v>344</v>
      </c>
    </row>
    <row r="117" spans="1:43" s="41" customFormat="1" ht="7.8" customHeight="1" x14ac:dyDescent="0.25">
      <c r="A117" s="529"/>
      <c r="B117" s="282"/>
      <c r="C117" s="295"/>
      <c r="D117" s="296"/>
      <c r="E117" s="297" t="s">
        <v>33</v>
      </c>
      <c r="F117" s="298">
        <f t="shared" si="281"/>
        <v>1217426</v>
      </c>
      <c r="G117" s="298">
        <f t="shared" si="282"/>
        <v>86926</v>
      </c>
      <c r="H117" s="298">
        <f t="shared" si="283"/>
        <v>98502</v>
      </c>
      <c r="I117" s="299">
        <f t="shared" si="284"/>
        <v>65237</v>
      </c>
      <c r="J117" s="300">
        <f t="shared" si="284"/>
        <v>0</v>
      </c>
      <c r="K117" s="300">
        <f t="shared" si="284"/>
        <v>3770</v>
      </c>
      <c r="L117" s="300">
        <f t="shared" si="284"/>
        <v>0</v>
      </c>
      <c r="M117" s="301">
        <f t="shared" si="284"/>
        <v>29495</v>
      </c>
      <c r="N117" s="298">
        <f t="shared" si="285"/>
        <v>256468</v>
      </c>
      <c r="O117" s="299">
        <f t="shared" si="286"/>
        <v>179953</v>
      </c>
      <c r="P117" s="300">
        <f t="shared" si="286"/>
        <v>62695</v>
      </c>
      <c r="Q117" s="300">
        <f t="shared" si="286"/>
        <v>13180</v>
      </c>
      <c r="R117" s="300">
        <f t="shared" si="286"/>
        <v>0</v>
      </c>
      <c r="S117" s="301">
        <f t="shared" si="286"/>
        <v>640</v>
      </c>
      <c r="T117" s="298">
        <f t="shared" si="287"/>
        <v>775530.00000000012</v>
      </c>
      <c r="U117" s="299">
        <f t="shared" si="288"/>
        <v>87267.450000000012</v>
      </c>
      <c r="V117" s="300">
        <f t="shared" si="288"/>
        <v>243561.31000000003</v>
      </c>
      <c r="W117" s="300">
        <f t="shared" si="288"/>
        <v>312313.63000000006</v>
      </c>
      <c r="X117" s="300">
        <f t="shared" si="288"/>
        <v>61164</v>
      </c>
      <c r="Y117" s="302">
        <f t="shared" si="288"/>
        <v>71223.61</v>
      </c>
      <c r="Z117" s="529"/>
      <c r="AA117" s="513"/>
      <c r="AB117" s="521"/>
      <c r="AC117" s="522"/>
      <c r="AD117" s="523" t="s">
        <v>33</v>
      </c>
      <c r="AE117" s="339">
        <f t="shared" si="289"/>
        <v>1034156.31</v>
      </c>
      <c r="AF117" s="340">
        <f t="shared" si="290"/>
        <v>68476</v>
      </c>
      <c r="AG117" s="341">
        <f t="shared" si="290"/>
        <v>98502</v>
      </c>
      <c r="AH117" s="341">
        <f t="shared" si="290"/>
        <v>111625</v>
      </c>
      <c r="AI117" s="341">
        <f t="shared" si="290"/>
        <v>57378</v>
      </c>
      <c r="AJ117" s="341">
        <f t="shared" si="290"/>
        <v>35470</v>
      </c>
      <c r="AK117" s="341">
        <f t="shared" si="290"/>
        <v>83767</v>
      </c>
      <c r="AL117" s="341">
        <f t="shared" si="290"/>
        <v>77060</v>
      </c>
      <c r="AM117" s="341">
        <f t="shared" si="290"/>
        <v>119045</v>
      </c>
      <c r="AN117" s="341">
        <f t="shared" si="290"/>
        <v>49457</v>
      </c>
      <c r="AO117" s="341">
        <f t="shared" si="290"/>
        <v>163725</v>
      </c>
      <c r="AP117" s="341">
        <f t="shared" si="290"/>
        <v>113777</v>
      </c>
      <c r="AQ117" s="343">
        <f t="shared" si="290"/>
        <v>55874.31</v>
      </c>
    </row>
    <row r="118" spans="1:43" ht="7.8" customHeight="1" x14ac:dyDescent="0.25">
      <c r="A118" s="526"/>
      <c r="B118" s="282"/>
      <c r="C118" s="295"/>
      <c r="D118" s="306"/>
      <c r="E118" s="307" t="s">
        <v>30</v>
      </c>
      <c r="F118" s="308">
        <f t="shared" ref="F118:Y118" si="291">IFERROR(F117/F116,0)</f>
        <v>167.36678581248282</v>
      </c>
      <c r="G118" s="308">
        <f t="shared" si="291"/>
        <v>156.62342342342342</v>
      </c>
      <c r="H118" s="308">
        <f t="shared" si="291"/>
        <v>182.4111111111111</v>
      </c>
      <c r="I118" s="309">
        <f t="shared" si="291"/>
        <v>178.2431693989071</v>
      </c>
      <c r="J118" s="310">
        <f t="shared" si="291"/>
        <v>0</v>
      </c>
      <c r="K118" s="310">
        <f t="shared" si="291"/>
        <v>188.5</v>
      </c>
      <c r="L118" s="310">
        <f t="shared" si="291"/>
        <v>0</v>
      </c>
      <c r="M118" s="311">
        <f t="shared" si="291"/>
        <v>191.52597402597402</v>
      </c>
      <c r="N118" s="308">
        <f t="shared" si="291"/>
        <v>181.37765205091938</v>
      </c>
      <c r="O118" s="309">
        <f t="shared" si="291"/>
        <v>182.69340101522843</v>
      </c>
      <c r="P118" s="310">
        <f t="shared" si="291"/>
        <v>179.12857142857143</v>
      </c>
      <c r="Q118" s="310">
        <f t="shared" si="291"/>
        <v>175.73333333333332</v>
      </c>
      <c r="R118" s="310">
        <f t="shared" si="291"/>
        <v>0</v>
      </c>
      <c r="S118" s="311">
        <f t="shared" si="291"/>
        <v>160</v>
      </c>
      <c r="T118" s="308">
        <f t="shared" si="291"/>
        <v>162.75550891920255</v>
      </c>
      <c r="U118" s="309">
        <f t="shared" si="291"/>
        <v>179.19394250513349</v>
      </c>
      <c r="V118" s="310">
        <f t="shared" si="291"/>
        <v>156.73185971685973</v>
      </c>
      <c r="W118" s="310">
        <f t="shared" si="291"/>
        <v>162.24084675324679</v>
      </c>
      <c r="X118" s="310">
        <f t="shared" si="291"/>
        <v>186.47560975609755</v>
      </c>
      <c r="Y118" s="312">
        <f t="shared" si="291"/>
        <v>151.21785562632695</v>
      </c>
      <c r="Z118" s="526"/>
      <c r="AA118" s="513"/>
      <c r="AB118" s="521"/>
      <c r="AC118" s="524"/>
      <c r="AD118" s="525" t="s">
        <v>30</v>
      </c>
      <c r="AE118" s="352">
        <f t="shared" ref="AE118:AQ118" si="292">IFERROR(AE117/AE116,0)</f>
        <v>170.28755310390252</v>
      </c>
      <c r="AF118" s="353">
        <f t="shared" si="292"/>
        <v>184.07526881720429</v>
      </c>
      <c r="AG118" s="354">
        <f t="shared" si="292"/>
        <v>182.4111111111111</v>
      </c>
      <c r="AH118" s="354">
        <f t="shared" si="292"/>
        <v>171.20398773006136</v>
      </c>
      <c r="AI118" s="354">
        <f t="shared" si="292"/>
        <v>147.12307692307692</v>
      </c>
      <c r="AJ118" s="354">
        <f t="shared" si="292"/>
        <v>144.1869918699187</v>
      </c>
      <c r="AK118" s="354">
        <f t="shared" si="292"/>
        <v>168.54527162977868</v>
      </c>
      <c r="AL118" s="354">
        <f t="shared" si="292"/>
        <v>185.24038461538461</v>
      </c>
      <c r="AM118" s="354">
        <f t="shared" si="292"/>
        <v>185.13996889580093</v>
      </c>
      <c r="AN118" s="354">
        <f t="shared" si="292"/>
        <v>149.86969696969697</v>
      </c>
      <c r="AO118" s="354">
        <f t="shared" si="292"/>
        <v>168.44135802469137</v>
      </c>
      <c r="AP118" s="354">
        <f t="shared" si="292"/>
        <v>169.56333830104322</v>
      </c>
      <c r="AQ118" s="356">
        <f t="shared" si="292"/>
        <v>162.42531976744186</v>
      </c>
    </row>
    <row r="119" spans="1:43" ht="7.8" customHeight="1" x14ac:dyDescent="0.25">
      <c r="B119" s="282"/>
      <c r="C119" s="295"/>
      <c r="D119" s="315" t="s">
        <v>41</v>
      </c>
      <c r="E119" s="316" t="s">
        <v>32</v>
      </c>
      <c r="F119" s="317">
        <f t="shared" ref="F119:F120" si="293">SUM(G119,H119,N119,T119)</f>
        <v>6865</v>
      </c>
      <c r="G119" s="317">
        <f t="shared" ref="G119:G174" si="294">SUM(G137,G155)</f>
        <v>874</v>
      </c>
      <c r="H119" s="317">
        <f t="shared" ref="H119:H120" si="295">SUM(I119:M119)</f>
        <v>148</v>
      </c>
      <c r="I119" s="318">
        <f t="shared" ref="I119:M120" si="296">SUM(I137,I155)</f>
        <v>115</v>
      </c>
      <c r="J119" s="319">
        <f t="shared" si="296"/>
        <v>21</v>
      </c>
      <c r="K119" s="319">
        <f t="shared" si="296"/>
        <v>12</v>
      </c>
      <c r="L119" s="319">
        <f t="shared" si="296"/>
        <v>0</v>
      </c>
      <c r="M119" s="320">
        <f t="shared" si="296"/>
        <v>0</v>
      </c>
      <c r="N119" s="317">
        <f t="shared" ref="N119:N120" si="297">SUM(O119:S119)</f>
        <v>1138</v>
      </c>
      <c r="O119" s="318">
        <f t="shared" ref="O119:S120" si="298">SUM(O137,O155)</f>
        <v>781</v>
      </c>
      <c r="P119" s="319">
        <f t="shared" si="298"/>
        <v>211</v>
      </c>
      <c r="Q119" s="319">
        <f t="shared" si="298"/>
        <v>133</v>
      </c>
      <c r="R119" s="319">
        <f t="shared" si="298"/>
        <v>0</v>
      </c>
      <c r="S119" s="320">
        <f t="shared" si="298"/>
        <v>13</v>
      </c>
      <c r="T119" s="317">
        <f t="shared" ref="T119:T120" si="299">SUM(U119:Y119)</f>
        <v>4705</v>
      </c>
      <c r="U119" s="318">
        <f t="shared" ref="U119:Y120" si="300">SUM(U137,U155)</f>
        <v>586</v>
      </c>
      <c r="V119" s="319">
        <f t="shared" si="300"/>
        <v>1687</v>
      </c>
      <c r="W119" s="319">
        <f t="shared" si="300"/>
        <v>2008</v>
      </c>
      <c r="X119" s="319">
        <f t="shared" si="300"/>
        <v>336</v>
      </c>
      <c r="Y119" s="321">
        <f t="shared" si="300"/>
        <v>88</v>
      </c>
      <c r="AA119" s="513"/>
      <c r="AB119" s="521"/>
      <c r="AC119" s="527" t="s">
        <v>41</v>
      </c>
      <c r="AD119" s="528" t="s">
        <v>32</v>
      </c>
      <c r="AE119" s="326">
        <f t="shared" ref="AE119:AE120" si="301">SUM(AF119:AQ119)</f>
        <v>3601</v>
      </c>
      <c r="AF119" s="327">
        <f t="shared" ref="AF119:AQ120" si="302">SUM(AF137,AF155)</f>
        <v>125</v>
      </c>
      <c r="AG119" s="328">
        <f t="shared" si="302"/>
        <v>148</v>
      </c>
      <c r="AH119" s="328">
        <f t="shared" si="302"/>
        <v>578</v>
      </c>
      <c r="AI119" s="328">
        <f t="shared" si="302"/>
        <v>721</v>
      </c>
      <c r="AJ119" s="328">
        <f t="shared" si="302"/>
        <v>241</v>
      </c>
      <c r="AK119" s="328">
        <f t="shared" si="302"/>
        <v>569</v>
      </c>
      <c r="AL119" s="328">
        <f t="shared" si="302"/>
        <v>237</v>
      </c>
      <c r="AM119" s="328">
        <f t="shared" si="302"/>
        <v>710</v>
      </c>
      <c r="AN119" s="328">
        <f t="shared" si="302"/>
        <v>272</v>
      </c>
      <c r="AO119" s="328">
        <f t="shared" si="302"/>
        <v>0</v>
      </c>
      <c r="AP119" s="328">
        <f t="shared" si="302"/>
        <v>0</v>
      </c>
      <c r="AQ119" s="330">
        <f t="shared" si="302"/>
        <v>0</v>
      </c>
    </row>
    <row r="120" spans="1:43" s="41" customFormat="1" ht="7.8" customHeight="1" x14ac:dyDescent="0.25">
      <c r="B120" s="282"/>
      <c r="C120" s="295"/>
      <c r="D120" s="296"/>
      <c r="E120" s="297" t="s">
        <v>33</v>
      </c>
      <c r="F120" s="298">
        <f t="shared" si="293"/>
        <v>1120094.75</v>
      </c>
      <c r="G120" s="298">
        <f t="shared" si="294"/>
        <v>136344</v>
      </c>
      <c r="H120" s="298">
        <f t="shared" si="295"/>
        <v>24983</v>
      </c>
      <c r="I120" s="299">
        <f t="shared" si="296"/>
        <v>18845</v>
      </c>
      <c r="J120" s="300">
        <f t="shared" si="296"/>
        <v>4230</v>
      </c>
      <c r="K120" s="300">
        <f t="shared" si="296"/>
        <v>1908</v>
      </c>
      <c r="L120" s="300">
        <f t="shared" si="296"/>
        <v>0</v>
      </c>
      <c r="M120" s="301">
        <f t="shared" si="296"/>
        <v>0</v>
      </c>
      <c r="N120" s="298">
        <f t="shared" si="297"/>
        <v>207028</v>
      </c>
      <c r="O120" s="299">
        <f t="shared" si="298"/>
        <v>143115</v>
      </c>
      <c r="P120" s="300">
        <f t="shared" si="298"/>
        <v>38108</v>
      </c>
      <c r="Q120" s="300">
        <f t="shared" si="298"/>
        <v>23490</v>
      </c>
      <c r="R120" s="300">
        <f t="shared" si="298"/>
        <v>0</v>
      </c>
      <c r="S120" s="301">
        <f t="shared" si="298"/>
        <v>2315</v>
      </c>
      <c r="T120" s="298">
        <f t="shared" si="299"/>
        <v>751739.75</v>
      </c>
      <c r="U120" s="299">
        <f t="shared" si="300"/>
        <v>109718.10000000002</v>
      </c>
      <c r="V120" s="300">
        <f t="shared" si="300"/>
        <v>272689.55</v>
      </c>
      <c r="W120" s="300">
        <f t="shared" si="300"/>
        <v>290755.09999999998</v>
      </c>
      <c r="X120" s="300">
        <f t="shared" si="300"/>
        <v>63721</v>
      </c>
      <c r="Y120" s="302">
        <f t="shared" si="300"/>
        <v>14856</v>
      </c>
      <c r="AA120" s="513"/>
      <c r="AB120" s="521"/>
      <c r="AC120" s="522"/>
      <c r="AD120" s="523" t="s">
        <v>33</v>
      </c>
      <c r="AE120" s="339">
        <f t="shared" si="301"/>
        <v>584185</v>
      </c>
      <c r="AF120" s="340">
        <f t="shared" si="302"/>
        <v>24369</v>
      </c>
      <c r="AG120" s="341">
        <f t="shared" si="302"/>
        <v>24983</v>
      </c>
      <c r="AH120" s="341">
        <f t="shared" si="302"/>
        <v>99905</v>
      </c>
      <c r="AI120" s="341">
        <f t="shared" si="302"/>
        <v>104616</v>
      </c>
      <c r="AJ120" s="341">
        <f t="shared" si="302"/>
        <v>36067</v>
      </c>
      <c r="AK120" s="341">
        <f t="shared" si="302"/>
        <v>92467</v>
      </c>
      <c r="AL120" s="341">
        <f t="shared" si="302"/>
        <v>41955</v>
      </c>
      <c r="AM120" s="341">
        <f t="shared" si="302"/>
        <v>121008</v>
      </c>
      <c r="AN120" s="341">
        <f t="shared" si="302"/>
        <v>38815</v>
      </c>
      <c r="AO120" s="341">
        <f t="shared" si="302"/>
        <v>0</v>
      </c>
      <c r="AP120" s="341">
        <f t="shared" si="302"/>
        <v>0</v>
      </c>
      <c r="AQ120" s="343">
        <f t="shared" si="302"/>
        <v>0</v>
      </c>
    </row>
    <row r="121" spans="1:43" ht="7.8" customHeight="1" x14ac:dyDescent="0.25">
      <c r="B121" s="282"/>
      <c r="C121" s="295"/>
      <c r="D121" s="306"/>
      <c r="E121" s="307" t="s">
        <v>30</v>
      </c>
      <c r="F121" s="308">
        <f t="shared" ref="F121:Y121" si="303">IFERROR(F120/F119,0)</f>
        <v>163.16019664967226</v>
      </c>
      <c r="G121" s="308">
        <f t="shared" si="303"/>
        <v>156</v>
      </c>
      <c r="H121" s="308">
        <f t="shared" si="303"/>
        <v>168.80405405405406</v>
      </c>
      <c r="I121" s="309">
        <f t="shared" si="303"/>
        <v>163.86956521739131</v>
      </c>
      <c r="J121" s="310">
        <f t="shared" si="303"/>
        <v>201.42857142857142</v>
      </c>
      <c r="K121" s="310">
        <f t="shared" si="303"/>
        <v>159</v>
      </c>
      <c r="L121" s="310">
        <f t="shared" si="303"/>
        <v>0</v>
      </c>
      <c r="M121" s="311">
        <f t="shared" si="303"/>
        <v>0</v>
      </c>
      <c r="N121" s="308">
        <f t="shared" si="303"/>
        <v>181.92267135325133</v>
      </c>
      <c r="O121" s="309">
        <f t="shared" si="303"/>
        <v>183.24583866837389</v>
      </c>
      <c r="P121" s="310">
        <f t="shared" si="303"/>
        <v>180.60663507109004</v>
      </c>
      <c r="Q121" s="310">
        <f t="shared" si="303"/>
        <v>176.61654135338347</v>
      </c>
      <c r="R121" s="310">
        <f t="shared" si="303"/>
        <v>0</v>
      </c>
      <c r="S121" s="311">
        <f t="shared" si="303"/>
        <v>178.07692307692307</v>
      </c>
      <c r="T121" s="308">
        <f t="shared" si="303"/>
        <v>159.77465462274176</v>
      </c>
      <c r="U121" s="309">
        <f t="shared" si="303"/>
        <v>187.23225255972699</v>
      </c>
      <c r="V121" s="310">
        <f t="shared" si="303"/>
        <v>161.64170124481328</v>
      </c>
      <c r="W121" s="310">
        <f t="shared" si="303"/>
        <v>144.79835657370518</v>
      </c>
      <c r="X121" s="310">
        <f t="shared" si="303"/>
        <v>189.64583333333334</v>
      </c>
      <c r="Y121" s="312">
        <f t="shared" si="303"/>
        <v>168.81818181818181</v>
      </c>
      <c r="AA121" s="513"/>
      <c r="AB121" s="521"/>
      <c r="AC121" s="524"/>
      <c r="AD121" s="525" t="s">
        <v>30</v>
      </c>
      <c r="AE121" s="352">
        <f t="shared" ref="AE121:AQ121" si="304">IFERROR(AE120/AE119,0)</f>
        <v>162.22854762565953</v>
      </c>
      <c r="AF121" s="353">
        <f t="shared" si="304"/>
        <v>194.952</v>
      </c>
      <c r="AG121" s="354">
        <f t="shared" si="304"/>
        <v>168.80405405405406</v>
      </c>
      <c r="AH121" s="354">
        <f t="shared" si="304"/>
        <v>172.84602076124568</v>
      </c>
      <c r="AI121" s="354">
        <f t="shared" si="304"/>
        <v>145.0984743411928</v>
      </c>
      <c r="AJ121" s="354">
        <f t="shared" si="304"/>
        <v>149.65560165975103</v>
      </c>
      <c r="AK121" s="354">
        <f t="shared" si="304"/>
        <v>162.50790861159931</v>
      </c>
      <c r="AL121" s="354">
        <f t="shared" si="304"/>
        <v>177.02531645569621</v>
      </c>
      <c r="AM121" s="354">
        <f t="shared" si="304"/>
        <v>170.43380281690142</v>
      </c>
      <c r="AN121" s="354">
        <f t="shared" si="304"/>
        <v>142.70220588235293</v>
      </c>
      <c r="AO121" s="354">
        <f t="shared" si="304"/>
        <v>0</v>
      </c>
      <c r="AP121" s="354">
        <f t="shared" si="304"/>
        <v>0</v>
      </c>
      <c r="AQ121" s="356">
        <f t="shared" si="304"/>
        <v>0</v>
      </c>
    </row>
    <row r="122" spans="1:43" ht="7.8" customHeight="1" x14ac:dyDescent="0.25">
      <c r="B122" s="282"/>
      <c r="C122" s="295"/>
      <c r="D122" s="324" t="s">
        <v>42</v>
      </c>
      <c r="E122" s="325" t="s">
        <v>32</v>
      </c>
      <c r="F122" s="326">
        <f t="shared" ref="F122:F123" si="305">SUM(G122,H122,N122,T122)</f>
        <v>6875</v>
      </c>
      <c r="G122" s="326">
        <f t="shared" ref="G122:G177" si="306">SUM(G140,G158)</f>
        <v>0</v>
      </c>
      <c r="H122" s="326">
        <f t="shared" ref="H122:H123" si="307">SUM(I122:M122)</f>
        <v>570</v>
      </c>
      <c r="I122" s="327">
        <f t="shared" ref="I122:M123" si="308">SUM(I140,I158)</f>
        <v>300</v>
      </c>
      <c r="J122" s="328">
        <f t="shared" si="308"/>
        <v>200</v>
      </c>
      <c r="K122" s="328">
        <f t="shared" si="308"/>
        <v>70</v>
      </c>
      <c r="L122" s="328">
        <f t="shared" si="308"/>
        <v>0</v>
      </c>
      <c r="M122" s="329">
        <f t="shared" si="308"/>
        <v>0</v>
      </c>
      <c r="N122" s="326">
        <f t="shared" ref="N122:N123" si="309">SUM(O122:S122)</f>
        <v>1805</v>
      </c>
      <c r="O122" s="327">
        <f t="shared" ref="O122:S123" si="310">SUM(O140,O158)</f>
        <v>900</v>
      </c>
      <c r="P122" s="328">
        <f t="shared" si="310"/>
        <v>800</v>
      </c>
      <c r="Q122" s="328">
        <f t="shared" si="310"/>
        <v>105</v>
      </c>
      <c r="R122" s="328">
        <f t="shared" si="310"/>
        <v>0</v>
      </c>
      <c r="S122" s="329">
        <f t="shared" si="310"/>
        <v>0</v>
      </c>
      <c r="T122" s="326">
        <f t="shared" ref="T122:T123" si="311">SUM(U122:Y122)</f>
        <v>4500</v>
      </c>
      <c r="U122" s="327">
        <f t="shared" ref="U122:Y123" si="312">SUM(U140,U158)</f>
        <v>250</v>
      </c>
      <c r="V122" s="328">
        <f t="shared" si="312"/>
        <v>2200</v>
      </c>
      <c r="W122" s="328">
        <f t="shared" si="312"/>
        <v>1800</v>
      </c>
      <c r="X122" s="328">
        <f t="shared" si="312"/>
        <v>100</v>
      </c>
      <c r="Y122" s="330">
        <f t="shared" si="312"/>
        <v>150</v>
      </c>
      <c r="AA122" s="513"/>
      <c r="AB122" s="521"/>
      <c r="AC122" s="530" t="s">
        <v>42</v>
      </c>
      <c r="AD122" s="531" t="s">
        <v>32</v>
      </c>
      <c r="AE122" s="67">
        <f t="shared" ref="AE122:AE123" si="313">SUM(AF122:AQ122)</f>
        <v>6550</v>
      </c>
      <c r="AF122" s="68">
        <f t="shared" ref="AF122:AQ123" si="314">SUM(AF140,AF158)</f>
        <v>305</v>
      </c>
      <c r="AG122" s="69">
        <f t="shared" si="314"/>
        <v>570</v>
      </c>
      <c r="AH122" s="69">
        <f t="shared" si="314"/>
        <v>540</v>
      </c>
      <c r="AI122" s="69">
        <f t="shared" si="314"/>
        <v>540</v>
      </c>
      <c r="AJ122" s="69">
        <f t="shared" si="314"/>
        <v>410</v>
      </c>
      <c r="AK122" s="69">
        <f t="shared" si="314"/>
        <v>630</v>
      </c>
      <c r="AL122" s="69">
        <f t="shared" si="314"/>
        <v>255</v>
      </c>
      <c r="AM122" s="69">
        <f t="shared" si="314"/>
        <v>435</v>
      </c>
      <c r="AN122" s="69">
        <f t="shared" si="314"/>
        <v>500</v>
      </c>
      <c r="AO122" s="69">
        <f t="shared" si="314"/>
        <v>890</v>
      </c>
      <c r="AP122" s="69">
        <f t="shared" si="314"/>
        <v>870</v>
      </c>
      <c r="AQ122" s="71">
        <f t="shared" si="314"/>
        <v>605</v>
      </c>
    </row>
    <row r="123" spans="1:43" s="41" customFormat="1" ht="7.8" customHeight="1" x14ac:dyDescent="0.25">
      <c r="B123" s="282"/>
      <c r="C123" s="295"/>
      <c r="D123" s="337"/>
      <c r="E123" s="338" t="s">
        <v>33</v>
      </c>
      <c r="F123" s="339">
        <f t="shared" si="305"/>
        <v>1128150</v>
      </c>
      <c r="G123" s="339">
        <f t="shared" si="306"/>
        <v>0</v>
      </c>
      <c r="H123" s="339">
        <f t="shared" si="307"/>
        <v>95050</v>
      </c>
      <c r="I123" s="340">
        <f t="shared" si="308"/>
        <v>49500</v>
      </c>
      <c r="J123" s="341">
        <f t="shared" si="308"/>
        <v>34000</v>
      </c>
      <c r="K123" s="341">
        <f t="shared" si="308"/>
        <v>11550</v>
      </c>
      <c r="L123" s="341">
        <f t="shared" si="308"/>
        <v>0</v>
      </c>
      <c r="M123" s="342">
        <f t="shared" si="308"/>
        <v>0</v>
      </c>
      <c r="N123" s="339">
        <f t="shared" si="309"/>
        <v>307900</v>
      </c>
      <c r="O123" s="340">
        <f t="shared" si="310"/>
        <v>153000</v>
      </c>
      <c r="P123" s="341">
        <f t="shared" si="310"/>
        <v>136000</v>
      </c>
      <c r="Q123" s="341">
        <f t="shared" si="310"/>
        <v>18900</v>
      </c>
      <c r="R123" s="341">
        <f t="shared" si="310"/>
        <v>0</v>
      </c>
      <c r="S123" s="342">
        <f t="shared" si="310"/>
        <v>0</v>
      </c>
      <c r="T123" s="339">
        <f t="shared" si="311"/>
        <v>725200</v>
      </c>
      <c r="U123" s="340">
        <f t="shared" si="312"/>
        <v>43750</v>
      </c>
      <c r="V123" s="341">
        <f t="shared" si="312"/>
        <v>358600</v>
      </c>
      <c r="W123" s="341">
        <f t="shared" si="312"/>
        <v>279000</v>
      </c>
      <c r="X123" s="341">
        <f t="shared" si="312"/>
        <v>18500</v>
      </c>
      <c r="Y123" s="343">
        <f t="shared" si="312"/>
        <v>25350</v>
      </c>
      <c r="AA123" s="513"/>
      <c r="AB123" s="521"/>
      <c r="AC123" s="532"/>
      <c r="AD123" s="533" t="s">
        <v>33</v>
      </c>
      <c r="AE123" s="45">
        <f t="shared" si="313"/>
        <v>1005005</v>
      </c>
      <c r="AF123" s="46">
        <f t="shared" si="314"/>
        <v>52500</v>
      </c>
      <c r="AG123" s="47">
        <f t="shared" si="314"/>
        <v>95050</v>
      </c>
      <c r="AH123" s="47">
        <f t="shared" si="314"/>
        <v>84025</v>
      </c>
      <c r="AI123" s="47">
        <f t="shared" si="314"/>
        <v>78210</v>
      </c>
      <c r="AJ123" s="47">
        <f t="shared" si="314"/>
        <v>60450</v>
      </c>
      <c r="AK123" s="47">
        <f t="shared" si="314"/>
        <v>102480</v>
      </c>
      <c r="AL123" s="47">
        <f t="shared" si="314"/>
        <v>44625</v>
      </c>
      <c r="AM123" s="47">
        <f t="shared" si="314"/>
        <v>71850</v>
      </c>
      <c r="AN123" s="47">
        <f t="shared" si="314"/>
        <v>72450</v>
      </c>
      <c r="AO123" s="47">
        <f t="shared" si="314"/>
        <v>127365</v>
      </c>
      <c r="AP123" s="47">
        <f t="shared" si="314"/>
        <v>129900</v>
      </c>
      <c r="AQ123" s="49">
        <f t="shared" si="314"/>
        <v>86100</v>
      </c>
    </row>
    <row r="124" spans="1:43" ht="7.8" customHeight="1" x14ac:dyDescent="0.25">
      <c r="B124" s="282"/>
      <c r="C124" s="295"/>
      <c r="D124" s="350"/>
      <c r="E124" s="351" t="s">
        <v>30</v>
      </c>
      <c r="F124" s="352">
        <f t="shared" ref="F124:Y124" si="315">IFERROR(F123/F122,0)</f>
        <v>164.09454545454545</v>
      </c>
      <c r="G124" s="352">
        <f t="shared" si="315"/>
        <v>0</v>
      </c>
      <c r="H124" s="352">
        <f t="shared" si="315"/>
        <v>166.75438596491227</v>
      </c>
      <c r="I124" s="353">
        <f t="shared" si="315"/>
        <v>165</v>
      </c>
      <c r="J124" s="354">
        <f t="shared" si="315"/>
        <v>170</v>
      </c>
      <c r="K124" s="354">
        <f t="shared" si="315"/>
        <v>165</v>
      </c>
      <c r="L124" s="354">
        <f t="shared" si="315"/>
        <v>0</v>
      </c>
      <c r="M124" s="355">
        <f t="shared" si="315"/>
        <v>0</v>
      </c>
      <c r="N124" s="352">
        <f t="shared" si="315"/>
        <v>170.58171745152356</v>
      </c>
      <c r="O124" s="353">
        <f t="shared" si="315"/>
        <v>170</v>
      </c>
      <c r="P124" s="354">
        <f t="shared" si="315"/>
        <v>170</v>
      </c>
      <c r="Q124" s="354">
        <f t="shared" si="315"/>
        <v>180</v>
      </c>
      <c r="R124" s="354">
        <f t="shared" si="315"/>
        <v>0</v>
      </c>
      <c r="S124" s="355">
        <f t="shared" si="315"/>
        <v>0</v>
      </c>
      <c r="T124" s="352">
        <f t="shared" si="315"/>
        <v>161.15555555555557</v>
      </c>
      <c r="U124" s="353">
        <f t="shared" si="315"/>
        <v>175</v>
      </c>
      <c r="V124" s="354">
        <f t="shared" si="315"/>
        <v>163</v>
      </c>
      <c r="W124" s="354">
        <f t="shared" si="315"/>
        <v>155</v>
      </c>
      <c r="X124" s="354">
        <f t="shared" si="315"/>
        <v>185</v>
      </c>
      <c r="Y124" s="356">
        <f t="shared" si="315"/>
        <v>169</v>
      </c>
      <c r="AA124" s="513"/>
      <c r="AB124" s="521"/>
      <c r="AC124" s="534"/>
      <c r="AD124" s="535" t="s">
        <v>30</v>
      </c>
      <c r="AE124" s="56">
        <f t="shared" ref="AE124:AQ124" si="316">IFERROR(AE123/AE122,0)</f>
        <v>153.43587786259542</v>
      </c>
      <c r="AF124" s="57">
        <f t="shared" si="316"/>
        <v>172.13114754098362</v>
      </c>
      <c r="AG124" s="58">
        <f t="shared" si="316"/>
        <v>166.75438596491227</v>
      </c>
      <c r="AH124" s="58">
        <f t="shared" si="316"/>
        <v>155.60185185185185</v>
      </c>
      <c r="AI124" s="58">
        <f t="shared" si="316"/>
        <v>144.83333333333334</v>
      </c>
      <c r="AJ124" s="58">
        <f t="shared" si="316"/>
        <v>147.4390243902439</v>
      </c>
      <c r="AK124" s="58">
        <f t="shared" si="316"/>
        <v>162.66666666666666</v>
      </c>
      <c r="AL124" s="58">
        <f t="shared" si="316"/>
        <v>175</v>
      </c>
      <c r="AM124" s="58">
        <f t="shared" si="316"/>
        <v>165.17241379310346</v>
      </c>
      <c r="AN124" s="58">
        <f t="shared" si="316"/>
        <v>144.9</v>
      </c>
      <c r="AO124" s="58">
        <f t="shared" si="316"/>
        <v>143.1067415730337</v>
      </c>
      <c r="AP124" s="58">
        <f t="shared" si="316"/>
        <v>149.31034482758622</v>
      </c>
      <c r="AQ124" s="60">
        <f t="shared" si="316"/>
        <v>142.31404958677686</v>
      </c>
    </row>
    <row r="125" spans="1:43" ht="7.8" customHeight="1" x14ac:dyDescent="0.25">
      <c r="B125" s="282"/>
      <c r="C125" s="295"/>
      <c r="D125" s="363" t="s">
        <v>43</v>
      </c>
      <c r="E125" s="316" t="s">
        <v>32</v>
      </c>
      <c r="F125" s="317">
        <f t="shared" ref="F125:Y127" si="317">F122-F119</f>
        <v>10</v>
      </c>
      <c r="G125" s="317">
        <f t="shared" si="317"/>
        <v>-874</v>
      </c>
      <c r="H125" s="317">
        <f t="shared" si="317"/>
        <v>422</v>
      </c>
      <c r="I125" s="318">
        <f t="shared" si="317"/>
        <v>185</v>
      </c>
      <c r="J125" s="319">
        <f t="shared" si="317"/>
        <v>179</v>
      </c>
      <c r="K125" s="319">
        <f t="shared" si="317"/>
        <v>58</v>
      </c>
      <c r="L125" s="319">
        <f t="shared" si="317"/>
        <v>0</v>
      </c>
      <c r="M125" s="320">
        <f t="shared" si="317"/>
        <v>0</v>
      </c>
      <c r="N125" s="317">
        <f t="shared" si="317"/>
        <v>667</v>
      </c>
      <c r="O125" s="318">
        <f t="shared" si="317"/>
        <v>119</v>
      </c>
      <c r="P125" s="319">
        <f t="shared" si="317"/>
        <v>589</v>
      </c>
      <c r="Q125" s="319">
        <f t="shared" si="317"/>
        <v>-28</v>
      </c>
      <c r="R125" s="319">
        <f t="shared" si="317"/>
        <v>0</v>
      </c>
      <c r="S125" s="320">
        <f t="shared" si="317"/>
        <v>-13</v>
      </c>
      <c r="T125" s="317">
        <f t="shared" si="317"/>
        <v>-205</v>
      </c>
      <c r="U125" s="318">
        <f t="shared" si="317"/>
        <v>-336</v>
      </c>
      <c r="V125" s="319">
        <f t="shared" si="317"/>
        <v>513</v>
      </c>
      <c r="W125" s="319">
        <f t="shared" si="317"/>
        <v>-208</v>
      </c>
      <c r="X125" s="319">
        <f t="shared" si="317"/>
        <v>-236</v>
      </c>
      <c r="Y125" s="321">
        <f t="shared" si="317"/>
        <v>62</v>
      </c>
      <c r="AA125" s="513"/>
      <c r="AB125" s="521"/>
      <c r="AC125" s="536" t="s">
        <v>43</v>
      </c>
      <c r="AD125" s="528" t="s">
        <v>32</v>
      </c>
      <c r="AE125" s="326">
        <f t="shared" ref="AE125:AQ127" si="318">AE122-AE119</f>
        <v>2949</v>
      </c>
      <c r="AF125" s="327">
        <f t="shared" si="318"/>
        <v>180</v>
      </c>
      <c r="AG125" s="328">
        <f t="shared" si="318"/>
        <v>422</v>
      </c>
      <c r="AH125" s="328">
        <f t="shared" si="318"/>
        <v>-38</v>
      </c>
      <c r="AI125" s="328">
        <f t="shared" si="318"/>
        <v>-181</v>
      </c>
      <c r="AJ125" s="328">
        <f t="shared" si="318"/>
        <v>169</v>
      </c>
      <c r="AK125" s="328">
        <f t="shared" si="318"/>
        <v>61</v>
      </c>
      <c r="AL125" s="328">
        <f t="shared" si="318"/>
        <v>18</v>
      </c>
      <c r="AM125" s="328">
        <f t="shared" si="318"/>
        <v>-275</v>
      </c>
      <c r="AN125" s="328">
        <f t="shared" si="318"/>
        <v>228</v>
      </c>
      <c r="AO125" s="328">
        <f t="shared" si="318"/>
        <v>890</v>
      </c>
      <c r="AP125" s="328">
        <f t="shared" si="318"/>
        <v>870</v>
      </c>
      <c r="AQ125" s="330">
        <f t="shared" si="318"/>
        <v>605</v>
      </c>
    </row>
    <row r="126" spans="1:43" s="366" customFormat="1" ht="7.8" customHeight="1" x14ac:dyDescent="0.25">
      <c r="B126" s="282"/>
      <c r="C126" s="295"/>
      <c r="D126" s="296"/>
      <c r="E126" s="365" t="s">
        <v>33</v>
      </c>
      <c r="F126" s="298">
        <f t="shared" si="317"/>
        <v>8055.25</v>
      </c>
      <c r="G126" s="298">
        <f t="shared" si="317"/>
        <v>-136344</v>
      </c>
      <c r="H126" s="298">
        <f t="shared" si="317"/>
        <v>70067</v>
      </c>
      <c r="I126" s="299">
        <f t="shared" si="317"/>
        <v>30655</v>
      </c>
      <c r="J126" s="300">
        <f t="shared" si="317"/>
        <v>29770</v>
      </c>
      <c r="K126" s="300">
        <f t="shared" si="317"/>
        <v>9642</v>
      </c>
      <c r="L126" s="300">
        <f t="shared" si="317"/>
        <v>0</v>
      </c>
      <c r="M126" s="301">
        <f t="shared" si="317"/>
        <v>0</v>
      </c>
      <c r="N126" s="298">
        <f t="shared" si="317"/>
        <v>100872</v>
      </c>
      <c r="O126" s="299">
        <f t="shared" si="317"/>
        <v>9885</v>
      </c>
      <c r="P126" s="300">
        <f t="shared" si="317"/>
        <v>97892</v>
      </c>
      <c r="Q126" s="300">
        <f t="shared" si="317"/>
        <v>-4590</v>
      </c>
      <c r="R126" s="300">
        <f t="shared" si="317"/>
        <v>0</v>
      </c>
      <c r="S126" s="301">
        <f t="shared" si="317"/>
        <v>-2315</v>
      </c>
      <c r="T126" s="298">
        <f t="shared" si="317"/>
        <v>-26539.75</v>
      </c>
      <c r="U126" s="299">
        <f t="shared" si="317"/>
        <v>-65968.10000000002</v>
      </c>
      <c r="V126" s="300">
        <f t="shared" si="317"/>
        <v>85910.450000000012</v>
      </c>
      <c r="W126" s="300">
        <f t="shared" si="317"/>
        <v>-11755.099999999977</v>
      </c>
      <c r="X126" s="300">
        <f t="shared" si="317"/>
        <v>-45221</v>
      </c>
      <c r="Y126" s="302">
        <f t="shared" si="317"/>
        <v>10494</v>
      </c>
      <c r="AA126" s="513"/>
      <c r="AB126" s="521"/>
      <c r="AC126" s="537"/>
      <c r="AD126" s="538" t="s">
        <v>33</v>
      </c>
      <c r="AE126" s="339">
        <f t="shared" si="318"/>
        <v>420820</v>
      </c>
      <c r="AF126" s="340">
        <f t="shared" si="318"/>
        <v>28131</v>
      </c>
      <c r="AG126" s="341">
        <f t="shared" si="318"/>
        <v>70067</v>
      </c>
      <c r="AH126" s="341">
        <f t="shared" si="318"/>
        <v>-15880</v>
      </c>
      <c r="AI126" s="341">
        <f t="shared" si="318"/>
        <v>-26406</v>
      </c>
      <c r="AJ126" s="341">
        <f t="shared" si="318"/>
        <v>24383</v>
      </c>
      <c r="AK126" s="341">
        <f t="shared" si="318"/>
        <v>10013</v>
      </c>
      <c r="AL126" s="341">
        <f t="shared" si="318"/>
        <v>2670</v>
      </c>
      <c r="AM126" s="341">
        <f t="shared" si="318"/>
        <v>-49158</v>
      </c>
      <c r="AN126" s="341">
        <f t="shared" si="318"/>
        <v>33635</v>
      </c>
      <c r="AO126" s="341">
        <f t="shared" si="318"/>
        <v>127365</v>
      </c>
      <c r="AP126" s="341">
        <f t="shared" si="318"/>
        <v>129900</v>
      </c>
      <c r="AQ126" s="343">
        <f t="shared" si="318"/>
        <v>86100</v>
      </c>
    </row>
    <row r="127" spans="1:43" ht="7.8" customHeight="1" x14ac:dyDescent="0.25">
      <c r="B127" s="282"/>
      <c r="C127" s="295"/>
      <c r="D127" s="306"/>
      <c r="E127" s="307" t="s">
        <v>30</v>
      </c>
      <c r="F127" s="308">
        <f t="shared" si="317"/>
        <v>0.9343488048731956</v>
      </c>
      <c r="G127" s="308">
        <f t="shared" si="317"/>
        <v>-156</v>
      </c>
      <c r="H127" s="308">
        <f t="shared" si="317"/>
        <v>-2.0496680891417896</v>
      </c>
      <c r="I127" s="309">
        <f t="shared" si="317"/>
        <v>1.1304347826086882</v>
      </c>
      <c r="J127" s="310">
        <f t="shared" si="317"/>
        <v>-31.428571428571416</v>
      </c>
      <c r="K127" s="310">
        <f t="shared" si="317"/>
        <v>6</v>
      </c>
      <c r="L127" s="310">
        <f t="shared" si="317"/>
        <v>0</v>
      </c>
      <c r="M127" s="311">
        <f t="shared" si="317"/>
        <v>0</v>
      </c>
      <c r="N127" s="308">
        <f t="shared" si="317"/>
        <v>-11.340953901727772</v>
      </c>
      <c r="O127" s="309">
        <f t="shared" si="317"/>
        <v>-13.245838668373892</v>
      </c>
      <c r="P127" s="310">
        <f t="shared" si="317"/>
        <v>-10.606635071090039</v>
      </c>
      <c r="Q127" s="310">
        <f t="shared" si="317"/>
        <v>3.383458646616532</v>
      </c>
      <c r="R127" s="310">
        <f t="shared" si="317"/>
        <v>0</v>
      </c>
      <c r="S127" s="311">
        <f t="shared" si="317"/>
        <v>-178.07692307692307</v>
      </c>
      <c r="T127" s="308">
        <f t="shared" si="317"/>
        <v>1.3809009328138018</v>
      </c>
      <c r="U127" s="309">
        <f t="shared" si="317"/>
        <v>-12.232252559726987</v>
      </c>
      <c r="V127" s="310">
        <f t="shared" si="317"/>
        <v>1.3582987551867234</v>
      </c>
      <c r="W127" s="310">
        <f t="shared" si="317"/>
        <v>10.201643426294822</v>
      </c>
      <c r="X127" s="310">
        <f t="shared" si="317"/>
        <v>-4.6458333333333428</v>
      </c>
      <c r="Y127" s="312">
        <f t="shared" si="317"/>
        <v>0.18181818181818699</v>
      </c>
      <c r="AA127" s="513"/>
      <c r="AB127" s="521"/>
      <c r="AC127" s="539"/>
      <c r="AD127" s="525" t="s">
        <v>30</v>
      </c>
      <c r="AE127" s="352">
        <f t="shared" si="318"/>
        <v>-8.7926697630641115</v>
      </c>
      <c r="AF127" s="353">
        <f t="shared" si="318"/>
        <v>-22.820852459016379</v>
      </c>
      <c r="AG127" s="354">
        <f t="shared" si="318"/>
        <v>-2.0496680891417896</v>
      </c>
      <c r="AH127" s="354">
        <f t="shared" si="318"/>
        <v>-17.244168909393835</v>
      </c>
      <c r="AI127" s="354">
        <f t="shared" si="318"/>
        <v>-0.26514100785945516</v>
      </c>
      <c r="AJ127" s="354">
        <f t="shared" si="318"/>
        <v>-2.2165772695071269</v>
      </c>
      <c r="AK127" s="354">
        <f t="shared" si="318"/>
        <v>0.15875805506735219</v>
      </c>
      <c r="AL127" s="354">
        <f t="shared" si="318"/>
        <v>-2.0253164556962133</v>
      </c>
      <c r="AM127" s="354">
        <f t="shared" si="318"/>
        <v>-5.2613890237979604</v>
      </c>
      <c r="AN127" s="354">
        <f t="shared" si="318"/>
        <v>2.1977941176470779</v>
      </c>
      <c r="AO127" s="354">
        <f t="shared" si="318"/>
        <v>143.1067415730337</v>
      </c>
      <c r="AP127" s="354">
        <f t="shared" si="318"/>
        <v>149.31034482758622</v>
      </c>
      <c r="AQ127" s="356">
        <f t="shared" si="318"/>
        <v>142.31404958677686</v>
      </c>
    </row>
    <row r="128" spans="1:43" ht="7.8" customHeight="1" x14ac:dyDescent="0.25">
      <c r="B128" s="282"/>
      <c r="C128" s="295"/>
      <c r="D128" s="363" t="s">
        <v>44</v>
      </c>
      <c r="E128" s="316" t="s">
        <v>32</v>
      </c>
      <c r="F128" s="370">
        <f t="shared" ref="F128:Y130" si="319">IFERROR((F122-F119)/ABS(F119),"")</f>
        <v>1.4566642388929353E-3</v>
      </c>
      <c r="G128" s="370">
        <f t="shared" si="319"/>
        <v>-1</v>
      </c>
      <c r="H128" s="370">
        <f t="shared" si="319"/>
        <v>2.8513513513513513</v>
      </c>
      <c r="I128" s="371">
        <f t="shared" si="319"/>
        <v>1.6086956521739131</v>
      </c>
      <c r="J128" s="372">
        <f t="shared" si="319"/>
        <v>8.5238095238095237</v>
      </c>
      <c r="K128" s="372">
        <f t="shared" si="319"/>
        <v>4.833333333333333</v>
      </c>
      <c r="L128" s="372" t="str">
        <f t="shared" si="319"/>
        <v/>
      </c>
      <c r="M128" s="373" t="str">
        <f t="shared" si="319"/>
        <v/>
      </c>
      <c r="N128" s="370">
        <f t="shared" si="319"/>
        <v>0.58611599297012307</v>
      </c>
      <c r="O128" s="371">
        <f t="shared" si="319"/>
        <v>0.15236875800256081</v>
      </c>
      <c r="P128" s="372">
        <f t="shared" si="319"/>
        <v>2.7914691943127963</v>
      </c>
      <c r="Q128" s="372">
        <f t="shared" si="319"/>
        <v>-0.21052631578947367</v>
      </c>
      <c r="R128" s="372" t="str">
        <f t="shared" si="319"/>
        <v/>
      </c>
      <c r="S128" s="373">
        <f t="shared" si="319"/>
        <v>-1</v>
      </c>
      <c r="T128" s="370">
        <f t="shared" si="319"/>
        <v>-4.3570669500531352E-2</v>
      </c>
      <c r="U128" s="371">
        <f t="shared" si="319"/>
        <v>-0.57337883959044367</v>
      </c>
      <c r="V128" s="372">
        <f t="shared" si="319"/>
        <v>0.30409010077059867</v>
      </c>
      <c r="W128" s="372">
        <f t="shared" si="319"/>
        <v>-0.10358565737051793</v>
      </c>
      <c r="X128" s="372">
        <f t="shared" si="319"/>
        <v>-0.70238095238095233</v>
      </c>
      <c r="Y128" s="374">
        <f t="shared" si="319"/>
        <v>0.70454545454545459</v>
      </c>
      <c r="AA128" s="513"/>
      <c r="AB128" s="521"/>
      <c r="AC128" s="536" t="s">
        <v>44</v>
      </c>
      <c r="AD128" s="528" t="s">
        <v>32</v>
      </c>
      <c r="AE128" s="540">
        <f t="shared" ref="AE128:AQ130" si="320">IFERROR((AE122-AE119)/ABS(AE119),"")</f>
        <v>0.81893918356012219</v>
      </c>
      <c r="AF128" s="541">
        <f t="shared" si="320"/>
        <v>1.44</v>
      </c>
      <c r="AG128" s="542">
        <f t="shared" si="320"/>
        <v>2.8513513513513513</v>
      </c>
      <c r="AH128" s="542">
        <f t="shared" si="320"/>
        <v>-6.5743944636678195E-2</v>
      </c>
      <c r="AI128" s="542">
        <f t="shared" si="320"/>
        <v>-0.25104022191400832</v>
      </c>
      <c r="AJ128" s="542">
        <f t="shared" si="320"/>
        <v>0.70124481327800825</v>
      </c>
      <c r="AK128" s="542">
        <f t="shared" si="320"/>
        <v>0.10720562390158173</v>
      </c>
      <c r="AL128" s="542">
        <f t="shared" si="320"/>
        <v>7.5949367088607597E-2</v>
      </c>
      <c r="AM128" s="542">
        <f t="shared" si="320"/>
        <v>-0.38732394366197181</v>
      </c>
      <c r="AN128" s="542">
        <f t="shared" si="320"/>
        <v>0.83823529411764708</v>
      </c>
      <c r="AO128" s="542" t="str">
        <f t="shared" si="320"/>
        <v/>
      </c>
      <c r="AP128" s="542" t="str">
        <f t="shared" si="320"/>
        <v/>
      </c>
      <c r="AQ128" s="543" t="str">
        <f t="shared" si="320"/>
        <v/>
      </c>
    </row>
    <row r="129" spans="2:43" ht="7.8" customHeight="1" x14ac:dyDescent="0.25">
      <c r="B129" s="282"/>
      <c r="C129" s="295"/>
      <c r="D129" s="296"/>
      <c r="E129" s="375" t="s">
        <v>33</v>
      </c>
      <c r="F129" s="376">
        <f t="shared" si="319"/>
        <v>7.1915791052498011E-3</v>
      </c>
      <c r="G129" s="376">
        <f t="shared" si="319"/>
        <v>-1</v>
      </c>
      <c r="H129" s="376">
        <f t="shared" si="319"/>
        <v>2.8045871192410838</v>
      </c>
      <c r="I129" s="377">
        <f t="shared" si="319"/>
        <v>1.6266914300875563</v>
      </c>
      <c r="J129" s="378">
        <f t="shared" si="319"/>
        <v>7.0378250591016549</v>
      </c>
      <c r="K129" s="378">
        <f t="shared" si="319"/>
        <v>5.0534591194968552</v>
      </c>
      <c r="L129" s="378" t="str">
        <f t="shared" si="319"/>
        <v/>
      </c>
      <c r="M129" s="379" t="str">
        <f t="shared" si="319"/>
        <v/>
      </c>
      <c r="N129" s="376">
        <f t="shared" si="319"/>
        <v>0.48723844117703885</v>
      </c>
      <c r="O129" s="377">
        <f t="shared" si="319"/>
        <v>6.9070328057855568E-2</v>
      </c>
      <c r="P129" s="378">
        <f t="shared" si="319"/>
        <v>2.5688044505090795</v>
      </c>
      <c r="Q129" s="378">
        <f t="shared" si="319"/>
        <v>-0.19540229885057472</v>
      </c>
      <c r="R129" s="378" t="str">
        <f t="shared" si="319"/>
        <v/>
      </c>
      <c r="S129" s="379">
        <f t="shared" si="319"/>
        <v>-1</v>
      </c>
      <c r="T129" s="376">
        <f t="shared" si="319"/>
        <v>-3.5304438803455587E-2</v>
      </c>
      <c r="U129" s="377">
        <f t="shared" si="319"/>
        <v>-0.60125084193036527</v>
      </c>
      <c r="V129" s="378">
        <f t="shared" si="319"/>
        <v>0.31504855979996305</v>
      </c>
      <c r="W129" s="378">
        <f t="shared" si="319"/>
        <v>-4.0429557383516154E-2</v>
      </c>
      <c r="X129" s="378">
        <f t="shared" si="319"/>
        <v>-0.70967185072425099</v>
      </c>
      <c r="Y129" s="380">
        <f t="shared" si="319"/>
        <v>0.70638126009693059</v>
      </c>
      <c r="AA129" s="513"/>
      <c r="AB129" s="521"/>
      <c r="AC129" s="537"/>
      <c r="AD129" s="544" t="s">
        <v>33</v>
      </c>
      <c r="AE129" s="545">
        <f t="shared" si="320"/>
        <v>0.72035399744943807</v>
      </c>
      <c r="AF129" s="546">
        <f t="shared" si="320"/>
        <v>1.1543764618983134</v>
      </c>
      <c r="AG129" s="547">
        <f t="shared" si="320"/>
        <v>2.8045871192410838</v>
      </c>
      <c r="AH129" s="547">
        <f t="shared" si="320"/>
        <v>-0.15895100345328061</v>
      </c>
      <c r="AI129" s="547">
        <f t="shared" si="320"/>
        <v>-0.25240880935994492</v>
      </c>
      <c r="AJ129" s="547">
        <f t="shared" si="320"/>
        <v>0.67604735630909141</v>
      </c>
      <c r="AK129" s="547">
        <f t="shared" si="320"/>
        <v>0.10828728086776904</v>
      </c>
      <c r="AL129" s="547">
        <f t="shared" si="320"/>
        <v>6.3639613872005715E-2</v>
      </c>
      <c r="AM129" s="547">
        <f t="shared" si="320"/>
        <v>-0.4062376041253471</v>
      </c>
      <c r="AN129" s="547">
        <f t="shared" si="320"/>
        <v>0.86654643823264199</v>
      </c>
      <c r="AO129" s="547" t="str">
        <f t="shared" si="320"/>
        <v/>
      </c>
      <c r="AP129" s="547" t="str">
        <f t="shared" si="320"/>
        <v/>
      </c>
      <c r="AQ129" s="548" t="str">
        <f t="shared" si="320"/>
        <v/>
      </c>
    </row>
    <row r="130" spans="2:43" ht="7.8" customHeight="1" x14ac:dyDescent="0.25">
      <c r="B130" s="282"/>
      <c r="C130" s="382"/>
      <c r="D130" s="383"/>
      <c r="E130" s="384" t="s">
        <v>30</v>
      </c>
      <c r="F130" s="385">
        <f t="shared" si="319"/>
        <v>5.7265731720057503E-3</v>
      </c>
      <c r="G130" s="385">
        <f t="shared" si="319"/>
        <v>-1</v>
      </c>
      <c r="H130" s="385">
        <f t="shared" si="319"/>
        <v>-1.2142291846174793E-2</v>
      </c>
      <c r="I130" s="386">
        <f t="shared" si="319"/>
        <v>6.8983815335632338E-3</v>
      </c>
      <c r="J130" s="387">
        <f t="shared" si="319"/>
        <v>-0.15602836879432619</v>
      </c>
      <c r="K130" s="387">
        <f t="shared" si="319"/>
        <v>3.7735849056603772E-2</v>
      </c>
      <c r="L130" s="387" t="str">
        <f t="shared" si="319"/>
        <v/>
      </c>
      <c r="M130" s="388" t="str">
        <f t="shared" si="319"/>
        <v/>
      </c>
      <c r="N130" s="385">
        <f t="shared" si="319"/>
        <v>-6.2339420465667462E-2</v>
      </c>
      <c r="O130" s="386">
        <f t="shared" si="319"/>
        <v>-7.2284526429794285E-2</v>
      </c>
      <c r="P130" s="387">
        <f t="shared" si="319"/>
        <v>-5.8727826178230254E-2</v>
      </c>
      <c r="Q130" s="387">
        <f t="shared" si="319"/>
        <v>1.9157088122605311E-2</v>
      </c>
      <c r="R130" s="387" t="str">
        <f t="shared" si="319"/>
        <v/>
      </c>
      <c r="S130" s="388">
        <f t="shared" si="319"/>
        <v>-1</v>
      </c>
      <c r="T130" s="385">
        <f t="shared" si="319"/>
        <v>8.6428034288315043E-3</v>
      </c>
      <c r="U130" s="386">
        <f t="shared" si="319"/>
        <v>-6.533197348477611E-2</v>
      </c>
      <c r="V130" s="387">
        <f t="shared" si="319"/>
        <v>8.4031456284261799E-3</v>
      </c>
      <c r="W130" s="387">
        <f t="shared" si="319"/>
        <v>7.0454138207721909E-2</v>
      </c>
      <c r="X130" s="387">
        <f t="shared" si="319"/>
        <v>-2.4497418433483516E-2</v>
      </c>
      <c r="Y130" s="389">
        <f t="shared" si="319"/>
        <v>1.07700592353261E-3</v>
      </c>
      <c r="AA130" s="513"/>
      <c r="AB130" s="549"/>
      <c r="AC130" s="550"/>
      <c r="AD130" s="551" t="s">
        <v>30</v>
      </c>
      <c r="AE130" s="552">
        <f t="shared" si="320"/>
        <v>-5.4199275600698184E-2</v>
      </c>
      <c r="AF130" s="553">
        <f t="shared" si="320"/>
        <v>-0.11705882709085508</v>
      </c>
      <c r="AG130" s="554">
        <f t="shared" si="320"/>
        <v>-1.2142291846174793E-2</v>
      </c>
      <c r="AH130" s="554">
        <f t="shared" si="320"/>
        <v>-9.9766074066659688E-2</v>
      </c>
      <c r="AI130" s="554">
        <f t="shared" si="320"/>
        <v>-1.82731768244501E-3</v>
      </c>
      <c r="AJ130" s="554">
        <f t="shared" si="320"/>
        <v>-1.4811188120753532E-2</v>
      </c>
      <c r="AK130" s="554">
        <f t="shared" si="320"/>
        <v>9.7692510120717005E-4</v>
      </c>
      <c r="AL130" s="554">
        <f t="shared" si="320"/>
        <v>-1.144082946013592E-2</v>
      </c>
      <c r="AM130" s="554">
        <f t="shared" si="320"/>
        <v>-3.0870572250566504E-2</v>
      </c>
      <c r="AN130" s="554">
        <f t="shared" si="320"/>
        <v>1.5401262398557394E-2</v>
      </c>
      <c r="AO130" s="554" t="str">
        <f t="shared" si="320"/>
        <v/>
      </c>
      <c r="AP130" s="554" t="str">
        <f t="shared" si="320"/>
        <v/>
      </c>
      <c r="AQ130" s="555" t="str">
        <f t="shared" si="320"/>
        <v/>
      </c>
    </row>
    <row r="131" spans="2:43" ht="7.8" customHeight="1" x14ac:dyDescent="0.25">
      <c r="B131" s="282"/>
      <c r="C131" s="393" t="s">
        <v>48</v>
      </c>
      <c r="D131" s="394" t="s">
        <v>39</v>
      </c>
      <c r="E131" s="395" t="s">
        <v>32</v>
      </c>
      <c r="F131" s="396">
        <f t="shared" ref="F131:F132" si="321">SUM(G131,H131,N131,T131)</f>
        <v>0</v>
      </c>
      <c r="G131" s="396"/>
      <c r="H131" s="396">
        <f t="shared" ref="H131:H132" si="322">SUM(I131:M131)</f>
        <v>0</v>
      </c>
      <c r="I131" s="397"/>
      <c r="J131" s="398"/>
      <c r="K131" s="398"/>
      <c r="L131" s="398"/>
      <c r="M131" s="399"/>
      <c r="N131" s="396">
        <f t="shared" ref="N131:N132" si="323">SUM(O131:S131)</f>
        <v>0</v>
      </c>
      <c r="O131" s="397"/>
      <c r="P131" s="398"/>
      <c r="Q131" s="398"/>
      <c r="R131" s="398"/>
      <c r="S131" s="399"/>
      <c r="T131" s="396">
        <f t="shared" ref="T131:T132" si="324">SUM(U131:Y131)</f>
        <v>0</v>
      </c>
      <c r="U131" s="397"/>
      <c r="V131" s="398"/>
      <c r="W131" s="398"/>
      <c r="X131" s="398"/>
      <c r="Y131" s="400"/>
      <c r="AA131" s="513"/>
      <c r="AB131" s="556" t="s">
        <v>48</v>
      </c>
      <c r="AC131" s="557" t="s">
        <v>39</v>
      </c>
      <c r="AD131" s="558" t="s">
        <v>32</v>
      </c>
      <c r="AE131" s="559">
        <f t="shared" ref="AE131:AE132" si="325">SUM(AF131:AQ131)</f>
        <v>0</v>
      </c>
      <c r="AF131" s="560">
        <f>SUM(AF185,AF239,AF293,AF347,AF401)</f>
        <v>0</v>
      </c>
      <c r="AG131" s="561">
        <f t="shared" ref="AG131:AQ131" si="326">SUM(AG185,AG239,AG293,AG347,AG401)</f>
        <v>0</v>
      </c>
      <c r="AH131" s="561">
        <f t="shared" si="326"/>
        <v>0</v>
      </c>
      <c r="AI131" s="561">
        <f t="shared" si="326"/>
        <v>0</v>
      </c>
      <c r="AJ131" s="561">
        <f t="shared" si="326"/>
        <v>0</v>
      </c>
      <c r="AK131" s="561">
        <f t="shared" si="326"/>
        <v>0</v>
      </c>
      <c r="AL131" s="561">
        <f t="shared" si="326"/>
        <v>0</v>
      </c>
      <c r="AM131" s="561">
        <f t="shared" si="326"/>
        <v>0</v>
      </c>
      <c r="AN131" s="561">
        <f t="shared" si="326"/>
        <v>0</v>
      </c>
      <c r="AO131" s="561">
        <f t="shared" si="326"/>
        <v>0</v>
      </c>
      <c r="AP131" s="561">
        <f t="shared" si="326"/>
        <v>0</v>
      </c>
      <c r="AQ131" s="562">
        <f t="shared" si="326"/>
        <v>0</v>
      </c>
    </row>
    <row r="132" spans="2:43" s="41" customFormat="1" ht="7.8" customHeight="1" x14ac:dyDescent="0.25">
      <c r="B132" s="282"/>
      <c r="C132" s="404"/>
      <c r="D132" s="405"/>
      <c r="E132" s="406" t="s">
        <v>33</v>
      </c>
      <c r="F132" s="407">
        <f t="shared" si="321"/>
        <v>0</v>
      </c>
      <c r="G132" s="407"/>
      <c r="H132" s="407">
        <f t="shared" si="322"/>
        <v>0</v>
      </c>
      <c r="I132" s="408"/>
      <c r="J132" s="409"/>
      <c r="K132" s="409"/>
      <c r="L132" s="409"/>
      <c r="M132" s="410"/>
      <c r="N132" s="407">
        <f t="shared" si="323"/>
        <v>0</v>
      </c>
      <c r="O132" s="408"/>
      <c r="P132" s="409"/>
      <c r="Q132" s="409"/>
      <c r="R132" s="409"/>
      <c r="S132" s="410"/>
      <c r="T132" s="407">
        <f t="shared" si="324"/>
        <v>0</v>
      </c>
      <c r="U132" s="408"/>
      <c r="V132" s="409"/>
      <c r="W132" s="409"/>
      <c r="X132" s="409"/>
      <c r="Y132" s="411"/>
      <c r="AA132" s="513"/>
      <c r="AB132" s="563"/>
      <c r="AC132" s="564"/>
      <c r="AD132" s="565" t="s">
        <v>33</v>
      </c>
      <c r="AE132" s="448">
        <f t="shared" si="325"/>
        <v>0</v>
      </c>
      <c r="AF132" s="449">
        <f t="shared" ref="AF132:AQ132" si="327">SUM(AF186,AF240,AF294,AF348,AF402)</f>
        <v>0</v>
      </c>
      <c r="AG132" s="450">
        <f t="shared" si="327"/>
        <v>0</v>
      </c>
      <c r="AH132" s="450">
        <f t="shared" si="327"/>
        <v>0</v>
      </c>
      <c r="AI132" s="450">
        <f t="shared" si="327"/>
        <v>0</v>
      </c>
      <c r="AJ132" s="450">
        <f t="shared" si="327"/>
        <v>0</v>
      </c>
      <c r="AK132" s="450">
        <f t="shared" si="327"/>
        <v>0</v>
      </c>
      <c r="AL132" s="450">
        <f t="shared" si="327"/>
        <v>0</v>
      </c>
      <c r="AM132" s="450">
        <f t="shared" si="327"/>
        <v>0</v>
      </c>
      <c r="AN132" s="450">
        <f t="shared" si="327"/>
        <v>0</v>
      </c>
      <c r="AO132" s="450">
        <f t="shared" si="327"/>
        <v>0</v>
      </c>
      <c r="AP132" s="450">
        <f t="shared" si="327"/>
        <v>0</v>
      </c>
      <c r="AQ132" s="452">
        <f t="shared" si="327"/>
        <v>0</v>
      </c>
    </row>
    <row r="133" spans="2:43" ht="7.8" customHeight="1" x14ac:dyDescent="0.25">
      <c r="B133" s="282"/>
      <c r="C133" s="404"/>
      <c r="D133" s="415"/>
      <c r="E133" s="416" t="s">
        <v>30</v>
      </c>
      <c r="F133" s="417">
        <f t="shared" ref="F133:Y133" si="328">IFERROR(F132/F131,0)</f>
        <v>0</v>
      </c>
      <c r="G133" s="417">
        <f t="shared" si="328"/>
        <v>0</v>
      </c>
      <c r="H133" s="417">
        <f t="shared" si="328"/>
        <v>0</v>
      </c>
      <c r="I133" s="418">
        <f t="shared" si="328"/>
        <v>0</v>
      </c>
      <c r="J133" s="419">
        <f t="shared" si="328"/>
        <v>0</v>
      </c>
      <c r="K133" s="419">
        <f t="shared" si="328"/>
        <v>0</v>
      </c>
      <c r="L133" s="419">
        <f t="shared" si="328"/>
        <v>0</v>
      </c>
      <c r="M133" s="420">
        <f t="shared" si="328"/>
        <v>0</v>
      </c>
      <c r="N133" s="417">
        <f t="shared" si="328"/>
        <v>0</v>
      </c>
      <c r="O133" s="418">
        <f t="shared" si="328"/>
        <v>0</v>
      </c>
      <c r="P133" s="419">
        <f t="shared" si="328"/>
        <v>0</v>
      </c>
      <c r="Q133" s="419">
        <f t="shared" si="328"/>
        <v>0</v>
      </c>
      <c r="R133" s="419">
        <f t="shared" si="328"/>
        <v>0</v>
      </c>
      <c r="S133" s="420">
        <f t="shared" si="328"/>
        <v>0</v>
      </c>
      <c r="T133" s="417">
        <f t="shared" si="328"/>
        <v>0</v>
      </c>
      <c r="U133" s="418">
        <f t="shared" si="328"/>
        <v>0</v>
      </c>
      <c r="V133" s="419">
        <f t="shared" si="328"/>
        <v>0</v>
      </c>
      <c r="W133" s="419">
        <f t="shared" si="328"/>
        <v>0</v>
      </c>
      <c r="X133" s="419">
        <f t="shared" si="328"/>
        <v>0</v>
      </c>
      <c r="Y133" s="421">
        <f t="shared" si="328"/>
        <v>0</v>
      </c>
      <c r="AA133" s="513"/>
      <c r="AB133" s="563"/>
      <c r="AC133" s="566"/>
      <c r="AD133" s="567" t="s">
        <v>30</v>
      </c>
      <c r="AE133" s="461">
        <f t="shared" ref="AE133:AQ133" si="329">IFERROR(AE132/AE131,0)</f>
        <v>0</v>
      </c>
      <c r="AF133" s="462">
        <f t="shared" si="329"/>
        <v>0</v>
      </c>
      <c r="AG133" s="463">
        <f t="shared" si="329"/>
        <v>0</v>
      </c>
      <c r="AH133" s="463">
        <f t="shared" si="329"/>
        <v>0</v>
      </c>
      <c r="AI133" s="463">
        <f t="shared" si="329"/>
        <v>0</v>
      </c>
      <c r="AJ133" s="463">
        <f t="shared" si="329"/>
        <v>0</v>
      </c>
      <c r="AK133" s="463">
        <f t="shared" si="329"/>
        <v>0</v>
      </c>
      <c r="AL133" s="463">
        <f t="shared" si="329"/>
        <v>0</v>
      </c>
      <c r="AM133" s="463">
        <f t="shared" si="329"/>
        <v>0</v>
      </c>
      <c r="AN133" s="463">
        <f t="shared" si="329"/>
        <v>0</v>
      </c>
      <c r="AO133" s="463">
        <f t="shared" si="329"/>
        <v>0</v>
      </c>
      <c r="AP133" s="463">
        <f t="shared" si="329"/>
        <v>0</v>
      </c>
      <c r="AQ133" s="465">
        <f t="shared" si="329"/>
        <v>0</v>
      </c>
    </row>
    <row r="134" spans="2:43" ht="7.8" customHeight="1" x14ac:dyDescent="0.25">
      <c r="B134" s="282"/>
      <c r="C134" s="404"/>
      <c r="D134" s="424" t="s">
        <v>40</v>
      </c>
      <c r="E134" s="425" t="s">
        <v>32</v>
      </c>
      <c r="F134" s="426">
        <f t="shared" ref="F134:F135" si="330">SUM(G134,H134,N134,T134)</f>
        <v>5202</v>
      </c>
      <c r="G134" s="426">
        <v>403</v>
      </c>
      <c r="H134" s="426">
        <f t="shared" ref="H134:H135" si="331">SUM(I134:M134)</f>
        <v>367</v>
      </c>
      <c r="I134" s="427">
        <v>287</v>
      </c>
      <c r="J134" s="428">
        <v>0</v>
      </c>
      <c r="K134" s="428">
        <v>0</v>
      </c>
      <c r="L134" s="428">
        <v>0</v>
      </c>
      <c r="M134" s="429">
        <v>80</v>
      </c>
      <c r="N134" s="426">
        <f t="shared" ref="N134:N135" si="332">SUM(O134:S134)</f>
        <v>1012</v>
      </c>
      <c r="O134" s="427">
        <v>677</v>
      </c>
      <c r="P134" s="428">
        <v>280</v>
      </c>
      <c r="Q134" s="428">
        <v>52</v>
      </c>
      <c r="R134" s="428">
        <v>0</v>
      </c>
      <c r="S134" s="429">
        <v>3</v>
      </c>
      <c r="T134" s="426">
        <f t="shared" ref="T134:T135" si="333">SUM(U134:Y134)</f>
        <v>3420</v>
      </c>
      <c r="U134" s="427">
        <v>347</v>
      </c>
      <c r="V134" s="428">
        <v>1119</v>
      </c>
      <c r="W134" s="428">
        <v>1403</v>
      </c>
      <c r="X134" s="428">
        <v>222</v>
      </c>
      <c r="Y134" s="430">
        <v>329</v>
      </c>
      <c r="AA134" s="513"/>
      <c r="AB134" s="563"/>
      <c r="AC134" s="568" t="s">
        <v>40</v>
      </c>
      <c r="AD134" s="569" t="s">
        <v>32</v>
      </c>
      <c r="AE134" s="435">
        <f t="shared" ref="AE134:AE135" si="334">SUM(AF134:AQ134)</f>
        <v>4653</v>
      </c>
      <c r="AF134" s="436">
        <f t="shared" ref="AF134:AQ135" si="335">SUM(AF188,AF242,AF296,AF350,AF404)</f>
        <v>294</v>
      </c>
      <c r="AG134" s="437">
        <f t="shared" si="335"/>
        <v>367</v>
      </c>
      <c r="AH134" s="437">
        <f t="shared" si="335"/>
        <v>429</v>
      </c>
      <c r="AI134" s="437">
        <f t="shared" si="335"/>
        <v>269</v>
      </c>
      <c r="AJ134" s="437">
        <f t="shared" si="335"/>
        <v>208</v>
      </c>
      <c r="AK134" s="437">
        <f t="shared" si="335"/>
        <v>318</v>
      </c>
      <c r="AL134" s="437">
        <f t="shared" si="335"/>
        <v>372</v>
      </c>
      <c r="AM134" s="437">
        <f t="shared" si="335"/>
        <v>394</v>
      </c>
      <c r="AN134" s="437">
        <f t="shared" si="335"/>
        <v>236</v>
      </c>
      <c r="AO134" s="437">
        <f t="shared" si="335"/>
        <v>931</v>
      </c>
      <c r="AP134" s="437">
        <f t="shared" si="335"/>
        <v>557</v>
      </c>
      <c r="AQ134" s="439">
        <f t="shared" si="335"/>
        <v>278</v>
      </c>
    </row>
    <row r="135" spans="2:43" s="41" customFormat="1" ht="7.8" customHeight="1" x14ac:dyDescent="0.25">
      <c r="B135" s="282"/>
      <c r="C135" s="404"/>
      <c r="D135" s="405"/>
      <c r="E135" s="406" t="s">
        <v>33</v>
      </c>
      <c r="F135" s="407">
        <f t="shared" si="330"/>
        <v>854466.16000000015</v>
      </c>
      <c r="G135" s="407">
        <v>63214</v>
      </c>
      <c r="H135" s="407">
        <f t="shared" si="331"/>
        <v>66248</v>
      </c>
      <c r="I135" s="408">
        <v>51168</v>
      </c>
      <c r="J135" s="409">
        <v>0</v>
      </c>
      <c r="K135" s="409">
        <v>0</v>
      </c>
      <c r="L135" s="409">
        <v>0</v>
      </c>
      <c r="M135" s="410">
        <v>15080</v>
      </c>
      <c r="N135" s="407">
        <f t="shared" si="332"/>
        <v>183383</v>
      </c>
      <c r="O135" s="408">
        <v>123633</v>
      </c>
      <c r="P135" s="409">
        <v>50130</v>
      </c>
      <c r="Q135" s="409">
        <v>9140</v>
      </c>
      <c r="R135" s="409">
        <v>0</v>
      </c>
      <c r="S135" s="410">
        <v>480</v>
      </c>
      <c r="T135" s="407">
        <f t="shared" si="333"/>
        <v>541621.16000000015</v>
      </c>
      <c r="U135" s="408">
        <v>61960.30000000001</v>
      </c>
      <c r="V135" s="409">
        <v>170062.63000000003</v>
      </c>
      <c r="W135" s="409">
        <v>218146.62000000008</v>
      </c>
      <c r="X135" s="409">
        <v>41841</v>
      </c>
      <c r="Y135" s="411">
        <v>49610.61</v>
      </c>
      <c r="AA135" s="513"/>
      <c r="AB135" s="563"/>
      <c r="AC135" s="564"/>
      <c r="AD135" s="565" t="s">
        <v>33</v>
      </c>
      <c r="AE135" s="448">
        <f t="shared" si="334"/>
        <v>792250.31</v>
      </c>
      <c r="AF135" s="449">
        <f t="shared" si="335"/>
        <v>54057</v>
      </c>
      <c r="AG135" s="450">
        <f t="shared" si="335"/>
        <v>66248</v>
      </c>
      <c r="AH135" s="450">
        <f t="shared" si="335"/>
        <v>74587</v>
      </c>
      <c r="AI135" s="450">
        <f t="shared" si="335"/>
        <v>40000</v>
      </c>
      <c r="AJ135" s="450">
        <f t="shared" si="335"/>
        <v>29690</v>
      </c>
      <c r="AK135" s="450">
        <f t="shared" si="335"/>
        <v>53704</v>
      </c>
      <c r="AL135" s="450">
        <f t="shared" si="335"/>
        <v>68960</v>
      </c>
      <c r="AM135" s="450">
        <f t="shared" si="335"/>
        <v>72335</v>
      </c>
      <c r="AN135" s="450">
        <f t="shared" si="335"/>
        <v>35356</v>
      </c>
      <c r="AO135" s="450">
        <f t="shared" si="335"/>
        <v>157182</v>
      </c>
      <c r="AP135" s="450">
        <f t="shared" si="335"/>
        <v>94897</v>
      </c>
      <c r="AQ135" s="452">
        <f t="shared" si="335"/>
        <v>45234.31</v>
      </c>
    </row>
    <row r="136" spans="2:43" ht="7.8" customHeight="1" x14ac:dyDescent="0.25">
      <c r="B136" s="282"/>
      <c r="C136" s="404"/>
      <c r="D136" s="415"/>
      <c r="E136" s="416" t="s">
        <v>30</v>
      </c>
      <c r="F136" s="417">
        <f t="shared" ref="F136:Y136" si="336">IFERROR(F135/F134,0)</f>
        <v>164.25723952326032</v>
      </c>
      <c r="G136" s="417">
        <f t="shared" si="336"/>
        <v>156.85856079404468</v>
      </c>
      <c r="H136" s="417">
        <f t="shared" si="336"/>
        <v>180.51226158038148</v>
      </c>
      <c r="I136" s="418">
        <f t="shared" si="336"/>
        <v>178.28571428571428</v>
      </c>
      <c r="J136" s="419">
        <f t="shared" si="336"/>
        <v>0</v>
      </c>
      <c r="K136" s="419">
        <f t="shared" si="336"/>
        <v>0</v>
      </c>
      <c r="L136" s="419">
        <f t="shared" si="336"/>
        <v>0</v>
      </c>
      <c r="M136" s="420">
        <f t="shared" si="336"/>
        <v>188.5</v>
      </c>
      <c r="N136" s="417">
        <f t="shared" si="336"/>
        <v>181.20849802371541</v>
      </c>
      <c r="O136" s="418">
        <f t="shared" si="336"/>
        <v>182.6189069423929</v>
      </c>
      <c r="P136" s="419">
        <f t="shared" si="336"/>
        <v>179.03571428571428</v>
      </c>
      <c r="Q136" s="419">
        <f t="shared" si="336"/>
        <v>175.76923076923077</v>
      </c>
      <c r="R136" s="419">
        <f t="shared" si="336"/>
        <v>0</v>
      </c>
      <c r="S136" s="420">
        <f t="shared" si="336"/>
        <v>160</v>
      </c>
      <c r="T136" s="417">
        <f t="shared" si="336"/>
        <v>158.36876023391818</v>
      </c>
      <c r="U136" s="418">
        <f t="shared" si="336"/>
        <v>178.55994236311241</v>
      </c>
      <c r="V136" s="419">
        <f t="shared" si="336"/>
        <v>151.97732797140307</v>
      </c>
      <c r="W136" s="419">
        <f t="shared" si="336"/>
        <v>155.48583036350684</v>
      </c>
      <c r="X136" s="419">
        <f t="shared" si="336"/>
        <v>188.47297297297297</v>
      </c>
      <c r="Y136" s="421">
        <f t="shared" si="336"/>
        <v>150.79212765957448</v>
      </c>
      <c r="AA136" s="513"/>
      <c r="AB136" s="563"/>
      <c r="AC136" s="566"/>
      <c r="AD136" s="567" t="s">
        <v>30</v>
      </c>
      <c r="AE136" s="461">
        <f t="shared" ref="AE136:AQ136" si="337">IFERROR(AE135/AE134,0)</f>
        <v>170.26656135826349</v>
      </c>
      <c r="AF136" s="462">
        <f t="shared" si="337"/>
        <v>183.86734693877551</v>
      </c>
      <c r="AG136" s="463">
        <f t="shared" si="337"/>
        <v>180.51226158038148</v>
      </c>
      <c r="AH136" s="463">
        <f t="shared" si="337"/>
        <v>173.86247086247087</v>
      </c>
      <c r="AI136" s="463">
        <f t="shared" si="337"/>
        <v>148.6988847583643</v>
      </c>
      <c r="AJ136" s="463">
        <f t="shared" si="337"/>
        <v>142.74038461538461</v>
      </c>
      <c r="AK136" s="463">
        <f t="shared" si="337"/>
        <v>168.88050314465409</v>
      </c>
      <c r="AL136" s="463">
        <f t="shared" si="337"/>
        <v>185.3763440860215</v>
      </c>
      <c r="AM136" s="463">
        <f t="shared" si="337"/>
        <v>183.59137055837564</v>
      </c>
      <c r="AN136" s="463">
        <f t="shared" si="337"/>
        <v>149.81355932203391</v>
      </c>
      <c r="AO136" s="463">
        <f t="shared" si="337"/>
        <v>168.8313641245972</v>
      </c>
      <c r="AP136" s="463">
        <f t="shared" si="337"/>
        <v>170.37163375224418</v>
      </c>
      <c r="AQ136" s="465">
        <f t="shared" si="337"/>
        <v>162.71334532374101</v>
      </c>
    </row>
    <row r="137" spans="2:43" ht="7.8" customHeight="1" x14ac:dyDescent="0.25">
      <c r="B137" s="282"/>
      <c r="C137" s="404"/>
      <c r="D137" s="424" t="s">
        <v>41</v>
      </c>
      <c r="E137" s="425" t="s">
        <v>32</v>
      </c>
      <c r="F137" s="426">
        <f t="shared" ref="F137:F138" si="338">SUM(G137,H137,N137,T137)</f>
        <v>4840</v>
      </c>
      <c r="G137" s="426">
        <v>625</v>
      </c>
      <c r="H137" s="426">
        <f t="shared" ref="H137:H138" si="339">SUM(I137:M137)</f>
        <v>120</v>
      </c>
      <c r="I137" s="427">
        <v>93</v>
      </c>
      <c r="J137" s="428">
        <v>21</v>
      </c>
      <c r="K137" s="428">
        <v>6</v>
      </c>
      <c r="L137" s="428">
        <v>0</v>
      </c>
      <c r="M137" s="429">
        <v>0</v>
      </c>
      <c r="N137" s="426">
        <f t="shared" ref="N137:N138" si="340">SUM(O137:S137)</f>
        <v>790</v>
      </c>
      <c r="O137" s="427">
        <v>541</v>
      </c>
      <c r="P137" s="428">
        <v>146</v>
      </c>
      <c r="Q137" s="428">
        <v>96</v>
      </c>
      <c r="R137" s="428">
        <v>0</v>
      </c>
      <c r="S137" s="429">
        <v>7</v>
      </c>
      <c r="T137" s="426">
        <f t="shared" ref="T137:T138" si="341">SUM(U137:Y137)</f>
        <v>3305</v>
      </c>
      <c r="U137" s="427">
        <v>418</v>
      </c>
      <c r="V137" s="428">
        <v>1155</v>
      </c>
      <c r="W137" s="428">
        <v>1436</v>
      </c>
      <c r="X137" s="428">
        <v>234</v>
      </c>
      <c r="Y137" s="430">
        <v>62</v>
      </c>
      <c r="AA137" s="513"/>
      <c r="AB137" s="563"/>
      <c r="AC137" s="568" t="s">
        <v>41</v>
      </c>
      <c r="AD137" s="569" t="s">
        <v>32</v>
      </c>
      <c r="AE137" s="435">
        <f t="shared" ref="AE137:AE138" si="342">SUM(AF137:AQ137)</f>
        <v>2795</v>
      </c>
      <c r="AF137" s="436">
        <f t="shared" ref="AF137:AQ138" si="343">SUM(AF191,AF245,AF299,AF353,AF407)</f>
        <v>82</v>
      </c>
      <c r="AG137" s="437">
        <f t="shared" si="343"/>
        <v>120</v>
      </c>
      <c r="AH137" s="437">
        <f t="shared" si="343"/>
        <v>470</v>
      </c>
      <c r="AI137" s="437">
        <f t="shared" si="343"/>
        <v>603</v>
      </c>
      <c r="AJ137" s="437">
        <f t="shared" si="343"/>
        <v>196</v>
      </c>
      <c r="AK137" s="437">
        <f t="shared" si="343"/>
        <v>398</v>
      </c>
      <c r="AL137" s="437">
        <f t="shared" si="343"/>
        <v>173</v>
      </c>
      <c r="AM137" s="437">
        <f t="shared" si="343"/>
        <v>481</v>
      </c>
      <c r="AN137" s="437">
        <f t="shared" si="343"/>
        <v>272</v>
      </c>
      <c r="AO137" s="437">
        <f t="shared" si="343"/>
        <v>0</v>
      </c>
      <c r="AP137" s="437">
        <f t="shared" si="343"/>
        <v>0</v>
      </c>
      <c r="AQ137" s="439">
        <f t="shared" si="343"/>
        <v>0</v>
      </c>
    </row>
    <row r="138" spans="2:43" s="41" customFormat="1" ht="7.8" customHeight="1" x14ac:dyDescent="0.25">
      <c r="B138" s="282"/>
      <c r="C138" s="404"/>
      <c r="D138" s="405"/>
      <c r="E138" s="406" t="s">
        <v>33</v>
      </c>
      <c r="F138" s="407">
        <f t="shared" si="338"/>
        <v>774944.75</v>
      </c>
      <c r="G138" s="407">
        <v>97185</v>
      </c>
      <c r="H138" s="407">
        <f t="shared" si="339"/>
        <v>20412</v>
      </c>
      <c r="I138" s="408">
        <v>15228</v>
      </c>
      <c r="J138" s="409">
        <v>4230</v>
      </c>
      <c r="K138" s="409">
        <v>954</v>
      </c>
      <c r="L138" s="409">
        <v>0</v>
      </c>
      <c r="M138" s="410">
        <v>0</v>
      </c>
      <c r="N138" s="407">
        <f t="shared" si="340"/>
        <v>144027</v>
      </c>
      <c r="O138" s="408">
        <v>99297</v>
      </c>
      <c r="P138" s="409">
        <v>26535</v>
      </c>
      <c r="Q138" s="409">
        <v>16970</v>
      </c>
      <c r="R138" s="409">
        <v>0</v>
      </c>
      <c r="S138" s="410">
        <v>1225</v>
      </c>
      <c r="T138" s="407">
        <f t="shared" si="341"/>
        <v>513320.75</v>
      </c>
      <c r="U138" s="408">
        <v>76712.800000000017</v>
      </c>
      <c r="V138" s="409">
        <v>182528.06</v>
      </c>
      <c r="W138" s="409">
        <v>199429.88999999998</v>
      </c>
      <c r="X138" s="409">
        <v>44239</v>
      </c>
      <c r="Y138" s="411">
        <v>10411</v>
      </c>
      <c r="AA138" s="513"/>
      <c r="AB138" s="563"/>
      <c r="AC138" s="564"/>
      <c r="AD138" s="565" t="s">
        <v>33</v>
      </c>
      <c r="AE138" s="448">
        <f t="shared" si="342"/>
        <v>449245</v>
      </c>
      <c r="AF138" s="449">
        <f t="shared" si="343"/>
        <v>16061</v>
      </c>
      <c r="AG138" s="450">
        <f t="shared" si="343"/>
        <v>20412</v>
      </c>
      <c r="AH138" s="450">
        <f t="shared" si="343"/>
        <v>81710</v>
      </c>
      <c r="AI138" s="450">
        <f t="shared" si="343"/>
        <v>86753</v>
      </c>
      <c r="AJ138" s="450">
        <f t="shared" si="343"/>
        <v>29180</v>
      </c>
      <c r="AK138" s="450">
        <f t="shared" si="343"/>
        <v>64561</v>
      </c>
      <c r="AL138" s="450">
        <f t="shared" si="343"/>
        <v>30755</v>
      </c>
      <c r="AM138" s="450">
        <f t="shared" si="343"/>
        <v>80998</v>
      </c>
      <c r="AN138" s="450">
        <f t="shared" si="343"/>
        <v>38815</v>
      </c>
      <c r="AO138" s="450">
        <f t="shared" si="343"/>
        <v>0</v>
      </c>
      <c r="AP138" s="450">
        <f t="shared" si="343"/>
        <v>0</v>
      </c>
      <c r="AQ138" s="452">
        <f t="shared" si="343"/>
        <v>0</v>
      </c>
    </row>
    <row r="139" spans="2:43" ht="7.8" customHeight="1" x14ac:dyDescent="0.25">
      <c r="B139" s="282"/>
      <c r="C139" s="404"/>
      <c r="D139" s="415"/>
      <c r="E139" s="416" t="s">
        <v>30</v>
      </c>
      <c r="F139" s="417">
        <f t="shared" ref="F139:Y139" si="344">IFERROR(F138/F137,0)</f>
        <v>160.11255165289256</v>
      </c>
      <c r="G139" s="417">
        <f t="shared" si="344"/>
        <v>155.49600000000001</v>
      </c>
      <c r="H139" s="417">
        <f t="shared" si="344"/>
        <v>170.1</v>
      </c>
      <c r="I139" s="418">
        <f t="shared" si="344"/>
        <v>163.74193548387098</v>
      </c>
      <c r="J139" s="419">
        <f t="shared" si="344"/>
        <v>201.42857142857142</v>
      </c>
      <c r="K139" s="419">
        <f t="shared" si="344"/>
        <v>159</v>
      </c>
      <c r="L139" s="419">
        <f t="shared" si="344"/>
        <v>0</v>
      </c>
      <c r="M139" s="420">
        <f t="shared" si="344"/>
        <v>0</v>
      </c>
      <c r="N139" s="417">
        <f t="shared" si="344"/>
        <v>182.31265822784809</v>
      </c>
      <c r="O139" s="418">
        <f t="shared" si="344"/>
        <v>183.54343807763402</v>
      </c>
      <c r="P139" s="419">
        <f t="shared" si="344"/>
        <v>181.74657534246575</v>
      </c>
      <c r="Q139" s="419">
        <f t="shared" si="344"/>
        <v>176.77083333333334</v>
      </c>
      <c r="R139" s="419">
        <f t="shared" si="344"/>
        <v>0</v>
      </c>
      <c r="S139" s="420">
        <f t="shared" si="344"/>
        <v>175</v>
      </c>
      <c r="T139" s="417">
        <f t="shared" si="344"/>
        <v>155.31641452344931</v>
      </c>
      <c r="U139" s="418">
        <f t="shared" si="344"/>
        <v>183.5234449760766</v>
      </c>
      <c r="V139" s="419">
        <f t="shared" si="344"/>
        <v>158.03295238095237</v>
      </c>
      <c r="W139" s="419">
        <f t="shared" si="344"/>
        <v>138.87875348189414</v>
      </c>
      <c r="X139" s="419">
        <f t="shared" si="344"/>
        <v>189.05555555555554</v>
      </c>
      <c r="Y139" s="421">
        <f t="shared" si="344"/>
        <v>167.91935483870967</v>
      </c>
      <c r="AA139" s="513"/>
      <c r="AB139" s="563"/>
      <c r="AC139" s="566"/>
      <c r="AD139" s="567" t="s">
        <v>30</v>
      </c>
      <c r="AE139" s="461">
        <f t="shared" ref="AE139:AQ139" si="345">IFERROR(AE138/AE137,0)</f>
        <v>160.73166368515206</v>
      </c>
      <c r="AF139" s="462">
        <f t="shared" si="345"/>
        <v>195.86585365853659</v>
      </c>
      <c r="AG139" s="463">
        <f t="shared" si="345"/>
        <v>170.1</v>
      </c>
      <c r="AH139" s="463">
        <f t="shared" si="345"/>
        <v>173.85106382978722</v>
      </c>
      <c r="AI139" s="463">
        <f t="shared" si="345"/>
        <v>143.86898839137646</v>
      </c>
      <c r="AJ139" s="463">
        <f t="shared" si="345"/>
        <v>148.87755102040816</v>
      </c>
      <c r="AK139" s="463">
        <f t="shared" si="345"/>
        <v>162.21356783919597</v>
      </c>
      <c r="AL139" s="463">
        <f t="shared" si="345"/>
        <v>177.77456647398844</v>
      </c>
      <c r="AM139" s="463">
        <f t="shared" si="345"/>
        <v>168.39501039501039</v>
      </c>
      <c r="AN139" s="463">
        <f t="shared" si="345"/>
        <v>142.70220588235293</v>
      </c>
      <c r="AO139" s="463">
        <f t="shared" si="345"/>
        <v>0</v>
      </c>
      <c r="AP139" s="463">
        <f t="shared" si="345"/>
        <v>0</v>
      </c>
      <c r="AQ139" s="465">
        <f t="shared" si="345"/>
        <v>0</v>
      </c>
    </row>
    <row r="140" spans="2:43" ht="7.8" customHeight="1" x14ac:dyDescent="0.25">
      <c r="B140" s="282"/>
      <c r="C140" s="404"/>
      <c r="D140" s="433" t="s">
        <v>42</v>
      </c>
      <c r="E140" s="434" t="s">
        <v>32</v>
      </c>
      <c r="F140" s="435">
        <f t="shared" ref="F140:F141" si="346">SUM(G140,H140,N140,T140)</f>
        <v>4726</v>
      </c>
      <c r="G140" s="435">
        <v>0</v>
      </c>
      <c r="H140" s="435">
        <v>350</v>
      </c>
      <c r="I140" s="436">
        <v>150</v>
      </c>
      <c r="J140" s="437">
        <v>150</v>
      </c>
      <c r="K140" s="437">
        <v>50</v>
      </c>
      <c r="L140" s="437">
        <v>0</v>
      </c>
      <c r="M140" s="438">
        <v>0</v>
      </c>
      <c r="N140" s="435">
        <f t="shared" ref="N140:N141" si="347">SUM(O140:S140)</f>
        <v>1170</v>
      </c>
      <c r="O140" s="436">
        <v>650</v>
      </c>
      <c r="P140" s="437">
        <v>450</v>
      </c>
      <c r="Q140" s="437">
        <v>70</v>
      </c>
      <c r="R140" s="437">
        <v>0</v>
      </c>
      <c r="S140" s="438">
        <v>0</v>
      </c>
      <c r="T140" s="435">
        <f t="shared" ref="T140:T141" si="348">SUM(U140:Y140)</f>
        <v>3206</v>
      </c>
      <c r="U140" s="436">
        <v>188</v>
      </c>
      <c r="V140" s="437">
        <v>1547</v>
      </c>
      <c r="W140" s="437">
        <v>1320</v>
      </c>
      <c r="X140" s="437">
        <v>75</v>
      </c>
      <c r="Y140" s="439">
        <v>76</v>
      </c>
      <c r="AA140" s="513"/>
      <c r="AB140" s="563"/>
      <c r="AC140" s="570" t="s">
        <v>42</v>
      </c>
      <c r="AD140" s="571" t="s">
        <v>32</v>
      </c>
      <c r="AE140" s="186">
        <f t="shared" ref="AE140:AE141" si="349">SUM(AF140:AQ140)</f>
        <v>4610</v>
      </c>
      <c r="AF140" s="187">
        <f t="shared" ref="AF140:AQ141" si="350">SUM(AF194,AF248,AF302,AF356,AF410)</f>
        <v>210</v>
      </c>
      <c r="AG140" s="188">
        <f t="shared" si="350"/>
        <v>350</v>
      </c>
      <c r="AH140" s="188">
        <f t="shared" si="350"/>
        <v>370</v>
      </c>
      <c r="AI140" s="188">
        <f t="shared" si="350"/>
        <v>390</v>
      </c>
      <c r="AJ140" s="188">
        <f t="shared" si="350"/>
        <v>300</v>
      </c>
      <c r="AK140" s="188">
        <f t="shared" si="350"/>
        <v>380</v>
      </c>
      <c r="AL140" s="188">
        <f t="shared" si="350"/>
        <v>205</v>
      </c>
      <c r="AM140" s="188">
        <f t="shared" si="350"/>
        <v>290</v>
      </c>
      <c r="AN140" s="188">
        <f t="shared" si="350"/>
        <v>340</v>
      </c>
      <c r="AO140" s="188">
        <f t="shared" si="350"/>
        <v>690</v>
      </c>
      <c r="AP140" s="188">
        <f t="shared" si="350"/>
        <v>620</v>
      </c>
      <c r="AQ140" s="190">
        <f t="shared" si="350"/>
        <v>465</v>
      </c>
    </row>
    <row r="141" spans="2:43" s="41" customFormat="1" ht="7.8" customHeight="1" x14ac:dyDescent="0.25">
      <c r="B141" s="282"/>
      <c r="C141" s="404"/>
      <c r="D141" s="446"/>
      <c r="E141" s="447" t="s">
        <v>33</v>
      </c>
      <c r="F141" s="448">
        <f t="shared" si="346"/>
        <v>774480</v>
      </c>
      <c r="G141" s="448">
        <v>0</v>
      </c>
      <c r="H141" s="448">
        <v>58500</v>
      </c>
      <c r="I141" s="449">
        <v>24750</v>
      </c>
      <c r="J141" s="450">
        <v>25500</v>
      </c>
      <c r="K141" s="450">
        <v>8250</v>
      </c>
      <c r="L141" s="450">
        <v>0</v>
      </c>
      <c r="M141" s="451">
        <v>0</v>
      </c>
      <c r="N141" s="448">
        <f t="shared" si="347"/>
        <v>199600</v>
      </c>
      <c r="O141" s="449">
        <v>110500</v>
      </c>
      <c r="P141" s="450">
        <v>76500</v>
      </c>
      <c r="Q141" s="450">
        <v>12600</v>
      </c>
      <c r="R141" s="450">
        <v>0</v>
      </c>
      <c r="S141" s="451">
        <v>0</v>
      </c>
      <c r="T141" s="448">
        <f t="shared" si="348"/>
        <v>516380</v>
      </c>
      <c r="U141" s="449">
        <v>32900</v>
      </c>
      <c r="V141" s="450">
        <v>252161</v>
      </c>
      <c r="W141" s="450">
        <v>204600</v>
      </c>
      <c r="X141" s="450">
        <v>13875</v>
      </c>
      <c r="Y141" s="452">
        <v>12844</v>
      </c>
      <c r="AA141" s="513"/>
      <c r="AB141" s="563"/>
      <c r="AC141" s="572"/>
      <c r="AD141" s="573" t="s">
        <v>33</v>
      </c>
      <c r="AE141" s="163">
        <f t="shared" si="349"/>
        <v>705705</v>
      </c>
      <c r="AF141" s="231">
        <f t="shared" si="350"/>
        <v>36100</v>
      </c>
      <c r="AG141" s="232">
        <f t="shared" si="350"/>
        <v>58500</v>
      </c>
      <c r="AH141" s="232">
        <f t="shared" si="350"/>
        <v>57600</v>
      </c>
      <c r="AI141" s="232">
        <f t="shared" si="350"/>
        <v>56260</v>
      </c>
      <c r="AJ141" s="232">
        <f t="shared" si="350"/>
        <v>44000</v>
      </c>
      <c r="AK141" s="232">
        <f t="shared" si="350"/>
        <v>61900</v>
      </c>
      <c r="AL141" s="232">
        <f t="shared" si="350"/>
        <v>35875</v>
      </c>
      <c r="AM141" s="232">
        <f t="shared" si="350"/>
        <v>47800</v>
      </c>
      <c r="AN141" s="232">
        <f t="shared" si="350"/>
        <v>49200</v>
      </c>
      <c r="AO141" s="232">
        <f t="shared" si="350"/>
        <v>98770</v>
      </c>
      <c r="AP141" s="232">
        <f t="shared" si="350"/>
        <v>92350</v>
      </c>
      <c r="AQ141" s="234">
        <f t="shared" si="350"/>
        <v>67350</v>
      </c>
    </row>
    <row r="142" spans="2:43" ht="7.8" customHeight="1" x14ac:dyDescent="0.25">
      <c r="B142" s="282"/>
      <c r="C142" s="404"/>
      <c r="D142" s="459"/>
      <c r="E142" s="460" t="s">
        <v>30</v>
      </c>
      <c r="F142" s="461">
        <f t="shared" ref="F142:L142" si="351">IFERROR(F141/F140,0)</f>
        <v>163.87642826914939</v>
      </c>
      <c r="G142" s="461">
        <f t="shared" si="351"/>
        <v>0</v>
      </c>
      <c r="H142" s="461">
        <f t="shared" si="351"/>
        <v>167.14285714285714</v>
      </c>
      <c r="I142" s="462">
        <f t="shared" si="351"/>
        <v>165</v>
      </c>
      <c r="J142" s="463">
        <f t="shared" si="351"/>
        <v>170</v>
      </c>
      <c r="K142" s="463">
        <f t="shared" si="351"/>
        <v>165</v>
      </c>
      <c r="L142" s="463">
        <f t="shared" si="351"/>
        <v>0</v>
      </c>
      <c r="M142" s="464"/>
      <c r="N142" s="461">
        <f t="shared" ref="N142:Y142" si="352">IFERROR(N141/N140,0)</f>
        <v>170.59829059829059</v>
      </c>
      <c r="O142" s="462">
        <f t="shared" si="352"/>
        <v>170</v>
      </c>
      <c r="P142" s="463">
        <f t="shared" si="352"/>
        <v>170</v>
      </c>
      <c r="Q142" s="463">
        <f t="shared" si="352"/>
        <v>180</v>
      </c>
      <c r="R142" s="463">
        <f t="shared" si="352"/>
        <v>0</v>
      </c>
      <c r="S142" s="464">
        <f t="shared" si="352"/>
        <v>0</v>
      </c>
      <c r="T142" s="461">
        <f t="shared" si="352"/>
        <v>161.06674984404242</v>
      </c>
      <c r="U142" s="462">
        <f t="shared" si="352"/>
        <v>175</v>
      </c>
      <c r="V142" s="463">
        <f t="shared" si="352"/>
        <v>163</v>
      </c>
      <c r="W142" s="463">
        <f t="shared" si="352"/>
        <v>155</v>
      </c>
      <c r="X142" s="463">
        <f t="shared" si="352"/>
        <v>185</v>
      </c>
      <c r="Y142" s="465">
        <f t="shared" si="352"/>
        <v>169</v>
      </c>
      <c r="AA142" s="513"/>
      <c r="AB142" s="563"/>
      <c r="AC142" s="574"/>
      <c r="AD142" s="575" t="s">
        <v>30</v>
      </c>
      <c r="AE142" s="175">
        <f t="shared" ref="AE142:AQ142" si="353">IFERROR(AE141/AE140,0)</f>
        <v>153.08134490238612</v>
      </c>
      <c r="AF142" s="176">
        <f t="shared" si="353"/>
        <v>171.9047619047619</v>
      </c>
      <c r="AG142" s="177">
        <f t="shared" si="353"/>
        <v>167.14285714285714</v>
      </c>
      <c r="AH142" s="177">
        <f t="shared" si="353"/>
        <v>155.67567567567568</v>
      </c>
      <c r="AI142" s="177">
        <f t="shared" si="353"/>
        <v>144.25641025641025</v>
      </c>
      <c r="AJ142" s="177">
        <f t="shared" si="353"/>
        <v>146.66666666666666</v>
      </c>
      <c r="AK142" s="177">
        <f t="shared" si="353"/>
        <v>162.89473684210526</v>
      </c>
      <c r="AL142" s="177">
        <f t="shared" si="353"/>
        <v>175</v>
      </c>
      <c r="AM142" s="177">
        <f t="shared" si="353"/>
        <v>164.82758620689654</v>
      </c>
      <c r="AN142" s="177">
        <f t="shared" si="353"/>
        <v>144.70588235294119</v>
      </c>
      <c r="AO142" s="177">
        <f t="shared" si="353"/>
        <v>143.14492753623188</v>
      </c>
      <c r="AP142" s="177">
        <f t="shared" si="353"/>
        <v>148.95161290322579</v>
      </c>
      <c r="AQ142" s="179">
        <f t="shared" si="353"/>
        <v>144.83870967741936</v>
      </c>
    </row>
    <row r="143" spans="2:43" ht="7.8" customHeight="1" x14ac:dyDescent="0.25">
      <c r="B143" s="282"/>
      <c r="C143" s="404"/>
      <c r="D143" s="472" t="s">
        <v>43</v>
      </c>
      <c r="E143" s="425" t="s">
        <v>32</v>
      </c>
      <c r="F143" s="426">
        <f t="shared" ref="F143:Y145" si="354">F140-F137</f>
        <v>-114</v>
      </c>
      <c r="G143" s="426">
        <f t="shared" si="354"/>
        <v>-625</v>
      </c>
      <c r="H143" s="426">
        <f t="shared" si="354"/>
        <v>230</v>
      </c>
      <c r="I143" s="427">
        <f t="shared" si="354"/>
        <v>57</v>
      </c>
      <c r="J143" s="428">
        <f t="shared" si="354"/>
        <v>129</v>
      </c>
      <c r="K143" s="428">
        <f t="shared" si="354"/>
        <v>44</v>
      </c>
      <c r="L143" s="428">
        <f t="shared" si="354"/>
        <v>0</v>
      </c>
      <c r="M143" s="429">
        <f t="shared" si="354"/>
        <v>0</v>
      </c>
      <c r="N143" s="426">
        <f t="shared" si="354"/>
        <v>380</v>
      </c>
      <c r="O143" s="427">
        <f t="shared" si="354"/>
        <v>109</v>
      </c>
      <c r="P143" s="428">
        <f t="shared" si="354"/>
        <v>304</v>
      </c>
      <c r="Q143" s="428">
        <f t="shared" si="354"/>
        <v>-26</v>
      </c>
      <c r="R143" s="428">
        <f t="shared" si="354"/>
        <v>0</v>
      </c>
      <c r="S143" s="429">
        <f t="shared" si="354"/>
        <v>-7</v>
      </c>
      <c r="T143" s="426">
        <f t="shared" si="354"/>
        <v>-99</v>
      </c>
      <c r="U143" s="427">
        <f t="shared" si="354"/>
        <v>-230</v>
      </c>
      <c r="V143" s="428">
        <f t="shared" si="354"/>
        <v>392</v>
      </c>
      <c r="W143" s="428">
        <f t="shared" si="354"/>
        <v>-116</v>
      </c>
      <c r="X143" s="428">
        <f t="shared" si="354"/>
        <v>-159</v>
      </c>
      <c r="Y143" s="430">
        <f t="shared" si="354"/>
        <v>14</v>
      </c>
      <c r="AA143" s="513"/>
      <c r="AB143" s="563"/>
      <c r="AC143" s="576" t="s">
        <v>43</v>
      </c>
      <c r="AD143" s="569" t="s">
        <v>32</v>
      </c>
      <c r="AE143" s="435">
        <f t="shared" ref="AE143:AQ145" si="355">AE140-AE137</f>
        <v>1815</v>
      </c>
      <c r="AF143" s="436">
        <f t="shared" si="355"/>
        <v>128</v>
      </c>
      <c r="AG143" s="437">
        <f t="shared" si="355"/>
        <v>230</v>
      </c>
      <c r="AH143" s="437">
        <f t="shared" si="355"/>
        <v>-100</v>
      </c>
      <c r="AI143" s="437">
        <f t="shared" si="355"/>
        <v>-213</v>
      </c>
      <c r="AJ143" s="437">
        <f t="shared" si="355"/>
        <v>104</v>
      </c>
      <c r="AK143" s="437">
        <f t="shared" si="355"/>
        <v>-18</v>
      </c>
      <c r="AL143" s="437">
        <f t="shared" si="355"/>
        <v>32</v>
      </c>
      <c r="AM143" s="437">
        <f t="shared" si="355"/>
        <v>-191</v>
      </c>
      <c r="AN143" s="437">
        <f t="shared" si="355"/>
        <v>68</v>
      </c>
      <c r="AO143" s="437">
        <f t="shared" si="355"/>
        <v>690</v>
      </c>
      <c r="AP143" s="437">
        <f t="shared" si="355"/>
        <v>620</v>
      </c>
      <c r="AQ143" s="439">
        <f t="shared" si="355"/>
        <v>465</v>
      </c>
    </row>
    <row r="144" spans="2:43" s="366" customFormat="1" ht="7.8" customHeight="1" x14ac:dyDescent="0.25">
      <c r="B144" s="282"/>
      <c r="C144" s="404"/>
      <c r="D144" s="405"/>
      <c r="E144" s="474" t="s">
        <v>33</v>
      </c>
      <c r="F144" s="407">
        <f t="shared" si="354"/>
        <v>-464.75</v>
      </c>
      <c r="G144" s="407">
        <f t="shared" si="354"/>
        <v>-97185</v>
      </c>
      <c r="H144" s="407">
        <f t="shared" si="354"/>
        <v>38088</v>
      </c>
      <c r="I144" s="408">
        <f t="shared" si="354"/>
        <v>9522</v>
      </c>
      <c r="J144" s="409">
        <f t="shared" si="354"/>
        <v>21270</v>
      </c>
      <c r="K144" s="409">
        <f t="shared" si="354"/>
        <v>7296</v>
      </c>
      <c r="L144" s="409">
        <f t="shared" si="354"/>
        <v>0</v>
      </c>
      <c r="M144" s="410">
        <f t="shared" si="354"/>
        <v>0</v>
      </c>
      <c r="N144" s="407">
        <f t="shared" si="354"/>
        <v>55573</v>
      </c>
      <c r="O144" s="408">
        <f t="shared" si="354"/>
        <v>11203</v>
      </c>
      <c r="P144" s="409">
        <f t="shared" si="354"/>
        <v>49965</v>
      </c>
      <c r="Q144" s="409">
        <f t="shared" si="354"/>
        <v>-4370</v>
      </c>
      <c r="R144" s="409">
        <f t="shared" si="354"/>
        <v>0</v>
      </c>
      <c r="S144" s="410">
        <f t="shared" si="354"/>
        <v>-1225</v>
      </c>
      <c r="T144" s="407">
        <f t="shared" si="354"/>
        <v>3059.25</v>
      </c>
      <c r="U144" s="408">
        <f t="shared" si="354"/>
        <v>-43812.800000000017</v>
      </c>
      <c r="V144" s="409">
        <f t="shared" si="354"/>
        <v>69632.94</v>
      </c>
      <c r="W144" s="409">
        <f t="shared" si="354"/>
        <v>5170.1100000000151</v>
      </c>
      <c r="X144" s="409">
        <f t="shared" si="354"/>
        <v>-30364</v>
      </c>
      <c r="Y144" s="411">
        <f t="shared" si="354"/>
        <v>2433</v>
      </c>
      <c r="AA144" s="513"/>
      <c r="AB144" s="563"/>
      <c r="AC144" s="577"/>
      <c r="AD144" s="578" t="s">
        <v>33</v>
      </c>
      <c r="AE144" s="448">
        <f t="shared" si="355"/>
        <v>256460</v>
      </c>
      <c r="AF144" s="449">
        <f t="shared" si="355"/>
        <v>20039</v>
      </c>
      <c r="AG144" s="450">
        <f t="shared" si="355"/>
        <v>38088</v>
      </c>
      <c r="AH144" s="450">
        <f t="shared" si="355"/>
        <v>-24110</v>
      </c>
      <c r="AI144" s="450">
        <f t="shared" si="355"/>
        <v>-30493</v>
      </c>
      <c r="AJ144" s="450">
        <f t="shared" si="355"/>
        <v>14820</v>
      </c>
      <c r="AK144" s="450">
        <f t="shared" si="355"/>
        <v>-2661</v>
      </c>
      <c r="AL144" s="450">
        <f t="shared" si="355"/>
        <v>5120</v>
      </c>
      <c r="AM144" s="450">
        <f t="shared" si="355"/>
        <v>-33198</v>
      </c>
      <c r="AN144" s="450">
        <f t="shared" si="355"/>
        <v>10385</v>
      </c>
      <c r="AO144" s="450">
        <f t="shared" si="355"/>
        <v>98770</v>
      </c>
      <c r="AP144" s="450">
        <f t="shared" si="355"/>
        <v>92350</v>
      </c>
      <c r="AQ144" s="452">
        <f t="shared" si="355"/>
        <v>67350</v>
      </c>
    </row>
    <row r="145" spans="2:43" ht="7.8" customHeight="1" x14ac:dyDescent="0.25">
      <c r="B145" s="282"/>
      <c r="C145" s="404"/>
      <c r="D145" s="415"/>
      <c r="E145" s="416" t="s">
        <v>30</v>
      </c>
      <c r="F145" s="417">
        <f t="shared" si="354"/>
        <v>3.7638766162568231</v>
      </c>
      <c r="G145" s="417">
        <f t="shared" si="354"/>
        <v>-155.49600000000001</v>
      </c>
      <c r="H145" s="417">
        <f t="shared" si="354"/>
        <v>-2.9571428571428555</v>
      </c>
      <c r="I145" s="418">
        <f t="shared" si="354"/>
        <v>1.2580645161290249</v>
      </c>
      <c r="J145" s="419">
        <f t="shared" si="354"/>
        <v>-31.428571428571416</v>
      </c>
      <c r="K145" s="419">
        <f t="shared" si="354"/>
        <v>6</v>
      </c>
      <c r="L145" s="419">
        <f t="shared" si="354"/>
        <v>0</v>
      </c>
      <c r="M145" s="420">
        <f t="shared" si="354"/>
        <v>0</v>
      </c>
      <c r="N145" s="417">
        <f t="shared" si="354"/>
        <v>-11.714367629557501</v>
      </c>
      <c r="O145" s="418">
        <f t="shared" si="354"/>
        <v>-13.543438077634022</v>
      </c>
      <c r="P145" s="419">
        <f t="shared" si="354"/>
        <v>-11.746575342465746</v>
      </c>
      <c r="Q145" s="419">
        <f t="shared" si="354"/>
        <v>3.2291666666666572</v>
      </c>
      <c r="R145" s="419">
        <f t="shared" si="354"/>
        <v>0</v>
      </c>
      <c r="S145" s="420">
        <f t="shared" si="354"/>
        <v>-175</v>
      </c>
      <c r="T145" s="417">
        <f t="shared" si="354"/>
        <v>5.7503353205931091</v>
      </c>
      <c r="U145" s="418">
        <f t="shared" si="354"/>
        <v>-8.523444976076604</v>
      </c>
      <c r="V145" s="419">
        <f t="shared" si="354"/>
        <v>4.9670476190476336</v>
      </c>
      <c r="W145" s="419">
        <f t="shared" si="354"/>
        <v>16.121246518105863</v>
      </c>
      <c r="X145" s="419">
        <f t="shared" si="354"/>
        <v>-4.0555555555555429</v>
      </c>
      <c r="Y145" s="421">
        <f t="shared" si="354"/>
        <v>1.0806451612903345</v>
      </c>
      <c r="AA145" s="513"/>
      <c r="AB145" s="563"/>
      <c r="AC145" s="579"/>
      <c r="AD145" s="567" t="s">
        <v>30</v>
      </c>
      <c r="AE145" s="461">
        <f t="shared" si="355"/>
        <v>-7.650318782765936</v>
      </c>
      <c r="AF145" s="462">
        <f t="shared" si="355"/>
        <v>-23.961091753774696</v>
      </c>
      <c r="AG145" s="463">
        <f t="shared" si="355"/>
        <v>-2.9571428571428555</v>
      </c>
      <c r="AH145" s="463">
        <f t="shared" si="355"/>
        <v>-18.175388154111545</v>
      </c>
      <c r="AI145" s="463">
        <f t="shared" si="355"/>
        <v>0.38742186503378662</v>
      </c>
      <c r="AJ145" s="463">
        <f t="shared" si="355"/>
        <v>-2.2108843537415055</v>
      </c>
      <c r="AK145" s="463">
        <f t="shared" si="355"/>
        <v>0.68116900290928584</v>
      </c>
      <c r="AL145" s="463">
        <f t="shared" si="355"/>
        <v>-2.7745664739884432</v>
      </c>
      <c r="AM145" s="463">
        <f t="shared" si="355"/>
        <v>-3.5674241881138471</v>
      </c>
      <c r="AN145" s="463">
        <f t="shared" si="355"/>
        <v>2.0036764705882604</v>
      </c>
      <c r="AO145" s="463">
        <f t="shared" si="355"/>
        <v>143.14492753623188</v>
      </c>
      <c r="AP145" s="463">
        <f t="shared" si="355"/>
        <v>148.95161290322579</v>
      </c>
      <c r="AQ145" s="465">
        <f t="shared" si="355"/>
        <v>144.83870967741936</v>
      </c>
    </row>
    <row r="146" spans="2:43" ht="7.8" customHeight="1" x14ac:dyDescent="0.25">
      <c r="B146" s="282"/>
      <c r="C146" s="404"/>
      <c r="D146" s="472" t="s">
        <v>44</v>
      </c>
      <c r="E146" s="425" t="s">
        <v>32</v>
      </c>
      <c r="F146" s="478">
        <f t="shared" ref="F146:Y148" si="356">IFERROR((F140-F137)/ABS(F137),"")</f>
        <v>-2.3553719008264463E-2</v>
      </c>
      <c r="G146" s="478">
        <f t="shared" si="356"/>
        <v>-1</v>
      </c>
      <c r="H146" s="478">
        <f t="shared" si="356"/>
        <v>1.9166666666666667</v>
      </c>
      <c r="I146" s="479">
        <f t="shared" si="356"/>
        <v>0.61290322580645162</v>
      </c>
      <c r="J146" s="480">
        <f t="shared" si="356"/>
        <v>6.1428571428571432</v>
      </c>
      <c r="K146" s="480">
        <f t="shared" si="356"/>
        <v>7.333333333333333</v>
      </c>
      <c r="L146" s="480" t="str">
        <f t="shared" si="356"/>
        <v/>
      </c>
      <c r="M146" s="481" t="str">
        <f t="shared" si="356"/>
        <v/>
      </c>
      <c r="N146" s="478">
        <f t="shared" si="356"/>
        <v>0.48101265822784811</v>
      </c>
      <c r="O146" s="479">
        <f t="shared" si="356"/>
        <v>0.20147874306839186</v>
      </c>
      <c r="P146" s="480">
        <f t="shared" si="356"/>
        <v>2.0821917808219177</v>
      </c>
      <c r="Q146" s="480">
        <f t="shared" si="356"/>
        <v>-0.27083333333333331</v>
      </c>
      <c r="R146" s="480" t="str">
        <f t="shared" si="356"/>
        <v/>
      </c>
      <c r="S146" s="481">
        <f t="shared" si="356"/>
        <v>-1</v>
      </c>
      <c r="T146" s="478">
        <f t="shared" si="356"/>
        <v>-2.995461422087746E-2</v>
      </c>
      <c r="U146" s="479">
        <f t="shared" si="356"/>
        <v>-0.55023923444976075</v>
      </c>
      <c r="V146" s="480">
        <f t="shared" si="356"/>
        <v>0.33939393939393941</v>
      </c>
      <c r="W146" s="480">
        <f t="shared" si="356"/>
        <v>-8.0779944289693595E-2</v>
      </c>
      <c r="X146" s="480">
        <f t="shared" si="356"/>
        <v>-0.67948717948717952</v>
      </c>
      <c r="Y146" s="482">
        <f t="shared" si="356"/>
        <v>0.22580645161290322</v>
      </c>
      <c r="AA146" s="513"/>
      <c r="AB146" s="563"/>
      <c r="AC146" s="576" t="s">
        <v>44</v>
      </c>
      <c r="AD146" s="569" t="s">
        <v>32</v>
      </c>
      <c r="AE146" s="580">
        <f t="shared" ref="AE146:AQ148" si="357">IFERROR((AE140-AE137)/ABS(AE137),"")</f>
        <v>0.6493738819320215</v>
      </c>
      <c r="AF146" s="581">
        <f t="shared" si="357"/>
        <v>1.5609756097560976</v>
      </c>
      <c r="AG146" s="582">
        <f t="shared" si="357"/>
        <v>1.9166666666666667</v>
      </c>
      <c r="AH146" s="582">
        <f t="shared" si="357"/>
        <v>-0.21276595744680851</v>
      </c>
      <c r="AI146" s="582">
        <f t="shared" si="357"/>
        <v>-0.35323383084577115</v>
      </c>
      <c r="AJ146" s="582">
        <f t="shared" si="357"/>
        <v>0.53061224489795922</v>
      </c>
      <c r="AK146" s="582">
        <f t="shared" si="357"/>
        <v>-4.5226130653266333E-2</v>
      </c>
      <c r="AL146" s="582">
        <f t="shared" si="357"/>
        <v>0.18497109826589594</v>
      </c>
      <c r="AM146" s="582">
        <f t="shared" si="357"/>
        <v>-0.39708939708939711</v>
      </c>
      <c r="AN146" s="582">
        <f t="shared" si="357"/>
        <v>0.25</v>
      </c>
      <c r="AO146" s="582" t="str">
        <f t="shared" si="357"/>
        <v/>
      </c>
      <c r="AP146" s="582" t="str">
        <f t="shared" si="357"/>
        <v/>
      </c>
      <c r="AQ146" s="583" t="str">
        <f t="shared" si="357"/>
        <v/>
      </c>
    </row>
    <row r="147" spans="2:43" ht="7.8" customHeight="1" x14ac:dyDescent="0.25">
      <c r="B147" s="282"/>
      <c r="C147" s="404"/>
      <c r="D147" s="405"/>
      <c r="E147" s="483" t="s">
        <v>33</v>
      </c>
      <c r="F147" s="484">
        <f t="shared" si="356"/>
        <v>-5.9972017359947278E-4</v>
      </c>
      <c r="G147" s="484">
        <f t="shared" si="356"/>
        <v>-1</v>
      </c>
      <c r="H147" s="484">
        <f t="shared" si="356"/>
        <v>1.8659611992945326</v>
      </c>
      <c r="I147" s="485">
        <f t="shared" si="356"/>
        <v>0.62529550827423164</v>
      </c>
      <c r="J147" s="486">
        <f t="shared" si="356"/>
        <v>5.0283687943262407</v>
      </c>
      <c r="K147" s="486">
        <f t="shared" si="356"/>
        <v>7.6477987421383649</v>
      </c>
      <c r="L147" s="486" t="str">
        <f t="shared" si="356"/>
        <v/>
      </c>
      <c r="M147" s="487" t="str">
        <f t="shared" si="356"/>
        <v/>
      </c>
      <c r="N147" s="484">
        <f t="shared" si="356"/>
        <v>0.38585126399911129</v>
      </c>
      <c r="O147" s="485">
        <f t="shared" si="356"/>
        <v>0.1128231467214518</v>
      </c>
      <c r="P147" s="486">
        <f t="shared" si="356"/>
        <v>1.8829847371396269</v>
      </c>
      <c r="Q147" s="486">
        <f t="shared" si="356"/>
        <v>-0.25751325869180908</v>
      </c>
      <c r="R147" s="486" t="str">
        <f t="shared" si="356"/>
        <v/>
      </c>
      <c r="S147" s="487">
        <f t="shared" si="356"/>
        <v>-1</v>
      </c>
      <c r="T147" s="484">
        <f t="shared" si="356"/>
        <v>5.9597240127152468E-3</v>
      </c>
      <c r="U147" s="485">
        <f t="shared" si="356"/>
        <v>-0.57112763450167392</v>
      </c>
      <c r="V147" s="486">
        <f t="shared" si="356"/>
        <v>0.38149170050895193</v>
      </c>
      <c r="W147" s="486">
        <f t="shared" si="356"/>
        <v>2.5924448937920067E-2</v>
      </c>
      <c r="X147" s="486">
        <f t="shared" si="356"/>
        <v>-0.68636271163453066</v>
      </c>
      <c r="Y147" s="488">
        <f t="shared" si="356"/>
        <v>0.23369513015080204</v>
      </c>
      <c r="AA147" s="513"/>
      <c r="AB147" s="563"/>
      <c r="AC147" s="577"/>
      <c r="AD147" s="584" t="s">
        <v>33</v>
      </c>
      <c r="AE147" s="585">
        <f t="shared" si="357"/>
        <v>0.57086890226936304</v>
      </c>
      <c r="AF147" s="586">
        <f t="shared" si="357"/>
        <v>1.2476807172654256</v>
      </c>
      <c r="AG147" s="587">
        <f t="shared" si="357"/>
        <v>1.8659611992945326</v>
      </c>
      <c r="AH147" s="587">
        <f t="shared" si="357"/>
        <v>-0.29506792314282215</v>
      </c>
      <c r="AI147" s="587">
        <f t="shared" si="357"/>
        <v>-0.35149216741784145</v>
      </c>
      <c r="AJ147" s="587">
        <f t="shared" si="357"/>
        <v>0.5078821110349554</v>
      </c>
      <c r="AK147" s="587">
        <f t="shared" si="357"/>
        <v>-4.1216833692167096E-2</v>
      </c>
      <c r="AL147" s="587">
        <f t="shared" si="357"/>
        <v>0.16647699561046983</v>
      </c>
      <c r="AM147" s="587">
        <f t="shared" si="357"/>
        <v>-0.40986197190054074</v>
      </c>
      <c r="AN147" s="587">
        <f t="shared" si="357"/>
        <v>0.26755120443127656</v>
      </c>
      <c r="AO147" s="587" t="str">
        <f t="shared" si="357"/>
        <v/>
      </c>
      <c r="AP147" s="587" t="str">
        <f t="shared" si="357"/>
        <v/>
      </c>
      <c r="AQ147" s="588" t="str">
        <f t="shared" si="357"/>
        <v/>
      </c>
    </row>
    <row r="148" spans="2:43" ht="7.8" customHeight="1" x14ac:dyDescent="0.25">
      <c r="B148" s="282"/>
      <c r="C148" s="490"/>
      <c r="D148" s="405"/>
      <c r="E148" s="483" t="s">
        <v>30</v>
      </c>
      <c r="F148" s="484">
        <f t="shared" si="356"/>
        <v>2.350769241637294E-2</v>
      </c>
      <c r="G148" s="484">
        <f t="shared" si="356"/>
        <v>-1</v>
      </c>
      <c r="H148" s="484">
        <f t="shared" si="356"/>
        <v>-1.7384731670445946E-2</v>
      </c>
      <c r="I148" s="485">
        <f t="shared" si="356"/>
        <v>7.6832151300235954E-3</v>
      </c>
      <c r="J148" s="486">
        <f t="shared" si="356"/>
        <v>-0.15602836879432619</v>
      </c>
      <c r="K148" s="486">
        <f t="shared" si="356"/>
        <v>3.7735849056603772E-2</v>
      </c>
      <c r="L148" s="486" t="str">
        <f t="shared" si="356"/>
        <v/>
      </c>
      <c r="M148" s="487" t="str">
        <f t="shared" si="356"/>
        <v/>
      </c>
      <c r="N148" s="484">
        <f t="shared" si="356"/>
        <v>-6.4254274735642797E-2</v>
      </c>
      <c r="O148" s="485">
        <f t="shared" si="356"/>
        <v>-7.3788734805684014E-2</v>
      </c>
      <c r="P148" s="486">
        <f t="shared" si="356"/>
        <v>-6.4631618616921016E-2</v>
      </c>
      <c r="Q148" s="486">
        <f t="shared" si="356"/>
        <v>1.8267530936947499E-2</v>
      </c>
      <c r="R148" s="486" t="str">
        <f t="shared" si="356"/>
        <v/>
      </c>
      <c r="S148" s="487">
        <f t="shared" si="356"/>
        <v>-1</v>
      </c>
      <c r="T148" s="484">
        <f t="shared" si="356"/>
        <v>3.7023358659396148E-2</v>
      </c>
      <c r="U148" s="485">
        <f t="shared" si="356"/>
        <v>-4.6443357562232369E-2</v>
      </c>
      <c r="V148" s="486">
        <f t="shared" si="356"/>
        <v>3.1430455131118015E-2</v>
      </c>
      <c r="W148" s="486">
        <f t="shared" si="356"/>
        <v>0.11608144596579792</v>
      </c>
      <c r="X148" s="486">
        <f t="shared" si="356"/>
        <v>-2.1451660299735463E-2</v>
      </c>
      <c r="Y148" s="488">
        <f t="shared" si="356"/>
        <v>6.4355009124964693E-3</v>
      </c>
      <c r="AA148" s="513"/>
      <c r="AB148" s="563"/>
      <c r="AC148" s="577"/>
      <c r="AD148" s="584" t="s">
        <v>30</v>
      </c>
      <c r="AE148" s="585">
        <f t="shared" si="357"/>
        <v>-4.7596836910440386E-2</v>
      </c>
      <c r="AF148" s="586">
        <f t="shared" si="357"/>
        <v>-0.12233419611540533</v>
      </c>
      <c r="AG148" s="587">
        <f t="shared" si="357"/>
        <v>-1.7384731670445946E-2</v>
      </c>
      <c r="AH148" s="587">
        <f t="shared" si="357"/>
        <v>-0.10454574020844971</v>
      </c>
      <c r="AI148" s="587">
        <f t="shared" si="357"/>
        <v>2.6928796077988464E-3</v>
      </c>
      <c r="AJ148" s="587">
        <f t="shared" si="357"/>
        <v>-1.4850354123829167E-2</v>
      </c>
      <c r="AK148" s="587">
        <f t="shared" si="357"/>
        <v>4.1992110276776349E-3</v>
      </c>
      <c r="AL148" s="587">
        <f t="shared" si="357"/>
        <v>-1.560721833848157E-2</v>
      </c>
      <c r="AM148" s="587">
        <f t="shared" si="357"/>
        <v>-2.1184856841931412E-2</v>
      </c>
      <c r="AN148" s="587">
        <f t="shared" si="357"/>
        <v>1.4040963545021433E-2</v>
      </c>
      <c r="AO148" s="587" t="str">
        <f t="shared" si="357"/>
        <v/>
      </c>
      <c r="AP148" s="587" t="str">
        <f t="shared" si="357"/>
        <v/>
      </c>
      <c r="AQ148" s="588" t="str">
        <f t="shared" si="357"/>
        <v/>
      </c>
    </row>
    <row r="149" spans="2:43" ht="7.8" customHeight="1" x14ac:dyDescent="0.25">
      <c r="B149" s="282"/>
      <c r="C149" s="491" t="s">
        <v>49</v>
      </c>
      <c r="D149" s="492" t="s">
        <v>39</v>
      </c>
      <c r="E149" s="493" t="s">
        <v>32</v>
      </c>
      <c r="F149" s="494">
        <f t="shared" ref="F149:F150" si="358">SUM(G149,H149,N149,T149)</f>
        <v>0</v>
      </c>
      <c r="G149" s="494"/>
      <c r="H149" s="494">
        <f t="shared" ref="H149:H150" si="359">SUM(I149:M149)</f>
        <v>0</v>
      </c>
      <c r="I149" s="495"/>
      <c r="J149" s="496"/>
      <c r="K149" s="496"/>
      <c r="L149" s="496"/>
      <c r="M149" s="497"/>
      <c r="N149" s="494">
        <f t="shared" ref="N149:N150" si="360">SUM(O149:S149)</f>
        <v>0</v>
      </c>
      <c r="O149" s="495"/>
      <c r="P149" s="496"/>
      <c r="Q149" s="496"/>
      <c r="R149" s="496"/>
      <c r="S149" s="497"/>
      <c r="T149" s="494">
        <f t="shared" ref="T149:T150" si="361">SUM(U149:Y149)</f>
        <v>0</v>
      </c>
      <c r="U149" s="495"/>
      <c r="V149" s="496"/>
      <c r="W149" s="496"/>
      <c r="X149" s="496"/>
      <c r="Y149" s="498"/>
      <c r="AA149" s="513"/>
      <c r="AB149" s="589" t="s">
        <v>49</v>
      </c>
      <c r="AC149" s="590" t="s">
        <v>39</v>
      </c>
      <c r="AD149" s="591" t="s">
        <v>32</v>
      </c>
      <c r="AE149" s="592">
        <f t="shared" ref="AE149:AE150" si="362">SUM(AF149:AQ149)</f>
        <v>0</v>
      </c>
      <c r="AF149" s="593">
        <f t="shared" ref="AF149:AQ150" si="363">SUM(AF203,AF257,AF311,AF365,AF419)</f>
        <v>0</v>
      </c>
      <c r="AG149" s="594">
        <f t="shared" si="363"/>
        <v>0</v>
      </c>
      <c r="AH149" s="594">
        <f t="shared" si="363"/>
        <v>0</v>
      </c>
      <c r="AI149" s="594">
        <f t="shared" si="363"/>
        <v>0</v>
      </c>
      <c r="AJ149" s="594">
        <f t="shared" si="363"/>
        <v>0</v>
      </c>
      <c r="AK149" s="594">
        <f t="shared" si="363"/>
        <v>0</v>
      </c>
      <c r="AL149" s="594">
        <f t="shared" si="363"/>
        <v>0</v>
      </c>
      <c r="AM149" s="594">
        <f t="shared" si="363"/>
        <v>0</v>
      </c>
      <c r="AN149" s="594">
        <f t="shared" si="363"/>
        <v>0</v>
      </c>
      <c r="AO149" s="594">
        <f t="shared" si="363"/>
        <v>0</v>
      </c>
      <c r="AP149" s="594">
        <f t="shared" si="363"/>
        <v>0</v>
      </c>
      <c r="AQ149" s="595">
        <f t="shared" si="363"/>
        <v>0</v>
      </c>
    </row>
    <row r="150" spans="2:43" s="41" customFormat="1" ht="7.8" customHeight="1" x14ac:dyDescent="0.25">
      <c r="B150" s="282"/>
      <c r="C150" s="404"/>
      <c r="D150" s="405"/>
      <c r="E150" s="406" t="s">
        <v>33</v>
      </c>
      <c r="F150" s="407">
        <f t="shared" si="358"/>
        <v>0</v>
      </c>
      <c r="G150" s="407"/>
      <c r="H150" s="407">
        <f t="shared" si="359"/>
        <v>0</v>
      </c>
      <c r="I150" s="408"/>
      <c r="J150" s="409"/>
      <c r="K150" s="409"/>
      <c r="L150" s="409"/>
      <c r="M150" s="410"/>
      <c r="N150" s="407">
        <f t="shared" si="360"/>
        <v>0</v>
      </c>
      <c r="O150" s="408"/>
      <c r="P150" s="409"/>
      <c r="Q150" s="409"/>
      <c r="R150" s="409"/>
      <c r="S150" s="410"/>
      <c r="T150" s="407">
        <f t="shared" si="361"/>
        <v>0</v>
      </c>
      <c r="U150" s="408"/>
      <c r="V150" s="409"/>
      <c r="W150" s="409"/>
      <c r="X150" s="409"/>
      <c r="Y150" s="411"/>
      <c r="AA150" s="513"/>
      <c r="AB150" s="563"/>
      <c r="AC150" s="564"/>
      <c r="AD150" s="565" t="s">
        <v>33</v>
      </c>
      <c r="AE150" s="448">
        <f t="shared" si="362"/>
        <v>0</v>
      </c>
      <c r="AF150" s="449">
        <f t="shared" si="363"/>
        <v>0</v>
      </c>
      <c r="AG150" s="450">
        <f t="shared" si="363"/>
        <v>0</v>
      </c>
      <c r="AH150" s="450">
        <f t="shared" si="363"/>
        <v>0</v>
      </c>
      <c r="AI150" s="450">
        <f t="shared" si="363"/>
        <v>0</v>
      </c>
      <c r="AJ150" s="450">
        <f t="shared" si="363"/>
        <v>0</v>
      </c>
      <c r="AK150" s="450">
        <f t="shared" si="363"/>
        <v>0</v>
      </c>
      <c r="AL150" s="450">
        <f t="shared" si="363"/>
        <v>0</v>
      </c>
      <c r="AM150" s="450">
        <f t="shared" si="363"/>
        <v>0</v>
      </c>
      <c r="AN150" s="450">
        <f t="shared" si="363"/>
        <v>0</v>
      </c>
      <c r="AO150" s="450">
        <f t="shared" si="363"/>
        <v>0</v>
      </c>
      <c r="AP150" s="450">
        <f t="shared" si="363"/>
        <v>0</v>
      </c>
      <c r="AQ150" s="452">
        <f t="shared" si="363"/>
        <v>0</v>
      </c>
    </row>
    <row r="151" spans="2:43" ht="7.8" customHeight="1" x14ac:dyDescent="0.25">
      <c r="B151" s="282"/>
      <c r="C151" s="404"/>
      <c r="D151" s="415"/>
      <c r="E151" s="416" t="s">
        <v>30</v>
      </c>
      <c r="F151" s="417">
        <f t="shared" ref="F151:Y151" si="364">IFERROR(F150/F149,0)</f>
        <v>0</v>
      </c>
      <c r="G151" s="417">
        <f t="shared" si="364"/>
        <v>0</v>
      </c>
      <c r="H151" s="417">
        <f t="shared" si="364"/>
        <v>0</v>
      </c>
      <c r="I151" s="418">
        <f t="shared" si="364"/>
        <v>0</v>
      </c>
      <c r="J151" s="419">
        <f t="shared" si="364"/>
        <v>0</v>
      </c>
      <c r="K151" s="419">
        <f t="shared" si="364"/>
        <v>0</v>
      </c>
      <c r="L151" s="419">
        <f t="shared" si="364"/>
        <v>0</v>
      </c>
      <c r="M151" s="420">
        <f t="shared" si="364"/>
        <v>0</v>
      </c>
      <c r="N151" s="417">
        <f t="shared" si="364"/>
        <v>0</v>
      </c>
      <c r="O151" s="418">
        <f t="shared" si="364"/>
        <v>0</v>
      </c>
      <c r="P151" s="419">
        <f t="shared" si="364"/>
        <v>0</v>
      </c>
      <c r="Q151" s="419">
        <f t="shared" si="364"/>
        <v>0</v>
      </c>
      <c r="R151" s="419">
        <f t="shared" si="364"/>
        <v>0</v>
      </c>
      <c r="S151" s="420">
        <f t="shared" si="364"/>
        <v>0</v>
      </c>
      <c r="T151" s="417">
        <f t="shared" si="364"/>
        <v>0</v>
      </c>
      <c r="U151" s="418">
        <f t="shared" si="364"/>
        <v>0</v>
      </c>
      <c r="V151" s="419">
        <f t="shared" si="364"/>
        <v>0</v>
      </c>
      <c r="W151" s="419">
        <f t="shared" si="364"/>
        <v>0</v>
      </c>
      <c r="X151" s="419">
        <f t="shared" si="364"/>
        <v>0</v>
      </c>
      <c r="Y151" s="421">
        <f t="shared" si="364"/>
        <v>0</v>
      </c>
      <c r="AA151" s="513"/>
      <c r="AB151" s="563"/>
      <c r="AC151" s="566"/>
      <c r="AD151" s="567" t="s">
        <v>30</v>
      </c>
      <c r="AE151" s="461">
        <f t="shared" ref="AE151:AQ151" si="365">IFERROR(AE150/AE149,0)</f>
        <v>0</v>
      </c>
      <c r="AF151" s="462">
        <f t="shared" si="365"/>
        <v>0</v>
      </c>
      <c r="AG151" s="463">
        <f t="shared" si="365"/>
        <v>0</v>
      </c>
      <c r="AH151" s="463">
        <f t="shared" si="365"/>
        <v>0</v>
      </c>
      <c r="AI151" s="463">
        <f t="shared" si="365"/>
        <v>0</v>
      </c>
      <c r="AJ151" s="463">
        <f t="shared" si="365"/>
        <v>0</v>
      </c>
      <c r="AK151" s="463">
        <f t="shared" si="365"/>
        <v>0</v>
      </c>
      <c r="AL151" s="463">
        <f t="shared" si="365"/>
        <v>0</v>
      </c>
      <c r="AM151" s="463">
        <f t="shared" si="365"/>
        <v>0</v>
      </c>
      <c r="AN151" s="463">
        <f t="shared" si="365"/>
        <v>0</v>
      </c>
      <c r="AO151" s="463">
        <f t="shared" si="365"/>
        <v>0</v>
      </c>
      <c r="AP151" s="463">
        <f t="shared" si="365"/>
        <v>0</v>
      </c>
      <c r="AQ151" s="465">
        <f t="shared" si="365"/>
        <v>0</v>
      </c>
    </row>
    <row r="152" spans="2:43" ht="7.8" customHeight="1" x14ac:dyDescent="0.25">
      <c r="B152" s="282"/>
      <c r="C152" s="404"/>
      <c r="D152" s="424" t="s">
        <v>40</v>
      </c>
      <c r="E152" s="425" t="s">
        <v>32</v>
      </c>
      <c r="F152" s="426">
        <f t="shared" ref="F152:F153" si="366">SUM(G152,H152,N152,T152)</f>
        <v>2072</v>
      </c>
      <c r="G152" s="426">
        <v>152</v>
      </c>
      <c r="H152" s="426">
        <f t="shared" ref="H152:H153" si="367">SUM(I152:M152)</f>
        <v>173</v>
      </c>
      <c r="I152" s="427">
        <v>79</v>
      </c>
      <c r="J152" s="428">
        <v>0</v>
      </c>
      <c r="K152" s="428">
        <v>20</v>
      </c>
      <c r="L152" s="428">
        <v>0</v>
      </c>
      <c r="M152" s="429">
        <v>74</v>
      </c>
      <c r="N152" s="426">
        <f t="shared" ref="N152:N153" si="368">SUM(O152:S152)</f>
        <v>402</v>
      </c>
      <c r="O152" s="427">
        <v>308</v>
      </c>
      <c r="P152" s="428">
        <v>70</v>
      </c>
      <c r="Q152" s="428">
        <v>23</v>
      </c>
      <c r="R152" s="428">
        <v>0</v>
      </c>
      <c r="S152" s="429">
        <v>1</v>
      </c>
      <c r="T152" s="426">
        <f t="shared" ref="T152:T153" si="369">SUM(U152:Y152)</f>
        <v>1345</v>
      </c>
      <c r="U152" s="427">
        <v>140</v>
      </c>
      <c r="V152" s="428">
        <v>435</v>
      </c>
      <c r="W152" s="428">
        <v>522</v>
      </c>
      <c r="X152" s="428">
        <v>106</v>
      </c>
      <c r="Y152" s="430">
        <v>142</v>
      </c>
      <c r="AA152" s="513"/>
      <c r="AB152" s="563"/>
      <c r="AC152" s="568" t="s">
        <v>40</v>
      </c>
      <c r="AD152" s="569" t="s">
        <v>32</v>
      </c>
      <c r="AE152" s="435">
        <f t="shared" ref="AE152:AE153" si="370">SUM(AF152:AQ152)</f>
        <v>1420</v>
      </c>
      <c r="AF152" s="436">
        <f t="shared" ref="AF152:AQ153" si="371">SUM(AF206,AF260,AF314,AF368,AF422)</f>
        <v>78</v>
      </c>
      <c r="AG152" s="437">
        <f t="shared" si="371"/>
        <v>173</v>
      </c>
      <c r="AH152" s="437">
        <f t="shared" si="371"/>
        <v>223</v>
      </c>
      <c r="AI152" s="437">
        <f t="shared" si="371"/>
        <v>121</v>
      </c>
      <c r="AJ152" s="437">
        <f t="shared" si="371"/>
        <v>38</v>
      </c>
      <c r="AK152" s="437">
        <f t="shared" si="371"/>
        <v>179</v>
      </c>
      <c r="AL152" s="437">
        <f t="shared" si="371"/>
        <v>44</v>
      </c>
      <c r="AM152" s="437">
        <f t="shared" si="371"/>
        <v>249</v>
      </c>
      <c r="AN152" s="437">
        <f t="shared" si="371"/>
        <v>94</v>
      </c>
      <c r="AO152" s="437">
        <f t="shared" si="371"/>
        <v>41</v>
      </c>
      <c r="AP152" s="437">
        <f t="shared" si="371"/>
        <v>114</v>
      </c>
      <c r="AQ152" s="439">
        <f t="shared" si="371"/>
        <v>66</v>
      </c>
    </row>
    <row r="153" spans="2:43" s="41" customFormat="1" ht="7.8" customHeight="1" x14ac:dyDescent="0.25">
      <c r="B153" s="282"/>
      <c r="C153" s="404"/>
      <c r="D153" s="405"/>
      <c r="E153" s="406" t="s">
        <v>33</v>
      </c>
      <c r="F153" s="407">
        <f t="shared" si="366"/>
        <v>362959.83999999997</v>
      </c>
      <c r="G153" s="407">
        <v>23712</v>
      </c>
      <c r="H153" s="407">
        <f t="shared" si="367"/>
        <v>32254</v>
      </c>
      <c r="I153" s="408">
        <v>14069</v>
      </c>
      <c r="J153" s="409">
        <v>0</v>
      </c>
      <c r="K153" s="409">
        <v>3770</v>
      </c>
      <c r="L153" s="409">
        <v>0</v>
      </c>
      <c r="M153" s="410">
        <v>14415</v>
      </c>
      <c r="N153" s="407">
        <f t="shared" si="368"/>
        <v>73085</v>
      </c>
      <c r="O153" s="408">
        <v>56320</v>
      </c>
      <c r="P153" s="409">
        <v>12565</v>
      </c>
      <c r="Q153" s="409">
        <v>4040</v>
      </c>
      <c r="R153" s="409">
        <v>0</v>
      </c>
      <c r="S153" s="410">
        <v>160</v>
      </c>
      <c r="T153" s="407">
        <f t="shared" si="369"/>
        <v>233908.83999999997</v>
      </c>
      <c r="U153" s="408">
        <v>25307.15</v>
      </c>
      <c r="V153" s="409">
        <v>73498.679999999993</v>
      </c>
      <c r="W153" s="409">
        <v>94167.00999999998</v>
      </c>
      <c r="X153" s="409">
        <v>19323</v>
      </c>
      <c r="Y153" s="411">
        <v>21613</v>
      </c>
      <c r="AA153" s="513"/>
      <c r="AB153" s="563"/>
      <c r="AC153" s="564"/>
      <c r="AD153" s="565" t="s">
        <v>33</v>
      </c>
      <c r="AE153" s="448">
        <f t="shared" si="370"/>
        <v>241906</v>
      </c>
      <c r="AF153" s="449">
        <f t="shared" si="371"/>
        <v>14419</v>
      </c>
      <c r="AG153" s="450">
        <f t="shared" si="371"/>
        <v>32254</v>
      </c>
      <c r="AH153" s="450">
        <f t="shared" si="371"/>
        <v>37038</v>
      </c>
      <c r="AI153" s="450">
        <f t="shared" si="371"/>
        <v>17378</v>
      </c>
      <c r="AJ153" s="450">
        <f t="shared" si="371"/>
        <v>5780</v>
      </c>
      <c r="AK153" s="450">
        <f t="shared" si="371"/>
        <v>30063</v>
      </c>
      <c r="AL153" s="450">
        <f t="shared" si="371"/>
        <v>8100</v>
      </c>
      <c r="AM153" s="450">
        <f t="shared" si="371"/>
        <v>46710</v>
      </c>
      <c r="AN153" s="450">
        <f t="shared" si="371"/>
        <v>14101</v>
      </c>
      <c r="AO153" s="450">
        <f t="shared" si="371"/>
        <v>6543</v>
      </c>
      <c r="AP153" s="450">
        <f t="shared" si="371"/>
        <v>18880</v>
      </c>
      <c r="AQ153" s="452">
        <f t="shared" si="371"/>
        <v>10640</v>
      </c>
    </row>
    <row r="154" spans="2:43" ht="7.8" customHeight="1" x14ac:dyDescent="0.25">
      <c r="B154" s="282"/>
      <c r="C154" s="404"/>
      <c r="D154" s="415"/>
      <c r="E154" s="416" t="s">
        <v>30</v>
      </c>
      <c r="F154" s="417">
        <f t="shared" ref="F154:Y154" si="372">IFERROR(F153/F152,0)</f>
        <v>175.17366795366794</v>
      </c>
      <c r="G154" s="417">
        <f t="shared" si="372"/>
        <v>156</v>
      </c>
      <c r="H154" s="417">
        <f t="shared" si="372"/>
        <v>186.43930635838151</v>
      </c>
      <c r="I154" s="418">
        <f t="shared" si="372"/>
        <v>178.08860759493672</v>
      </c>
      <c r="J154" s="419">
        <f t="shared" si="372"/>
        <v>0</v>
      </c>
      <c r="K154" s="419">
        <f t="shared" si="372"/>
        <v>188.5</v>
      </c>
      <c r="L154" s="419">
        <f t="shared" si="372"/>
        <v>0</v>
      </c>
      <c r="M154" s="420">
        <f t="shared" si="372"/>
        <v>194.79729729729729</v>
      </c>
      <c r="N154" s="417">
        <f t="shared" si="372"/>
        <v>181.80348258706468</v>
      </c>
      <c r="O154" s="418">
        <f t="shared" si="372"/>
        <v>182.85714285714286</v>
      </c>
      <c r="P154" s="419">
        <f t="shared" si="372"/>
        <v>179.5</v>
      </c>
      <c r="Q154" s="419">
        <f t="shared" si="372"/>
        <v>175.65217391304347</v>
      </c>
      <c r="R154" s="419">
        <f t="shared" si="372"/>
        <v>0</v>
      </c>
      <c r="S154" s="420">
        <f t="shared" si="372"/>
        <v>160</v>
      </c>
      <c r="T154" s="417">
        <f t="shared" si="372"/>
        <v>173.90991821561335</v>
      </c>
      <c r="U154" s="418">
        <f t="shared" si="372"/>
        <v>180.76535714285714</v>
      </c>
      <c r="V154" s="419">
        <f t="shared" si="372"/>
        <v>168.96248275862067</v>
      </c>
      <c r="W154" s="419">
        <f t="shared" si="372"/>
        <v>180.39657088122601</v>
      </c>
      <c r="X154" s="419">
        <f t="shared" si="372"/>
        <v>182.29245283018867</v>
      </c>
      <c r="Y154" s="421">
        <f t="shared" si="372"/>
        <v>152.20422535211267</v>
      </c>
      <c r="AA154" s="513"/>
      <c r="AB154" s="563"/>
      <c r="AC154" s="566"/>
      <c r="AD154" s="567" t="s">
        <v>30</v>
      </c>
      <c r="AE154" s="461">
        <f t="shared" ref="AE154:AQ154" si="373">IFERROR(AE153/AE152,0)</f>
        <v>170.35633802816901</v>
      </c>
      <c r="AF154" s="462">
        <f t="shared" si="373"/>
        <v>184.85897435897436</v>
      </c>
      <c r="AG154" s="463">
        <f t="shared" si="373"/>
        <v>186.43930635838151</v>
      </c>
      <c r="AH154" s="463">
        <f t="shared" si="373"/>
        <v>166.08968609865471</v>
      </c>
      <c r="AI154" s="463">
        <f t="shared" si="373"/>
        <v>143.61983471074379</v>
      </c>
      <c r="AJ154" s="463">
        <f t="shared" si="373"/>
        <v>152.10526315789474</v>
      </c>
      <c r="AK154" s="463">
        <f t="shared" si="373"/>
        <v>167.94972067039106</v>
      </c>
      <c r="AL154" s="463">
        <f t="shared" si="373"/>
        <v>184.09090909090909</v>
      </c>
      <c r="AM154" s="463">
        <f t="shared" si="373"/>
        <v>187.59036144578315</v>
      </c>
      <c r="AN154" s="463">
        <f t="shared" si="373"/>
        <v>150.01063829787233</v>
      </c>
      <c r="AO154" s="463">
        <f t="shared" si="373"/>
        <v>159.58536585365854</v>
      </c>
      <c r="AP154" s="463">
        <f t="shared" si="373"/>
        <v>165.61403508771929</v>
      </c>
      <c r="AQ154" s="465">
        <f t="shared" si="373"/>
        <v>161.21212121212122</v>
      </c>
    </row>
    <row r="155" spans="2:43" ht="7.8" customHeight="1" x14ac:dyDescent="0.25">
      <c r="B155" s="282"/>
      <c r="C155" s="404"/>
      <c r="D155" s="424" t="s">
        <v>41</v>
      </c>
      <c r="E155" s="425" t="s">
        <v>32</v>
      </c>
      <c r="F155" s="426">
        <f t="shared" ref="F155:F156" si="374">SUM(G155,H155,N155,T155)</f>
        <v>2025</v>
      </c>
      <c r="G155" s="426">
        <v>249</v>
      </c>
      <c r="H155" s="426">
        <f t="shared" ref="H155:H156" si="375">SUM(I155:M155)</f>
        <v>28</v>
      </c>
      <c r="I155" s="427">
        <v>22</v>
      </c>
      <c r="J155" s="428">
        <v>0</v>
      </c>
      <c r="K155" s="428">
        <v>6</v>
      </c>
      <c r="L155" s="428">
        <v>0</v>
      </c>
      <c r="M155" s="429">
        <v>0</v>
      </c>
      <c r="N155" s="426">
        <f t="shared" ref="N155:N156" si="376">SUM(O155:S155)</f>
        <v>348</v>
      </c>
      <c r="O155" s="427">
        <v>240</v>
      </c>
      <c r="P155" s="428">
        <v>65</v>
      </c>
      <c r="Q155" s="428">
        <v>37</v>
      </c>
      <c r="R155" s="428">
        <v>0</v>
      </c>
      <c r="S155" s="429">
        <v>6</v>
      </c>
      <c r="T155" s="426">
        <f t="shared" ref="T155:T156" si="377">SUM(U155:Y155)</f>
        <v>1400</v>
      </c>
      <c r="U155" s="427">
        <v>168</v>
      </c>
      <c r="V155" s="428">
        <v>532</v>
      </c>
      <c r="W155" s="428">
        <v>572</v>
      </c>
      <c r="X155" s="428">
        <v>102</v>
      </c>
      <c r="Y155" s="430">
        <v>26</v>
      </c>
      <c r="AA155" s="513"/>
      <c r="AB155" s="563"/>
      <c r="AC155" s="568" t="s">
        <v>41</v>
      </c>
      <c r="AD155" s="569" t="s">
        <v>32</v>
      </c>
      <c r="AE155" s="435">
        <f t="shared" ref="AE155:AE156" si="378">SUM(AF155:AQ155)</f>
        <v>806</v>
      </c>
      <c r="AF155" s="436">
        <f t="shared" ref="AF155:AQ156" si="379">SUM(AF209,AF263,AF317,AF371,AF425)</f>
        <v>43</v>
      </c>
      <c r="AG155" s="437">
        <f t="shared" si="379"/>
        <v>28</v>
      </c>
      <c r="AH155" s="437">
        <f t="shared" si="379"/>
        <v>108</v>
      </c>
      <c r="AI155" s="437">
        <f t="shared" si="379"/>
        <v>118</v>
      </c>
      <c r="AJ155" s="437">
        <f t="shared" si="379"/>
        <v>45</v>
      </c>
      <c r="AK155" s="437">
        <f t="shared" si="379"/>
        <v>171</v>
      </c>
      <c r="AL155" s="437">
        <f t="shared" si="379"/>
        <v>64</v>
      </c>
      <c r="AM155" s="437">
        <f t="shared" si="379"/>
        <v>229</v>
      </c>
      <c r="AN155" s="437">
        <f t="shared" si="379"/>
        <v>0</v>
      </c>
      <c r="AO155" s="437">
        <f t="shared" si="379"/>
        <v>0</v>
      </c>
      <c r="AP155" s="437">
        <f t="shared" si="379"/>
        <v>0</v>
      </c>
      <c r="AQ155" s="439">
        <f t="shared" si="379"/>
        <v>0</v>
      </c>
    </row>
    <row r="156" spans="2:43" s="41" customFormat="1" ht="7.8" customHeight="1" x14ac:dyDescent="0.25">
      <c r="B156" s="282"/>
      <c r="C156" s="404"/>
      <c r="D156" s="405"/>
      <c r="E156" s="406" t="s">
        <v>33</v>
      </c>
      <c r="F156" s="407">
        <f t="shared" si="374"/>
        <v>345150</v>
      </c>
      <c r="G156" s="407">
        <v>39159</v>
      </c>
      <c r="H156" s="407">
        <f t="shared" si="375"/>
        <v>4571</v>
      </c>
      <c r="I156" s="408">
        <v>3617</v>
      </c>
      <c r="J156" s="409">
        <v>0</v>
      </c>
      <c r="K156" s="409">
        <v>954</v>
      </c>
      <c r="L156" s="409">
        <v>0</v>
      </c>
      <c r="M156" s="410">
        <v>0</v>
      </c>
      <c r="N156" s="407">
        <f t="shared" si="376"/>
        <v>63001</v>
      </c>
      <c r="O156" s="408">
        <v>43818</v>
      </c>
      <c r="P156" s="409">
        <v>11573</v>
      </c>
      <c r="Q156" s="409">
        <v>6520</v>
      </c>
      <c r="R156" s="409">
        <v>0</v>
      </c>
      <c r="S156" s="410">
        <v>1090</v>
      </c>
      <c r="T156" s="407">
        <f t="shared" si="377"/>
        <v>238419</v>
      </c>
      <c r="U156" s="408">
        <v>33005.300000000003</v>
      </c>
      <c r="V156" s="409">
        <v>90161.49</v>
      </c>
      <c r="W156" s="409">
        <v>91325.209999999992</v>
      </c>
      <c r="X156" s="409">
        <v>19482</v>
      </c>
      <c r="Y156" s="411">
        <v>4445</v>
      </c>
      <c r="AA156" s="513"/>
      <c r="AB156" s="563"/>
      <c r="AC156" s="564"/>
      <c r="AD156" s="565" t="s">
        <v>33</v>
      </c>
      <c r="AE156" s="448">
        <f t="shared" si="378"/>
        <v>134940</v>
      </c>
      <c r="AF156" s="449">
        <f t="shared" si="379"/>
        <v>8308</v>
      </c>
      <c r="AG156" s="450">
        <f t="shared" si="379"/>
        <v>4571</v>
      </c>
      <c r="AH156" s="450">
        <f t="shared" si="379"/>
        <v>18195</v>
      </c>
      <c r="AI156" s="450">
        <f t="shared" si="379"/>
        <v>17863</v>
      </c>
      <c r="AJ156" s="450">
        <f t="shared" si="379"/>
        <v>6887</v>
      </c>
      <c r="AK156" s="450">
        <f t="shared" si="379"/>
        <v>27906</v>
      </c>
      <c r="AL156" s="450">
        <f t="shared" si="379"/>
        <v>11200</v>
      </c>
      <c r="AM156" s="450">
        <f t="shared" si="379"/>
        <v>40010</v>
      </c>
      <c r="AN156" s="450">
        <f t="shared" si="379"/>
        <v>0</v>
      </c>
      <c r="AO156" s="450">
        <f t="shared" si="379"/>
        <v>0</v>
      </c>
      <c r="AP156" s="450">
        <f t="shared" si="379"/>
        <v>0</v>
      </c>
      <c r="AQ156" s="452">
        <f t="shared" si="379"/>
        <v>0</v>
      </c>
    </row>
    <row r="157" spans="2:43" ht="7.8" customHeight="1" x14ac:dyDescent="0.25">
      <c r="B157" s="282"/>
      <c r="C157" s="404"/>
      <c r="D157" s="415"/>
      <c r="E157" s="416" t="s">
        <v>30</v>
      </c>
      <c r="F157" s="417">
        <f t="shared" ref="F157:Y157" si="380">IFERROR(F156/F155,0)</f>
        <v>170.44444444444446</v>
      </c>
      <c r="G157" s="417">
        <f t="shared" si="380"/>
        <v>157.26506024096386</v>
      </c>
      <c r="H157" s="417">
        <f t="shared" si="380"/>
        <v>163.25</v>
      </c>
      <c r="I157" s="418">
        <f t="shared" si="380"/>
        <v>164.40909090909091</v>
      </c>
      <c r="J157" s="419">
        <f t="shared" si="380"/>
        <v>0</v>
      </c>
      <c r="K157" s="419">
        <f t="shared" si="380"/>
        <v>159</v>
      </c>
      <c r="L157" s="419">
        <f t="shared" si="380"/>
        <v>0</v>
      </c>
      <c r="M157" s="420">
        <f t="shared" si="380"/>
        <v>0</v>
      </c>
      <c r="N157" s="417">
        <f t="shared" si="380"/>
        <v>181.03735632183907</v>
      </c>
      <c r="O157" s="418">
        <f t="shared" si="380"/>
        <v>182.57499999999999</v>
      </c>
      <c r="P157" s="419">
        <f t="shared" si="380"/>
        <v>178.04615384615386</v>
      </c>
      <c r="Q157" s="419">
        <f t="shared" si="380"/>
        <v>176.21621621621622</v>
      </c>
      <c r="R157" s="419">
        <f t="shared" si="380"/>
        <v>0</v>
      </c>
      <c r="S157" s="420">
        <f t="shared" si="380"/>
        <v>181.66666666666666</v>
      </c>
      <c r="T157" s="417">
        <f t="shared" si="380"/>
        <v>170.2992857142857</v>
      </c>
      <c r="U157" s="418">
        <f t="shared" si="380"/>
        <v>196.46011904761906</v>
      </c>
      <c r="V157" s="419">
        <f t="shared" si="380"/>
        <v>169.47648496240603</v>
      </c>
      <c r="W157" s="419">
        <f t="shared" si="380"/>
        <v>159.65945804195803</v>
      </c>
      <c r="X157" s="419">
        <f t="shared" si="380"/>
        <v>191</v>
      </c>
      <c r="Y157" s="421">
        <f t="shared" si="380"/>
        <v>170.96153846153845</v>
      </c>
      <c r="AA157" s="513"/>
      <c r="AB157" s="563"/>
      <c r="AC157" s="566"/>
      <c r="AD157" s="567" t="s">
        <v>30</v>
      </c>
      <c r="AE157" s="461">
        <f t="shared" ref="AE157:AQ157" si="381">IFERROR(AE156/AE155,0)</f>
        <v>167.41935483870967</v>
      </c>
      <c r="AF157" s="462">
        <f t="shared" si="381"/>
        <v>193.2093023255814</v>
      </c>
      <c r="AG157" s="463">
        <f t="shared" si="381"/>
        <v>163.25</v>
      </c>
      <c r="AH157" s="463">
        <f t="shared" si="381"/>
        <v>168.47222222222223</v>
      </c>
      <c r="AI157" s="463">
        <f t="shared" si="381"/>
        <v>151.38135593220338</v>
      </c>
      <c r="AJ157" s="463">
        <f t="shared" si="381"/>
        <v>153.04444444444445</v>
      </c>
      <c r="AK157" s="463">
        <f t="shared" si="381"/>
        <v>163.19298245614036</v>
      </c>
      <c r="AL157" s="463">
        <f t="shared" si="381"/>
        <v>175</v>
      </c>
      <c r="AM157" s="463">
        <f t="shared" si="381"/>
        <v>174.71615720524017</v>
      </c>
      <c r="AN157" s="463">
        <f t="shared" si="381"/>
        <v>0</v>
      </c>
      <c r="AO157" s="463">
        <f t="shared" si="381"/>
        <v>0</v>
      </c>
      <c r="AP157" s="463">
        <f t="shared" si="381"/>
        <v>0</v>
      </c>
      <c r="AQ157" s="465">
        <f t="shared" si="381"/>
        <v>0</v>
      </c>
    </row>
    <row r="158" spans="2:43" ht="7.8" customHeight="1" x14ac:dyDescent="0.25">
      <c r="B158" s="282"/>
      <c r="C158" s="404"/>
      <c r="D158" s="433" t="s">
        <v>42</v>
      </c>
      <c r="E158" s="434" t="s">
        <v>32</v>
      </c>
      <c r="F158" s="435">
        <f t="shared" ref="F158:F159" si="382">SUM(G158,H158,N158,T158)</f>
        <v>2149</v>
      </c>
      <c r="G158" s="435">
        <v>0</v>
      </c>
      <c r="H158" s="435">
        <v>220</v>
      </c>
      <c r="I158" s="436">
        <v>150</v>
      </c>
      <c r="J158" s="437">
        <v>50</v>
      </c>
      <c r="K158" s="437">
        <v>20</v>
      </c>
      <c r="L158" s="437">
        <v>0</v>
      </c>
      <c r="M158" s="438">
        <v>0</v>
      </c>
      <c r="N158" s="435">
        <f t="shared" ref="N158:N159" si="383">SUM(O158:S158)</f>
        <v>635</v>
      </c>
      <c r="O158" s="436">
        <v>250</v>
      </c>
      <c r="P158" s="437">
        <v>350</v>
      </c>
      <c r="Q158" s="437">
        <v>35</v>
      </c>
      <c r="R158" s="437">
        <v>0</v>
      </c>
      <c r="S158" s="438">
        <v>0</v>
      </c>
      <c r="T158" s="435">
        <f t="shared" ref="T158:T159" si="384">SUM(U158:Y158)</f>
        <v>1294</v>
      </c>
      <c r="U158" s="436">
        <v>62</v>
      </c>
      <c r="V158" s="437">
        <v>653</v>
      </c>
      <c r="W158" s="437">
        <v>480</v>
      </c>
      <c r="X158" s="437">
        <v>25</v>
      </c>
      <c r="Y158" s="439">
        <v>74</v>
      </c>
      <c r="AA158" s="513"/>
      <c r="AB158" s="563"/>
      <c r="AC158" s="570" t="s">
        <v>42</v>
      </c>
      <c r="AD158" s="571" t="s">
        <v>32</v>
      </c>
      <c r="AE158" s="186">
        <f t="shared" ref="AE158:AE159" si="385">SUM(AF158:AQ158)</f>
        <v>1940</v>
      </c>
      <c r="AF158" s="187">
        <f t="shared" ref="AF158:AQ159" si="386">SUM(AF212,AF266,AF320,AF374,AF428)</f>
        <v>95</v>
      </c>
      <c r="AG158" s="188">
        <f t="shared" si="386"/>
        <v>220</v>
      </c>
      <c r="AH158" s="188">
        <f t="shared" si="386"/>
        <v>170</v>
      </c>
      <c r="AI158" s="188">
        <f t="shared" si="386"/>
        <v>150</v>
      </c>
      <c r="AJ158" s="188">
        <f t="shared" si="386"/>
        <v>110</v>
      </c>
      <c r="AK158" s="188">
        <f t="shared" si="386"/>
        <v>250</v>
      </c>
      <c r="AL158" s="188">
        <f t="shared" si="386"/>
        <v>50</v>
      </c>
      <c r="AM158" s="188">
        <f t="shared" si="386"/>
        <v>145</v>
      </c>
      <c r="AN158" s="188">
        <f t="shared" si="386"/>
        <v>160</v>
      </c>
      <c r="AO158" s="188">
        <f t="shared" si="386"/>
        <v>200</v>
      </c>
      <c r="AP158" s="188">
        <f t="shared" si="386"/>
        <v>250</v>
      </c>
      <c r="AQ158" s="190">
        <f t="shared" si="386"/>
        <v>140</v>
      </c>
    </row>
    <row r="159" spans="2:43" s="41" customFormat="1" ht="7.8" customHeight="1" x14ac:dyDescent="0.25">
      <c r="B159" s="282"/>
      <c r="C159" s="404"/>
      <c r="D159" s="446"/>
      <c r="E159" s="447" t="s">
        <v>33</v>
      </c>
      <c r="F159" s="448">
        <f t="shared" si="382"/>
        <v>353670</v>
      </c>
      <c r="G159" s="448">
        <v>0</v>
      </c>
      <c r="H159" s="448">
        <v>36550</v>
      </c>
      <c r="I159" s="449">
        <v>24750</v>
      </c>
      <c r="J159" s="450">
        <v>8500</v>
      </c>
      <c r="K159" s="450">
        <v>3300</v>
      </c>
      <c r="L159" s="450">
        <v>0</v>
      </c>
      <c r="M159" s="451">
        <v>0</v>
      </c>
      <c r="N159" s="448">
        <f t="shared" si="383"/>
        <v>108300</v>
      </c>
      <c r="O159" s="449">
        <v>42500</v>
      </c>
      <c r="P159" s="450">
        <v>59500</v>
      </c>
      <c r="Q159" s="450">
        <v>6300</v>
      </c>
      <c r="R159" s="450">
        <v>0</v>
      </c>
      <c r="S159" s="451">
        <v>0</v>
      </c>
      <c r="T159" s="448">
        <f t="shared" si="384"/>
        <v>208820</v>
      </c>
      <c r="U159" s="449">
        <v>10850</v>
      </c>
      <c r="V159" s="450">
        <v>106439</v>
      </c>
      <c r="W159" s="450">
        <v>74400</v>
      </c>
      <c r="X159" s="450">
        <v>4625</v>
      </c>
      <c r="Y159" s="452">
        <v>12506</v>
      </c>
      <c r="AA159" s="513"/>
      <c r="AB159" s="563"/>
      <c r="AC159" s="572"/>
      <c r="AD159" s="573" t="s">
        <v>33</v>
      </c>
      <c r="AE159" s="163">
        <f t="shared" si="385"/>
        <v>299300</v>
      </c>
      <c r="AF159" s="231">
        <f t="shared" si="386"/>
        <v>16400</v>
      </c>
      <c r="AG159" s="232">
        <f t="shared" si="386"/>
        <v>36550</v>
      </c>
      <c r="AH159" s="232">
        <f t="shared" si="386"/>
        <v>26425</v>
      </c>
      <c r="AI159" s="232">
        <f t="shared" si="386"/>
        <v>21950</v>
      </c>
      <c r="AJ159" s="232">
        <f t="shared" si="386"/>
        <v>16450</v>
      </c>
      <c r="AK159" s="232">
        <f t="shared" si="386"/>
        <v>40580</v>
      </c>
      <c r="AL159" s="232">
        <f t="shared" si="386"/>
        <v>8750</v>
      </c>
      <c r="AM159" s="232">
        <f t="shared" si="386"/>
        <v>24050</v>
      </c>
      <c r="AN159" s="232">
        <f t="shared" si="386"/>
        <v>23250</v>
      </c>
      <c r="AO159" s="232">
        <f t="shared" si="386"/>
        <v>28595</v>
      </c>
      <c r="AP159" s="232">
        <f t="shared" si="386"/>
        <v>37550</v>
      </c>
      <c r="AQ159" s="234">
        <f t="shared" si="386"/>
        <v>18750</v>
      </c>
    </row>
    <row r="160" spans="2:43" ht="7.8" customHeight="1" x14ac:dyDescent="0.25">
      <c r="B160" s="282"/>
      <c r="C160" s="404"/>
      <c r="D160" s="459"/>
      <c r="E160" s="460" t="s">
        <v>30</v>
      </c>
      <c r="F160" s="461">
        <f t="shared" ref="F160:Y160" si="387">IFERROR(F159/F158,0)</f>
        <v>164.57422056770591</v>
      </c>
      <c r="G160" s="461">
        <f t="shared" si="387"/>
        <v>0</v>
      </c>
      <c r="H160" s="461">
        <f t="shared" si="387"/>
        <v>166.13636363636363</v>
      </c>
      <c r="I160" s="462">
        <f t="shared" si="387"/>
        <v>165</v>
      </c>
      <c r="J160" s="463">
        <f t="shared" si="387"/>
        <v>170</v>
      </c>
      <c r="K160" s="463">
        <f t="shared" si="387"/>
        <v>165</v>
      </c>
      <c r="L160" s="463">
        <f t="shared" si="387"/>
        <v>0</v>
      </c>
      <c r="M160" s="464">
        <f t="shared" si="387"/>
        <v>0</v>
      </c>
      <c r="N160" s="461">
        <f t="shared" si="387"/>
        <v>170.55118110236219</v>
      </c>
      <c r="O160" s="462">
        <f t="shared" si="387"/>
        <v>170</v>
      </c>
      <c r="P160" s="463">
        <f t="shared" si="387"/>
        <v>170</v>
      </c>
      <c r="Q160" s="463">
        <f t="shared" si="387"/>
        <v>180</v>
      </c>
      <c r="R160" s="463">
        <f t="shared" si="387"/>
        <v>0</v>
      </c>
      <c r="S160" s="464">
        <f t="shared" si="387"/>
        <v>0</v>
      </c>
      <c r="T160" s="461">
        <f t="shared" si="387"/>
        <v>161.37557959814529</v>
      </c>
      <c r="U160" s="462">
        <f t="shared" si="387"/>
        <v>175</v>
      </c>
      <c r="V160" s="463">
        <f t="shared" si="387"/>
        <v>163</v>
      </c>
      <c r="W160" s="463">
        <f t="shared" si="387"/>
        <v>155</v>
      </c>
      <c r="X160" s="463">
        <f t="shared" si="387"/>
        <v>185</v>
      </c>
      <c r="Y160" s="465">
        <f t="shared" si="387"/>
        <v>169</v>
      </c>
      <c r="AA160" s="513"/>
      <c r="AB160" s="563"/>
      <c r="AC160" s="574"/>
      <c r="AD160" s="575" t="s">
        <v>30</v>
      </c>
      <c r="AE160" s="175">
        <f t="shared" ref="AE160:AQ160" si="388">IFERROR(AE159/AE158,0)</f>
        <v>154.27835051546393</v>
      </c>
      <c r="AF160" s="176">
        <f t="shared" si="388"/>
        <v>172.63157894736841</v>
      </c>
      <c r="AG160" s="177">
        <f t="shared" si="388"/>
        <v>166.13636363636363</v>
      </c>
      <c r="AH160" s="177">
        <f t="shared" si="388"/>
        <v>155.44117647058823</v>
      </c>
      <c r="AI160" s="177">
        <f t="shared" si="388"/>
        <v>146.33333333333334</v>
      </c>
      <c r="AJ160" s="177">
        <f t="shared" si="388"/>
        <v>149.54545454545453</v>
      </c>
      <c r="AK160" s="177">
        <f t="shared" si="388"/>
        <v>162.32</v>
      </c>
      <c r="AL160" s="177">
        <f t="shared" si="388"/>
        <v>175</v>
      </c>
      <c r="AM160" s="177">
        <f t="shared" si="388"/>
        <v>165.86206896551724</v>
      </c>
      <c r="AN160" s="177">
        <f t="shared" si="388"/>
        <v>145.3125</v>
      </c>
      <c r="AO160" s="177">
        <f t="shared" si="388"/>
        <v>142.97499999999999</v>
      </c>
      <c r="AP160" s="177">
        <f t="shared" si="388"/>
        <v>150.19999999999999</v>
      </c>
      <c r="AQ160" s="179">
        <f t="shared" si="388"/>
        <v>133.92857142857142</v>
      </c>
    </row>
    <row r="161" spans="1:43" ht="7.8" customHeight="1" x14ac:dyDescent="0.25">
      <c r="B161" s="282"/>
      <c r="C161" s="404"/>
      <c r="D161" s="472" t="s">
        <v>43</v>
      </c>
      <c r="E161" s="425" t="s">
        <v>32</v>
      </c>
      <c r="F161" s="426">
        <f t="shared" ref="F161:Y163" si="389">F158-F155</f>
        <v>124</v>
      </c>
      <c r="G161" s="426">
        <f t="shared" si="389"/>
        <v>-249</v>
      </c>
      <c r="H161" s="426">
        <f t="shared" si="389"/>
        <v>192</v>
      </c>
      <c r="I161" s="427">
        <f t="shared" si="389"/>
        <v>128</v>
      </c>
      <c r="J161" s="428">
        <f t="shared" si="389"/>
        <v>50</v>
      </c>
      <c r="K161" s="428">
        <f t="shared" si="389"/>
        <v>14</v>
      </c>
      <c r="L161" s="428">
        <f t="shared" si="389"/>
        <v>0</v>
      </c>
      <c r="M161" s="429">
        <f t="shared" si="389"/>
        <v>0</v>
      </c>
      <c r="N161" s="426">
        <f t="shared" si="389"/>
        <v>287</v>
      </c>
      <c r="O161" s="427">
        <f t="shared" si="389"/>
        <v>10</v>
      </c>
      <c r="P161" s="428">
        <f t="shared" si="389"/>
        <v>285</v>
      </c>
      <c r="Q161" s="428">
        <f t="shared" si="389"/>
        <v>-2</v>
      </c>
      <c r="R161" s="428">
        <f t="shared" si="389"/>
        <v>0</v>
      </c>
      <c r="S161" s="429">
        <f t="shared" si="389"/>
        <v>-6</v>
      </c>
      <c r="T161" s="426">
        <f t="shared" si="389"/>
        <v>-106</v>
      </c>
      <c r="U161" s="427">
        <f t="shared" si="389"/>
        <v>-106</v>
      </c>
      <c r="V161" s="428">
        <f t="shared" si="389"/>
        <v>121</v>
      </c>
      <c r="W161" s="428">
        <f t="shared" si="389"/>
        <v>-92</v>
      </c>
      <c r="X161" s="428">
        <f t="shared" si="389"/>
        <v>-77</v>
      </c>
      <c r="Y161" s="430">
        <f t="shared" si="389"/>
        <v>48</v>
      </c>
      <c r="AA161" s="513"/>
      <c r="AB161" s="563"/>
      <c r="AC161" s="576" t="s">
        <v>43</v>
      </c>
      <c r="AD161" s="569" t="s">
        <v>32</v>
      </c>
      <c r="AE161" s="435">
        <f t="shared" ref="AE161:AQ163" si="390">AE158-AE155</f>
        <v>1134</v>
      </c>
      <c r="AF161" s="436">
        <f t="shared" si="390"/>
        <v>52</v>
      </c>
      <c r="AG161" s="437">
        <f t="shared" si="390"/>
        <v>192</v>
      </c>
      <c r="AH161" s="437">
        <f t="shared" si="390"/>
        <v>62</v>
      </c>
      <c r="AI161" s="437">
        <f t="shared" si="390"/>
        <v>32</v>
      </c>
      <c r="AJ161" s="437">
        <f t="shared" si="390"/>
        <v>65</v>
      </c>
      <c r="AK161" s="437">
        <f t="shared" si="390"/>
        <v>79</v>
      </c>
      <c r="AL161" s="437">
        <f t="shared" si="390"/>
        <v>-14</v>
      </c>
      <c r="AM161" s="437">
        <f t="shared" si="390"/>
        <v>-84</v>
      </c>
      <c r="AN161" s="437">
        <f t="shared" si="390"/>
        <v>160</v>
      </c>
      <c r="AO161" s="437">
        <f t="shared" si="390"/>
        <v>200</v>
      </c>
      <c r="AP161" s="437">
        <f t="shared" si="390"/>
        <v>250</v>
      </c>
      <c r="AQ161" s="439">
        <f t="shared" si="390"/>
        <v>140</v>
      </c>
    </row>
    <row r="162" spans="1:43" s="366" customFormat="1" ht="7.8" customHeight="1" x14ac:dyDescent="0.25">
      <c r="B162" s="282"/>
      <c r="C162" s="404"/>
      <c r="D162" s="405"/>
      <c r="E162" s="474" t="s">
        <v>33</v>
      </c>
      <c r="F162" s="407">
        <f t="shared" si="389"/>
        <v>8520</v>
      </c>
      <c r="G162" s="407">
        <f t="shared" si="389"/>
        <v>-39159</v>
      </c>
      <c r="H162" s="407">
        <f t="shared" si="389"/>
        <v>31979</v>
      </c>
      <c r="I162" s="408">
        <f t="shared" si="389"/>
        <v>21133</v>
      </c>
      <c r="J162" s="409">
        <f t="shared" si="389"/>
        <v>8500</v>
      </c>
      <c r="K162" s="409">
        <f t="shared" si="389"/>
        <v>2346</v>
      </c>
      <c r="L162" s="409">
        <f t="shared" si="389"/>
        <v>0</v>
      </c>
      <c r="M162" s="410">
        <f t="shared" si="389"/>
        <v>0</v>
      </c>
      <c r="N162" s="407">
        <f t="shared" si="389"/>
        <v>45299</v>
      </c>
      <c r="O162" s="408">
        <f t="shared" si="389"/>
        <v>-1318</v>
      </c>
      <c r="P162" s="409">
        <f t="shared" si="389"/>
        <v>47927</v>
      </c>
      <c r="Q162" s="409">
        <f t="shared" si="389"/>
        <v>-220</v>
      </c>
      <c r="R162" s="409">
        <f t="shared" si="389"/>
        <v>0</v>
      </c>
      <c r="S162" s="410">
        <f t="shared" si="389"/>
        <v>-1090</v>
      </c>
      <c r="T162" s="407">
        <f t="shared" si="389"/>
        <v>-29599</v>
      </c>
      <c r="U162" s="408">
        <f t="shared" si="389"/>
        <v>-22155.300000000003</v>
      </c>
      <c r="V162" s="409">
        <f t="shared" si="389"/>
        <v>16277.509999999995</v>
      </c>
      <c r="W162" s="409">
        <f t="shared" si="389"/>
        <v>-16925.209999999992</v>
      </c>
      <c r="X162" s="409">
        <f t="shared" si="389"/>
        <v>-14857</v>
      </c>
      <c r="Y162" s="411">
        <f t="shared" si="389"/>
        <v>8061</v>
      </c>
      <c r="AA162" s="513"/>
      <c r="AB162" s="563"/>
      <c r="AC162" s="577"/>
      <c r="AD162" s="578" t="s">
        <v>33</v>
      </c>
      <c r="AE162" s="448">
        <f t="shared" si="390"/>
        <v>164360</v>
      </c>
      <c r="AF162" s="449">
        <f t="shared" si="390"/>
        <v>8092</v>
      </c>
      <c r="AG162" s="450">
        <f t="shared" si="390"/>
        <v>31979</v>
      </c>
      <c r="AH162" s="450">
        <f t="shared" si="390"/>
        <v>8230</v>
      </c>
      <c r="AI162" s="450">
        <f t="shared" si="390"/>
        <v>4087</v>
      </c>
      <c r="AJ162" s="450">
        <f t="shared" si="390"/>
        <v>9563</v>
      </c>
      <c r="AK162" s="450">
        <f t="shared" si="390"/>
        <v>12674</v>
      </c>
      <c r="AL162" s="450">
        <f t="shared" si="390"/>
        <v>-2450</v>
      </c>
      <c r="AM162" s="450">
        <f t="shared" si="390"/>
        <v>-15960</v>
      </c>
      <c r="AN162" s="450">
        <f t="shared" si="390"/>
        <v>23250</v>
      </c>
      <c r="AO162" s="450">
        <f t="shared" si="390"/>
        <v>28595</v>
      </c>
      <c r="AP162" s="450">
        <f t="shared" si="390"/>
        <v>37550</v>
      </c>
      <c r="AQ162" s="452">
        <f t="shared" si="390"/>
        <v>18750</v>
      </c>
    </row>
    <row r="163" spans="1:43" ht="7.8" customHeight="1" x14ac:dyDescent="0.25">
      <c r="B163" s="282"/>
      <c r="C163" s="404"/>
      <c r="D163" s="415"/>
      <c r="E163" s="416" t="s">
        <v>30</v>
      </c>
      <c r="F163" s="417">
        <f t="shared" si="389"/>
        <v>-5.8702238767385495</v>
      </c>
      <c r="G163" s="417">
        <f t="shared" si="389"/>
        <v>-157.26506024096386</v>
      </c>
      <c r="H163" s="417">
        <f t="shared" si="389"/>
        <v>2.886363636363626</v>
      </c>
      <c r="I163" s="418">
        <f t="shared" si="389"/>
        <v>0.59090909090909349</v>
      </c>
      <c r="J163" s="419">
        <f t="shared" si="389"/>
        <v>170</v>
      </c>
      <c r="K163" s="419">
        <f t="shared" si="389"/>
        <v>6</v>
      </c>
      <c r="L163" s="419">
        <f t="shared" si="389"/>
        <v>0</v>
      </c>
      <c r="M163" s="420">
        <f t="shared" si="389"/>
        <v>0</v>
      </c>
      <c r="N163" s="417">
        <f t="shared" si="389"/>
        <v>-10.486175219476877</v>
      </c>
      <c r="O163" s="418">
        <f t="shared" si="389"/>
        <v>-12.574999999999989</v>
      </c>
      <c r="P163" s="419">
        <f t="shared" si="389"/>
        <v>-8.0461538461538566</v>
      </c>
      <c r="Q163" s="419">
        <f t="shared" si="389"/>
        <v>3.7837837837837753</v>
      </c>
      <c r="R163" s="419">
        <f t="shared" si="389"/>
        <v>0</v>
      </c>
      <c r="S163" s="420">
        <f t="shared" si="389"/>
        <v>-181.66666666666666</v>
      </c>
      <c r="T163" s="417">
        <f t="shared" si="389"/>
        <v>-8.9237061161404085</v>
      </c>
      <c r="U163" s="418">
        <f t="shared" si="389"/>
        <v>-21.46011904761906</v>
      </c>
      <c r="V163" s="419">
        <f t="shared" si="389"/>
        <v>-6.4764849624060332</v>
      </c>
      <c r="W163" s="419">
        <f t="shared" si="389"/>
        <v>-4.6594580419580325</v>
      </c>
      <c r="X163" s="419">
        <f t="shared" si="389"/>
        <v>-6</v>
      </c>
      <c r="Y163" s="421">
        <f t="shared" si="389"/>
        <v>-1.9615384615384528</v>
      </c>
      <c r="AA163" s="513"/>
      <c r="AB163" s="563"/>
      <c r="AC163" s="579"/>
      <c r="AD163" s="567" t="s">
        <v>30</v>
      </c>
      <c r="AE163" s="461">
        <f t="shared" si="390"/>
        <v>-13.141004323245738</v>
      </c>
      <c r="AF163" s="462">
        <f t="shared" si="390"/>
        <v>-20.577723378212994</v>
      </c>
      <c r="AG163" s="463">
        <f t="shared" si="390"/>
        <v>2.886363636363626</v>
      </c>
      <c r="AH163" s="463">
        <f t="shared" si="390"/>
        <v>-13.031045751633997</v>
      </c>
      <c r="AI163" s="463">
        <f t="shared" si="390"/>
        <v>-5.048022598870034</v>
      </c>
      <c r="AJ163" s="463">
        <f t="shared" si="390"/>
        <v>-3.4989898989899189</v>
      </c>
      <c r="AK163" s="463">
        <f t="shared" si="390"/>
        <v>-0.87298245614036318</v>
      </c>
      <c r="AL163" s="463">
        <f t="shared" si="390"/>
        <v>0</v>
      </c>
      <c r="AM163" s="463">
        <f t="shared" si="390"/>
        <v>-8.8540882397229268</v>
      </c>
      <c r="AN163" s="463">
        <f t="shared" si="390"/>
        <v>145.3125</v>
      </c>
      <c r="AO163" s="463">
        <f t="shared" si="390"/>
        <v>142.97499999999999</v>
      </c>
      <c r="AP163" s="463">
        <f t="shared" si="390"/>
        <v>150.19999999999999</v>
      </c>
      <c r="AQ163" s="465">
        <f t="shared" si="390"/>
        <v>133.92857142857142</v>
      </c>
    </row>
    <row r="164" spans="1:43" ht="7.8" customHeight="1" x14ac:dyDescent="0.25">
      <c r="B164" s="282"/>
      <c r="C164" s="404"/>
      <c r="D164" s="472" t="s">
        <v>44</v>
      </c>
      <c r="E164" s="425" t="s">
        <v>32</v>
      </c>
      <c r="F164" s="478">
        <f t="shared" ref="F164:Y166" si="391">IFERROR((F158-F155)/ABS(F155),"")</f>
        <v>6.123456790123457E-2</v>
      </c>
      <c r="G164" s="478">
        <f t="shared" si="391"/>
        <v>-1</v>
      </c>
      <c r="H164" s="478">
        <f t="shared" si="391"/>
        <v>6.8571428571428568</v>
      </c>
      <c r="I164" s="479">
        <f t="shared" si="391"/>
        <v>5.8181818181818183</v>
      </c>
      <c r="J164" s="480" t="str">
        <f t="shared" si="391"/>
        <v/>
      </c>
      <c r="K164" s="480">
        <f t="shared" si="391"/>
        <v>2.3333333333333335</v>
      </c>
      <c r="L164" s="480" t="str">
        <f t="shared" si="391"/>
        <v/>
      </c>
      <c r="M164" s="481" t="str">
        <f t="shared" si="391"/>
        <v/>
      </c>
      <c r="N164" s="478">
        <f t="shared" si="391"/>
        <v>0.82471264367816088</v>
      </c>
      <c r="O164" s="479">
        <f t="shared" si="391"/>
        <v>4.1666666666666664E-2</v>
      </c>
      <c r="P164" s="480">
        <f t="shared" si="391"/>
        <v>4.384615384615385</v>
      </c>
      <c r="Q164" s="480">
        <f t="shared" si="391"/>
        <v>-5.4054054054054057E-2</v>
      </c>
      <c r="R164" s="480" t="str">
        <f t="shared" si="391"/>
        <v/>
      </c>
      <c r="S164" s="481">
        <f t="shared" si="391"/>
        <v>-1</v>
      </c>
      <c r="T164" s="478">
        <f t="shared" si="391"/>
        <v>-7.571428571428572E-2</v>
      </c>
      <c r="U164" s="479">
        <f t="shared" si="391"/>
        <v>-0.63095238095238093</v>
      </c>
      <c r="V164" s="480">
        <f t="shared" si="391"/>
        <v>0.22744360902255639</v>
      </c>
      <c r="W164" s="480">
        <f t="shared" si="391"/>
        <v>-0.16083916083916083</v>
      </c>
      <c r="X164" s="480">
        <f t="shared" si="391"/>
        <v>-0.75490196078431371</v>
      </c>
      <c r="Y164" s="482">
        <f t="shared" si="391"/>
        <v>1.8461538461538463</v>
      </c>
      <c r="AA164" s="513"/>
      <c r="AB164" s="563"/>
      <c r="AC164" s="576" t="s">
        <v>44</v>
      </c>
      <c r="AD164" s="569" t="s">
        <v>32</v>
      </c>
      <c r="AE164" s="580">
        <f t="shared" ref="AE164:AQ166" si="392">IFERROR((AE158-AE155)/ABS(AE155),"")</f>
        <v>1.4069478908188586</v>
      </c>
      <c r="AF164" s="581">
        <f t="shared" si="392"/>
        <v>1.2093023255813953</v>
      </c>
      <c r="AG164" s="582">
        <f t="shared" si="392"/>
        <v>6.8571428571428568</v>
      </c>
      <c r="AH164" s="582">
        <f t="shared" si="392"/>
        <v>0.57407407407407407</v>
      </c>
      <c r="AI164" s="582">
        <f t="shared" si="392"/>
        <v>0.2711864406779661</v>
      </c>
      <c r="AJ164" s="582">
        <f t="shared" si="392"/>
        <v>1.4444444444444444</v>
      </c>
      <c r="AK164" s="582">
        <f t="shared" si="392"/>
        <v>0.46198830409356723</v>
      </c>
      <c r="AL164" s="582">
        <f t="shared" si="392"/>
        <v>-0.21875</v>
      </c>
      <c r="AM164" s="582">
        <f t="shared" si="392"/>
        <v>-0.36681222707423583</v>
      </c>
      <c r="AN164" s="582" t="str">
        <f t="shared" si="392"/>
        <v/>
      </c>
      <c r="AO164" s="582" t="str">
        <f t="shared" si="392"/>
        <v/>
      </c>
      <c r="AP164" s="582" t="str">
        <f t="shared" si="392"/>
        <v/>
      </c>
      <c r="AQ164" s="583" t="str">
        <f t="shared" si="392"/>
        <v/>
      </c>
    </row>
    <row r="165" spans="1:43" ht="7.8" customHeight="1" x14ac:dyDescent="0.25">
      <c r="B165" s="282"/>
      <c r="C165" s="404"/>
      <c r="D165" s="405"/>
      <c r="E165" s="483" t="s">
        <v>33</v>
      </c>
      <c r="F165" s="484">
        <f t="shared" si="391"/>
        <v>2.4684919600173837E-2</v>
      </c>
      <c r="G165" s="484">
        <f t="shared" si="391"/>
        <v>-1</v>
      </c>
      <c r="H165" s="484">
        <f t="shared" si="391"/>
        <v>6.9960621308247646</v>
      </c>
      <c r="I165" s="485">
        <f t="shared" si="391"/>
        <v>5.8426873099253527</v>
      </c>
      <c r="J165" s="486" t="str">
        <f t="shared" si="391"/>
        <v/>
      </c>
      <c r="K165" s="486">
        <f t="shared" si="391"/>
        <v>2.459119496855346</v>
      </c>
      <c r="L165" s="486" t="str">
        <f t="shared" si="391"/>
        <v/>
      </c>
      <c r="M165" s="487" t="str">
        <f t="shared" si="391"/>
        <v/>
      </c>
      <c r="N165" s="484">
        <f t="shared" si="391"/>
        <v>0.7190203330105871</v>
      </c>
      <c r="O165" s="485">
        <f t="shared" si="391"/>
        <v>-3.0078962983248893E-2</v>
      </c>
      <c r="P165" s="486">
        <f t="shared" si="391"/>
        <v>4.1412771105158557</v>
      </c>
      <c r="Q165" s="486">
        <f t="shared" si="391"/>
        <v>-3.3742331288343558E-2</v>
      </c>
      <c r="R165" s="486" t="str">
        <f t="shared" si="391"/>
        <v/>
      </c>
      <c r="S165" s="487">
        <f t="shared" si="391"/>
        <v>-1</v>
      </c>
      <c r="T165" s="484">
        <f t="shared" si="391"/>
        <v>-0.12414698492989233</v>
      </c>
      <c r="U165" s="485">
        <f t="shared" si="391"/>
        <v>-0.67126491805861488</v>
      </c>
      <c r="V165" s="486">
        <f t="shared" si="391"/>
        <v>0.18053727816609944</v>
      </c>
      <c r="W165" s="486">
        <f t="shared" si="391"/>
        <v>-0.18532900170719557</v>
      </c>
      <c r="X165" s="486">
        <f t="shared" si="391"/>
        <v>-0.76260137562878549</v>
      </c>
      <c r="Y165" s="488">
        <f t="shared" si="391"/>
        <v>1.8134983127109112</v>
      </c>
      <c r="AA165" s="513"/>
      <c r="AB165" s="563"/>
      <c r="AC165" s="577"/>
      <c r="AD165" s="584" t="s">
        <v>33</v>
      </c>
      <c r="AE165" s="585">
        <f t="shared" si="392"/>
        <v>1.2180228249592411</v>
      </c>
      <c r="AF165" s="586">
        <f t="shared" si="392"/>
        <v>0.97400096292729899</v>
      </c>
      <c r="AG165" s="587">
        <f t="shared" si="392"/>
        <v>6.9960621308247646</v>
      </c>
      <c r="AH165" s="587">
        <f t="shared" si="392"/>
        <v>0.45232206650178619</v>
      </c>
      <c r="AI165" s="587">
        <f t="shared" si="392"/>
        <v>0.22879695459889157</v>
      </c>
      <c r="AJ165" s="587">
        <f t="shared" si="392"/>
        <v>1.3885581530419631</v>
      </c>
      <c r="AK165" s="587">
        <f t="shared" si="392"/>
        <v>0.45416756253135526</v>
      </c>
      <c r="AL165" s="587">
        <f t="shared" si="392"/>
        <v>-0.21875</v>
      </c>
      <c r="AM165" s="587">
        <f t="shared" si="392"/>
        <v>-0.39890027493126717</v>
      </c>
      <c r="AN165" s="587" t="str">
        <f t="shared" si="392"/>
        <v/>
      </c>
      <c r="AO165" s="587" t="str">
        <f t="shared" si="392"/>
        <v/>
      </c>
      <c r="AP165" s="587" t="str">
        <f t="shared" si="392"/>
        <v/>
      </c>
      <c r="AQ165" s="588" t="str">
        <f t="shared" si="392"/>
        <v/>
      </c>
    </row>
    <row r="166" spans="1:43" ht="7.8" customHeight="1" x14ac:dyDescent="0.25">
      <c r="B166" s="282"/>
      <c r="C166" s="502"/>
      <c r="D166" s="503"/>
      <c r="E166" s="504" t="s">
        <v>30</v>
      </c>
      <c r="F166" s="505">
        <f t="shared" si="391"/>
        <v>-3.444068767317271E-2</v>
      </c>
      <c r="G166" s="505">
        <f t="shared" si="391"/>
        <v>-1</v>
      </c>
      <c r="H166" s="505">
        <f t="shared" si="391"/>
        <v>1.7680634832242734E-2</v>
      </c>
      <c r="I166" s="506">
        <f t="shared" si="391"/>
        <v>3.5941387890517161E-3</v>
      </c>
      <c r="J166" s="507" t="str">
        <f t="shared" si="391"/>
        <v/>
      </c>
      <c r="K166" s="507">
        <f t="shared" si="391"/>
        <v>3.7735849056603772E-2</v>
      </c>
      <c r="L166" s="507" t="str">
        <f t="shared" si="391"/>
        <v/>
      </c>
      <c r="M166" s="508" t="str">
        <f t="shared" si="391"/>
        <v/>
      </c>
      <c r="N166" s="505">
        <f t="shared" si="391"/>
        <v>-5.7922715137505014E-2</v>
      </c>
      <c r="O166" s="506">
        <f t="shared" si="391"/>
        <v>-6.8875804463918874E-2</v>
      </c>
      <c r="P166" s="507">
        <f t="shared" si="391"/>
        <v>-4.5191393761341112E-2</v>
      </c>
      <c r="Q166" s="507">
        <f t="shared" si="391"/>
        <v>2.1472392638036762E-2</v>
      </c>
      <c r="R166" s="507" t="str">
        <f t="shared" si="391"/>
        <v/>
      </c>
      <c r="S166" s="508">
        <f t="shared" si="391"/>
        <v>-1</v>
      </c>
      <c r="T166" s="505">
        <f t="shared" si="391"/>
        <v>-5.2400138254906581E-2</v>
      </c>
      <c r="U166" s="506">
        <f t="shared" si="391"/>
        <v>-0.10923397151366604</v>
      </c>
      <c r="V166" s="507">
        <f t="shared" si="391"/>
        <v>-3.8214652397603556E-2</v>
      </c>
      <c r="W166" s="507">
        <f t="shared" si="391"/>
        <v>-2.9183727034408077E-2</v>
      </c>
      <c r="X166" s="507">
        <f t="shared" si="391"/>
        <v>-3.1413612565445025E-2</v>
      </c>
      <c r="Y166" s="509">
        <f t="shared" si="391"/>
        <v>-1.1473565804274416E-2</v>
      </c>
      <c r="AA166" s="513"/>
      <c r="AB166" s="596"/>
      <c r="AC166" s="597"/>
      <c r="AD166" s="598" t="s">
        <v>30</v>
      </c>
      <c r="AE166" s="599">
        <f t="shared" si="392"/>
        <v>-7.8491547980851242E-2</v>
      </c>
      <c r="AF166" s="600">
        <f t="shared" si="392"/>
        <v>-0.10650482730659108</v>
      </c>
      <c r="AG166" s="601">
        <f t="shared" si="392"/>
        <v>1.7680634832242734E-2</v>
      </c>
      <c r="AH166" s="601">
        <f t="shared" si="392"/>
        <v>-7.7348334222394705E-2</v>
      </c>
      <c r="AI166" s="601">
        <f t="shared" si="392"/>
        <v>-3.334639571553849E-2</v>
      </c>
      <c r="AJ166" s="601">
        <f t="shared" si="392"/>
        <v>-2.286257375556067E-2</v>
      </c>
      <c r="AK166" s="601">
        <f t="shared" si="392"/>
        <v>-5.3493872285530746E-3</v>
      </c>
      <c r="AL166" s="601">
        <f t="shared" si="392"/>
        <v>0</v>
      </c>
      <c r="AM166" s="601">
        <f t="shared" si="392"/>
        <v>-5.0676985925932276E-2</v>
      </c>
      <c r="AN166" s="601" t="str">
        <f t="shared" si="392"/>
        <v/>
      </c>
      <c r="AO166" s="601" t="str">
        <f t="shared" si="392"/>
        <v/>
      </c>
      <c r="AP166" s="601" t="str">
        <f t="shared" si="392"/>
        <v/>
      </c>
      <c r="AQ166" s="602" t="str">
        <f t="shared" si="392"/>
        <v/>
      </c>
    </row>
    <row r="167" spans="1:43" ht="7.8" customHeight="1" x14ac:dyDescent="0.25">
      <c r="B167" s="282" t="s">
        <v>52</v>
      </c>
      <c r="C167" s="283" t="s">
        <v>9</v>
      </c>
      <c r="D167" s="284" t="s">
        <v>39</v>
      </c>
      <c r="E167" s="285" t="s">
        <v>32</v>
      </c>
      <c r="F167" s="286">
        <f t="shared" ref="F167:F168" si="393">SUM(G167,H167,N167,T167)</f>
        <v>0</v>
      </c>
      <c r="G167" s="286">
        <f t="shared" ref="G167:G222" si="394">SUM(G185,G203)</f>
        <v>0</v>
      </c>
      <c r="H167" s="286">
        <f t="shared" ref="H167:H168" si="395">SUM(I167:M167)</f>
        <v>0</v>
      </c>
      <c r="I167" s="287">
        <f t="shared" ref="I167:M168" si="396">SUM(I185,I203)</f>
        <v>0</v>
      </c>
      <c r="J167" s="288">
        <f t="shared" si="396"/>
        <v>0</v>
      </c>
      <c r="K167" s="288">
        <f t="shared" si="396"/>
        <v>0</v>
      </c>
      <c r="L167" s="288">
        <f t="shared" si="396"/>
        <v>0</v>
      </c>
      <c r="M167" s="289">
        <f t="shared" si="396"/>
        <v>0</v>
      </c>
      <c r="N167" s="286">
        <f t="shared" ref="N167:N168" si="397">SUM(O167:S167)</f>
        <v>0</v>
      </c>
      <c r="O167" s="287">
        <f t="shared" ref="O167:S168" si="398">SUM(O185,O203)</f>
        <v>0</v>
      </c>
      <c r="P167" s="288">
        <f t="shared" si="398"/>
        <v>0</v>
      </c>
      <c r="Q167" s="288">
        <f t="shared" si="398"/>
        <v>0</v>
      </c>
      <c r="R167" s="288">
        <f t="shared" si="398"/>
        <v>0</v>
      </c>
      <c r="S167" s="289">
        <f t="shared" si="398"/>
        <v>0</v>
      </c>
      <c r="T167" s="286">
        <f t="shared" ref="T167:T168" si="399">SUM(U167:Y167)</f>
        <v>0</v>
      </c>
      <c r="U167" s="287">
        <f t="shared" ref="U167:Y168" si="400">SUM(U185,U203)</f>
        <v>0</v>
      </c>
      <c r="V167" s="288">
        <f t="shared" si="400"/>
        <v>0</v>
      </c>
      <c r="W167" s="288">
        <f t="shared" si="400"/>
        <v>0</v>
      </c>
      <c r="X167" s="288">
        <f t="shared" si="400"/>
        <v>0</v>
      </c>
      <c r="Y167" s="290">
        <f t="shared" si="400"/>
        <v>0</v>
      </c>
      <c r="AA167" s="291" t="s">
        <v>53</v>
      </c>
      <c r="AB167" s="292" t="s">
        <v>9</v>
      </c>
      <c r="AC167" s="293" t="s">
        <v>39</v>
      </c>
      <c r="AD167" s="294" t="s">
        <v>32</v>
      </c>
      <c r="AE167" s="286">
        <f t="shared" ref="AE167:AE168" si="401">SUM(AF167:AQ167)</f>
        <v>0</v>
      </c>
      <c r="AF167" s="287">
        <f t="shared" ref="AF167:AQ168" si="402">SUM(AF185,AF203)</f>
        <v>0</v>
      </c>
      <c r="AG167" s="288">
        <f t="shared" si="402"/>
        <v>0</v>
      </c>
      <c r="AH167" s="288">
        <f t="shared" si="402"/>
        <v>0</v>
      </c>
      <c r="AI167" s="288">
        <f t="shared" si="402"/>
        <v>0</v>
      </c>
      <c r="AJ167" s="288">
        <f t="shared" si="402"/>
        <v>0</v>
      </c>
      <c r="AK167" s="288">
        <f t="shared" si="402"/>
        <v>0</v>
      </c>
      <c r="AL167" s="288">
        <f t="shared" si="402"/>
        <v>0</v>
      </c>
      <c r="AM167" s="288">
        <f t="shared" si="402"/>
        <v>0</v>
      </c>
      <c r="AN167" s="288">
        <f t="shared" si="402"/>
        <v>0</v>
      </c>
      <c r="AO167" s="288">
        <f t="shared" si="402"/>
        <v>0</v>
      </c>
      <c r="AP167" s="288">
        <f t="shared" si="402"/>
        <v>0</v>
      </c>
      <c r="AQ167" s="290">
        <f t="shared" si="402"/>
        <v>0</v>
      </c>
    </row>
    <row r="168" spans="1:43" s="41" customFormat="1" ht="7.8" customHeight="1" x14ac:dyDescent="0.25">
      <c r="B168" s="282"/>
      <c r="C168" s="295"/>
      <c r="D168" s="296"/>
      <c r="E168" s="297" t="s">
        <v>33</v>
      </c>
      <c r="F168" s="298">
        <f t="shared" si="393"/>
        <v>0</v>
      </c>
      <c r="G168" s="298">
        <f t="shared" si="394"/>
        <v>0</v>
      </c>
      <c r="H168" s="298">
        <f t="shared" si="395"/>
        <v>0</v>
      </c>
      <c r="I168" s="299">
        <f t="shared" si="396"/>
        <v>0</v>
      </c>
      <c r="J168" s="300">
        <f t="shared" si="396"/>
        <v>0</v>
      </c>
      <c r="K168" s="300">
        <f t="shared" si="396"/>
        <v>0</v>
      </c>
      <c r="L168" s="300">
        <f t="shared" si="396"/>
        <v>0</v>
      </c>
      <c r="M168" s="301">
        <f t="shared" si="396"/>
        <v>0</v>
      </c>
      <c r="N168" s="298">
        <f t="shared" si="397"/>
        <v>0</v>
      </c>
      <c r="O168" s="299">
        <f t="shared" si="398"/>
        <v>0</v>
      </c>
      <c r="P168" s="300">
        <f t="shared" si="398"/>
        <v>0</v>
      </c>
      <c r="Q168" s="300">
        <f t="shared" si="398"/>
        <v>0</v>
      </c>
      <c r="R168" s="300">
        <f t="shared" si="398"/>
        <v>0</v>
      </c>
      <c r="S168" s="301">
        <f t="shared" si="398"/>
        <v>0</v>
      </c>
      <c r="T168" s="298">
        <f t="shared" si="399"/>
        <v>0</v>
      </c>
      <c r="U168" s="299">
        <f t="shared" si="400"/>
        <v>0</v>
      </c>
      <c r="V168" s="300">
        <f t="shared" si="400"/>
        <v>0</v>
      </c>
      <c r="W168" s="300">
        <f t="shared" si="400"/>
        <v>0</v>
      </c>
      <c r="X168" s="300">
        <f t="shared" si="400"/>
        <v>0</v>
      </c>
      <c r="Y168" s="302">
        <f t="shared" si="400"/>
        <v>0</v>
      </c>
      <c r="AA168" s="291"/>
      <c r="AB168" s="303"/>
      <c r="AC168" s="304"/>
      <c r="AD168" s="305" t="s">
        <v>33</v>
      </c>
      <c r="AE168" s="298">
        <f t="shared" si="401"/>
        <v>0</v>
      </c>
      <c r="AF168" s="299">
        <f t="shared" si="402"/>
        <v>0</v>
      </c>
      <c r="AG168" s="300">
        <f t="shared" si="402"/>
        <v>0</v>
      </c>
      <c r="AH168" s="300">
        <f t="shared" si="402"/>
        <v>0</v>
      </c>
      <c r="AI168" s="300">
        <f t="shared" si="402"/>
        <v>0</v>
      </c>
      <c r="AJ168" s="300">
        <f t="shared" si="402"/>
        <v>0</v>
      </c>
      <c r="AK168" s="300">
        <f t="shared" si="402"/>
        <v>0</v>
      </c>
      <c r="AL168" s="300">
        <f t="shared" si="402"/>
        <v>0</v>
      </c>
      <c r="AM168" s="300">
        <f t="shared" si="402"/>
        <v>0</v>
      </c>
      <c r="AN168" s="300">
        <f t="shared" si="402"/>
        <v>0</v>
      </c>
      <c r="AO168" s="300">
        <f t="shared" si="402"/>
        <v>0</v>
      </c>
      <c r="AP168" s="300">
        <f t="shared" si="402"/>
        <v>0</v>
      </c>
      <c r="AQ168" s="302">
        <f t="shared" si="402"/>
        <v>0</v>
      </c>
    </row>
    <row r="169" spans="1:43" ht="7.8" customHeight="1" x14ac:dyDescent="0.25">
      <c r="B169" s="282"/>
      <c r="C169" s="295"/>
      <c r="D169" s="306"/>
      <c r="E169" s="307" t="s">
        <v>30</v>
      </c>
      <c r="F169" s="308">
        <f t="shared" ref="F169:Y223" si="403">IFERROR(F168/F167,0)</f>
        <v>0</v>
      </c>
      <c r="G169" s="308">
        <f t="shared" si="403"/>
        <v>0</v>
      </c>
      <c r="H169" s="308">
        <f t="shared" si="403"/>
        <v>0</v>
      </c>
      <c r="I169" s="309">
        <f t="shared" si="403"/>
        <v>0</v>
      </c>
      <c r="J169" s="310">
        <f t="shared" si="403"/>
        <v>0</v>
      </c>
      <c r="K169" s="310">
        <f t="shared" si="403"/>
        <v>0</v>
      </c>
      <c r="L169" s="310">
        <f t="shared" si="403"/>
        <v>0</v>
      </c>
      <c r="M169" s="311">
        <f t="shared" si="403"/>
        <v>0</v>
      </c>
      <c r="N169" s="308">
        <f t="shared" si="403"/>
        <v>0</v>
      </c>
      <c r="O169" s="309">
        <f t="shared" si="403"/>
        <v>0</v>
      </c>
      <c r="P169" s="310">
        <f t="shared" si="403"/>
        <v>0</v>
      </c>
      <c r="Q169" s="310">
        <f t="shared" si="403"/>
        <v>0</v>
      </c>
      <c r="R169" s="310">
        <f t="shared" si="403"/>
        <v>0</v>
      </c>
      <c r="S169" s="311">
        <f t="shared" si="403"/>
        <v>0</v>
      </c>
      <c r="T169" s="308">
        <f t="shared" si="403"/>
        <v>0</v>
      </c>
      <c r="U169" s="309">
        <f t="shared" si="403"/>
        <v>0</v>
      </c>
      <c r="V169" s="310">
        <f t="shared" si="403"/>
        <v>0</v>
      </c>
      <c r="W169" s="310">
        <f t="shared" si="403"/>
        <v>0</v>
      </c>
      <c r="X169" s="310">
        <f t="shared" si="403"/>
        <v>0</v>
      </c>
      <c r="Y169" s="312">
        <f t="shared" si="403"/>
        <v>0</v>
      </c>
      <c r="AA169" s="291"/>
      <c r="AB169" s="303"/>
      <c r="AC169" s="313"/>
      <c r="AD169" s="314" t="s">
        <v>30</v>
      </c>
      <c r="AE169" s="308">
        <f t="shared" ref="AE169:AQ169" si="404">IFERROR(AE168/AE167,0)</f>
        <v>0</v>
      </c>
      <c r="AF169" s="309">
        <f t="shared" si="404"/>
        <v>0</v>
      </c>
      <c r="AG169" s="310">
        <f t="shared" si="404"/>
        <v>0</v>
      </c>
      <c r="AH169" s="310">
        <f t="shared" si="404"/>
        <v>0</v>
      </c>
      <c r="AI169" s="310">
        <f t="shared" si="404"/>
        <v>0</v>
      </c>
      <c r="AJ169" s="310">
        <f t="shared" si="404"/>
        <v>0</v>
      </c>
      <c r="AK169" s="310">
        <f t="shared" si="404"/>
        <v>0</v>
      </c>
      <c r="AL169" s="310">
        <f t="shared" si="404"/>
        <v>0</v>
      </c>
      <c r="AM169" s="310">
        <f t="shared" si="404"/>
        <v>0</v>
      </c>
      <c r="AN169" s="310">
        <f t="shared" si="404"/>
        <v>0</v>
      </c>
      <c r="AO169" s="310">
        <f t="shared" si="404"/>
        <v>0</v>
      </c>
      <c r="AP169" s="310">
        <f t="shared" si="404"/>
        <v>0</v>
      </c>
      <c r="AQ169" s="312">
        <f t="shared" si="404"/>
        <v>0</v>
      </c>
    </row>
    <row r="170" spans="1:43" ht="7.8" customHeight="1" x14ac:dyDescent="0.25">
      <c r="A170" s="526"/>
      <c r="B170" s="282"/>
      <c r="C170" s="295"/>
      <c r="D170" s="315" t="s">
        <v>40</v>
      </c>
      <c r="E170" s="316" t="s">
        <v>32</v>
      </c>
      <c r="F170" s="317">
        <f t="shared" ref="F170:F171" si="405">SUM(G170,H170,N170,T170)</f>
        <v>7340</v>
      </c>
      <c r="G170" s="317">
        <f t="shared" si="282"/>
        <v>570</v>
      </c>
      <c r="H170" s="317">
        <f t="shared" ref="H170:H171" si="406">SUM(I170:M170)</f>
        <v>652</v>
      </c>
      <c r="I170" s="318">
        <f t="shared" ref="I170:M171" si="407">SUM(I188,I206)</f>
        <v>281</v>
      </c>
      <c r="J170" s="319">
        <f t="shared" si="407"/>
        <v>20</v>
      </c>
      <c r="K170" s="319">
        <f t="shared" si="407"/>
        <v>0</v>
      </c>
      <c r="L170" s="319">
        <f t="shared" si="407"/>
        <v>0</v>
      </c>
      <c r="M170" s="320">
        <f t="shared" si="407"/>
        <v>351</v>
      </c>
      <c r="N170" s="317">
        <f t="shared" ref="N170:N171" si="408">SUM(O170:S170)</f>
        <v>1136</v>
      </c>
      <c r="O170" s="318">
        <f t="shared" ref="O170:S171" si="409">SUM(O188,O206)</f>
        <v>612</v>
      </c>
      <c r="P170" s="319">
        <f t="shared" si="409"/>
        <v>462</v>
      </c>
      <c r="Q170" s="319">
        <f t="shared" si="409"/>
        <v>62</v>
      </c>
      <c r="R170" s="319">
        <f t="shared" si="409"/>
        <v>0</v>
      </c>
      <c r="S170" s="320">
        <f t="shared" si="409"/>
        <v>0</v>
      </c>
      <c r="T170" s="317">
        <f t="shared" ref="T170:T171" si="410">SUM(U170:Y170)</f>
        <v>4982</v>
      </c>
      <c r="U170" s="318">
        <f t="shared" ref="U170:Y171" si="411">SUM(U188,U206)</f>
        <v>389</v>
      </c>
      <c r="V170" s="319">
        <f t="shared" si="411"/>
        <v>2073</v>
      </c>
      <c r="W170" s="319">
        <f t="shared" si="411"/>
        <v>2032</v>
      </c>
      <c r="X170" s="319">
        <f t="shared" si="411"/>
        <v>143</v>
      </c>
      <c r="Y170" s="321">
        <f t="shared" si="411"/>
        <v>345</v>
      </c>
      <c r="Z170" s="526"/>
      <c r="AA170" s="291"/>
      <c r="AB170" s="303"/>
      <c r="AC170" s="322" t="s">
        <v>40</v>
      </c>
      <c r="AD170" s="323" t="s">
        <v>32</v>
      </c>
      <c r="AE170" s="317">
        <f t="shared" ref="AE170:AE171" si="412">SUM(AF170:AQ170)</f>
        <v>1793</v>
      </c>
      <c r="AF170" s="318">
        <f t="shared" ref="AF170:AQ171" si="413">SUM(AF188,AF206)</f>
        <v>202</v>
      </c>
      <c r="AG170" s="319">
        <f t="shared" si="413"/>
        <v>366</v>
      </c>
      <c r="AH170" s="319">
        <f t="shared" si="413"/>
        <v>281</v>
      </c>
      <c r="AI170" s="319">
        <f t="shared" si="413"/>
        <v>61</v>
      </c>
      <c r="AJ170" s="319">
        <f t="shared" si="413"/>
        <v>205</v>
      </c>
      <c r="AK170" s="319">
        <f t="shared" si="413"/>
        <v>0</v>
      </c>
      <c r="AL170" s="319">
        <f t="shared" si="413"/>
        <v>83</v>
      </c>
      <c r="AM170" s="319">
        <f t="shared" si="413"/>
        <v>355</v>
      </c>
      <c r="AN170" s="319">
        <f t="shared" si="413"/>
        <v>114</v>
      </c>
      <c r="AO170" s="319">
        <f t="shared" si="413"/>
        <v>80</v>
      </c>
      <c r="AP170" s="319">
        <f t="shared" si="413"/>
        <v>46</v>
      </c>
      <c r="AQ170" s="321">
        <f t="shared" si="413"/>
        <v>0</v>
      </c>
    </row>
    <row r="171" spans="1:43" s="41" customFormat="1" ht="7.8" customHeight="1" x14ac:dyDescent="0.25">
      <c r="A171" s="529"/>
      <c r="B171" s="282"/>
      <c r="C171" s="295"/>
      <c r="D171" s="296"/>
      <c r="E171" s="297" t="s">
        <v>33</v>
      </c>
      <c r="F171" s="298">
        <f t="shared" si="405"/>
        <v>1162380</v>
      </c>
      <c r="G171" s="298">
        <f t="shared" si="282"/>
        <v>88920</v>
      </c>
      <c r="H171" s="298">
        <f t="shared" si="406"/>
        <v>111625</v>
      </c>
      <c r="I171" s="299">
        <f t="shared" si="407"/>
        <v>48090</v>
      </c>
      <c r="J171" s="300">
        <f t="shared" si="407"/>
        <v>3660</v>
      </c>
      <c r="K171" s="300">
        <f t="shared" si="407"/>
        <v>0</v>
      </c>
      <c r="L171" s="300">
        <f t="shared" si="407"/>
        <v>0</v>
      </c>
      <c r="M171" s="301">
        <f t="shared" si="407"/>
        <v>59875</v>
      </c>
      <c r="N171" s="298">
        <f t="shared" si="408"/>
        <v>196655</v>
      </c>
      <c r="O171" s="299">
        <f t="shared" si="409"/>
        <v>103165</v>
      </c>
      <c r="P171" s="300">
        <f t="shared" si="409"/>
        <v>83530</v>
      </c>
      <c r="Q171" s="300">
        <f t="shared" si="409"/>
        <v>9960</v>
      </c>
      <c r="R171" s="300">
        <f t="shared" si="409"/>
        <v>0</v>
      </c>
      <c r="S171" s="301">
        <f t="shared" si="409"/>
        <v>0</v>
      </c>
      <c r="T171" s="298">
        <f t="shared" si="410"/>
        <v>765180</v>
      </c>
      <c r="U171" s="299">
        <f t="shared" si="411"/>
        <v>80984.399999999994</v>
      </c>
      <c r="V171" s="300">
        <f t="shared" si="411"/>
        <v>295113.88999999996</v>
      </c>
      <c r="W171" s="300">
        <f t="shared" si="411"/>
        <v>312297.71000000008</v>
      </c>
      <c r="X171" s="300">
        <f t="shared" si="411"/>
        <v>22867</v>
      </c>
      <c r="Y171" s="302">
        <f t="shared" si="411"/>
        <v>53917</v>
      </c>
      <c r="Z171" s="529"/>
      <c r="AA171" s="291"/>
      <c r="AB171" s="303"/>
      <c r="AC171" s="304"/>
      <c r="AD171" s="305" t="s">
        <v>33</v>
      </c>
      <c r="AE171" s="298">
        <f t="shared" si="412"/>
        <v>301732</v>
      </c>
      <c r="AF171" s="299">
        <f t="shared" si="413"/>
        <v>35829</v>
      </c>
      <c r="AG171" s="300">
        <f t="shared" si="413"/>
        <v>65237</v>
      </c>
      <c r="AH171" s="300">
        <f t="shared" si="413"/>
        <v>48090</v>
      </c>
      <c r="AI171" s="300">
        <f t="shared" si="413"/>
        <v>10025</v>
      </c>
      <c r="AJ171" s="300">
        <f t="shared" si="413"/>
        <v>29115</v>
      </c>
      <c r="AK171" s="300">
        <f t="shared" si="413"/>
        <v>0</v>
      </c>
      <c r="AL171" s="300">
        <f t="shared" si="413"/>
        <v>15071</v>
      </c>
      <c r="AM171" s="300">
        <f t="shared" si="413"/>
        <v>61525</v>
      </c>
      <c r="AN171" s="300">
        <f t="shared" si="413"/>
        <v>16980</v>
      </c>
      <c r="AO171" s="300">
        <f t="shared" si="413"/>
        <v>12270</v>
      </c>
      <c r="AP171" s="300">
        <f t="shared" si="413"/>
        <v>7590</v>
      </c>
      <c r="AQ171" s="302">
        <f t="shared" si="413"/>
        <v>0</v>
      </c>
    </row>
    <row r="172" spans="1:43" ht="7.8" customHeight="1" x14ac:dyDescent="0.25">
      <c r="A172" s="526"/>
      <c r="B172" s="282"/>
      <c r="C172" s="295"/>
      <c r="D172" s="306"/>
      <c r="E172" s="307" t="s">
        <v>30</v>
      </c>
      <c r="F172" s="308">
        <f t="shared" ref="F172:Y226" si="414">IFERROR(F171/F170,0)</f>
        <v>158.36239782016349</v>
      </c>
      <c r="G172" s="308">
        <f t="shared" si="414"/>
        <v>156</v>
      </c>
      <c r="H172" s="308">
        <f t="shared" si="414"/>
        <v>171.20398773006136</v>
      </c>
      <c r="I172" s="309">
        <f t="shared" si="414"/>
        <v>171.13879003558719</v>
      </c>
      <c r="J172" s="310">
        <f t="shared" si="414"/>
        <v>183</v>
      </c>
      <c r="K172" s="310">
        <f t="shared" si="414"/>
        <v>0</v>
      </c>
      <c r="L172" s="310">
        <f t="shared" si="414"/>
        <v>0</v>
      </c>
      <c r="M172" s="311">
        <f t="shared" si="414"/>
        <v>170.58404558404558</v>
      </c>
      <c r="N172" s="308">
        <f t="shared" si="414"/>
        <v>173.11179577464787</v>
      </c>
      <c r="O172" s="309">
        <f t="shared" si="414"/>
        <v>168.5702614379085</v>
      </c>
      <c r="P172" s="310">
        <f t="shared" si="414"/>
        <v>180.80086580086581</v>
      </c>
      <c r="Q172" s="310">
        <f t="shared" si="414"/>
        <v>160.64516129032259</v>
      </c>
      <c r="R172" s="310">
        <f t="shared" si="414"/>
        <v>0</v>
      </c>
      <c r="S172" s="311">
        <f t="shared" si="414"/>
        <v>0</v>
      </c>
      <c r="T172" s="308">
        <f t="shared" si="414"/>
        <v>153.58892011240465</v>
      </c>
      <c r="U172" s="309">
        <f t="shared" si="414"/>
        <v>208.18611825192801</v>
      </c>
      <c r="V172" s="310">
        <f t="shared" si="414"/>
        <v>142.36077665219486</v>
      </c>
      <c r="W172" s="310">
        <f t="shared" si="414"/>
        <v>153.68981791338587</v>
      </c>
      <c r="X172" s="310">
        <f t="shared" si="414"/>
        <v>159.90909090909091</v>
      </c>
      <c r="Y172" s="312">
        <f t="shared" si="414"/>
        <v>156.28115942028987</v>
      </c>
      <c r="Z172" s="526"/>
      <c r="AA172" s="291"/>
      <c r="AB172" s="303"/>
      <c r="AC172" s="313"/>
      <c r="AD172" s="314" t="s">
        <v>30</v>
      </c>
      <c r="AE172" s="308">
        <f t="shared" ref="AE172:AQ172" si="415">IFERROR(AE171/AE170,0)</f>
        <v>168.28332403792527</v>
      </c>
      <c r="AF172" s="309">
        <f t="shared" si="415"/>
        <v>177.37128712871288</v>
      </c>
      <c r="AG172" s="310">
        <f t="shared" si="415"/>
        <v>178.2431693989071</v>
      </c>
      <c r="AH172" s="310">
        <f t="shared" si="415"/>
        <v>171.13879003558719</v>
      </c>
      <c r="AI172" s="310">
        <f t="shared" si="415"/>
        <v>164.34426229508196</v>
      </c>
      <c r="AJ172" s="310">
        <f t="shared" si="415"/>
        <v>142.02439024390245</v>
      </c>
      <c r="AK172" s="310">
        <f t="shared" si="415"/>
        <v>0</v>
      </c>
      <c r="AL172" s="310">
        <f t="shared" si="415"/>
        <v>181.57831325301206</v>
      </c>
      <c r="AM172" s="310">
        <f t="shared" si="415"/>
        <v>173.30985915492957</v>
      </c>
      <c r="AN172" s="310">
        <f t="shared" si="415"/>
        <v>148.94736842105263</v>
      </c>
      <c r="AO172" s="310">
        <f t="shared" si="415"/>
        <v>153.375</v>
      </c>
      <c r="AP172" s="310">
        <f t="shared" si="415"/>
        <v>165</v>
      </c>
      <c r="AQ172" s="312">
        <f t="shared" si="415"/>
        <v>0</v>
      </c>
    </row>
    <row r="173" spans="1:43" ht="7.8" customHeight="1" x14ac:dyDescent="0.25">
      <c r="B173" s="282"/>
      <c r="C173" s="295"/>
      <c r="D173" s="315" t="s">
        <v>41</v>
      </c>
      <c r="E173" s="316" t="s">
        <v>32</v>
      </c>
      <c r="F173" s="317">
        <f t="shared" ref="F173:F174" si="416">SUM(G173,H173,N173,T173)</f>
        <v>7505</v>
      </c>
      <c r="G173" s="317">
        <f t="shared" si="294"/>
        <v>962</v>
      </c>
      <c r="H173" s="317">
        <f t="shared" ref="H173:H174" si="417">SUM(I173:M173)</f>
        <v>578</v>
      </c>
      <c r="I173" s="318">
        <f t="shared" ref="I173:M174" si="418">SUM(I191,I209)</f>
        <v>64</v>
      </c>
      <c r="J173" s="319">
        <f t="shared" si="418"/>
        <v>0</v>
      </c>
      <c r="K173" s="319">
        <f t="shared" si="418"/>
        <v>38</v>
      </c>
      <c r="L173" s="319">
        <f t="shared" si="418"/>
        <v>0</v>
      </c>
      <c r="M173" s="320">
        <f t="shared" si="418"/>
        <v>476</v>
      </c>
      <c r="N173" s="317">
        <f t="shared" ref="N173:N174" si="419">SUM(O173:S173)</f>
        <v>739</v>
      </c>
      <c r="O173" s="318">
        <f t="shared" ref="O173:S174" si="420">SUM(O191,O209)</f>
        <v>379</v>
      </c>
      <c r="P173" s="319">
        <f t="shared" si="420"/>
        <v>217</v>
      </c>
      <c r="Q173" s="319">
        <f t="shared" si="420"/>
        <v>135</v>
      </c>
      <c r="R173" s="319">
        <f t="shared" si="420"/>
        <v>0</v>
      </c>
      <c r="S173" s="320">
        <f t="shared" si="420"/>
        <v>8</v>
      </c>
      <c r="T173" s="317">
        <f t="shared" ref="T173:T174" si="421">SUM(U173:Y173)</f>
        <v>5226</v>
      </c>
      <c r="U173" s="318">
        <f t="shared" ref="U173:Y174" si="422">SUM(U191,U209)</f>
        <v>366</v>
      </c>
      <c r="V173" s="319">
        <f t="shared" si="422"/>
        <v>2328</v>
      </c>
      <c r="W173" s="319">
        <f t="shared" si="422"/>
        <v>2161</v>
      </c>
      <c r="X173" s="319">
        <f t="shared" si="422"/>
        <v>223</v>
      </c>
      <c r="Y173" s="321">
        <f t="shared" si="422"/>
        <v>148</v>
      </c>
      <c r="AA173" s="291"/>
      <c r="AB173" s="303"/>
      <c r="AC173" s="322" t="s">
        <v>41</v>
      </c>
      <c r="AD173" s="323" t="s">
        <v>32</v>
      </c>
      <c r="AE173" s="317">
        <f t="shared" ref="AE173:AE174" si="423">SUM(AF173:AQ173)</f>
        <v>1545</v>
      </c>
      <c r="AF173" s="318">
        <f t="shared" ref="AF173:AQ174" si="424">SUM(AF191,AF209)</f>
        <v>41</v>
      </c>
      <c r="AG173" s="319">
        <f t="shared" si="424"/>
        <v>115</v>
      </c>
      <c r="AH173" s="319">
        <f t="shared" si="424"/>
        <v>64</v>
      </c>
      <c r="AI173" s="319">
        <f t="shared" si="424"/>
        <v>526</v>
      </c>
      <c r="AJ173" s="319">
        <f t="shared" si="424"/>
        <v>75</v>
      </c>
      <c r="AK173" s="319">
        <f t="shared" si="424"/>
        <v>101</v>
      </c>
      <c r="AL173" s="319">
        <f t="shared" si="424"/>
        <v>67</v>
      </c>
      <c r="AM173" s="319">
        <f t="shared" si="424"/>
        <v>284</v>
      </c>
      <c r="AN173" s="319">
        <f t="shared" si="424"/>
        <v>272</v>
      </c>
      <c r="AO173" s="319">
        <f t="shared" si="424"/>
        <v>0</v>
      </c>
      <c r="AP173" s="319">
        <f t="shared" si="424"/>
        <v>0</v>
      </c>
      <c r="AQ173" s="321">
        <f t="shared" si="424"/>
        <v>0</v>
      </c>
    </row>
    <row r="174" spans="1:43" s="41" customFormat="1" ht="7.8" customHeight="1" x14ac:dyDescent="0.25">
      <c r="B174" s="282"/>
      <c r="C174" s="295"/>
      <c r="D174" s="296"/>
      <c r="E174" s="297" t="s">
        <v>33</v>
      </c>
      <c r="F174" s="298">
        <f t="shared" si="416"/>
        <v>1198660.18</v>
      </c>
      <c r="G174" s="298">
        <f t="shared" si="294"/>
        <v>150540</v>
      </c>
      <c r="H174" s="298">
        <f t="shared" si="417"/>
        <v>99905</v>
      </c>
      <c r="I174" s="299">
        <f t="shared" si="418"/>
        <v>10500</v>
      </c>
      <c r="J174" s="300">
        <f t="shared" si="418"/>
        <v>0</v>
      </c>
      <c r="K174" s="300">
        <f t="shared" si="418"/>
        <v>5890</v>
      </c>
      <c r="L174" s="300">
        <f t="shared" si="418"/>
        <v>0</v>
      </c>
      <c r="M174" s="301">
        <f t="shared" si="418"/>
        <v>83515</v>
      </c>
      <c r="N174" s="298">
        <f t="shared" si="419"/>
        <v>122377</v>
      </c>
      <c r="O174" s="299">
        <f t="shared" si="420"/>
        <v>63910</v>
      </c>
      <c r="P174" s="300">
        <f t="shared" si="420"/>
        <v>36007</v>
      </c>
      <c r="Q174" s="300">
        <f t="shared" si="420"/>
        <v>21220</v>
      </c>
      <c r="R174" s="300">
        <f t="shared" si="420"/>
        <v>0</v>
      </c>
      <c r="S174" s="301">
        <f t="shared" si="420"/>
        <v>1240</v>
      </c>
      <c r="T174" s="298">
        <f t="shared" si="421"/>
        <v>825838.17999999993</v>
      </c>
      <c r="U174" s="299">
        <f t="shared" si="422"/>
        <v>105068.90000000002</v>
      </c>
      <c r="V174" s="300">
        <f t="shared" si="422"/>
        <v>342535.92999999993</v>
      </c>
      <c r="W174" s="300">
        <f t="shared" si="422"/>
        <v>319456.34999999998</v>
      </c>
      <c r="X174" s="300">
        <f t="shared" si="422"/>
        <v>34536</v>
      </c>
      <c r="Y174" s="302">
        <f t="shared" si="422"/>
        <v>24241</v>
      </c>
      <c r="AA174" s="291"/>
      <c r="AB174" s="303"/>
      <c r="AC174" s="304"/>
      <c r="AD174" s="305" t="s">
        <v>33</v>
      </c>
      <c r="AE174" s="298">
        <f t="shared" si="423"/>
        <v>232211</v>
      </c>
      <c r="AF174" s="299">
        <f t="shared" si="424"/>
        <v>7488</v>
      </c>
      <c r="AG174" s="300">
        <f t="shared" si="424"/>
        <v>18845</v>
      </c>
      <c r="AH174" s="300">
        <f t="shared" si="424"/>
        <v>10500</v>
      </c>
      <c r="AI174" s="300">
        <f t="shared" si="424"/>
        <v>75010</v>
      </c>
      <c r="AJ174" s="300">
        <f t="shared" si="424"/>
        <v>10875</v>
      </c>
      <c r="AK174" s="300">
        <f t="shared" si="424"/>
        <v>17180</v>
      </c>
      <c r="AL174" s="300">
        <f t="shared" si="424"/>
        <v>11470</v>
      </c>
      <c r="AM174" s="300">
        <f t="shared" si="424"/>
        <v>42028</v>
      </c>
      <c r="AN174" s="300">
        <f t="shared" si="424"/>
        <v>38815</v>
      </c>
      <c r="AO174" s="300">
        <f t="shared" si="424"/>
        <v>0</v>
      </c>
      <c r="AP174" s="300">
        <f t="shared" si="424"/>
        <v>0</v>
      </c>
      <c r="AQ174" s="302">
        <f t="shared" si="424"/>
        <v>0</v>
      </c>
    </row>
    <row r="175" spans="1:43" ht="7.8" customHeight="1" x14ac:dyDescent="0.25">
      <c r="B175" s="282"/>
      <c r="C175" s="295"/>
      <c r="D175" s="306"/>
      <c r="E175" s="307" t="s">
        <v>30</v>
      </c>
      <c r="F175" s="308">
        <f t="shared" ref="F175:Y229" si="425">IFERROR(F174/F173,0)</f>
        <v>159.7148807461692</v>
      </c>
      <c r="G175" s="308">
        <f t="shared" si="425"/>
        <v>156.48648648648648</v>
      </c>
      <c r="H175" s="308">
        <f t="shared" si="425"/>
        <v>172.84602076124568</v>
      </c>
      <c r="I175" s="309">
        <f t="shared" si="425"/>
        <v>164.0625</v>
      </c>
      <c r="J175" s="310">
        <f t="shared" si="425"/>
        <v>0</v>
      </c>
      <c r="K175" s="310">
        <f t="shared" si="425"/>
        <v>155</v>
      </c>
      <c r="L175" s="310">
        <f t="shared" si="425"/>
        <v>0</v>
      </c>
      <c r="M175" s="311">
        <f t="shared" si="425"/>
        <v>175.45168067226891</v>
      </c>
      <c r="N175" s="308">
        <f t="shared" si="425"/>
        <v>165.59810554803789</v>
      </c>
      <c r="O175" s="309">
        <f t="shared" si="425"/>
        <v>168.62796833773086</v>
      </c>
      <c r="P175" s="310">
        <f t="shared" si="425"/>
        <v>165.93087557603687</v>
      </c>
      <c r="Q175" s="310">
        <f t="shared" si="425"/>
        <v>157.18518518518519</v>
      </c>
      <c r="R175" s="310">
        <f t="shared" si="425"/>
        <v>0</v>
      </c>
      <c r="S175" s="311">
        <f t="shared" si="425"/>
        <v>155</v>
      </c>
      <c r="T175" s="308">
        <f t="shared" si="425"/>
        <v>158.02491006505932</v>
      </c>
      <c r="U175" s="309">
        <f t="shared" si="425"/>
        <v>287.07349726775965</v>
      </c>
      <c r="V175" s="310">
        <f t="shared" si="425"/>
        <v>147.13742697594498</v>
      </c>
      <c r="W175" s="310">
        <f t="shared" si="425"/>
        <v>147.82801943544655</v>
      </c>
      <c r="X175" s="310">
        <f t="shared" si="425"/>
        <v>154.86995515695068</v>
      </c>
      <c r="Y175" s="312">
        <f t="shared" si="425"/>
        <v>163.79054054054055</v>
      </c>
      <c r="AA175" s="291"/>
      <c r="AB175" s="303"/>
      <c r="AC175" s="313"/>
      <c r="AD175" s="314" t="s">
        <v>30</v>
      </c>
      <c r="AE175" s="308">
        <f t="shared" ref="AE175:AQ175" si="426">IFERROR(AE174/AE173,0)</f>
        <v>150.29838187702265</v>
      </c>
      <c r="AF175" s="309">
        <f t="shared" si="426"/>
        <v>182.63414634146341</v>
      </c>
      <c r="AG175" s="310">
        <f t="shared" si="426"/>
        <v>163.86956521739131</v>
      </c>
      <c r="AH175" s="310">
        <f t="shared" si="426"/>
        <v>164.0625</v>
      </c>
      <c r="AI175" s="310">
        <f t="shared" si="426"/>
        <v>142.6045627376426</v>
      </c>
      <c r="AJ175" s="310">
        <f t="shared" si="426"/>
        <v>145</v>
      </c>
      <c r="AK175" s="310">
        <f t="shared" si="426"/>
        <v>170.0990099009901</v>
      </c>
      <c r="AL175" s="310">
        <f t="shared" si="426"/>
        <v>171.19402985074626</v>
      </c>
      <c r="AM175" s="310">
        <f t="shared" si="426"/>
        <v>147.98591549295776</v>
      </c>
      <c r="AN175" s="310">
        <f t="shared" si="426"/>
        <v>142.70220588235293</v>
      </c>
      <c r="AO175" s="310">
        <f t="shared" si="426"/>
        <v>0</v>
      </c>
      <c r="AP175" s="310">
        <f t="shared" si="426"/>
        <v>0</v>
      </c>
      <c r="AQ175" s="312">
        <f t="shared" si="426"/>
        <v>0</v>
      </c>
    </row>
    <row r="176" spans="1:43" ht="7.8" customHeight="1" x14ac:dyDescent="0.25">
      <c r="B176" s="282"/>
      <c r="C176" s="295"/>
      <c r="D176" s="324" t="s">
        <v>42</v>
      </c>
      <c r="E176" s="325" t="s">
        <v>32</v>
      </c>
      <c r="F176" s="326">
        <f t="shared" ref="F176:F177" si="427">SUM(G176,H176,N176,T176)</f>
        <v>7380</v>
      </c>
      <c r="G176" s="326">
        <f t="shared" si="306"/>
        <v>0</v>
      </c>
      <c r="H176" s="326">
        <f t="shared" ref="H176:H177" si="428">SUM(I176:M176)</f>
        <v>540</v>
      </c>
      <c r="I176" s="327">
        <f t="shared" ref="I176:M177" si="429">SUM(I194,I212)</f>
        <v>180</v>
      </c>
      <c r="J176" s="328">
        <f t="shared" si="429"/>
        <v>250</v>
      </c>
      <c r="K176" s="328">
        <f t="shared" si="429"/>
        <v>45</v>
      </c>
      <c r="L176" s="328">
        <f t="shared" si="429"/>
        <v>65</v>
      </c>
      <c r="M176" s="329">
        <f t="shared" si="429"/>
        <v>0</v>
      </c>
      <c r="N176" s="326">
        <f t="shared" ref="N176:N177" si="430">SUM(O176:S176)</f>
        <v>1240</v>
      </c>
      <c r="O176" s="327">
        <f t="shared" ref="O176:S177" si="431">SUM(O194,O212)</f>
        <v>550</v>
      </c>
      <c r="P176" s="328">
        <f t="shared" si="431"/>
        <v>600</v>
      </c>
      <c r="Q176" s="328">
        <f t="shared" si="431"/>
        <v>90</v>
      </c>
      <c r="R176" s="328">
        <f t="shared" si="431"/>
        <v>0</v>
      </c>
      <c r="S176" s="329">
        <f t="shared" si="431"/>
        <v>0</v>
      </c>
      <c r="T176" s="326">
        <f t="shared" ref="T176:T177" si="432">SUM(U176:Y176)</f>
        <v>5600</v>
      </c>
      <c r="U176" s="327">
        <f t="shared" ref="U176:Y177" si="433">SUM(U194,U212)</f>
        <v>350</v>
      </c>
      <c r="V176" s="328">
        <f t="shared" si="433"/>
        <v>2700</v>
      </c>
      <c r="W176" s="328">
        <f t="shared" si="433"/>
        <v>2200</v>
      </c>
      <c r="X176" s="328">
        <f t="shared" si="433"/>
        <v>100</v>
      </c>
      <c r="Y176" s="330">
        <f t="shared" si="433"/>
        <v>250</v>
      </c>
      <c r="AA176" s="291"/>
      <c r="AB176" s="303"/>
      <c r="AC176" s="331" t="s">
        <v>42</v>
      </c>
      <c r="AD176" s="332" t="s">
        <v>32</v>
      </c>
      <c r="AE176" s="333">
        <f t="shared" ref="AE176:AE177" si="434">SUM(AF176:AQ176)</f>
        <v>2200</v>
      </c>
      <c r="AF176" s="334">
        <f t="shared" ref="AF176:AQ177" si="435">SUM(AF194,AF212)</f>
        <v>105</v>
      </c>
      <c r="AG176" s="335">
        <f t="shared" si="435"/>
        <v>300</v>
      </c>
      <c r="AH176" s="335">
        <f t="shared" si="435"/>
        <v>180</v>
      </c>
      <c r="AI176" s="335">
        <f t="shared" si="435"/>
        <v>240</v>
      </c>
      <c r="AJ176" s="335">
        <f t="shared" si="435"/>
        <v>200</v>
      </c>
      <c r="AK176" s="335">
        <f t="shared" si="435"/>
        <v>70</v>
      </c>
      <c r="AL176" s="335">
        <f t="shared" si="435"/>
        <v>150</v>
      </c>
      <c r="AM176" s="335">
        <f t="shared" si="435"/>
        <v>210</v>
      </c>
      <c r="AN176" s="335">
        <f t="shared" si="435"/>
        <v>150</v>
      </c>
      <c r="AO176" s="335">
        <f t="shared" si="435"/>
        <v>295</v>
      </c>
      <c r="AP176" s="335">
        <f t="shared" si="435"/>
        <v>220</v>
      </c>
      <c r="AQ176" s="336">
        <f t="shared" si="435"/>
        <v>80</v>
      </c>
    </row>
    <row r="177" spans="2:43" s="41" customFormat="1" ht="7.8" customHeight="1" x14ac:dyDescent="0.25">
      <c r="B177" s="282"/>
      <c r="C177" s="295"/>
      <c r="D177" s="337"/>
      <c r="E177" s="338" t="s">
        <v>33</v>
      </c>
      <c r="F177" s="339">
        <f t="shared" si="427"/>
        <v>1214125</v>
      </c>
      <c r="G177" s="339">
        <f t="shared" si="306"/>
        <v>0</v>
      </c>
      <c r="H177" s="339">
        <f t="shared" si="428"/>
        <v>84025</v>
      </c>
      <c r="I177" s="340">
        <f t="shared" si="429"/>
        <v>27900</v>
      </c>
      <c r="J177" s="341">
        <f t="shared" si="429"/>
        <v>38750</v>
      </c>
      <c r="K177" s="341">
        <f t="shared" si="429"/>
        <v>6975</v>
      </c>
      <c r="L177" s="341">
        <f t="shared" si="429"/>
        <v>10400</v>
      </c>
      <c r="M177" s="342">
        <f t="shared" si="429"/>
        <v>0</v>
      </c>
      <c r="N177" s="339">
        <f t="shared" si="430"/>
        <v>199500</v>
      </c>
      <c r="O177" s="340">
        <f t="shared" si="431"/>
        <v>90750</v>
      </c>
      <c r="P177" s="341">
        <f t="shared" si="431"/>
        <v>94800</v>
      </c>
      <c r="Q177" s="341">
        <f t="shared" si="431"/>
        <v>13950</v>
      </c>
      <c r="R177" s="341">
        <f t="shared" si="431"/>
        <v>0</v>
      </c>
      <c r="S177" s="342">
        <f t="shared" si="431"/>
        <v>0</v>
      </c>
      <c r="T177" s="339">
        <f t="shared" si="432"/>
        <v>930600</v>
      </c>
      <c r="U177" s="340">
        <f t="shared" si="433"/>
        <v>63000</v>
      </c>
      <c r="V177" s="341">
        <f t="shared" si="433"/>
        <v>453600</v>
      </c>
      <c r="W177" s="341">
        <f t="shared" si="433"/>
        <v>352000</v>
      </c>
      <c r="X177" s="341">
        <f t="shared" si="433"/>
        <v>18500</v>
      </c>
      <c r="Y177" s="343">
        <f t="shared" si="433"/>
        <v>43500</v>
      </c>
      <c r="AA177" s="291"/>
      <c r="AB177" s="303"/>
      <c r="AC177" s="344"/>
      <c r="AD177" s="345" t="s">
        <v>33</v>
      </c>
      <c r="AE177" s="346">
        <f t="shared" si="434"/>
        <v>334970</v>
      </c>
      <c r="AF177" s="347">
        <f t="shared" si="435"/>
        <v>17850</v>
      </c>
      <c r="AG177" s="348">
        <f t="shared" si="435"/>
        <v>49500</v>
      </c>
      <c r="AH177" s="348">
        <f t="shared" si="435"/>
        <v>27900</v>
      </c>
      <c r="AI177" s="348">
        <f t="shared" si="435"/>
        <v>34260</v>
      </c>
      <c r="AJ177" s="348">
        <f t="shared" si="435"/>
        <v>29000</v>
      </c>
      <c r="AK177" s="348">
        <f t="shared" si="435"/>
        <v>11860</v>
      </c>
      <c r="AL177" s="348">
        <f t="shared" si="435"/>
        <v>26250</v>
      </c>
      <c r="AM177" s="348">
        <f t="shared" si="435"/>
        <v>33600</v>
      </c>
      <c r="AN177" s="348">
        <f t="shared" si="435"/>
        <v>21750</v>
      </c>
      <c r="AO177" s="348">
        <f t="shared" si="435"/>
        <v>41300</v>
      </c>
      <c r="AP177" s="348">
        <f t="shared" si="435"/>
        <v>30500</v>
      </c>
      <c r="AQ177" s="349">
        <f t="shared" si="435"/>
        <v>11200</v>
      </c>
    </row>
    <row r="178" spans="2:43" ht="7.8" customHeight="1" x14ac:dyDescent="0.25">
      <c r="B178" s="282"/>
      <c r="C178" s="295"/>
      <c r="D178" s="350"/>
      <c r="E178" s="351" t="s">
        <v>30</v>
      </c>
      <c r="F178" s="352">
        <f t="shared" ref="F178:Y232" si="436">IFERROR(F177/F176,0)</f>
        <v>164.51558265582656</v>
      </c>
      <c r="G178" s="352">
        <f t="shared" si="436"/>
        <v>0</v>
      </c>
      <c r="H178" s="352">
        <f t="shared" si="436"/>
        <v>155.60185185185185</v>
      </c>
      <c r="I178" s="353">
        <f t="shared" si="436"/>
        <v>155</v>
      </c>
      <c r="J178" s="354">
        <f t="shared" si="436"/>
        <v>155</v>
      </c>
      <c r="K178" s="354">
        <f t="shared" si="436"/>
        <v>155</v>
      </c>
      <c r="L178" s="354">
        <f t="shared" si="436"/>
        <v>160</v>
      </c>
      <c r="M178" s="355">
        <f t="shared" si="436"/>
        <v>0</v>
      </c>
      <c r="N178" s="352">
        <f t="shared" si="436"/>
        <v>160.88709677419354</v>
      </c>
      <c r="O178" s="353">
        <f t="shared" si="436"/>
        <v>165</v>
      </c>
      <c r="P178" s="354">
        <f t="shared" si="436"/>
        <v>158</v>
      </c>
      <c r="Q178" s="354">
        <f t="shared" si="436"/>
        <v>155</v>
      </c>
      <c r="R178" s="354">
        <f t="shared" si="436"/>
        <v>0</v>
      </c>
      <c r="S178" s="355">
        <f t="shared" si="436"/>
        <v>0</v>
      </c>
      <c r="T178" s="352">
        <f t="shared" si="436"/>
        <v>166.17857142857142</v>
      </c>
      <c r="U178" s="353">
        <f t="shared" si="436"/>
        <v>180</v>
      </c>
      <c r="V178" s="354">
        <f t="shared" si="436"/>
        <v>168</v>
      </c>
      <c r="W178" s="354">
        <f t="shared" si="436"/>
        <v>160</v>
      </c>
      <c r="X178" s="354">
        <f t="shared" si="436"/>
        <v>185</v>
      </c>
      <c r="Y178" s="356">
        <f t="shared" si="436"/>
        <v>174</v>
      </c>
      <c r="AA178" s="291"/>
      <c r="AB178" s="303"/>
      <c r="AC178" s="357"/>
      <c r="AD178" s="358" t="s">
        <v>30</v>
      </c>
      <c r="AE178" s="359">
        <f t="shared" ref="AE178:AQ178" si="437">IFERROR(AE177/AE176,0)</f>
        <v>152.2590909090909</v>
      </c>
      <c r="AF178" s="360">
        <f t="shared" si="437"/>
        <v>170</v>
      </c>
      <c r="AG178" s="361">
        <f t="shared" si="437"/>
        <v>165</v>
      </c>
      <c r="AH178" s="361">
        <f t="shared" si="437"/>
        <v>155</v>
      </c>
      <c r="AI178" s="361">
        <f t="shared" si="437"/>
        <v>142.75</v>
      </c>
      <c r="AJ178" s="361">
        <f t="shared" si="437"/>
        <v>145</v>
      </c>
      <c r="AK178" s="361">
        <f t="shared" si="437"/>
        <v>169.42857142857142</v>
      </c>
      <c r="AL178" s="361">
        <f t="shared" si="437"/>
        <v>175</v>
      </c>
      <c r="AM178" s="361">
        <f t="shared" si="437"/>
        <v>160</v>
      </c>
      <c r="AN178" s="361">
        <f t="shared" si="437"/>
        <v>145</v>
      </c>
      <c r="AO178" s="361">
        <f t="shared" si="437"/>
        <v>140</v>
      </c>
      <c r="AP178" s="361">
        <f t="shared" si="437"/>
        <v>138.63636363636363</v>
      </c>
      <c r="AQ178" s="362">
        <f t="shared" si="437"/>
        <v>140</v>
      </c>
    </row>
    <row r="179" spans="2:43" ht="7.8" customHeight="1" x14ac:dyDescent="0.25">
      <c r="B179" s="282"/>
      <c r="C179" s="295"/>
      <c r="D179" s="363" t="s">
        <v>43</v>
      </c>
      <c r="E179" s="316" t="s">
        <v>32</v>
      </c>
      <c r="F179" s="317">
        <f t="shared" ref="F179:Y181" si="438">F176-F173</f>
        <v>-125</v>
      </c>
      <c r="G179" s="317">
        <f t="shared" si="438"/>
        <v>-962</v>
      </c>
      <c r="H179" s="317">
        <f t="shared" si="438"/>
        <v>-38</v>
      </c>
      <c r="I179" s="318">
        <f t="shared" si="438"/>
        <v>116</v>
      </c>
      <c r="J179" s="319">
        <f t="shared" si="438"/>
        <v>250</v>
      </c>
      <c r="K179" s="319">
        <f t="shared" si="438"/>
        <v>7</v>
      </c>
      <c r="L179" s="319">
        <f t="shared" si="438"/>
        <v>65</v>
      </c>
      <c r="M179" s="320">
        <f t="shared" si="438"/>
        <v>-476</v>
      </c>
      <c r="N179" s="317">
        <f t="shared" si="438"/>
        <v>501</v>
      </c>
      <c r="O179" s="318">
        <f t="shared" si="438"/>
        <v>171</v>
      </c>
      <c r="P179" s="319">
        <f t="shared" si="438"/>
        <v>383</v>
      </c>
      <c r="Q179" s="319">
        <f t="shared" si="438"/>
        <v>-45</v>
      </c>
      <c r="R179" s="319">
        <f t="shared" si="438"/>
        <v>0</v>
      </c>
      <c r="S179" s="320">
        <f t="shared" si="438"/>
        <v>-8</v>
      </c>
      <c r="T179" s="317">
        <f t="shared" si="438"/>
        <v>374</v>
      </c>
      <c r="U179" s="318">
        <f t="shared" si="438"/>
        <v>-16</v>
      </c>
      <c r="V179" s="319">
        <f t="shared" si="438"/>
        <v>372</v>
      </c>
      <c r="W179" s="319">
        <f t="shared" si="438"/>
        <v>39</v>
      </c>
      <c r="X179" s="319">
        <f t="shared" si="438"/>
        <v>-123</v>
      </c>
      <c r="Y179" s="321">
        <f t="shared" si="438"/>
        <v>102</v>
      </c>
      <c r="AA179" s="291"/>
      <c r="AB179" s="303"/>
      <c r="AC179" s="364" t="s">
        <v>43</v>
      </c>
      <c r="AD179" s="323" t="s">
        <v>32</v>
      </c>
      <c r="AE179" s="317">
        <f t="shared" ref="AE179:AQ181" si="439">AE176-AE173</f>
        <v>655</v>
      </c>
      <c r="AF179" s="318">
        <f t="shared" si="439"/>
        <v>64</v>
      </c>
      <c r="AG179" s="319">
        <f t="shared" si="439"/>
        <v>185</v>
      </c>
      <c r="AH179" s="319">
        <f t="shared" si="439"/>
        <v>116</v>
      </c>
      <c r="AI179" s="319">
        <f t="shared" si="439"/>
        <v>-286</v>
      </c>
      <c r="AJ179" s="319">
        <f t="shared" si="439"/>
        <v>125</v>
      </c>
      <c r="AK179" s="319">
        <f t="shared" si="439"/>
        <v>-31</v>
      </c>
      <c r="AL179" s="319">
        <f t="shared" si="439"/>
        <v>83</v>
      </c>
      <c r="AM179" s="319">
        <f t="shared" si="439"/>
        <v>-74</v>
      </c>
      <c r="AN179" s="319">
        <f t="shared" si="439"/>
        <v>-122</v>
      </c>
      <c r="AO179" s="319">
        <f t="shared" si="439"/>
        <v>295</v>
      </c>
      <c r="AP179" s="319">
        <f t="shared" si="439"/>
        <v>220</v>
      </c>
      <c r="AQ179" s="321">
        <f t="shared" si="439"/>
        <v>80</v>
      </c>
    </row>
    <row r="180" spans="2:43" s="366" customFormat="1" ht="7.8" customHeight="1" x14ac:dyDescent="0.25">
      <c r="B180" s="282"/>
      <c r="C180" s="295"/>
      <c r="D180" s="296"/>
      <c r="E180" s="365" t="s">
        <v>33</v>
      </c>
      <c r="F180" s="298">
        <f t="shared" si="438"/>
        <v>15464.820000000065</v>
      </c>
      <c r="G180" s="298">
        <f t="shared" si="438"/>
        <v>-150540</v>
      </c>
      <c r="H180" s="298">
        <f t="shared" si="438"/>
        <v>-15880</v>
      </c>
      <c r="I180" s="299">
        <f t="shared" si="438"/>
        <v>17400</v>
      </c>
      <c r="J180" s="300">
        <f t="shared" si="438"/>
        <v>38750</v>
      </c>
      <c r="K180" s="300">
        <f t="shared" si="438"/>
        <v>1085</v>
      </c>
      <c r="L180" s="300">
        <f t="shared" si="438"/>
        <v>10400</v>
      </c>
      <c r="M180" s="301">
        <f t="shared" si="438"/>
        <v>-83515</v>
      </c>
      <c r="N180" s="298">
        <f t="shared" si="438"/>
        <v>77123</v>
      </c>
      <c r="O180" s="299">
        <f t="shared" si="438"/>
        <v>26840</v>
      </c>
      <c r="P180" s="300">
        <f t="shared" si="438"/>
        <v>58793</v>
      </c>
      <c r="Q180" s="300">
        <f t="shared" si="438"/>
        <v>-7270</v>
      </c>
      <c r="R180" s="300">
        <f t="shared" si="438"/>
        <v>0</v>
      </c>
      <c r="S180" s="301">
        <f t="shared" si="438"/>
        <v>-1240</v>
      </c>
      <c r="T180" s="298">
        <f t="shared" si="438"/>
        <v>104761.82000000007</v>
      </c>
      <c r="U180" s="299">
        <f t="shared" si="438"/>
        <v>-42068.900000000023</v>
      </c>
      <c r="V180" s="300">
        <f t="shared" si="438"/>
        <v>111064.07000000007</v>
      </c>
      <c r="W180" s="300">
        <f t="shared" si="438"/>
        <v>32543.650000000023</v>
      </c>
      <c r="X180" s="300">
        <f t="shared" si="438"/>
        <v>-16036</v>
      </c>
      <c r="Y180" s="302">
        <f t="shared" si="438"/>
        <v>19259</v>
      </c>
      <c r="AA180" s="291"/>
      <c r="AB180" s="303"/>
      <c r="AC180" s="367"/>
      <c r="AD180" s="368" t="s">
        <v>33</v>
      </c>
      <c r="AE180" s="298">
        <f t="shared" si="439"/>
        <v>102759</v>
      </c>
      <c r="AF180" s="299">
        <f t="shared" si="439"/>
        <v>10362</v>
      </c>
      <c r="AG180" s="300">
        <f t="shared" si="439"/>
        <v>30655</v>
      </c>
      <c r="AH180" s="300">
        <f t="shared" si="439"/>
        <v>17400</v>
      </c>
      <c r="AI180" s="300">
        <f t="shared" si="439"/>
        <v>-40750</v>
      </c>
      <c r="AJ180" s="300">
        <f t="shared" si="439"/>
        <v>18125</v>
      </c>
      <c r="AK180" s="300">
        <f t="shared" si="439"/>
        <v>-5320</v>
      </c>
      <c r="AL180" s="300">
        <f t="shared" si="439"/>
        <v>14780</v>
      </c>
      <c r="AM180" s="300">
        <f t="shared" si="439"/>
        <v>-8428</v>
      </c>
      <c r="AN180" s="300">
        <f t="shared" si="439"/>
        <v>-17065</v>
      </c>
      <c r="AO180" s="300">
        <f t="shared" si="439"/>
        <v>41300</v>
      </c>
      <c r="AP180" s="300">
        <f t="shared" si="439"/>
        <v>30500</v>
      </c>
      <c r="AQ180" s="302">
        <f t="shared" si="439"/>
        <v>11200</v>
      </c>
    </row>
    <row r="181" spans="2:43" ht="7.8" customHeight="1" x14ac:dyDescent="0.25">
      <c r="B181" s="282"/>
      <c r="C181" s="295"/>
      <c r="D181" s="306"/>
      <c r="E181" s="307" t="s">
        <v>30</v>
      </c>
      <c r="F181" s="308">
        <f t="shared" si="438"/>
        <v>4.8007019096573629</v>
      </c>
      <c r="G181" s="308">
        <f t="shared" si="438"/>
        <v>-156.48648648648648</v>
      </c>
      <c r="H181" s="308">
        <f t="shared" si="438"/>
        <v>-17.244168909393835</v>
      </c>
      <c r="I181" s="309">
        <f t="shared" si="438"/>
        <v>-9.0625</v>
      </c>
      <c r="J181" s="310">
        <f t="shared" si="438"/>
        <v>155</v>
      </c>
      <c r="K181" s="310">
        <f t="shared" si="438"/>
        <v>0</v>
      </c>
      <c r="L181" s="310">
        <f t="shared" si="438"/>
        <v>160</v>
      </c>
      <c r="M181" s="311">
        <f t="shared" si="438"/>
        <v>-175.45168067226891</v>
      </c>
      <c r="N181" s="308">
        <f t="shared" si="438"/>
        <v>-4.7110087738443553</v>
      </c>
      <c r="O181" s="309">
        <f t="shared" si="438"/>
        <v>-3.6279683377308629</v>
      </c>
      <c r="P181" s="310">
        <f t="shared" si="438"/>
        <v>-7.9308755760368683</v>
      </c>
      <c r="Q181" s="310">
        <f t="shared" si="438"/>
        <v>-2.1851851851851904</v>
      </c>
      <c r="R181" s="310">
        <f t="shared" si="438"/>
        <v>0</v>
      </c>
      <c r="S181" s="311">
        <f t="shared" si="438"/>
        <v>-155</v>
      </c>
      <c r="T181" s="308">
        <f t="shared" si="438"/>
        <v>8.1536613635121</v>
      </c>
      <c r="U181" s="309">
        <f t="shared" si="438"/>
        <v>-107.07349726775965</v>
      </c>
      <c r="V181" s="310">
        <f t="shared" si="438"/>
        <v>20.862573024055024</v>
      </c>
      <c r="W181" s="310">
        <f t="shared" si="438"/>
        <v>12.171980564553451</v>
      </c>
      <c r="X181" s="310">
        <f t="shared" si="438"/>
        <v>30.130044843049319</v>
      </c>
      <c r="Y181" s="312">
        <f t="shared" si="438"/>
        <v>10.209459459459453</v>
      </c>
      <c r="AA181" s="291"/>
      <c r="AB181" s="303"/>
      <c r="AC181" s="369"/>
      <c r="AD181" s="314" t="s">
        <v>30</v>
      </c>
      <c r="AE181" s="308">
        <f t="shared" si="439"/>
        <v>1.9607090320682516</v>
      </c>
      <c r="AF181" s="309">
        <f t="shared" si="439"/>
        <v>-12.634146341463406</v>
      </c>
      <c r="AG181" s="310">
        <f t="shared" si="439"/>
        <v>1.1304347826086882</v>
      </c>
      <c r="AH181" s="310">
        <f t="shared" si="439"/>
        <v>-9.0625</v>
      </c>
      <c r="AI181" s="310">
        <f t="shared" si="439"/>
        <v>0.14543726235740451</v>
      </c>
      <c r="AJ181" s="310">
        <f t="shared" si="439"/>
        <v>0</v>
      </c>
      <c r="AK181" s="310">
        <f t="shared" si="439"/>
        <v>-0.67043847241868093</v>
      </c>
      <c r="AL181" s="310">
        <f t="shared" si="439"/>
        <v>3.8059701492537386</v>
      </c>
      <c r="AM181" s="310">
        <f t="shared" si="439"/>
        <v>12.014084507042242</v>
      </c>
      <c r="AN181" s="310">
        <f t="shared" si="439"/>
        <v>2.2977941176470722</v>
      </c>
      <c r="AO181" s="310">
        <f t="shared" si="439"/>
        <v>140</v>
      </c>
      <c r="AP181" s="310">
        <f t="shared" si="439"/>
        <v>138.63636363636363</v>
      </c>
      <c r="AQ181" s="312">
        <f t="shared" si="439"/>
        <v>140</v>
      </c>
    </row>
    <row r="182" spans="2:43" ht="7.8" customHeight="1" x14ac:dyDescent="0.25">
      <c r="B182" s="282"/>
      <c r="C182" s="295"/>
      <c r="D182" s="363" t="s">
        <v>44</v>
      </c>
      <c r="E182" s="316" t="s">
        <v>32</v>
      </c>
      <c r="F182" s="370">
        <f t="shared" ref="F182:Y184" si="440">IFERROR((F176-F173)/ABS(F173),"")</f>
        <v>-1.6655562958027982E-2</v>
      </c>
      <c r="G182" s="370">
        <f t="shared" si="440"/>
        <v>-1</v>
      </c>
      <c r="H182" s="370">
        <f t="shared" si="440"/>
        <v>-6.5743944636678195E-2</v>
      </c>
      <c r="I182" s="371">
        <f t="shared" si="440"/>
        <v>1.8125</v>
      </c>
      <c r="J182" s="372" t="str">
        <f t="shared" si="440"/>
        <v/>
      </c>
      <c r="K182" s="372">
        <f t="shared" si="440"/>
        <v>0.18421052631578946</v>
      </c>
      <c r="L182" s="372" t="str">
        <f t="shared" si="440"/>
        <v/>
      </c>
      <c r="M182" s="373">
        <f t="shared" si="440"/>
        <v>-1</v>
      </c>
      <c r="N182" s="370">
        <f t="shared" si="440"/>
        <v>0.67794316644113672</v>
      </c>
      <c r="O182" s="371">
        <f t="shared" si="440"/>
        <v>0.45118733509234826</v>
      </c>
      <c r="P182" s="372">
        <f t="shared" si="440"/>
        <v>1.7649769585253456</v>
      </c>
      <c r="Q182" s="372">
        <f t="shared" si="440"/>
        <v>-0.33333333333333331</v>
      </c>
      <c r="R182" s="372" t="str">
        <f t="shared" si="440"/>
        <v/>
      </c>
      <c r="S182" s="373">
        <f t="shared" si="440"/>
        <v>-1</v>
      </c>
      <c r="T182" s="370">
        <f t="shared" si="440"/>
        <v>7.1565250669728284E-2</v>
      </c>
      <c r="U182" s="371">
        <f t="shared" si="440"/>
        <v>-4.3715846994535519E-2</v>
      </c>
      <c r="V182" s="372">
        <f t="shared" si="440"/>
        <v>0.15979381443298968</v>
      </c>
      <c r="W182" s="372">
        <f t="shared" si="440"/>
        <v>1.8047200370198982E-2</v>
      </c>
      <c r="X182" s="372">
        <f t="shared" si="440"/>
        <v>-0.55156950672645744</v>
      </c>
      <c r="Y182" s="374">
        <f t="shared" si="440"/>
        <v>0.68918918918918914</v>
      </c>
      <c r="AA182" s="291"/>
      <c r="AB182" s="303"/>
      <c r="AC182" s="364" t="s">
        <v>44</v>
      </c>
      <c r="AD182" s="323" t="s">
        <v>32</v>
      </c>
      <c r="AE182" s="370">
        <f t="shared" ref="AE182:AQ184" si="441">IFERROR((AE176-AE173)/ABS(AE173),"")</f>
        <v>0.42394822006472493</v>
      </c>
      <c r="AF182" s="371">
        <f t="shared" si="441"/>
        <v>1.5609756097560976</v>
      </c>
      <c r="AG182" s="372">
        <f t="shared" si="441"/>
        <v>1.6086956521739131</v>
      </c>
      <c r="AH182" s="372">
        <f t="shared" si="441"/>
        <v>1.8125</v>
      </c>
      <c r="AI182" s="372">
        <f t="shared" si="441"/>
        <v>-0.54372623574144485</v>
      </c>
      <c r="AJ182" s="372">
        <f t="shared" si="441"/>
        <v>1.6666666666666667</v>
      </c>
      <c r="AK182" s="372">
        <f t="shared" si="441"/>
        <v>-0.30693069306930693</v>
      </c>
      <c r="AL182" s="372">
        <f t="shared" si="441"/>
        <v>1.2388059701492538</v>
      </c>
      <c r="AM182" s="372">
        <f t="shared" si="441"/>
        <v>-0.26056338028169013</v>
      </c>
      <c r="AN182" s="372">
        <f t="shared" si="441"/>
        <v>-0.4485294117647059</v>
      </c>
      <c r="AO182" s="372" t="str">
        <f t="shared" si="441"/>
        <v/>
      </c>
      <c r="AP182" s="372" t="str">
        <f t="shared" si="441"/>
        <v/>
      </c>
      <c r="AQ182" s="374" t="str">
        <f t="shared" si="441"/>
        <v/>
      </c>
    </row>
    <row r="183" spans="2:43" ht="7.8" customHeight="1" x14ac:dyDescent="0.25">
      <c r="B183" s="282"/>
      <c r="C183" s="295"/>
      <c r="D183" s="296"/>
      <c r="E183" s="375" t="s">
        <v>33</v>
      </c>
      <c r="F183" s="376">
        <f t="shared" si="440"/>
        <v>1.2901755024514176E-2</v>
      </c>
      <c r="G183" s="376">
        <f t="shared" si="440"/>
        <v>-1</v>
      </c>
      <c r="H183" s="376">
        <f t="shared" si="440"/>
        <v>-0.15895100345328061</v>
      </c>
      <c r="I183" s="377">
        <f t="shared" si="440"/>
        <v>1.6571428571428573</v>
      </c>
      <c r="J183" s="378" t="str">
        <f t="shared" si="440"/>
        <v/>
      </c>
      <c r="K183" s="378">
        <f t="shared" si="440"/>
        <v>0.18421052631578946</v>
      </c>
      <c r="L183" s="378" t="str">
        <f t="shared" si="440"/>
        <v/>
      </c>
      <c r="M183" s="379">
        <f t="shared" si="440"/>
        <v>-1</v>
      </c>
      <c r="N183" s="376">
        <f t="shared" si="440"/>
        <v>0.63020829077359308</v>
      </c>
      <c r="O183" s="377">
        <f t="shared" si="440"/>
        <v>0.41996557659208261</v>
      </c>
      <c r="P183" s="378">
        <f t="shared" si="440"/>
        <v>1.6328213958396978</v>
      </c>
      <c r="Q183" s="378">
        <f t="shared" si="440"/>
        <v>-0.34260131950989631</v>
      </c>
      <c r="R183" s="378" t="str">
        <f t="shared" si="440"/>
        <v/>
      </c>
      <c r="S183" s="379">
        <f t="shared" si="440"/>
        <v>-1</v>
      </c>
      <c r="T183" s="376">
        <f t="shared" si="440"/>
        <v>0.1268551424929277</v>
      </c>
      <c r="U183" s="377">
        <f t="shared" si="440"/>
        <v>-0.40039345610356647</v>
      </c>
      <c r="V183" s="378">
        <f t="shared" si="440"/>
        <v>0.32424064243421147</v>
      </c>
      <c r="W183" s="378">
        <f t="shared" si="440"/>
        <v>0.1018719771887459</v>
      </c>
      <c r="X183" s="378">
        <f t="shared" si="440"/>
        <v>-0.46432707899003939</v>
      </c>
      <c r="Y183" s="380">
        <f t="shared" si="440"/>
        <v>0.79448042572501132</v>
      </c>
      <c r="AA183" s="291"/>
      <c r="AB183" s="303"/>
      <c r="AC183" s="367"/>
      <c r="AD183" s="381" t="s">
        <v>33</v>
      </c>
      <c r="AE183" s="376">
        <f t="shared" si="441"/>
        <v>0.44252425595686684</v>
      </c>
      <c r="AF183" s="377">
        <f t="shared" si="441"/>
        <v>1.3838141025641026</v>
      </c>
      <c r="AG183" s="378">
        <f t="shared" si="441"/>
        <v>1.6266914300875563</v>
      </c>
      <c r="AH183" s="378">
        <f t="shared" si="441"/>
        <v>1.6571428571428573</v>
      </c>
      <c r="AI183" s="378">
        <f t="shared" si="441"/>
        <v>-0.54326089854686044</v>
      </c>
      <c r="AJ183" s="378">
        <f t="shared" si="441"/>
        <v>1.6666666666666667</v>
      </c>
      <c r="AK183" s="378">
        <f t="shared" si="441"/>
        <v>-0.30966239813736901</v>
      </c>
      <c r="AL183" s="378">
        <f t="shared" si="441"/>
        <v>1.2885789014821274</v>
      </c>
      <c r="AM183" s="378">
        <f t="shared" si="441"/>
        <v>-0.20053297801465689</v>
      </c>
      <c r="AN183" s="378">
        <f t="shared" si="441"/>
        <v>-0.43964961999227103</v>
      </c>
      <c r="AO183" s="378" t="str">
        <f t="shared" si="441"/>
        <v/>
      </c>
      <c r="AP183" s="378" t="str">
        <f t="shared" si="441"/>
        <v/>
      </c>
      <c r="AQ183" s="380" t="str">
        <f t="shared" si="441"/>
        <v/>
      </c>
    </row>
    <row r="184" spans="2:43" ht="7.8" customHeight="1" x14ac:dyDescent="0.25">
      <c r="B184" s="282"/>
      <c r="C184" s="382"/>
      <c r="D184" s="383"/>
      <c r="E184" s="384" t="s">
        <v>30</v>
      </c>
      <c r="F184" s="385">
        <f t="shared" si="440"/>
        <v>3.0057950062192366E-2</v>
      </c>
      <c r="G184" s="385">
        <f t="shared" si="440"/>
        <v>-1</v>
      </c>
      <c r="H184" s="385">
        <f t="shared" si="440"/>
        <v>-9.9766074066659688E-2</v>
      </c>
      <c r="I184" s="386">
        <f t="shared" si="440"/>
        <v>-5.5238095238095239E-2</v>
      </c>
      <c r="J184" s="387" t="str">
        <f t="shared" si="440"/>
        <v/>
      </c>
      <c r="K184" s="387">
        <f t="shared" si="440"/>
        <v>0</v>
      </c>
      <c r="L184" s="387" t="str">
        <f t="shared" si="440"/>
        <v/>
      </c>
      <c r="M184" s="388">
        <f t="shared" si="440"/>
        <v>-1</v>
      </c>
      <c r="N184" s="385">
        <f t="shared" si="440"/>
        <v>-2.8448446063157117E-2</v>
      </c>
      <c r="O184" s="386">
        <f t="shared" si="440"/>
        <v>-2.1514629948364842E-2</v>
      </c>
      <c r="P184" s="387">
        <f t="shared" si="440"/>
        <v>-4.7796261837975959E-2</v>
      </c>
      <c r="Q184" s="387">
        <f t="shared" si="440"/>
        <v>-1.390197926484452E-2</v>
      </c>
      <c r="R184" s="387" t="str">
        <f t="shared" si="440"/>
        <v/>
      </c>
      <c r="S184" s="388">
        <f t="shared" si="440"/>
        <v>-1</v>
      </c>
      <c r="T184" s="385">
        <f t="shared" si="440"/>
        <v>5.1597316905007025E-2</v>
      </c>
      <c r="U184" s="386">
        <f t="shared" si="440"/>
        <v>-0.37298287123972956</v>
      </c>
      <c r="V184" s="387">
        <f t="shared" si="440"/>
        <v>0.1417897094766091</v>
      </c>
      <c r="W184" s="387">
        <f t="shared" si="440"/>
        <v>8.233879213858171E-2</v>
      </c>
      <c r="X184" s="387">
        <f t="shared" si="440"/>
        <v>0.19455061385221212</v>
      </c>
      <c r="Y184" s="389">
        <f t="shared" si="440"/>
        <v>6.2332412029206669E-2</v>
      </c>
      <c r="AA184" s="291"/>
      <c r="AB184" s="390"/>
      <c r="AC184" s="391"/>
      <c r="AD184" s="392" t="s">
        <v>30</v>
      </c>
      <c r="AE184" s="385">
        <f t="shared" si="441"/>
        <v>1.3045443387890534E-2</v>
      </c>
      <c r="AF184" s="386">
        <f t="shared" si="441"/>
        <v>-6.917735042735039E-2</v>
      </c>
      <c r="AG184" s="387">
        <f t="shared" si="441"/>
        <v>6.8983815335632338E-3</v>
      </c>
      <c r="AH184" s="387">
        <f t="shared" si="441"/>
        <v>-5.5238095238095239E-2</v>
      </c>
      <c r="AI184" s="387">
        <f t="shared" si="441"/>
        <v>1.0198640181308461E-3</v>
      </c>
      <c r="AJ184" s="387">
        <f t="shared" si="441"/>
        <v>0</v>
      </c>
      <c r="AK184" s="387">
        <f t="shared" si="441"/>
        <v>-3.941460169632525E-3</v>
      </c>
      <c r="AL184" s="387">
        <f t="shared" si="441"/>
        <v>2.2231909328683564E-2</v>
      </c>
      <c r="AM184" s="387">
        <f t="shared" si="441"/>
        <v>8.1183972589702016E-2</v>
      </c>
      <c r="AN184" s="387">
        <f t="shared" si="441"/>
        <v>1.6102022414015295E-2</v>
      </c>
      <c r="AO184" s="387" t="str">
        <f t="shared" si="441"/>
        <v/>
      </c>
      <c r="AP184" s="387" t="str">
        <f t="shared" si="441"/>
        <v/>
      </c>
      <c r="AQ184" s="389" t="str">
        <f t="shared" si="441"/>
        <v/>
      </c>
    </row>
    <row r="185" spans="2:43" ht="7.8" customHeight="1" x14ac:dyDescent="0.25">
      <c r="B185" s="282"/>
      <c r="C185" s="393" t="s">
        <v>48</v>
      </c>
      <c r="D185" s="394" t="s">
        <v>39</v>
      </c>
      <c r="E185" s="395" t="s">
        <v>32</v>
      </c>
      <c r="F185" s="396">
        <f t="shared" ref="F185:F186" si="442">SUM(G185,H185,N185,T185)</f>
        <v>0</v>
      </c>
      <c r="G185" s="396"/>
      <c r="H185" s="396">
        <f t="shared" ref="H185:H186" si="443">SUM(I185:M185)</f>
        <v>0</v>
      </c>
      <c r="I185" s="397"/>
      <c r="J185" s="398"/>
      <c r="K185" s="398"/>
      <c r="L185" s="398"/>
      <c r="M185" s="399"/>
      <c r="N185" s="396">
        <f t="shared" ref="N185:N186" si="444">SUM(O185:S185)</f>
        <v>0</v>
      </c>
      <c r="O185" s="397"/>
      <c r="P185" s="398"/>
      <c r="Q185" s="398"/>
      <c r="R185" s="398"/>
      <c r="S185" s="399"/>
      <c r="T185" s="396">
        <f t="shared" ref="T185:T186" si="445">SUM(U185:Y185)</f>
        <v>0</v>
      </c>
      <c r="U185" s="397"/>
      <c r="V185" s="398"/>
      <c r="W185" s="398"/>
      <c r="X185" s="398"/>
      <c r="Y185" s="400"/>
      <c r="AA185" s="291"/>
      <c r="AB185" s="401" t="s">
        <v>48</v>
      </c>
      <c r="AC185" s="402" t="s">
        <v>39</v>
      </c>
      <c r="AD185" s="403" t="s">
        <v>32</v>
      </c>
      <c r="AE185" s="396">
        <f t="shared" ref="AE185:AE186" si="446">SUM(AF185:AQ185)</f>
        <v>0</v>
      </c>
      <c r="AF185" s="397">
        <f>$I$77</f>
        <v>0</v>
      </c>
      <c r="AG185" s="398">
        <f>$I$131</f>
        <v>0</v>
      </c>
      <c r="AH185" s="398">
        <f>$I$185</f>
        <v>0</v>
      </c>
      <c r="AI185" s="398">
        <f>$I$239</f>
        <v>0</v>
      </c>
      <c r="AJ185" s="398">
        <f>$I$293</f>
        <v>0</v>
      </c>
      <c r="AK185" s="398">
        <f>$I$347</f>
        <v>0</v>
      </c>
      <c r="AL185" s="398">
        <f>$I$401</f>
        <v>0</v>
      </c>
      <c r="AM185" s="398">
        <f>$I$455</f>
        <v>0</v>
      </c>
      <c r="AN185" s="398">
        <f>$I$509</f>
        <v>0</v>
      </c>
      <c r="AO185" s="398">
        <f>$I$563</f>
        <v>0</v>
      </c>
      <c r="AP185" s="398">
        <f>$I$617</f>
        <v>0</v>
      </c>
      <c r="AQ185" s="400">
        <f>$I$671</f>
        <v>0</v>
      </c>
    </row>
    <row r="186" spans="2:43" s="41" customFormat="1" ht="7.8" customHeight="1" x14ac:dyDescent="0.25">
      <c r="B186" s="282"/>
      <c r="C186" s="404"/>
      <c r="D186" s="405"/>
      <c r="E186" s="406" t="s">
        <v>33</v>
      </c>
      <c r="F186" s="407">
        <f t="shared" si="442"/>
        <v>0</v>
      </c>
      <c r="G186" s="407"/>
      <c r="H186" s="407">
        <f t="shared" si="443"/>
        <v>0</v>
      </c>
      <c r="I186" s="408"/>
      <c r="J186" s="409"/>
      <c r="K186" s="409"/>
      <c r="L186" s="409"/>
      <c r="M186" s="410"/>
      <c r="N186" s="407">
        <f t="shared" si="444"/>
        <v>0</v>
      </c>
      <c r="O186" s="408"/>
      <c r="P186" s="409"/>
      <c r="Q186" s="409"/>
      <c r="R186" s="409"/>
      <c r="S186" s="410"/>
      <c r="T186" s="407">
        <f t="shared" si="445"/>
        <v>0</v>
      </c>
      <c r="U186" s="408"/>
      <c r="V186" s="409"/>
      <c r="W186" s="409"/>
      <c r="X186" s="409"/>
      <c r="Y186" s="411"/>
      <c r="AA186" s="291"/>
      <c r="AB186" s="412"/>
      <c r="AC186" s="413"/>
      <c r="AD186" s="414" t="s">
        <v>33</v>
      </c>
      <c r="AE186" s="407">
        <f t="shared" si="446"/>
        <v>0</v>
      </c>
      <c r="AF186" s="408">
        <f>$I$78</f>
        <v>0</v>
      </c>
      <c r="AG186" s="409">
        <f>$I$132</f>
        <v>0</v>
      </c>
      <c r="AH186" s="409">
        <f>$I$186</f>
        <v>0</v>
      </c>
      <c r="AI186" s="409">
        <f>$I$240</f>
        <v>0</v>
      </c>
      <c r="AJ186" s="409">
        <f>$I$294</f>
        <v>0</v>
      </c>
      <c r="AK186" s="409">
        <f>$I$348</f>
        <v>0</v>
      </c>
      <c r="AL186" s="409">
        <f>$I$402</f>
        <v>0</v>
      </c>
      <c r="AM186" s="409">
        <f>$I$456</f>
        <v>0</v>
      </c>
      <c r="AN186" s="409">
        <f>$I$510</f>
        <v>0</v>
      </c>
      <c r="AO186" s="409">
        <f>$I$564</f>
        <v>0</v>
      </c>
      <c r="AP186" s="409">
        <f>$I$618</f>
        <v>0</v>
      </c>
      <c r="AQ186" s="411">
        <f>$I$672</f>
        <v>0</v>
      </c>
    </row>
    <row r="187" spans="2:43" ht="7.8" customHeight="1" x14ac:dyDescent="0.25">
      <c r="B187" s="282"/>
      <c r="C187" s="404"/>
      <c r="D187" s="415"/>
      <c r="E187" s="416" t="s">
        <v>30</v>
      </c>
      <c r="F187" s="417">
        <f t="shared" ref="F187:Y241" si="447">IFERROR(F186/F185,0)</f>
        <v>0</v>
      </c>
      <c r="G187" s="417">
        <f t="shared" si="447"/>
        <v>0</v>
      </c>
      <c r="H187" s="417">
        <f t="shared" si="447"/>
        <v>0</v>
      </c>
      <c r="I187" s="418">
        <f t="shared" si="447"/>
        <v>0</v>
      </c>
      <c r="J187" s="419">
        <f t="shared" si="447"/>
        <v>0</v>
      </c>
      <c r="K187" s="419">
        <f t="shared" si="447"/>
        <v>0</v>
      </c>
      <c r="L187" s="419">
        <f t="shared" si="447"/>
        <v>0</v>
      </c>
      <c r="M187" s="420">
        <f t="shared" si="447"/>
        <v>0</v>
      </c>
      <c r="N187" s="417">
        <f t="shared" si="447"/>
        <v>0</v>
      </c>
      <c r="O187" s="418">
        <f t="shared" si="447"/>
        <v>0</v>
      </c>
      <c r="P187" s="419">
        <f t="shared" si="447"/>
        <v>0</v>
      </c>
      <c r="Q187" s="419">
        <f t="shared" si="447"/>
        <v>0</v>
      </c>
      <c r="R187" s="419">
        <f t="shared" si="447"/>
        <v>0</v>
      </c>
      <c r="S187" s="420">
        <f t="shared" si="447"/>
        <v>0</v>
      </c>
      <c r="T187" s="417">
        <f t="shared" si="447"/>
        <v>0</v>
      </c>
      <c r="U187" s="418">
        <f t="shared" si="447"/>
        <v>0</v>
      </c>
      <c r="V187" s="419">
        <f t="shared" si="447"/>
        <v>0</v>
      </c>
      <c r="W187" s="419">
        <f t="shared" si="447"/>
        <v>0</v>
      </c>
      <c r="X187" s="419">
        <f t="shared" si="447"/>
        <v>0</v>
      </c>
      <c r="Y187" s="421">
        <f t="shared" si="447"/>
        <v>0</v>
      </c>
      <c r="AA187" s="291"/>
      <c r="AB187" s="412"/>
      <c r="AC187" s="422"/>
      <c r="AD187" s="423" t="s">
        <v>30</v>
      </c>
      <c r="AE187" s="417">
        <f t="shared" ref="AE187:AQ187" si="448">IFERROR(AE186/AE185,0)</f>
        <v>0</v>
      </c>
      <c r="AF187" s="418">
        <f t="shared" si="448"/>
        <v>0</v>
      </c>
      <c r="AG187" s="419">
        <f t="shared" si="448"/>
        <v>0</v>
      </c>
      <c r="AH187" s="419">
        <f t="shared" si="448"/>
        <v>0</v>
      </c>
      <c r="AI187" s="419">
        <f t="shared" si="448"/>
        <v>0</v>
      </c>
      <c r="AJ187" s="419">
        <f t="shared" si="448"/>
        <v>0</v>
      </c>
      <c r="AK187" s="419">
        <f t="shared" si="448"/>
        <v>0</v>
      </c>
      <c r="AL187" s="419">
        <f t="shared" si="448"/>
        <v>0</v>
      </c>
      <c r="AM187" s="419">
        <f t="shared" si="448"/>
        <v>0</v>
      </c>
      <c r="AN187" s="419">
        <f t="shared" si="448"/>
        <v>0</v>
      </c>
      <c r="AO187" s="419">
        <f t="shared" si="448"/>
        <v>0</v>
      </c>
      <c r="AP187" s="419">
        <f t="shared" si="448"/>
        <v>0</v>
      </c>
      <c r="AQ187" s="421">
        <f t="shared" si="448"/>
        <v>0</v>
      </c>
    </row>
    <row r="188" spans="2:43" ht="7.8" customHeight="1" x14ac:dyDescent="0.25">
      <c r="B188" s="282"/>
      <c r="C188" s="404"/>
      <c r="D188" s="424" t="s">
        <v>40</v>
      </c>
      <c r="E188" s="425" t="s">
        <v>32</v>
      </c>
      <c r="F188" s="426">
        <f t="shared" ref="F188:F189" si="449">SUM(G188,H188,N188,T188)</f>
        <v>4860</v>
      </c>
      <c r="G188" s="426">
        <v>385</v>
      </c>
      <c r="H188" s="426">
        <f t="shared" ref="H188:H189" si="450">SUM(I188:M188)</f>
        <v>429</v>
      </c>
      <c r="I188" s="427">
        <v>184</v>
      </c>
      <c r="J188" s="428">
        <v>12</v>
      </c>
      <c r="K188" s="428">
        <v>0</v>
      </c>
      <c r="L188" s="428">
        <v>0</v>
      </c>
      <c r="M188" s="429">
        <v>233</v>
      </c>
      <c r="N188" s="426">
        <f t="shared" ref="N188:N189" si="451">SUM(O188:S188)</f>
        <v>697</v>
      </c>
      <c r="O188" s="427">
        <v>367</v>
      </c>
      <c r="P188" s="428">
        <v>291</v>
      </c>
      <c r="Q188" s="428">
        <v>39</v>
      </c>
      <c r="R188" s="428">
        <v>0</v>
      </c>
      <c r="S188" s="429">
        <v>0</v>
      </c>
      <c r="T188" s="426">
        <f t="shared" ref="T188:T189" si="452">SUM(U188:Y188)</f>
        <v>3349</v>
      </c>
      <c r="U188" s="427">
        <v>259</v>
      </c>
      <c r="V188" s="428">
        <v>1414</v>
      </c>
      <c r="W188" s="428">
        <v>1366</v>
      </c>
      <c r="X188" s="428">
        <v>87</v>
      </c>
      <c r="Y188" s="430">
        <v>223</v>
      </c>
      <c r="AA188" s="291"/>
      <c r="AB188" s="412"/>
      <c r="AC188" s="431" t="s">
        <v>40</v>
      </c>
      <c r="AD188" s="432" t="s">
        <v>32</v>
      </c>
      <c r="AE188" s="426">
        <f t="shared" ref="AE188:AE189" si="453">SUM(AF188:AQ188)</f>
        <v>1351</v>
      </c>
      <c r="AF188" s="427">
        <f>$I$80</f>
        <v>160</v>
      </c>
      <c r="AG188" s="428">
        <f>$I$134</f>
        <v>287</v>
      </c>
      <c r="AH188" s="428">
        <f>$I$188</f>
        <v>184</v>
      </c>
      <c r="AI188" s="428">
        <f>$I$242</f>
        <v>56</v>
      </c>
      <c r="AJ188" s="428">
        <f>$I$296</f>
        <v>183</v>
      </c>
      <c r="AK188" s="428">
        <f>$I$350</f>
        <v>0</v>
      </c>
      <c r="AL188" s="428">
        <f>$I$404</f>
        <v>83</v>
      </c>
      <c r="AM188" s="428">
        <f>$I$458</f>
        <v>217</v>
      </c>
      <c r="AN188" s="428">
        <f>$I$512</f>
        <v>89</v>
      </c>
      <c r="AO188" s="428">
        <f>$I$566</f>
        <v>80</v>
      </c>
      <c r="AP188" s="428">
        <f>$I$620</f>
        <v>12</v>
      </c>
      <c r="AQ188" s="430">
        <f>$I$674</f>
        <v>0</v>
      </c>
    </row>
    <row r="189" spans="2:43" s="41" customFormat="1" ht="7.8" customHeight="1" x14ac:dyDescent="0.25">
      <c r="B189" s="282"/>
      <c r="C189" s="404"/>
      <c r="D189" s="405"/>
      <c r="E189" s="406" t="s">
        <v>33</v>
      </c>
      <c r="F189" s="407">
        <f t="shared" si="449"/>
        <v>753443.23</v>
      </c>
      <c r="G189" s="407">
        <v>60060</v>
      </c>
      <c r="H189" s="407">
        <f t="shared" si="450"/>
        <v>74587</v>
      </c>
      <c r="I189" s="408">
        <v>31710</v>
      </c>
      <c r="J189" s="409">
        <v>2200</v>
      </c>
      <c r="K189" s="409">
        <v>0</v>
      </c>
      <c r="L189" s="409">
        <v>0</v>
      </c>
      <c r="M189" s="410">
        <v>40677</v>
      </c>
      <c r="N189" s="407">
        <f t="shared" si="451"/>
        <v>120810</v>
      </c>
      <c r="O189" s="408">
        <v>62020</v>
      </c>
      <c r="P189" s="409">
        <v>52515</v>
      </c>
      <c r="Q189" s="409">
        <v>6275</v>
      </c>
      <c r="R189" s="409">
        <v>0</v>
      </c>
      <c r="S189" s="410">
        <v>0</v>
      </c>
      <c r="T189" s="407">
        <f t="shared" si="452"/>
        <v>497986.23000000004</v>
      </c>
      <c r="U189" s="408">
        <v>53894.7</v>
      </c>
      <c r="V189" s="409">
        <v>195407.37999999995</v>
      </c>
      <c r="W189" s="409">
        <v>199653.15000000008</v>
      </c>
      <c r="X189" s="409">
        <v>13900</v>
      </c>
      <c r="Y189" s="411">
        <v>35131</v>
      </c>
      <c r="AA189" s="291"/>
      <c r="AB189" s="412"/>
      <c r="AC189" s="413"/>
      <c r="AD189" s="414" t="s">
        <v>33</v>
      </c>
      <c r="AE189" s="407">
        <f t="shared" si="453"/>
        <v>225839</v>
      </c>
      <c r="AF189" s="408">
        <f>$I$81</f>
        <v>28630</v>
      </c>
      <c r="AG189" s="409">
        <f>$I$135</f>
        <v>51168</v>
      </c>
      <c r="AH189" s="409">
        <f>$I$189</f>
        <v>31710</v>
      </c>
      <c r="AI189" s="409">
        <f>$I$243</f>
        <v>9280</v>
      </c>
      <c r="AJ189" s="409">
        <f>$I$297</f>
        <v>25815</v>
      </c>
      <c r="AK189" s="409">
        <f>$I$351</f>
        <v>0</v>
      </c>
      <c r="AL189" s="409">
        <f>$I$405</f>
        <v>15071</v>
      </c>
      <c r="AM189" s="409">
        <f>$I$459</f>
        <v>36800</v>
      </c>
      <c r="AN189" s="409">
        <f>$I$513</f>
        <v>13235</v>
      </c>
      <c r="AO189" s="409">
        <f>$I$567</f>
        <v>12270</v>
      </c>
      <c r="AP189" s="409">
        <f>$I$621</f>
        <v>1860</v>
      </c>
      <c r="AQ189" s="411">
        <f>$I$675</f>
        <v>0</v>
      </c>
    </row>
    <row r="190" spans="2:43" ht="7.8" customHeight="1" x14ac:dyDescent="0.25">
      <c r="B190" s="282"/>
      <c r="C190" s="404"/>
      <c r="D190" s="415"/>
      <c r="E190" s="416" t="s">
        <v>30</v>
      </c>
      <c r="F190" s="417">
        <f t="shared" ref="F190:Y244" si="454">IFERROR(F189/F188,0)</f>
        <v>155.02947119341565</v>
      </c>
      <c r="G190" s="417">
        <f t="shared" si="454"/>
        <v>156</v>
      </c>
      <c r="H190" s="417">
        <f t="shared" si="454"/>
        <v>173.86247086247087</v>
      </c>
      <c r="I190" s="418">
        <f t="shared" si="454"/>
        <v>172.33695652173913</v>
      </c>
      <c r="J190" s="419">
        <f t="shared" si="454"/>
        <v>183.33333333333334</v>
      </c>
      <c r="K190" s="419">
        <f t="shared" si="454"/>
        <v>0</v>
      </c>
      <c r="L190" s="419">
        <f t="shared" si="454"/>
        <v>0</v>
      </c>
      <c r="M190" s="420">
        <f t="shared" si="454"/>
        <v>174.57939914163092</v>
      </c>
      <c r="N190" s="417">
        <f t="shared" si="454"/>
        <v>173.32855093256816</v>
      </c>
      <c r="O190" s="418">
        <f t="shared" si="454"/>
        <v>168.99182561307902</v>
      </c>
      <c r="P190" s="419">
        <f t="shared" si="454"/>
        <v>180.46391752577318</v>
      </c>
      <c r="Q190" s="419">
        <f t="shared" si="454"/>
        <v>160.89743589743588</v>
      </c>
      <c r="R190" s="419">
        <f t="shared" si="454"/>
        <v>0</v>
      </c>
      <c r="S190" s="420">
        <f t="shared" si="454"/>
        <v>0</v>
      </c>
      <c r="T190" s="417">
        <f t="shared" si="454"/>
        <v>148.69699313227829</v>
      </c>
      <c r="U190" s="418">
        <f t="shared" si="454"/>
        <v>208.08764478764476</v>
      </c>
      <c r="V190" s="419">
        <f t="shared" si="454"/>
        <v>138.1947524752475</v>
      </c>
      <c r="W190" s="419">
        <f t="shared" si="454"/>
        <v>146.1589677891655</v>
      </c>
      <c r="X190" s="419">
        <f t="shared" si="454"/>
        <v>159.77011494252875</v>
      </c>
      <c r="Y190" s="421">
        <f t="shared" si="454"/>
        <v>157.53811659192826</v>
      </c>
      <c r="AA190" s="291"/>
      <c r="AB190" s="412"/>
      <c r="AC190" s="422"/>
      <c r="AD190" s="423" t="s">
        <v>30</v>
      </c>
      <c r="AE190" s="417">
        <f t="shared" ref="AE190:AQ190" si="455">IFERROR(AE189/AE188,0)</f>
        <v>167.16432272390821</v>
      </c>
      <c r="AF190" s="418">
        <f t="shared" si="455"/>
        <v>178.9375</v>
      </c>
      <c r="AG190" s="419">
        <f t="shared" si="455"/>
        <v>178.28571428571428</v>
      </c>
      <c r="AH190" s="419">
        <f t="shared" si="455"/>
        <v>172.33695652173913</v>
      </c>
      <c r="AI190" s="419">
        <f t="shared" si="455"/>
        <v>165.71428571428572</v>
      </c>
      <c r="AJ190" s="419">
        <f t="shared" si="455"/>
        <v>141.0655737704918</v>
      </c>
      <c r="AK190" s="419">
        <f t="shared" si="455"/>
        <v>0</v>
      </c>
      <c r="AL190" s="419">
        <f t="shared" si="455"/>
        <v>181.57831325301206</v>
      </c>
      <c r="AM190" s="419">
        <f t="shared" si="455"/>
        <v>169.58525345622121</v>
      </c>
      <c r="AN190" s="419">
        <f t="shared" si="455"/>
        <v>148.70786516853931</v>
      </c>
      <c r="AO190" s="419">
        <f t="shared" si="455"/>
        <v>153.375</v>
      </c>
      <c r="AP190" s="419">
        <f t="shared" si="455"/>
        <v>155</v>
      </c>
      <c r="AQ190" s="421">
        <f t="shared" si="455"/>
        <v>0</v>
      </c>
    </row>
    <row r="191" spans="2:43" ht="7.8" customHeight="1" x14ac:dyDescent="0.25">
      <c r="B191" s="282"/>
      <c r="C191" s="404"/>
      <c r="D191" s="424" t="s">
        <v>41</v>
      </c>
      <c r="E191" s="425" t="s">
        <v>32</v>
      </c>
      <c r="F191" s="426">
        <f t="shared" ref="F191:F192" si="456">SUM(G191,H191,N191,T191)</f>
        <v>5238</v>
      </c>
      <c r="G191" s="426">
        <v>673</v>
      </c>
      <c r="H191" s="426">
        <f t="shared" ref="H191:H192" si="457">SUM(I191:M191)</f>
        <v>470</v>
      </c>
      <c r="I191" s="427">
        <v>32</v>
      </c>
      <c r="J191" s="428">
        <v>0</v>
      </c>
      <c r="K191" s="428">
        <v>26</v>
      </c>
      <c r="L191" s="428">
        <v>0</v>
      </c>
      <c r="M191" s="603">
        <v>412</v>
      </c>
      <c r="N191" s="426">
        <f t="shared" ref="N191:N192" si="458">SUM(O191:S191)</f>
        <v>504</v>
      </c>
      <c r="O191" s="427">
        <v>268</v>
      </c>
      <c r="P191" s="428">
        <v>137</v>
      </c>
      <c r="Q191" s="428">
        <v>94</v>
      </c>
      <c r="R191" s="428">
        <v>0</v>
      </c>
      <c r="S191" s="429">
        <v>5</v>
      </c>
      <c r="T191" s="426">
        <f t="shared" ref="T191:T192" si="459">SUM(U191:Y191)</f>
        <v>3591</v>
      </c>
      <c r="U191" s="427">
        <v>251</v>
      </c>
      <c r="V191" s="428">
        <v>1568</v>
      </c>
      <c r="W191" s="428">
        <v>1520</v>
      </c>
      <c r="X191" s="428">
        <v>151</v>
      </c>
      <c r="Y191" s="430">
        <v>101</v>
      </c>
      <c r="AA191" s="291"/>
      <c r="AB191" s="412"/>
      <c r="AC191" s="431" t="s">
        <v>41</v>
      </c>
      <c r="AD191" s="432" t="s">
        <v>32</v>
      </c>
      <c r="AE191" s="426">
        <f t="shared" ref="AE191:AE192" si="460">SUM(AF191:AQ191)</f>
        <v>1347</v>
      </c>
      <c r="AF191" s="427">
        <f>$I$83</f>
        <v>20</v>
      </c>
      <c r="AG191" s="428">
        <f>$I$137</f>
        <v>93</v>
      </c>
      <c r="AH191" s="428">
        <f>$I$191</f>
        <v>32</v>
      </c>
      <c r="AI191" s="428">
        <f>$I$245</f>
        <v>495</v>
      </c>
      <c r="AJ191" s="428">
        <f>$I$299</f>
        <v>75</v>
      </c>
      <c r="AK191" s="428">
        <f>$I$353</f>
        <v>71</v>
      </c>
      <c r="AL191" s="428">
        <f>$I$407</f>
        <v>67</v>
      </c>
      <c r="AM191" s="428">
        <f>$I$461</f>
        <v>222</v>
      </c>
      <c r="AN191" s="428">
        <f>$I$515</f>
        <v>272</v>
      </c>
      <c r="AO191" s="428">
        <f>$I$569</f>
        <v>0</v>
      </c>
      <c r="AP191" s="428">
        <f>$I$623</f>
        <v>0</v>
      </c>
      <c r="AQ191" s="430">
        <f>$I$677</f>
        <v>0</v>
      </c>
    </row>
    <row r="192" spans="2:43" s="41" customFormat="1" ht="7.8" customHeight="1" x14ac:dyDescent="0.25">
      <c r="B192" s="282"/>
      <c r="C192" s="404"/>
      <c r="D192" s="405"/>
      <c r="E192" s="406" t="s">
        <v>33</v>
      </c>
      <c r="F192" s="407">
        <f t="shared" si="456"/>
        <v>831780.59</v>
      </c>
      <c r="G192" s="407">
        <v>105131</v>
      </c>
      <c r="H192" s="407">
        <f t="shared" si="457"/>
        <v>81710</v>
      </c>
      <c r="I192" s="408">
        <v>5250</v>
      </c>
      <c r="J192" s="409">
        <v>0</v>
      </c>
      <c r="K192" s="409">
        <v>4030</v>
      </c>
      <c r="L192" s="409">
        <v>0</v>
      </c>
      <c r="M192" s="604">
        <v>72430</v>
      </c>
      <c r="N192" s="407">
        <f t="shared" si="458"/>
        <v>83869</v>
      </c>
      <c r="O192" s="408">
        <v>45410</v>
      </c>
      <c r="P192" s="409">
        <v>22869</v>
      </c>
      <c r="Q192" s="409">
        <v>14815</v>
      </c>
      <c r="R192" s="409">
        <v>0</v>
      </c>
      <c r="S192" s="410">
        <v>775</v>
      </c>
      <c r="T192" s="407">
        <f t="shared" si="459"/>
        <v>561070.59</v>
      </c>
      <c r="U192" s="408">
        <v>71317.700000000012</v>
      </c>
      <c r="V192" s="409">
        <v>229717.38999999993</v>
      </c>
      <c r="W192" s="409">
        <v>220170.5</v>
      </c>
      <c r="X192" s="409">
        <v>23166</v>
      </c>
      <c r="Y192" s="411">
        <v>16699</v>
      </c>
      <c r="AA192" s="291"/>
      <c r="AB192" s="412"/>
      <c r="AC192" s="413"/>
      <c r="AD192" s="414" t="s">
        <v>33</v>
      </c>
      <c r="AE192" s="407">
        <f t="shared" si="460"/>
        <v>199396</v>
      </c>
      <c r="AF192" s="408">
        <f>$I$84</f>
        <v>3660</v>
      </c>
      <c r="AG192" s="409">
        <f>$I$138</f>
        <v>15228</v>
      </c>
      <c r="AH192" s="409">
        <f>$I$192</f>
        <v>5250</v>
      </c>
      <c r="AI192" s="409">
        <f>$I$246</f>
        <v>70409</v>
      </c>
      <c r="AJ192" s="409">
        <f>$I$300</f>
        <v>10875</v>
      </c>
      <c r="AK192" s="409">
        <f>$I$354</f>
        <v>12177</v>
      </c>
      <c r="AL192" s="409">
        <f>$I$408</f>
        <v>11470</v>
      </c>
      <c r="AM192" s="409">
        <f>$I$462</f>
        <v>31512</v>
      </c>
      <c r="AN192" s="409">
        <f>$I$516</f>
        <v>38815</v>
      </c>
      <c r="AO192" s="409">
        <f>$I$570</f>
        <v>0</v>
      </c>
      <c r="AP192" s="409">
        <f>$I$624</f>
        <v>0</v>
      </c>
      <c r="AQ192" s="411">
        <f>$I$678</f>
        <v>0</v>
      </c>
    </row>
    <row r="193" spans="2:43" ht="7.8" customHeight="1" x14ac:dyDescent="0.25">
      <c r="B193" s="282"/>
      <c r="C193" s="404"/>
      <c r="D193" s="415"/>
      <c r="E193" s="416" t="s">
        <v>30</v>
      </c>
      <c r="F193" s="417">
        <f t="shared" ref="F193:Y247" si="461">IFERROR(F192/F191,0)</f>
        <v>158.79736349751812</v>
      </c>
      <c r="G193" s="417">
        <f t="shared" si="461"/>
        <v>156.21248142644873</v>
      </c>
      <c r="H193" s="417">
        <f t="shared" si="461"/>
        <v>173.85106382978722</v>
      </c>
      <c r="I193" s="418">
        <f t="shared" si="461"/>
        <v>164.0625</v>
      </c>
      <c r="J193" s="419">
        <f t="shared" si="461"/>
        <v>0</v>
      </c>
      <c r="K193" s="419">
        <f t="shared" si="461"/>
        <v>155</v>
      </c>
      <c r="L193" s="419">
        <f t="shared" si="461"/>
        <v>0</v>
      </c>
      <c r="M193" s="420">
        <f t="shared" si="461"/>
        <v>175.80097087378641</v>
      </c>
      <c r="N193" s="417">
        <f t="shared" si="461"/>
        <v>166.40674603174602</v>
      </c>
      <c r="O193" s="418">
        <f t="shared" si="461"/>
        <v>169.4402985074627</v>
      </c>
      <c r="P193" s="419">
        <f t="shared" si="461"/>
        <v>166.92700729927006</v>
      </c>
      <c r="Q193" s="419">
        <f t="shared" si="461"/>
        <v>157.60638297872342</v>
      </c>
      <c r="R193" s="419">
        <f t="shared" si="461"/>
        <v>0</v>
      </c>
      <c r="S193" s="420">
        <f t="shared" si="461"/>
        <v>155</v>
      </c>
      <c r="T193" s="417">
        <f t="shared" si="461"/>
        <v>156.24355054302421</v>
      </c>
      <c r="U193" s="418">
        <f t="shared" si="461"/>
        <v>284.13426294820721</v>
      </c>
      <c r="V193" s="419">
        <f t="shared" si="461"/>
        <v>146.50343749999996</v>
      </c>
      <c r="W193" s="419">
        <f t="shared" si="461"/>
        <v>144.84901315789475</v>
      </c>
      <c r="X193" s="419">
        <f t="shared" si="461"/>
        <v>153.41721854304635</v>
      </c>
      <c r="Y193" s="421">
        <f t="shared" si="461"/>
        <v>165.33663366336634</v>
      </c>
      <c r="AA193" s="291"/>
      <c r="AB193" s="412"/>
      <c r="AC193" s="422"/>
      <c r="AD193" s="423" t="s">
        <v>30</v>
      </c>
      <c r="AE193" s="417">
        <f t="shared" ref="AE193:AQ193" si="462">IFERROR(AE192/AE191,0)</f>
        <v>148.02969561989607</v>
      </c>
      <c r="AF193" s="418">
        <f t="shared" si="462"/>
        <v>183</v>
      </c>
      <c r="AG193" s="419">
        <f t="shared" si="462"/>
        <v>163.74193548387098</v>
      </c>
      <c r="AH193" s="419">
        <f t="shared" si="462"/>
        <v>164.0625</v>
      </c>
      <c r="AI193" s="419">
        <f t="shared" si="462"/>
        <v>142.24040404040403</v>
      </c>
      <c r="AJ193" s="419">
        <f t="shared" si="462"/>
        <v>145</v>
      </c>
      <c r="AK193" s="419">
        <f t="shared" si="462"/>
        <v>171.50704225352112</v>
      </c>
      <c r="AL193" s="419">
        <f t="shared" si="462"/>
        <v>171.19402985074626</v>
      </c>
      <c r="AM193" s="419">
        <f t="shared" si="462"/>
        <v>141.94594594594594</v>
      </c>
      <c r="AN193" s="419">
        <f t="shared" si="462"/>
        <v>142.70220588235293</v>
      </c>
      <c r="AO193" s="419">
        <f t="shared" si="462"/>
        <v>0</v>
      </c>
      <c r="AP193" s="419">
        <f t="shared" si="462"/>
        <v>0</v>
      </c>
      <c r="AQ193" s="421">
        <f t="shared" si="462"/>
        <v>0</v>
      </c>
    </row>
    <row r="194" spans="2:43" ht="7.8" customHeight="1" x14ac:dyDescent="0.25">
      <c r="B194" s="282"/>
      <c r="C194" s="404"/>
      <c r="D194" s="433" t="s">
        <v>42</v>
      </c>
      <c r="E194" s="434" t="s">
        <v>32</v>
      </c>
      <c r="F194" s="435">
        <f t="shared" ref="F194:F195" si="463">SUM(G194,H194,N194,T194)</f>
        <v>5219</v>
      </c>
      <c r="G194" s="435">
        <v>0</v>
      </c>
      <c r="H194" s="435">
        <v>370</v>
      </c>
      <c r="I194" s="436">
        <v>140</v>
      </c>
      <c r="J194" s="437">
        <v>150</v>
      </c>
      <c r="K194" s="437">
        <v>30</v>
      </c>
      <c r="L194" s="437">
        <v>50</v>
      </c>
      <c r="M194" s="438">
        <v>0</v>
      </c>
      <c r="N194" s="435">
        <f t="shared" ref="N194:N195" si="464">SUM(O194:S194)</f>
        <v>700</v>
      </c>
      <c r="O194" s="436">
        <v>350</v>
      </c>
      <c r="P194" s="437">
        <v>300</v>
      </c>
      <c r="Q194" s="437">
        <v>50</v>
      </c>
      <c r="R194" s="437">
        <v>0</v>
      </c>
      <c r="S194" s="438">
        <v>0</v>
      </c>
      <c r="T194" s="435">
        <f t="shared" ref="T194:T195" si="465">SUM(U194:Y194)</f>
        <v>4149</v>
      </c>
      <c r="U194" s="436">
        <v>226</v>
      </c>
      <c r="V194" s="437">
        <v>2069</v>
      </c>
      <c r="W194" s="437">
        <v>1632</v>
      </c>
      <c r="X194" s="437">
        <v>66</v>
      </c>
      <c r="Y194" s="439">
        <v>156</v>
      </c>
      <c r="AA194" s="291"/>
      <c r="AB194" s="412"/>
      <c r="AC194" s="440" t="s">
        <v>42</v>
      </c>
      <c r="AD194" s="441" t="s">
        <v>32</v>
      </c>
      <c r="AE194" s="442">
        <f t="shared" ref="AE194:AE195" si="466">SUM(AF194:AQ194)</f>
        <v>1585</v>
      </c>
      <c r="AF194" s="443">
        <f>$I$86</f>
        <v>80</v>
      </c>
      <c r="AG194" s="444">
        <f>$I$140</f>
        <v>150</v>
      </c>
      <c r="AH194" s="444">
        <f>$I$194</f>
        <v>140</v>
      </c>
      <c r="AI194" s="444">
        <f>$I$248</f>
        <v>180</v>
      </c>
      <c r="AJ194" s="444">
        <f>$I$302</f>
        <v>150</v>
      </c>
      <c r="AK194" s="444">
        <f>$I$356</f>
        <v>50</v>
      </c>
      <c r="AL194" s="444">
        <f>$I$410</f>
        <v>130</v>
      </c>
      <c r="AM194" s="444">
        <f>$I$464</f>
        <v>150</v>
      </c>
      <c r="AN194" s="444">
        <f>$I$518</f>
        <v>120</v>
      </c>
      <c r="AO194" s="444">
        <f>$I$572</f>
        <v>220</v>
      </c>
      <c r="AP194" s="444">
        <f>$I$626</f>
        <v>150</v>
      </c>
      <c r="AQ194" s="445">
        <f>$I$680</f>
        <v>65</v>
      </c>
    </row>
    <row r="195" spans="2:43" s="41" customFormat="1" ht="7.8" customHeight="1" x14ac:dyDescent="0.25">
      <c r="B195" s="282"/>
      <c r="C195" s="404"/>
      <c r="D195" s="446"/>
      <c r="E195" s="447" t="s">
        <v>33</v>
      </c>
      <c r="F195" s="448">
        <f t="shared" si="463"/>
        <v>859246</v>
      </c>
      <c r="G195" s="448">
        <v>0</v>
      </c>
      <c r="H195" s="448">
        <v>57600</v>
      </c>
      <c r="I195" s="449">
        <v>21700</v>
      </c>
      <c r="J195" s="450">
        <v>23250</v>
      </c>
      <c r="K195" s="450">
        <v>4650</v>
      </c>
      <c r="L195" s="450">
        <v>8000</v>
      </c>
      <c r="M195" s="451">
        <v>0</v>
      </c>
      <c r="N195" s="448">
        <f t="shared" si="464"/>
        <v>112900</v>
      </c>
      <c r="O195" s="449">
        <v>57750</v>
      </c>
      <c r="P195" s="450">
        <v>47400</v>
      </c>
      <c r="Q195" s="450">
        <v>7750</v>
      </c>
      <c r="R195" s="450">
        <v>0</v>
      </c>
      <c r="S195" s="451">
        <v>0</v>
      </c>
      <c r="T195" s="448">
        <f t="shared" si="465"/>
        <v>688746</v>
      </c>
      <c r="U195" s="449">
        <v>40680</v>
      </c>
      <c r="V195" s="450">
        <v>347592</v>
      </c>
      <c r="W195" s="450">
        <v>261120</v>
      </c>
      <c r="X195" s="450">
        <v>12210</v>
      </c>
      <c r="Y195" s="452">
        <v>27144</v>
      </c>
      <c r="AA195" s="291"/>
      <c r="AB195" s="412"/>
      <c r="AC195" s="453"/>
      <c r="AD195" s="454" t="s">
        <v>33</v>
      </c>
      <c r="AE195" s="455">
        <f t="shared" si="466"/>
        <v>240610</v>
      </c>
      <c r="AF195" s="456">
        <f>$I$87</f>
        <v>13600</v>
      </c>
      <c r="AG195" s="457">
        <f>$I$141</f>
        <v>24750</v>
      </c>
      <c r="AH195" s="457">
        <f>$I$195</f>
        <v>21700</v>
      </c>
      <c r="AI195" s="457">
        <f>$I$249</f>
        <v>25560</v>
      </c>
      <c r="AJ195" s="457">
        <f>$I$303</f>
        <v>21750</v>
      </c>
      <c r="AK195" s="457">
        <f>$I$357</f>
        <v>8500</v>
      </c>
      <c r="AL195" s="457">
        <f>$I$411</f>
        <v>22750</v>
      </c>
      <c r="AM195" s="457">
        <f>$I$465</f>
        <v>24000</v>
      </c>
      <c r="AN195" s="457">
        <f>$I$519</f>
        <v>17400</v>
      </c>
      <c r="AO195" s="457">
        <f>$I$573</f>
        <v>30800</v>
      </c>
      <c r="AP195" s="457">
        <f>$I$627</f>
        <v>20700</v>
      </c>
      <c r="AQ195" s="458">
        <f>$I$681</f>
        <v>9100</v>
      </c>
    </row>
    <row r="196" spans="2:43" ht="7.8" customHeight="1" x14ac:dyDescent="0.25">
      <c r="B196" s="282"/>
      <c r="C196" s="404"/>
      <c r="D196" s="459"/>
      <c r="E196" s="460" t="s">
        <v>30</v>
      </c>
      <c r="F196" s="461">
        <f t="shared" ref="F196:L250" si="467">IFERROR(F195/F194,0)</f>
        <v>164.63805326690937</v>
      </c>
      <c r="G196" s="461">
        <f t="shared" si="467"/>
        <v>0</v>
      </c>
      <c r="H196" s="461">
        <f t="shared" si="467"/>
        <v>155.67567567567568</v>
      </c>
      <c r="I196" s="462">
        <f t="shared" si="467"/>
        <v>155</v>
      </c>
      <c r="J196" s="463">
        <f t="shared" si="467"/>
        <v>155</v>
      </c>
      <c r="K196" s="463">
        <f t="shared" si="467"/>
        <v>155</v>
      </c>
      <c r="L196" s="463">
        <f t="shared" si="467"/>
        <v>160</v>
      </c>
      <c r="M196" s="464"/>
      <c r="N196" s="461">
        <f t="shared" ref="N196:Y250" si="468">IFERROR(N195/N194,0)</f>
        <v>161.28571428571428</v>
      </c>
      <c r="O196" s="462">
        <f t="shared" si="468"/>
        <v>165</v>
      </c>
      <c r="P196" s="463">
        <f t="shared" si="468"/>
        <v>158</v>
      </c>
      <c r="Q196" s="463">
        <f t="shared" si="468"/>
        <v>155</v>
      </c>
      <c r="R196" s="463">
        <f t="shared" si="468"/>
        <v>0</v>
      </c>
      <c r="S196" s="464">
        <f t="shared" si="468"/>
        <v>0</v>
      </c>
      <c r="T196" s="461">
        <f t="shared" si="468"/>
        <v>166.00289226319595</v>
      </c>
      <c r="U196" s="462">
        <f t="shared" si="468"/>
        <v>180</v>
      </c>
      <c r="V196" s="463">
        <f t="shared" si="468"/>
        <v>168</v>
      </c>
      <c r="W196" s="463">
        <f t="shared" si="468"/>
        <v>160</v>
      </c>
      <c r="X196" s="463">
        <f t="shared" si="468"/>
        <v>185</v>
      </c>
      <c r="Y196" s="465">
        <f t="shared" si="468"/>
        <v>174</v>
      </c>
      <c r="AA196" s="291"/>
      <c r="AB196" s="412"/>
      <c r="AC196" s="466"/>
      <c r="AD196" s="467" t="s">
        <v>30</v>
      </c>
      <c r="AE196" s="468">
        <f t="shared" ref="AE196:AQ196" si="469">IFERROR(AE195/AE194,0)</f>
        <v>151.8044164037855</v>
      </c>
      <c r="AF196" s="469">
        <f t="shared" si="469"/>
        <v>170</v>
      </c>
      <c r="AG196" s="470">
        <f t="shared" si="469"/>
        <v>165</v>
      </c>
      <c r="AH196" s="470">
        <f t="shared" si="469"/>
        <v>155</v>
      </c>
      <c r="AI196" s="470">
        <f t="shared" si="469"/>
        <v>142</v>
      </c>
      <c r="AJ196" s="470">
        <f t="shared" si="469"/>
        <v>145</v>
      </c>
      <c r="AK196" s="470">
        <f t="shared" si="469"/>
        <v>170</v>
      </c>
      <c r="AL196" s="470">
        <f t="shared" si="469"/>
        <v>175</v>
      </c>
      <c r="AM196" s="470">
        <f t="shared" si="469"/>
        <v>160</v>
      </c>
      <c r="AN196" s="470">
        <f t="shared" si="469"/>
        <v>145</v>
      </c>
      <c r="AO196" s="470">
        <f t="shared" si="469"/>
        <v>140</v>
      </c>
      <c r="AP196" s="470">
        <f t="shared" si="469"/>
        <v>138</v>
      </c>
      <c r="AQ196" s="471">
        <f t="shared" si="469"/>
        <v>140</v>
      </c>
    </row>
    <row r="197" spans="2:43" ht="7.8" customHeight="1" x14ac:dyDescent="0.25">
      <c r="B197" s="282"/>
      <c r="C197" s="404"/>
      <c r="D197" s="472" t="s">
        <v>43</v>
      </c>
      <c r="E197" s="425" t="s">
        <v>32</v>
      </c>
      <c r="F197" s="426">
        <f t="shared" ref="F197:Y199" si="470">F194-F191</f>
        <v>-19</v>
      </c>
      <c r="G197" s="426">
        <f t="shared" si="470"/>
        <v>-673</v>
      </c>
      <c r="H197" s="426">
        <f t="shared" si="470"/>
        <v>-100</v>
      </c>
      <c r="I197" s="427">
        <f t="shared" si="470"/>
        <v>108</v>
      </c>
      <c r="J197" s="428">
        <f t="shared" si="470"/>
        <v>150</v>
      </c>
      <c r="K197" s="428">
        <f t="shared" si="470"/>
        <v>4</v>
      </c>
      <c r="L197" s="428">
        <f t="shared" si="470"/>
        <v>50</v>
      </c>
      <c r="M197" s="429">
        <f t="shared" si="470"/>
        <v>-412</v>
      </c>
      <c r="N197" s="426">
        <f t="shared" si="470"/>
        <v>196</v>
      </c>
      <c r="O197" s="427">
        <f t="shared" si="470"/>
        <v>82</v>
      </c>
      <c r="P197" s="428">
        <f t="shared" si="470"/>
        <v>163</v>
      </c>
      <c r="Q197" s="428">
        <f t="shared" si="470"/>
        <v>-44</v>
      </c>
      <c r="R197" s="428">
        <f t="shared" si="470"/>
        <v>0</v>
      </c>
      <c r="S197" s="429">
        <f t="shared" si="470"/>
        <v>-5</v>
      </c>
      <c r="T197" s="426">
        <f t="shared" si="470"/>
        <v>558</v>
      </c>
      <c r="U197" s="427">
        <f t="shared" si="470"/>
        <v>-25</v>
      </c>
      <c r="V197" s="428">
        <f t="shared" si="470"/>
        <v>501</v>
      </c>
      <c r="W197" s="428">
        <f t="shared" si="470"/>
        <v>112</v>
      </c>
      <c r="X197" s="428">
        <f t="shared" si="470"/>
        <v>-85</v>
      </c>
      <c r="Y197" s="430">
        <f t="shared" si="470"/>
        <v>55</v>
      </c>
      <c r="AA197" s="291"/>
      <c r="AB197" s="412"/>
      <c r="AC197" s="473" t="s">
        <v>43</v>
      </c>
      <c r="AD197" s="432" t="s">
        <v>32</v>
      </c>
      <c r="AE197" s="426">
        <f t="shared" ref="AE197:AQ199" si="471">AE194-AE191</f>
        <v>238</v>
      </c>
      <c r="AF197" s="427">
        <f t="shared" si="471"/>
        <v>60</v>
      </c>
      <c r="AG197" s="428">
        <f t="shared" si="471"/>
        <v>57</v>
      </c>
      <c r="AH197" s="428">
        <f t="shared" si="471"/>
        <v>108</v>
      </c>
      <c r="AI197" s="428">
        <f t="shared" si="471"/>
        <v>-315</v>
      </c>
      <c r="AJ197" s="428">
        <f t="shared" si="471"/>
        <v>75</v>
      </c>
      <c r="AK197" s="428">
        <f t="shared" si="471"/>
        <v>-21</v>
      </c>
      <c r="AL197" s="428">
        <f t="shared" si="471"/>
        <v>63</v>
      </c>
      <c r="AM197" s="428">
        <f t="shared" si="471"/>
        <v>-72</v>
      </c>
      <c r="AN197" s="428">
        <f t="shared" si="471"/>
        <v>-152</v>
      </c>
      <c r="AO197" s="428">
        <f t="shared" si="471"/>
        <v>220</v>
      </c>
      <c r="AP197" s="428">
        <f t="shared" si="471"/>
        <v>150</v>
      </c>
      <c r="AQ197" s="430">
        <f t="shared" si="471"/>
        <v>65</v>
      </c>
    </row>
    <row r="198" spans="2:43" s="366" customFormat="1" ht="7.8" customHeight="1" x14ac:dyDescent="0.25">
      <c r="B198" s="282"/>
      <c r="C198" s="404"/>
      <c r="D198" s="405"/>
      <c r="E198" s="474" t="s">
        <v>33</v>
      </c>
      <c r="F198" s="407">
        <f t="shared" si="470"/>
        <v>27465.410000000033</v>
      </c>
      <c r="G198" s="407">
        <f t="shared" si="470"/>
        <v>-105131</v>
      </c>
      <c r="H198" s="407">
        <f t="shared" si="470"/>
        <v>-24110</v>
      </c>
      <c r="I198" s="408">
        <f t="shared" si="470"/>
        <v>16450</v>
      </c>
      <c r="J198" s="409">
        <f t="shared" si="470"/>
        <v>23250</v>
      </c>
      <c r="K198" s="409">
        <f t="shared" si="470"/>
        <v>620</v>
      </c>
      <c r="L198" s="409">
        <f t="shared" si="470"/>
        <v>8000</v>
      </c>
      <c r="M198" s="410">
        <f t="shared" si="470"/>
        <v>-72430</v>
      </c>
      <c r="N198" s="407">
        <f t="shared" si="470"/>
        <v>29031</v>
      </c>
      <c r="O198" s="408">
        <f t="shared" si="470"/>
        <v>12340</v>
      </c>
      <c r="P198" s="409">
        <f t="shared" si="470"/>
        <v>24531</v>
      </c>
      <c r="Q198" s="409">
        <f t="shared" si="470"/>
        <v>-7065</v>
      </c>
      <c r="R198" s="409">
        <f t="shared" si="470"/>
        <v>0</v>
      </c>
      <c r="S198" s="410">
        <f t="shared" si="470"/>
        <v>-775</v>
      </c>
      <c r="T198" s="407">
        <f t="shared" si="470"/>
        <v>127675.41000000003</v>
      </c>
      <c r="U198" s="408">
        <f t="shared" si="470"/>
        <v>-30637.700000000012</v>
      </c>
      <c r="V198" s="409">
        <f t="shared" si="470"/>
        <v>117874.61000000007</v>
      </c>
      <c r="W198" s="409">
        <f t="shared" si="470"/>
        <v>40949.5</v>
      </c>
      <c r="X198" s="409">
        <f t="shared" si="470"/>
        <v>-10956</v>
      </c>
      <c r="Y198" s="411">
        <f t="shared" si="470"/>
        <v>10445</v>
      </c>
      <c r="AA198" s="291"/>
      <c r="AB198" s="412"/>
      <c r="AC198" s="475"/>
      <c r="AD198" s="476" t="s">
        <v>33</v>
      </c>
      <c r="AE198" s="407">
        <f t="shared" si="471"/>
        <v>41214</v>
      </c>
      <c r="AF198" s="408">
        <f t="shared" si="471"/>
        <v>9940</v>
      </c>
      <c r="AG198" s="409">
        <f t="shared" si="471"/>
        <v>9522</v>
      </c>
      <c r="AH198" s="409">
        <f t="shared" si="471"/>
        <v>16450</v>
      </c>
      <c r="AI198" s="409">
        <f t="shared" si="471"/>
        <v>-44849</v>
      </c>
      <c r="AJ198" s="409">
        <f t="shared" si="471"/>
        <v>10875</v>
      </c>
      <c r="AK198" s="409">
        <f t="shared" si="471"/>
        <v>-3677</v>
      </c>
      <c r="AL198" s="409">
        <f t="shared" si="471"/>
        <v>11280</v>
      </c>
      <c r="AM198" s="409">
        <f t="shared" si="471"/>
        <v>-7512</v>
      </c>
      <c r="AN198" s="409">
        <f t="shared" si="471"/>
        <v>-21415</v>
      </c>
      <c r="AO198" s="409">
        <f t="shared" si="471"/>
        <v>30800</v>
      </c>
      <c r="AP198" s="409">
        <f t="shared" si="471"/>
        <v>20700</v>
      </c>
      <c r="AQ198" s="411">
        <f t="shared" si="471"/>
        <v>9100</v>
      </c>
    </row>
    <row r="199" spans="2:43" ht="7.8" customHeight="1" x14ac:dyDescent="0.25">
      <c r="B199" s="282"/>
      <c r="C199" s="404"/>
      <c r="D199" s="415"/>
      <c r="E199" s="416" t="s">
        <v>30</v>
      </c>
      <c r="F199" s="417">
        <f t="shared" si="470"/>
        <v>5.840689769391247</v>
      </c>
      <c r="G199" s="417">
        <f t="shared" si="470"/>
        <v>-156.21248142644873</v>
      </c>
      <c r="H199" s="417">
        <f t="shared" si="470"/>
        <v>-18.175388154111545</v>
      </c>
      <c r="I199" s="418">
        <f t="shared" si="470"/>
        <v>-9.0625</v>
      </c>
      <c r="J199" s="419">
        <f t="shared" si="470"/>
        <v>155</v>
      </c>
      <c r="K199" s="419">
        <f t="shared" si="470"/>
        <v>0</v>
      </c>
      <c r="L199" s="419">
        <f t="shared" si="470"/>
        <v>160</v>
      </c>
      <c r="M199" s="420">
        <f t="shared" si="470"/>
        <v>-175.80097087378641</v>
      </c>
      <c r="N199" s="417">
        <f t="shared" si="470"/>
        <v>-5.1210317460317469</v>
      </c>
      <c r="O199" s="418">
        <f t="shared" si="470"/>
        <v>-4.4402985074626997</v>
      </c>
      <c r="P199" s="419">
        <f t="shared" si="470"/>
        <v>-8.9270072992700591</v>
      </c>
      <c r="Q199" s="419">
        <f t="shared" si="470"/>
        <v>-2.606382978723417</v>
      </c>
      <c r="R199" s="419">
        <f t="shared" si="470"/>
        <v>0</v>
      </c>
      <c r="S199" s="420">
        <f t="shared" si="470"/>
        <v>-155</v>
      </c>
      <c r="T199" s="417">
        <f t="shared" si="470"/>
        <v>9.759341720171733</v>
      </c>
      <c r="U199" s="418">
        <f t="shared" si="470"/>
        <v>-104.13426294820721</v>
      </c>
      <c r="V199" s="419">
        <f t="shared" si="470"/>
        <v>21.496562500000039</v>
      </c>
      <c r="W199" s="419">
        <f t="shared" si="470"/>
        <v>15.150986842105254</v>
      </c>
      <c r="X199" s="419">
        <f t="shared" si="470"/>
        <v>31.582781456953654</v>
      </c>
      <c r="Y199" s="421">
        <f t="shared" si="470"/>
        <v>8.6633663366336577</v>
      </c>
      <c r="AA199" s="291"/>
      <c r="AB199" s="412"/>
      <c r="AC199" s="477"/>
      <c r="AD199" s="423" t="s">
        <v>30</v>
      </c>
      <c r="AE199" s="417">
        <f t="shared" si="471"/>
        <v>3.7747207838894212</v>
      </c>
      <c r="AF199" s="418">
        <f t="shared" si="471"/>
        <v>-13</v>
      </c>
      <c r="AG199" s="419">
        <f t="shared" si="471"/>
        <v>1.2580645161290249</v>
      </c>
      <c r="AH199" s="419">
        <f t="shared" si="471"/>
        <v>-9.0625</v>
      </c>
      <c r="AI199" s="419">
        <f t="shared" si="471"/>
        <v>-0.24040404040403018</v>
      </c>
      <c r="AJ199" s="419">
        <f t="shared" si="471"/>
        <v>0</v>
      </c>
      <c r="AK199" s="419">
        <f t="shared" si="471"/>
        <v>-1.5070422535211208</v>
      </c>
      <c r="AL199" s="419">
        <f t="shared" si="471"/>
        <v>3.8059701492537386</v>
      </c>
      <c r="AM199" s="419">
        <f t="shared" si="471"/>
        <v>18.054054054054063</v>
      </c>
      <c r="AN199" s="419">
        <f t="shared" si="471"/>
        <v>2.2977941176470722</v>
      </c>
      <c r="AO199" s="419">
        <f t="shared" si="471"/>
        <v>140</v>
      </c>
      <c r="AP199" s="419">
        <f t="shared" si="471"/>
        <v>138</v>
      </c>
      <c r="AQ199" s="421">
        <f t="shared" si="471"/>
        <v>140</v>
      </c>
    </row>
    <row r="200" spans="2:43" ht="7.8" customHeight="1" x14ac:dyDescent="0.25">
      <c r="B200" s="282"/>
      <c r="C200" s="404"/>
      <c r="D200" s="472" t="s">
        <v>44</v>
      </c>
      <c r="E200" s="425" t="s">
        <v>32</v>
      </c>
      <c r="F200" s="478">
        <f t="shared" ref="F200:Y202" si="472">IFERROR((F194-F191)/ABS(F191),"")</f>
        <v>-3.6273386788850705E-3</v>
      </c>
      <c r="G200" s="478">
        <f t="shared" si="472"/>
        <v>-1</v>
      </c>
      <c r="H200" s="478">
        <f t="shared" si="472"/>
        <v>-0.21276595744680851</v>
      </c>
      <c r="I200" s="479">
        <f t="shared" si="472"/>
        <v>3.375</v>
      </c>
      <c r="J200" s="480" t="str">
        <f t="shared" si="472"/>
        <v/>
      </c>
      <c r="K200" s="480">
        <f t="shared" si="472"/>
        <v>0.15384615384615385</v>
      </c>
      <c r="L200" s="480" t="str">
        <f t="shared" si="472"/>
        <v/>
      </c>
      <c r="M200" s="481">
        <f t="shared" si="472"/>
        <v>-1</v>
      </c>
      <c r="N200" s="478">
        <f t="shared" si="472"/>
        <v>0.3888888888888889</v>
      </c>
      <c r="O200" s="479">
        <f t="shared" si="472"/>
        <v>0.30597014925373134</v>
      </c>
      <c r="P200" s="480">
        <f t="shared" si="472"/>
        <v>1.1897810218978102</v>
      </c>
      <c r="Q200" s="480">
        <f t="shared" si="472"/>
        <v>-0.46808510638297873</v>
      </c>
      <c r="R200" s="480" t="str">
        <f t="shared" si="472"/>
        <v/>
      </c>
      <c r="S200" s="481">
        <f t="shared" si="472"/>
        <v>-1</v>
      </c>
      <c r="T200" s="478">
        <f t="shared" si="472"/>
        <v>0.15538847117794485</v>
      </c>
      <c r="U200" s="479">
        <f t="shared" si="472"/>
        <v>-9.9601593625498003E-2</v>
      </c>
      <c r="V200" s="480">
        <f t="shared" si="472"/>
        <v>0.31951530612244899</v>
      </c>
      <c r="W200" s="480">
        <f t="shared" si="472"/>
        <v>7.3684210526315783E-2</v>
      </c>
      <c r="X200" s="480">
        <f t="shared" si="472"/>
        <v>-0.5629139072847682</v>
      </c>
      <c r="Y200" s="482">
        <f t="shared" si="472"/>
        <v>0.54455445544554459</v>
      </c>
      <c r="AA200" s="291"/>
      <c r="AB200" s="412"/>
      <c r="AC200" s="473" t="s">
        <v>44</v>
      </c>
      <c r="AD200" s="432" t="s">
        <v>32</v>
      </c>
      <c r="AE200" s="478">
        <f t="shared" ref="AE200:AQ202" si="473">IFERROR((AE194-AE191)/ABS(AE191),"")</f>
        <v>0.17668893838158872</v>
      </c>
      <c r="AF200" s="479">
        <f t="shared" si="473"/>
        <v>3</v>
      </c>
      <c r="AG200" s="480">
        <f t="shared" si="473"/>
        <v>0.61290322580645162</v>
      </c>
      <c r="AH200" s="480">
        <f t="shared" si="473"/>
        <v>3.375</v>
      </c>
      <c r="AI200" s="480">
        <f t="shared" si="473"/>
        <v>-0.63636363636363635</v>
      </c>
      <c r="AJ200" s="480">
        <f t="shared" si="473"/>
        <v>1</v>
      </c>
      <c r="AK200" s="480">
        <f t="shared" si="473"/>
        <v>-0.29577464788732394</v>
      </c>
      <c r="AL200" s="480">
        <f t="shared" si="473"/>
        <v>0.94029850746268662</v>
      </c>
      <c r="AM200" s="480">
        <f t="shared" si="473"/>
        <v>-0.32432432432432434</v>
      </c>
      <c r="AN200" s="480">
        <f t="shared" si="473"/>
        <v>-0.55882352941176472</v>
      </c>
      <c r="AO200" s="480" t="str">
        <f t="shared" si="473"/>
        <v/>
      </c>
      <c r="AP200" s="480" t="str">
        <f t="shared" si="473"/>
        <v/>
      </c>
      <c r="AQ200" s="482" t="str">
        <f t="shared" si="473"/>
        <v/>
      </c>
    </row>
    <row r="201" spans="2:43" ht="7.8" customHeight="1" x14ac:dyDescent="0.25">
      <c r="B201" s="282"/>
      <c r="C201" s="404"/>
      <c r="D201" s="405"/>
      <c r="E201" s="483" t="s">
        <v>33</v>
      </c>
      <c r="F201" s="484">
        <f t="shared" si="472"/>
        <v>3.3020017935258668E-2</v>
      </c>
      <c r="G201" s="484">
        <f t="shared" si="472"/>
        <v>-1</v>
      </c>
      <c r="H201" s="484">
        <f t="shared" si="472"/>
        <v>-0.29506792314282215</v>
      </c>
      <c r="I201" s="485">
        <f t="shared" si="472"/>
        <v>3.1333333333333333</v>
      </c>
      <c r="J201" s="486" t="str">
        <f t="shared" si="472"/>
        <v/>
      </c>
      <c r="K201" s="486">
        <f t="shared" si="472"/>
        <v>0.15384615384615385</v>
      </c>
      <c r="L201" s="486" t="str">
        <f t="shared" si="472"/>
        <v/>
      </c>
      <c r="M201" s="487">
        <f t="shared" si="472"/>
        <v>-1</v>
      </c>
      <c r="N201" s="484">
        <f t="shared" si="472"/>
        <v>0.34614696729423267</v>
      </c>
      <c r="O201" s="485">
        <f t="shared" si="472"/>
        <v>0.27174631138515748</v>
      </c>
      <c r="P201" s="486">
        <f t="shared" si="472"/>
        <v>1.0726747999475272</v>
      </c>
      <c r="Q201" s="486">
        <f t="shared" si="472"/>
        <v>-0.47688153898076274</v>
      </c>
      <c r="R201" s="486" t="str">
        <f t="shared" si="472"/>
        <v/>
      </c>
      <c r="S201" s="487">
        <f t="shared" si="472"/>
        <v>-1</v>
      </c>
      <c r="T201" s="484">
        <f t="shared" si="472"/>
        <v>0.22755676785696438</v>
      </c>
      <c r="U201" s="485">
        <f t="shared" si="472"/>
        <v>-0.4295946167641414</v>
      </c>
      <c r="V201" s="486">
        <f t="shared" si="472"/>
        <v>0.51312880579045461</v>
      </c>
      <c r="W201" s="486">
        <f t="shared" si="472"/>
        <v>0.1859899486988493</v>
      </c>
      <c r="X201" s="486">
        <f t="shared" si="472"/>
        <v>-0.47293447293447294</v>
      </c>
      <c r="Y201" s="488">
        <f t="shared" si="472"/>
        <v>0.62548655608120252</v>
      </c>
      <c r="AA201" s="291"/>
      <c r="AB201" s="412"/>
      <c r="AC201" s="475"/>
      <c r="AD201" s="489" t="s">
        <v>33</v>
      </c>
      <c r="AE201" s="484">
        <f t="shared" si="473"/>
        <v>0.20669421653393247</v>
      </c>
      <c r="AF201" s="485">
        <f t="shared" si="473"/>
        <v>2.7158469945355193</v>
      </c>
      <c r="AG201" s="486">
        <f t="shared" si="473"/>
        <v>0.62529550827423164</v>
      </c>
      <c r="AH201" s="486">
        <f t="shared" si="473"/>
        <v>3.1333333333333333</v>
      </c>
      <c r="AI201" s="486">
        <f t="shared" si="473"/>
        <v>-0.63697822721527075</v>
      </c>
      <c r="AJ201" s="486">
        <f t="shared" si="473"/>
        <v>1</v>
      </c>
      <c r="AK201" s="486">
        <f t="shared" si="473"/>
        <v>-0.30196271659686291</v>
      </c>
      <c r="AL201" s="486">
        <f t="shared" si="473"/>
        <v>0.98343504795117698</v>
      </c>
      <c r="AM201" s="486">
        <f t="shared" si="473"/>
        <v>-0.2383853769992384</v>
      </c>
      <c r="AN201" s="486">
        <f t="shared" si="473"/>
        <v>-0.55171969599381687</v>
      </c>
      <c r="AO201" s="486" t="str">
        <f t="shared" si="473"/>
        <v/>
      </c>
      <c r="AP201" s="486" t="str">
        <f t="shared" si="473"/>
        <v/>
      </c>
      <c r="AQ201" s="488" t="str">
        <f t="shared" si="473"/>
        <v/>
      </c>
    </row>
    <row r="202" spans="2:43" ht="7.8" customHeight="1" x14ac:dyDescent="0.25">
      <c r="B202" s="282"/>
      <c r="C202" s="490"/>
      <c r="D202" s="405"/>
      <c r="E202" s="483" t="s">
        <v>30</v>
      </c>
      <c r="F202" s="484">
        <f t="shared" si="472"/>
        <v>3.6780772934448203E-2</v>
      </c>
      <c r="G202" s="484">
        <f t="shared" si="472"/>
        <v>-1</v>
      </c>
      <c r="H202" s="484">
        <f t="shared" si="472"/>
        <v>-0.10454574020844971</v>
      </c>
      <c r="I202" s="485">
        <f t="shared" si="472"/>
        <v>-5.5238095238095239E-2</v>
      </c>
      <c r="J202" s="486" t="str">
        <f t="shared" si="472"/>
        <v/>
      </c>
      <c r="K202" s="486">
        <f t="shared" si="472"/>
        <v>0</v>
      </c>
      <c r="L202" s="486" t="str">
        <f t="shared" si="472"/>
        <v/>
      </c>
      <c r="M202" s="487">
        <f t="shared" si="472"/>
        <v>-1</v>
      </c>
      <c r="N202" s="484">
        <f t="shared" si="472"/>
        <v>-3.0774183548152482E-2</v>
      </c>
      <c r="O202" s="485">
        <f t="shared" si="472"/>
        <v>-2.6205681567936654E-2</v>
      </c>
      <c r="P202" s="486">
        <f t="shared" si="472"/>
        <v>-5.3478508023962493E-2</v>
      </c>
      <c r="Q202" s="486">
        <f t="shared" si="472"/>
        <v>-1.6537293283834031E-2</v>
      </c>
      <c r="R202" s="486" t="str">
        <f t="shared" si="472"/>
        <v/>
      </c>
      <c r="S202" s="487">
        <f t="shared" si="472"/>
        <v>-1</v>
      </c>
      <c r="T202" s="484">
        <f t="shared" si="472"/>
        <v>6.2462365238457246E-2</v>
      </c>
      <c r="U202" s="485">
        <f t="shared" si="472"/>
        <v>-0.36649667614070569</v>
      </c>
      <c r="V202" s="486">
        <f t="shared" si="472"/>
        <v>0.14673077210219074</v>
      </c>
      <c r="W202" s="486">
        <f t="shared" si="472"/>
        <v>0.10459848163128115</v>
      </c>
      <c r="X202" s="486">
        <f t="shared" si="472"/>
        <v>0.20586203919537263</v>
      </c>
      <c r="Y202" s="488">
        <f t="shared" si="472"/>
        <v>5.2398347206419511E-2</v>
      </c>
      <c r="AA202" s="291"/>
      <c r="AB202" s="412"/>
      <c r="AC202" s="475"/>
      <c r="AD202" s="489" t="s">
        <v>30</v>
      </c>
      <c r="AE202" s="484">
        <f t="shared" si="473"/>
        <v>2.5499753735777297E-2</v>
      </c>
      <c r="AF202" s="485">
        <f t="shared" si="473"/>
        <v>-7.1038251366120214E-2</v>
      </c>
      <c r="AG202" s="486">
        <f t="shared" si="473"/>
        <v>7.6832151300235954E-3</v>
      </c>
      <c r="AH202" s="486">
        <f t="shared" si="473"/>
        <v>-5.5238095238095239E-2</v>
      </c>
      <c r="AI202" s="486">
        <f t="shared" si="473"/>
        <v>-1.6901248419945597E-3</v>
      </c>
      <c r="AJ202" s="486">
        <f t="shared" si="473"/>
        <v>0</v>
      </c>
      <c r="AK202" s="486">
        <f t="shared" si="473"/>
        <v>-8.787057567545338E-3</v>
      </c>
      <c r="AL202" s="486">
        <f t="shared" si="473"/>
        <v>2.2231909328683564E-2</v>
      </c>
      <c r="AM202" s="486">
        <f t="shared" si="473"/>
        <v>0.12718964204112726</v>
      </c>
      <c r="AN202" s="486">
        <f t="shared" si="473"/>
        <v>1.6102022414015295E-2</v>
      </c>
      <c r="AO202" s="486" t="str">
        <f t="shared" si="473"/>
        <v/>
      </c>
      <c r="AP202" s="486" t="str">
        <f t="shared" si="473"/>
        <v/>
      </c>
      <c r="AQ202" s="488" t="str">
        <f t="shared" si="473"/>
        <v/>
      </c>
    </row>
    <row r="203" spans="2:43" ht="7.8" customHeight="1" x14ac:dyDescent="0.25">
      <c r="B203" s="282"/>
      <c r="C203" s="491" t="s">
        <v>49</v>
      </c>
      <c r="D203" s="492" t="s">
        <v>39</v>
      </c>
      <c r="E203" s="493" t="s">
        <v>32</v>
      </c>
      <c r="F203" s="494">
        <f t="shared" ref="F203:F204" si="474">SUM(G203,H203,N203,T203)</f>
        <v>0</v>
      </c>
      <c r="G203" s="494"/>
      <c r="H203" s="494">
        <f t="shared" ref="H203:H204" si="475">SUM(I203:M203)</f>
        <v>0</v>
      </c>
      <c r="I203" s="495"/>
      <c r="J203" s="496"/>
      <c r="K203" s="496"/>
      <c r="L203" s="496"/>
      <c r="M203" s="497"/>
      <c r="N203" s="494">
        <f t="shared" ref="N203:N204" si="476">SUM(O203:S203)</f>
        <v>0</v>
      </c>
      <c r="O203" s="495"/>
      <c r="P203" s="496"/>
      <c r="Q203" s="496"/>
      <c r="R203" s="496"/>
      <c r="S203" s="497"/>
      <c r="T203" s="494">
        <f t="shared" ref="T203:T204" si="477">SUM(U203:Y203)</f>
        <v>0</v>
      </c>
      <c r="U203" s="495"/>
      <c r="V203" s="496"/>
      <c r="W203" s="496"/>
      <c r="X203" s="496"/>
      <c r="Y203" s="498"/>
      <c r="AA203" s="291"/>
      <c r="AB203" s="499" t="s">
        <v>49</v>
      </c>
      <c r="AC203" s="500" t="s">
        <v>39</v>
      </c>
      <c r="AD203" s="501" t="s">
        <v>32</v>
      </c>
      <c r="AE203" s="494">
        <f t="shared" ref="AE203:AE204" si="478">SUM(AF203:AQ203)</f>
        <v>0</v>
      </c>
      <c r="AF203" s="495">
        <f>$I$95</f>
        <v>0</v>
      </c>
      <c r="AG203" s="496">
        <f>$I$149</f>
        <v>0</v>
      </c>
      <c r="AH203" s="496">
        <f>$I$203</f>
        <v>0</v>
      </c>
      <c r="AI203" s="496">
        <f>$I$257</f>
        <v>0</v>
      </c>
      <c r="AJ203" s="496">
        <f>$I$311</f>
        <v>0</v>
      </c>
      <c r="AK203" s="496">
        <f>$I$365</f>
        <v>0</v>
      </c>
      <c r="AL203" s="496">
        <f>$I$419</f>
        <v>0</v>
      </c>
      <c r="AM203" s="496">
        <f>$I$473</f>
        <v>0</v>
      </c>
      <c r="AN203" s="496">
        <f>$I$527</f>
        <v>0</v>
      </c>
      <c r="AO203" s="496">
        <f>$I$581</f>
        <v>0</v>
      </c>
      <c r="AP203" s="496">
        <f>$I$635</f>
        <v>0</v>
      </c>
      <c r="AQ203" s="498">
        <f>$I$689</f>
        <v>0</v>
      </c>
    </row>
    <row r="204" spans="2:43" s="41" customFormat="1" ht="7.8" customHeight="1" x14ac:dyDescent="0.25">
      <c r="B204" s="282"/>
      <c r="C204" s="404"/>
      <c r="D204" s="405"/>
      <c r="E204" s="406" t="s">
        <v>33</v>
      </c>
      <c r="F204" s="407">
        <f t="shared" si="474"/>
        <v>0</v>
      </c>
      <c r="G204" s="407"/>
      <c r="H204" s="407">
        <f t="shared" si="475"/>
        <v>0</v>
      </c>
      <c r="I204" s="408"/>
      <c r="J204" s="409"/>
      <c r="K204" s="409"/>
      <c r="L204" s="409"/>
      <c r="M204" s="410"/>
      <c r="N204" s="407">
        <f t="shared" si="476"/>
        <v>0</v>
      </c>
      <c r="O204" s="408"/>
      <c r="P204" s="409"/>
      <c r="Q204" s="409"/>
      <c r="R204" s="409"/>
      <c r="S204" s="410"/>
      <c r="T204" s="407">
        <f t="shared" si="477"/>
        <v>0</v>
      </c>
      <c r="U204" s="408"/>
      <c r="V204" s="409"/>
      <c r="W204" s="409"/>
      <c r="X204" s="409"/>
      <c r="Y204" s="411"/>
      <c r="AA204" s="291"/>
      <c r="AB204" s="412"/>
      <c r="AC204" s="413"/>
      <c r="AD204" s="414" t="s">
        <v>33</v>
      </c>
      <c r="AE204" s="407">
        <f t="shared" si="478"/>
        <v>0</v>
      </c>
      <c r="AF204" s="408">
        <f>$I$96</f>
        <v>0</v>
      </c>
      <c r="AG204" s="409">
        <f>$I$150</f>
        <v>0</v>
      </c>
      <c r="AH204" s="409">
        <f>$I$204</f>
        <v>0</v>
      </c>
      <c r="AI204" s="409">
        <f>$I$258</f>
        <v>0</v>
      </c>
      <c r="AJ204" s="409">
        <f>$I$312</f>
        <v>0</v>
      </c>
      <c r="AK204" s="409">
        <f>$I$366</f>
        <v>0</v>
      </c>
      <c r="AL204" s="409">
        <f>$I$420</f>
        <v>0</v>
      </c>
      <c r="AM204" s="409">
        <f>$I$474</f>
        <v>0</v>
      </c>
      <c r="AN204" s="409">
        <f>$I$528</f>
        <v>0</v>
      </c>
      <c r="AO204" s="409">
        <f>$I$582</f>
        <v>0</v>
      </c>
      <c r="AP204" s="409">
        <f>$I$636</f>
        <v>0</v>
      </c>
      <c r="AQ204" s="411">
        <f>$I$690</f>
        <v>0</v>
      </c>
    </row>
    <row r="205" spans="2:43" ht="7.8" customHeight="1" x14ac:dyDescent="0.25">
      <c r="B205" s="282"/>
      <c r="C205" s="404"/>
      <c r="D205" s="415"/>
      <c r="E205" s="416" t="s">
        <v>30</v>
      </c>
      <c r="F205" s="417">
        <f t="shared" ref="F205:Y259" si="479">IFERROR(F204/F203,0)</f>
        <v>0</v>
      </c>
      <c r="G205" s="417">
        <f t="shared" si="479"/>
        <v>0</v>
      </c>
      <c r="H205" s="417">
        <f t="shared" si="479"/>
        <v>0</v>
      </c>
      <c r="I205" s="418">
        <f t="shared" si="479"/>
        <v>0</v>
      </c>
      <c r="J205" s="419">
        <f t="shared" si="479"/>
        <v>0</v>
      </c>
      <c r="K205" s="419">
        <f t="shared" si="479"/>
        <v>0</v>
      </c>
      <c r="L205" s="419">
        <f t="shared" si="479"/>
        <v>0</v>
      </c>
      <c r="M205" s="420">
        <f t="shared" si="479"/>
        <v>0</v>
      </c>
      <c r="N205" s="417">
        <f t="shared" si="479"/>
        <v>0</v>
      </c>
      <c r="O205" s="418">
        <f t="shared" si="479"/>
        <v>0</v>
      </c>
      <c r="P205" s="419">
        <f t="shared" si="479"/>
        <v>0</v>
      </c>
      <c r="Q205" s="419">
        <f t="shared" si="479"/>
        <v>0</v>
      </c>
      <c r="R205" s="419">
        <f t="shared" si="479"/>
        <v>0</v>
      </c>
      <c r="S205" s="420">
        <f t="shared" si="479"/>
        <v>0</v>
      </c>
      <c r="T205" s="417">
        <f t="shared" si="479"/>
        <v>0</v>
      </c>
      <c r="U205" s="418">
        <f t="shared" si="479"/>
        <v>0</v>
      </c>
      <c r="V205" s="419">
        <f t="shared" si="479"/>
        <v>0</v>
      </c>
      <c r="W205" s="419">
        <f t="shared" si="479"/>
        <v>0</v>
      </c>
      <c r="X205" s="419">
        <f t="shared" si="479"/>
        <v>0</v>
      </c>
      <c r="Y205" s="421">
        <f t="shared" si="479"/>
        <v>0</v>
      </c>
      <c r="AA205" s="291"/>
      <c r="AB205" s="412"/>
      <c r="AC205" s="422"/>
      <c r="AD205" s="423" t="s">
        <v>30</v>
      </c>
      <c r="AE205" s="417">
        <f t="shared" ref="AE205:AQ205" si="480">IFERROR(AE204/AE203,0)</f>
        <v>0</v>
      </c>
      <c r="AF205" s="418">
        <f t="shared" si="480"/>
        <v>0</v>
      </c>
      <c r="AG205" s="419">
        <f t="shared" si="480"/>
        <v>0</v>
      </c>
      <c r="AH205" s="419">
        <f t="shared" si="480"/>
        <v>0</v>
      </c>
      <c r="AI205" s="419">
        <f t="shared" si="480"/>
        <v>0</v>
      </c>
      <c r="AJ205" s="419">
        <f t="shared" si="480"/>
        <v>0</v>
      </c>
      <c r="AK205" s="419">
        <f t="shared" si="480"/>
        <v>0</v>
      </c>
      <c r="AL205" s="419">
        <f t="shared" si="480"/>
        <v>0</v>
      </c>
      <c r="AM205" s="419">
        <f t="shared" si="480"/>
        <v>0</v>
      </c>
      <c r="AN205" s="419">
        <f t="shared" si="480"/>
        <v>0</v>
      </c>
      <c r="AO205" s="419">
        <f t="shared" si="480"/>
        <v>0</v>
      </c>
      <c r="AP205" s="419">
        <f t="shared" si="480"/>
        <v>0</v>
      </c>
      <c r="AQ205" s="421">
        <f t="shared" si="480"/>
        <v>0</v>
      </c>
    </row>
    <row r="206" spans="2:43" ht="7.8" customHeight="1" x14ac:dyDescent="0.25">
      <c r="B206" s="282"/>
      <c r="C206" s="404"/>
      <c r="D206" s="424" t="s">
        <v>40</v>
      </c>
      <c r="E206" s="425" t="s">
        <v>32</v>
      </c>
      <c r="F206" s="426">
        <f t="shared" ref="F206:F207" si="481">SUM(G206,H206,N206,T206)</f>
        <v>2480</v>
      </c>
      <c r="G206" s="426">
        <v>185</v>
      </c>
      <c r="H206" s="426">
        <f t="shared" ref="H206:H207" si="482">SUM(I206:M206)</f>
        <v>223</v>
      </c>
      <c r="I206" s="427">
        <v>97</v>
      </c>
      <c r="J206" s="428">
        <v>8</v>
      </c>
      <c r="K206" s="428">
        <v>0</v>
      </c>
      <c r="L206" s="428">
        <v>0</v>
      </c>
      <c r="M206" s="429">
        <v>118</v>
      </c>
      <c r="N206" s="426">
        <f t="shared" ref="N206:N207" si="483">SUM(O206:S206)</f>
        <v>439</v>
      </c>
      <c r="O206" s="427">
        <v>245</v>
      </c>
      <c r="P206" s="428">
        <v>171</v>
      </c>
      <c r="Q206" s="428">
        <v>23</v>
      </c>
      <c r="R206" s="428">
        <v>0</v>
      </c>
      <c r="S206" s="429">
        <v>0</v>
      </c>
      <c r="T206" s="426">
        <f t="shared" ref="T206:T207" si="484">SUM(U206:Y206)</f>
        <v>1633</v>
      </c>
      <c r="U206" s="427">
        <v>130</v>
      </c>
      <c r="V206" s="428">
        <v>659</v>
      </c>
      <c r="W206" s="428">
        <v>666</v>
      </c>
      <c r="X206" s="428">
        <v>56</v>
      </c>
      <c r="Y206" s="430">
        <v>122</v>
      </c>
      <c r="AA206" s="291"/>
      <c r="AB206" s="412"/>
      <c r="AC206" s="431" t="s">
        <v>40</v>
      </c>
      <c r="AD206" s="432" t="s">
        <v>32</v>
      </c>
      <c r="AE206" s="426">
        <f t="shared" ref="AE206:AE207" si="485">SUM(AF206:AQ206)</f>
        <v>442</v>
      </c>
      <c r="AF206" s="427">
        <f>$I$98</f>
        <v>42</v>
      </c>
      <c r="AG206" s="428">
        <f>$I$152</f>
        <v>79</v>
      </c>
      <c r="AH206" s="428">
        <f>$I$206</f>
        <v>97</v>
      </c>
      <c r="AI206" s="428">
        <f>$I$260</f>
        <v>5</v>
      </c>
      <c r="AJ206" s="428">
        <f>$I$314</f>
        <v>22</v>
      </c>
      <c r="AK206" s="428">
        <f>$I$368</f>
        <v>0</v>
      </c>
      <c r="AL206" s="428">
        <f>$I$422</f>
        <v>0</v>
      </c>
      <c r="AM206" s="428">
        <f>$I$476</f>
        <v>138</v>
      </c>
      <c r="AN206" s="428">
        <f>$I$530</f>
        <v>25</v>
      </c>
      <c r="AO206" s="428">
        <f>$I$584</f>
        <v>0</v>
      </c>
      <c r="AP206" s="428">
        <f>$I$638</f>
        <v>34</v>
      </c>
      <c r="AQ206" s="430">
        <f>$I$692</f>
        <v>0</v>
      </c>
    </row>
    <row r="207" spans="2:43" s="41" customFormat="1" ht="7.8" customHeight="1" x14ac:dyDescent="0.25">
      <c r="B207" s="282"/>
      <c r="C207" s="404"/>
      <c r="D207" s="405"/>
      <c r="E207" s="406" t="s">
        <v>33</v>
      </c>
      <c r="F207" s="407">
        <f t="shared" si="481"/>
        <v>408936.77</v>
      </c>
      <c r="G207" s="407">
        <v>28860</v>
      </c>
      <c r="H207" s="407">
        <f t="shared" si="482"/>
        <v>37038</v>
      </c>
      <c r="I207" s="408">
        <v>16380</v>
      </c>
      <c r="J207" s="409">
        <v>1460</v>
      </c>
      <c r="K207" s="409">
        <v>0</v>
      </c>
      <c r="L207" s="409">
        <v>0</v>
      </c>
      <c r="M207" s="410">
        <v>19198</v>
      </c>
      <c r="N207" s="407">
        <f t="shared" si="483"/>
        <v>75845</v>
      </c>
      <c r="O207" s="408">
        <v>41145</v>
      </c>
      <c r="P207" s="409">
        <v>31015</v>
      </c>
      <c r="Q207" s="409">
        <v>3685</v>
      </c>
      <c r="R207" s="409">
        <v>0</v>
      </c>
      <c r="S207" s="410">
        <v>0</v>
      </c>
      <c r="T207" s="407">
        <f t="shared" si="484"/>
        <v>267193.77</v>
      </c>
      <c r="U207" s="408">
        <v>27089.7</v>
      </c>
      <c r="V207" s="409">
        <v>99706.51</v>
      </c>
      <c r="W207" s="409">
        <v>112644.56</v>
      </c>
      <c r="X207" s="409">
        <v>8967</v>
      </c>
      <c r="Y207" s="411">
        <v>18786</v>
      </c>
      <c r="AA207" s="291"/>
      <c r="AB207" s="412"/>
      <c r="AC207" s="413"/>
      <c r="AD207" s="414" t="s">
        <v>33</v>
      </c>
      <c r="AE207" s="407">
        <f t="shared" si="485"/>
        <v>75893</v>
      </c>
      <c r="AF207" s="408">
        <f>$I$99</f>
        <v>7199</v>
      </c>
      <c r="AG207" s="409">
        <f>$I$153</f>
        <v>14069</v>
      </c>
      <c r="AH207" s="409">
        <f>$I$207</f>
        <v>16380</v>
      </c>
      <c r="AI207" s="409">
        <f>$I$261</f>
        <v>745</v>
      </c>
      <c r="AJ207" s="409">
        <f>$I$315</f>
        <v>3300</v>
      </c>
      <c r="AK207" s="409">
        <f>$I$369</f>
        <v>0</v>
      </c>
      <c r="AL207" s="409">
        <f>$I$423</f>
        <v>0</v>
      </c>
      <c r="AM207" s="409">
        <f>$I$477</f>
        <v>24725</v>
      </c>
      <c r="AN207" s="409">
        <f>$I$531</f>
        <v>3745</v>
      </c>
      <c r="AO207" s="409">
        <f>$I$585</f>
        <v>0</v>
      </c>
      <c r="AP207" s="409">
        <f>$I$639</f>
        <v>5730</v>
      </c>
      <c r="AQ207" s="411">
        <f>$I$693</f>
        <v>0</v>
      </c>
    </row>
    <row r="208" spans="2:43" ht="7.8" customHeight="1" x14ac:dyDescent="0.25">
      <c r="B208" s="282"/>
      <c r="C208" s="404"/>
      <c r="D208" s="415"/>
      <c r="E208" s="416" t="s">
        <v>30</v>
      </c>
      <c r="F208" s="417">
        <f t="shared" ref="F208:Y262" si="486">IFERROR(F207/F206,0)</f>
        <v>164.89385887096776</v>
      </c>
      <c r="G208" s="417">
        <f t="shared" si="486"/>
        <v>156</v>
      </c>
      <c r="H208" s="417">
        <f t="shared" si="486"/>
        <v>166.08968609865471</v>
      </c>
      <c r="I208" s="418">
        <f t="shared" si="486"/>
        <v>168.86597938144331</v>
      </c>
      <c r="J208" s="419">
        <f t="shared" si="486"/>
        <v>182.5</v>
      </c>
      <c r="K208" s="419">
        <f t="shared" si="486"/>
        <v>0</v>
      </c>
      <c r="L208" s="419">
        <f t="shared" si="486"/>
        <v>0</v>
      </c>
      <c r="M208" s="420">
        <f t="shared" si="486"/>
        <v>162.69491525423729</v>
      </c>
      <c r="N208" s="417">
        <f t="shared" si="486"/>
        <v>172.76765375854214</v>
      </c>
      <c r="O208" s="418">
        <f t="shared" si="486"/>
        <v>167.9387755102041</v>
      </c>
      <c r="P208" s="419">
        <f t="shared" si="486"/>
        <v>181.37426900584796</v>
      </c>
      <c r="Q208" s="419">
        <f t="shared" si="486"/>
        <v>160.21739130434781</v>
      </c>
      <c r="R208" s="419">
        <f t="shared" si="486"/>
        <v>0</v>
      </c>
      <c r="S208" s="420">
        <f t="shared" si="486"/>
        <v>0</v>
      </c>
      <c r="T208" s="417">
        <f t="shared" si="486"/>
        <v>163.62141457440296</v>
      </c>
      <c r="U208" s="418">
        <f t="shared" si="486"/>
        <v>208.38230769230771</v>
      </c>
      <c r="V208" s="419">
        <f t="shared" si="486"/>
        <v>151.29971168437024</v>
      </c>
      <c r="W208" s="419">
        <f t="shared" si="486"/>
        <v>169.13597597597598</v>
      </c>
      <c r="X208" s="419">
        <f t="shared" si="486"/>
        <v>160.125</v>
      </c>
      <c r="Y208" s="421">
        <f t="shared" si="486"/>
        <v>153.98360655737704</v>
      </c>
      <c r="AA208" s="291"/>
      <c r="AB208" s="412"/>
      <c r="AC208" s="422"/>
      <c r="AD208" s="423" t="s">
        <v>30</v>
      </c>
      <c r="AE208" s="417">
        <f t="shared" ref="AE208:AQ208" si="487">IFERROR(AE207/AE206,0)</f>
        <v>171.70361990950227</v>
      </c>
      <c r="AF208" s="418">
        <f t="shared" si="487"/>
        <v>171.4047619047619</v>
      </c>
      <c r="AG208" s="419">
        <f t="shared" si="487"/>
        <v>178.08860759493672</v>
      </c>
      <c r="AH208" s="419">
        <f t="shared" si="487"/>
        <v>168.86597938144331</v>
      </c>
      <c r="AI208" s="419">
        <f t="shared" si="487"/>
        <v>149</v>
      </c>
      <c r="AJ208" s="419">
        <f t="shared" si="487"/>
        <v>150</v>
      </c>
      <c r="AK208" s="419">
        <f t="shared" si="487"/>
        <v>0</v>
      </c>
      <c r="AL208" s="419">
        <f t="shared" si="487"/>
        <v>0</v>
      </c>
      <c r="AM208" s="419">
        <f t="shared" si="487"/>
        <v>179.16666666666666</v>
      </c>
      <c r="AN208" s="419">
        <f t="shared" si="487"/>
        <v>149.80000000000001</v>
      </c>
      <c r="AO208" s="419">
        <f t="shared" si="487"/>
        <v>0</v>
      </c>
      <c r="AP208" s="419">
        <f t="shared" si="487"/>
        <v>168.52941176470588</v>
      </c>
      <c r="AQ208" s="421">
        <f t="shared" si="487"/>
        <v>0</v>
      </c>
    </row>
    <row r="209" spans="1:43" ht="7.8" customHeight="1" x14ac:dyDescent="0.25">
      <c r="B209" s="282"/>
      <c r="C209" s="404"/>
      <c r="D209" s="424" t="s">
        <v>41</v>
      </c>
      <c r="E209" s="425" t="s">
        <v>32</v>
      </c>
      <c r="F209" s="426">
        <f t="shared" ref="F209:F210" si="488">SUM(G209,H209,N209,T209)</f>
        <v>2267</v>
      </c>
      <c r="G209" s="426">
        <v>289</v>
      </c>
      <c r="H209" s="426">
        <f t="shared" ref="H209:H210" si="489">SUM(I209:M209)</f>
        <v>108</v>
      </c>
      <c r="I209" s="427">
        <v>32</v>
      </c>
      <c r="J209" s="428">
        <v>0</v>
      </c>
      <c r="K209" s="428">
        <v>12</v>
      </c>
      <c r="L209" s="428">
        <v>0</v>
      </c>
      <c r="M209" s="429">
        <v>64</v>
      </c>
      <c r="N209" s="426">
        <f t="shared" ref="N209:N210" si="490">SUM(O209:S209)</f>
        <v>235</v>
      </c>
      <c r="O209" s="427">
        <v>111</v>
      </c>
      <c r="P209" s="428">
        <v>80</v>
      </c>
      <c r="Q209" s="428">
        <v>41</v>
      </c>
      <c r="R209" s="428">
        <v>0</v>
      </c>
      <c r="S209" s="429">
        <v>3</v>
      </c>
      <c r="T209" s="426">
        <f t="shared" ref="T209:T210" si="491">SUM(U209:Y209)</f>
        <v>1635</v>
      </c>
      <c r="U209" s="427">
        <v>115</v>
      </c>
      <c r="V209" s="428">
        <v>760</v>
      </c>
      <c r="W209" s="428">
        <v>641</v>
      </c>
      <c r="X209" s="428">
        <v>72</v>
      </c>
      <c r="Y209" s="430">
        <v>47</v>
      </c>
      <c r="AA209" s="291"/>
      <c r="AB209" s="412"/>
      <c r="AC209" s="431" t="s">
        <v>41</v>
      </c>
      <c r="AD209" s="432" t="s">
        <v>32</v>
      </c>
      <c r="AE209" s="426">
        <f t="shared" ref="AE209:AE210" si="492">SUM(AF209:AQ209)</f>
        <v>198</v>
      </c>
      <c r="AF209" s="427">
        <f>$I$101</f>
        <v>21</v>
      </c>
      <c r="AG209" s="428">
        <f>$I$155</f>
        <v>22</v>
      </c>
      <c r="AH209" s="428">
        <f>$I$209</f>
        <v>32</v>
      </c>
      <c r="AI209" s="428">
        <f>$I$263</f>
        <v>31</v>
      </c>
      <c r="AJ209" s="428">
        <f>$I$317</f>
        <v>0</v>
      </c>
      <c r="AK209" s="428">
        <f>$I$371</f>
        <v>30</v>
      </c>
      <c r="AL209" s="428">
        <f>$I$425</f>
        <v>0</v>
      </c>
      <c r="AM209" s="428">
        <f>$I$479</f>
        <v>62</v>
      </c>
      <c r="AN209" s="428">
        <f>$I$533</f>
        <v>0</v>
      </c>
      <c r="AO209" s="428">
        <f>$I$587</f>
        <v>0</v>
      </c>
      <c r="AP209" s="428">
        <f>$I$641</f>
        <v>0</v>
      </c>
      <c r="AQ209" s="430">
        <f>$I$695</f>
        <v>0</v>
      </c>
    </row>
    <row r="210" spans="1:43" s="41" customFormat="1" ht="7.8" customHeight="1" x14ac:dyDescent="0.25">
      <c r="B210" s="282"/>
      <c r="C210" s="404"/>
      <c r="D210" s="405"/>
      <c r="E210" s="406" t="s">
        <v>33</v>
      </c>
      <c r="F210" s="407">
        <f t="shared" si="488"/>
        <v>366879.59</v>
      </c>
      <c r="G210" s="407">
        <v>45409</v>
      </c>
      <c r="H210" s="407">
        <f t="shared" si="489"/>
        <v>18195</v>
      </c>
      <c r="I210" s="408">
        <v>5250</v>
      </c>
      <c r="J210" s="409">
        <v>0</v>
      </c>
      <c r="K210" s="409">
        <v>1860</v>
      </c>
      <c r="L210" s="409">
        <v>0</v>
      </c>
      <c r="M210" s="410">
        <v>11085</v>
      </c>
      <c r="N210" s="407">
        <f t="shared" si="490"/>
        <v>38508</v>
      </c>
      <c r="O210" s="408">
        <v>18500</v>
      </c>
      <c r="P210" s="409">
        <v>13138</v>
      </c>
      <c r="Q210" s="409">
        <v>6405</v>
      </c>
      <c r="R210" s="409">
        <v>0</v>
      </c>
      <c r="S210" s="410">
        <v>465</v>
      </c>
      <c r="T210" s="407">
        <f t="shared" si="491"/>
        <v>264767.59000000003</v>
      </c>
      <c r="U210" s="408">
        <v>33751.200000000004</v>
      </c>
      <c r="V210" s="409">
        <v>112818.54000000001</v>
      </c>
      <c r="W210" s="409">
        <v>99285.849999999991</v>
      </c>
      <c r="X210" s="409">
        <v>11370</v>
      </c>
      <c r="Y210" s="411">
        <v>7542</v>
      </c>
      <c r="AA210" s="291"/>
      <c r="AB210" s="412"/>
      <c r="AC210" s="413"/>
      <c r="AD210" s="414" t="s">
        <v>33</v>
      </c>
      <c r="AE210" s="407">
        <f t="shared" si="492"/>
        <v>32815</v>
      </c>
      <c r="AF210" s="408">
        <f>$I$102</f>
        <v>3828</v>
      </c>
      <c r="AG210" s="409">
        <f>$I$156</f>
        <v>3617</v>
      </c>
      <c r="AH210" s="409">
        <f>$I$210</f>
        <v>5250</v>
      </c>
      <c r="AI210" s="409">
        <f>$I$264</f>
        <v>4601</v>
      </c>
      <c r="AJ210" s="409">
        <f>$I$318</f>
        <v>0</v>
      </c>
      <c r="AK210" s="409">
        <f>$I$372</f>
        <v>5003</v>
      </c>
      <c r="AL210" s="409">
        <f>$I$426</f>
        <v>0</v>
      </c>
      <c r="AM210" s="409">
        <f>$I$480</f>
        <v>10516</v>
      </c>
      <c r="AN210" s="409">
        <f>$I$534</f>
        <v>0</v>
      </c>
      <c r="AO210" s="409">
        <f>$I$588</f>
        <v>0</v>
      </c>
      <c r="AP210" s="409">
        <f>$I$642</f>
        <v>0</v>
      </c>
      <c r="AQ210" s="411">
        <f>$I$696</f>
        <v>0</v>
      </c>
    </row>
    <row r="211" spans="1:43" ht="7.8" customHeight="1" x14ac:dyDescent="0.25">
      <c r="B211" s="282"/>
      <c r="C211" s="404"/>
      <c r="D211" s="415"/>
      <c r="E211" s="416" t="s">
        <v>30</v>
      </c>
      <c r="F211" s="417">
        <f t="shared" ref="F211:Y265" si="493">IFERROR(F210/F209,0)</f>
        <v>161.83484340538158</v>
      </c>
      <c r="G211" s="417">
        <f t="shared" si="493"/>
        <v>157.12456747404843</v>
      </c>
      <c r="H211" s="417">
        <f t="shared" si="493"/>
        <v>168.47222222222223</v>
      </c>
      <c r="I211" s="418">
        <f t="shared" si="493"/>
        <v>164.0625</v>
      </c>
      <c r="J211" s="419">
        <f t="shared" si="493"/>
        <v>0</v>
      </c>
      <c r="K211" s="419">
        <f t="shared" si="493"/>
        <v>155</v>
      </c>
      <c r="L211" s="419">
        <f t="shared" si="493"/>
        <v>0</v>
      </c>
      <c r="M211" s="420">
        <f t="shared" si="493"/>
        <v>173.203125</v>
      </c>
      <c r="N211" s="417">
        <f t="shared" si="493"/>
        <v>163.86382978723404</v>
      </c>
      <c r="O211" s="418">
        <f t="shared" si="493"/>
        <v>166.66666666666666</v>
      </c>
      <c r="P211" s="419">
        <f t="shared" si="493"/>
        <v>164.22499999999999</v>
      </c>
      <c r="Q211" s="419">
        <f t="shared" si="493"/>
        <v>156.21951219512195</v>
      </c>
      <c r="R211" s="419">
        <f t="shared" si="493"/>
        <v>0</v>
      </c>
      <c r="S211" s="420">
        <f t="shared" si="493"/>
        <v>155</v>
      </c>
      <c r="T211" s="417">
        <f t="shared" si="493"/>
        <v>161.93736391437309</v>
      </c>
      <c r="U211" s="418">
        <f t="shared" si="493"/>
        <v>293.48869565217393</v>
      </c>
      <c r="V211" s="419">
        <f t="shared" si="493"/>
        <v>148.44544736842107</v>
      </c>
      <c r="W211" s="419">
        <f t="shared" si="493"/>
        <v>154.89212168486739</v>
      </c>
      <c r="X211" s="419">
        <f t="shared" si="493"/>
        <v>157.91666666666666</v>
      </c>
      <c r="Y211" s="421">
        <f t="shared" si="493"/>
        <v>160.46808510638297</v>
      </c>
      <c r="AA211" s="291"/>
      <c r="AB211" s="412"/>
      <c r="AC211" s="422"/>
      <c r="AD211" s="423" t="s">
        <v>30</v>
      </c>
      <c r="AE211" s="417">
        <f t="shared" ref="AE211:AQ211" si="494">IFERROR(AE210/AE209,0)</f>
        <v>165.73232323232324</v>
      </c>
      <c r="AF211" s="418">
        <f t="shared" si="494"/>
        <v>182.28571428571428</v>
      </c>
      <c r="AG211" s="419">
        <f t="shared" si="494"/>
        <v>164.40909090909091</v>
      </c>
      <c r="AH211" s="419">
        <f t="shared" si="494"/>
        <v>164.0625</v>
      </c>
      <c r="AI211" s="419">
        <f t="shared" si="494"/>
        <v>148.41935483870967</v>
      </c>
      <c r="AJ211" s="419">
        <f t="shared" si="494"/>
        <v>0</v>
      </c>
      <c r="AK211" s="419">
        <f t="shared" si="494"/>
        <v>166.76666666666668</v>
      </c>
      <c r="AL211" s="419">
        <f t="shared" si="494"/>
        <v>0</v>
      </c>
      <c r="AM211" s="419">
        <f t="shared" si="494"/>
        <v>169.61290322580646</v>
      </c>
      <c r="AN211" s="419">
        <f t="shared" si="494"/>
        <v>0</v>
      </c>
      <c r="AO211" s="419">
        <f t="shared" si="494"/>
        <v>0</v>
      </c>
      <c r="AP211" s="419">
        <f t="shared" si="494"/>
        <v>0</v>
      </c>
      <c r="AQ211" s="421">
        <f t="shared" si="494"/>
        <v>0</v>
      </c>
    </row>
    <row r="212" spans="1:43" ht="7.8" customHeight="1" x14ac:dyDescent="0.25">
      <c r="B212" s="282"/>
      <c r="C212" s="404"/>
      <c r="D212" s="433" t="s">
        <v>42</v>
      </c>
      <c r="E212" s="434" t="s">
        <v>32</v>
      </c>
      <c r="F212" s="435">
        <f t="shared" ref="F212:F213" si="495">SUM(G212,H212,N212,T212)</f>
        <v>2161</v>
      </c>
      <c r="G212" s="435">
        <v>0</v>
      </c>
      <c r="H212" s="435">
        <v>170</v>
      </c>
      <c r="I212" s="436">
        <v>40</v>
      </c>
      <c r="J212" s="437">
        <v>100</v>
      </c>
      <c r="K212" s="437">
        <v>15</v>
      </c>
      <c r="L212" s="437">
        <v>15</v>
      </c>
      <c r="M212" s="438">
        <v>0</v>
      </c>
      <c r="N212" s="435">
        <f t="shared" ref="N212:N213" si="496">SUM(O212:S212)</f>
        <v>540</v>
      </c>
      <c r="O212" s="436">
        <v>200</v>
      </c>
      <c r="P212" s="437">
        <v>300</v>
      </c>
      <c r="Q212" s="437">
        <v>40</v>
      </c>
      <c r="R212" s="437">
        <v>0</v>
      </c>
      <c r="S212" s="438">
        <v>0</v>
      </c>
      <c r="T212" s="435">
        <f t="shared" ref="T212:T213" si="497">SUM(U212:Y212)</f>
        <v>1451</v>
      </c>
      <c r="U212" s="436">
        <v>124</v>
      </c>
      <c r="V212" s="437">
        <v>631</v>
      </c>
      <c r="W212" s="437">
        <v>568</v>
      </c>
      <c r="X212" s="437">
        <v>34</v>
      </c>
      <c r="Y212" s="439">
        <v>94</v>
      </c>
      <c r="AA212" s="291"/>
      <c r="AB212" s="412"/>
      <c r="AC212" s="440" t="s">
        <v>42</v>
      </c>
      <c r="AD212" s="441" t="s">
        <v>32</v>
      </c>
      <c r="AE212" s="442">
        <f t="shared" ref="AE212:AE213" si="498">SUM(AF212:AQ212)</f>
        <v>615</v>
      </c>
      <c r="AF212" s="443">
        <f>$I$104</f>
        <v>25</v>
      </c>
      <c r="AG212" s="444">
        <f>$I$158</f>
        <v>150</v>
      </c>
      <c r="AH212" s="444">
        <f>$I$212</f>
        <v>40</v>
      </c>
      <c r="AI212" s="444">
        <f>$I$266</f>
        <v>60</v>
      </c>
      <c r="AJ212" s="444">
        <f>$I$320</f>
        <v>50</v>
      </c>
      <c r="AK212" s="444">
        <f>$I$374</f>
        <v>20</v>
      </c>
      <c r="AL212" s="444">
        <f>$I$428</f>
        <v>20</v>
      </c>
      <c r="AM212" s="444">
        <f>$I$482</f>
        <v>60</v>
      </c>
      <c r="AN212" s="444">
        <f>$I$536</f>
        <v>30</v>
      </c>
      <c r="AO212" s="444">
        <f>$I$590</f>
        <v>75</v>
      </c>
      <c r="AP212" s="444">
        <f>$I$644</f>
        <v>70</v>
      </c>
      <c r="AQ212" s="445">
        <f>$I$698</f>
        <v>15</v>
      </c>
    </row>
    <row r="213" spans="1:43" s="41" customFormat="1" ht="7.8" customHeight="1" x14ac:dyDescent="0.25">
      <c r="B213" s="282"/>
      <c r="C213" s="404"/>
      <c r="D213" s="446"/>
      <c r="E213" s="447" t="s">
        <v>33</v>
      </c>
      <c r="F213" s="448">
        <f t="shared" si="495"/>
        <v>354879</v>
      </c>
      <c r="G213" s="448">
        <v>0</v>
      </c>
      <c r="H213" s="448">
        <v>26425</v>
      </c>
      <c r="I213" s="449">
        <v>6200</v>
      </c>
      <c r="J213" s="450">
        <v>15500</v>
      </c>
      <c r="K213" s="450">
        <v>2325</v>
      </c>
      <c r="L213" s="450">
        <v>2400</v>
      </c>
      <c r="M213" s="451">
        <v>0</v>
      </c>
      <c r="N213" s="448">
        <f t="shared" si="496"/>
        <v>86600</v>
      </c>
      <c r="O213" s="449">
        <v>33000</v>
      </c>
      <c r="P213" s="450">
        <v>47400</v>
      </c>
      <c r="Q213" s="450">
        <v>6200</v>
      </c>
      <c r="R213" s="450">
        <v>0</v>
      </c>
      <c r="S213" s="451">
        <v>0</v>
      </c>
      <c r="T213" s="448">
        <f t="shared" si="497"/>
        <v>241854</v>
      </c>
      <c r="U213" s="449">
        <v>22320</v>
      </c>
      <c r="V213" s="450">
        <v>106008</v>
      </c>
      <c r="W213" s="450">
        <v>90880</v>
      </c>
      <c r="X213" s="450">
        <v>6290</v>
      </c>
      <c r="Y213" s="452">
        <v>16356</v>
      </c>
      <c r="AA213" s="291"/>
      <c r="AB213" s="412"/>
      <c r="AC213" s="453"/>
      <c r="AD213" s="454" t="s">
        <v>33</v>
      </c>
      <c r="AE213" s="455">
        <f t="shared" si="498"/>
        <v>94360</v>
      </c>
      <c r="AF213" s="456">
        <f>$I$105</f>
        <v>4250</v>
      </c>
      <c r="AG213" s="457">
        <f>$I$159</f>
        <v>24750</v>
      </c>
      <c r="AH213" s="457">
        <f>$I$213</f>
        <v>6200</v>
      </c>
      <c r="AI213" s="457">
        <f>$I$267</f>
        <v>8700</v>
      </c>
      <c r="AJ213" s="457">
        <f>$I$321</f>
        <v>7250</v>
      </c>
      <c r="AK213" s="457">
        <f>$I$375</f>
        <v>3360</v>
      </c>
      <c r="AL213" s="457">
        <f>$I$429</f>
        <v>3500</v>
      </c>
      <c r="AM213" s="457">
        <f>$I$483</f>
        <v>9600</v>
      </c>
      <c r="AN213" s="457">
        <f>$I$537</f>
        <v>4350</v>
      </c>
      <c r="AO213" s="457">
        <f>$I$591</f>
        <v>10500</v>
      </c>
      <c r="AP213" s="457">
        <f>$I$645</f>
        <v>9800</v>
      </c>
      <c r="AQ213" s="458">
        <f>$I$699</f>
        <v>2100</v>
      </c>
    </row>
    <row r="214" spans="1:43" ht="7.8" customHeight="1" x14ac:dyDescent="0.25">
      <c r="B214" s="282"/>
      <c r="C214" s="404"/>
      <c r="D214" s="459"/>
      <c r="E214" s="460" t="s">
        <v>30</v>
      </c>
      <c r="F214" s="461">
        <f t="shared" ref="F214:Y268" si="499">IFERROR(F213/F212,0)</f>
        <v>164.21980564553448</v>
      </c>
      <c r="G214" s="461">
        <f t="shared" si="499"/>
        <v>0</v>
      </c>
      <c r="H214" s="461">
        <f t="shared" si="499"/>
        <v>155.44117647058823</v>
      </c>
      <c r="I214" s="462">
        <f t="shared" si="499"/>
        <v>155</v>
      </c>
      <c r="J214" s="463">
        <f t="shared" si="499"/>
        <v>155</v>
      </c>
      <c r="K214" s="463">
        <f t="shared" si="499"/>
        <v>155</v>
      </c>
      <c r="L214" s="463">
        <f t="shared" si="499"/>
        <v>160</v>
      </c>
      <c r="M214" s="464">
        <f t="shared" si="499"/>
        <v>0</v>
      </c>
      <c r="N214" s="461">
        <f t="shared" si="499"/>
        <v>160.37037037037038</v>
      </c>
      <c r="O214" s="462">
        <f t="shared" si="499"/>
        <v>165</v>
      </c>
      <c r="P214" s="463">
        <f t="shared" si="499"/>
        <v>158</v>
      </c>
      <c r="Q214" s="463">
        <f t="shared" si="499"/>
        <v>155</v>
      </c>
      <c r="R214" s="463">
        <f t="shared" si="499"/>
        <v>0</v>
      </c>
      <c r="S214" s="464">
        <f t="shared" si="499"/>
        <v>0</v>
      </c>
      <c r="T214" s="461">
        <f t="shared" si="499"/>
        <v>166.68090971743626</v>
      </c>
      <c r="U214" s="462">
        <f t="shared" si="499"/>
        <v>180</v>
      </c>
      <c r="V214" s="463">
        <f t="shared" si="499"/>
        <v>168</v>
      </c>
      <c r="W214" s="463">
        <f t="shared" si="499"/>
        <v>160</v>
      </c>
      <c r="X214" s="463">
        <f t="shared" si="499"/>
        <v>185</v>
      </c>
      <c r="Y214" s="465">
        <f t="shared" si="499"/>
        <v>174</v>
      </c>
      <c r="AA214" s="291"/>
      <c r="AB214" s="412"/>
      <c r="AC214" s="466"/>
      <c r="AD214" s="467" t="s">
        <v>30</v>
      </c>
      <c r="AE214" s="468">
        <f t="shared" ref="AE214:AQ214" si="500">IFERROR(AE213/AE212,0)</f>
        <v>153.4308943089431</v>
      </c>
      <c r="AF214" s="469">
        <f t="shared" si="500"/>
        <v>170</v>
      </c>
      <c r="AG214" s="470">
        <f t="shared" si="500"/>
        <v>165</v>
      </c>
      <c r="AH214" s="470">
        <f t="shared" si="500"/>
        <v>155</v>
      </c>
      <c r="AI214" s="470">
        <f t="shared" si="500"/>
        <v>145</v>
      </c>
      <c r="AJ214" s="470">
        <f t="shared" si="500"/>
        <v>145</v>
      </c>
      <c r="AK214" s="470">
        <f t="shared" si="500"/>
        <v>168</v>
      </c>
      <c r="AL214" s="470">
        <f t="shared" si="500"/>
        <v>175</v>
      </c>
      <c r="AM214" s="470">
        <f t="shared" si="500"/>
        <v>160</v>
      </c>
      <c r="AN214" s="470">
        <f t="shared" si="500"/>
        <v>145</v>
      </c>
      <c r="AO214" s="470">
        <f t="shared" si="500"/>
        <v>140</v>
      </c>
      <c r="AP214" s="470">
        <f t="shared" si="500"/>
        <v>140</v>
      </c>
      <c r="AQ214" s="471">
        <f t="shared" si="500"/>
        <v>140</v>
      </c>
    </row>
    <row r="215" spans="1:43" ht="7.8" customHeight="1" x14ac:dyDescent="0.25">
      <c r="B215" s="282"/>
      <c r="C215" s="404"/>
      <c r="D215" s="472" t="s">
        <v>43</v>
      </c>
      <c r="E215" s="425" t="s">
        <v>32</v>
      </c>
      <c r="F215" s="426">
        <f t="shared" ref="F215:Y217" si="501">F212-F209</f>
        <v>-106</v>
      </c>
      <c r="G215" s="426">
        <f t="shared" si="501"/>
        <v>-289</v>
      </c>
      <c r="H215" s="426">
        <f t="shared" si="501"/>
        <v>62</v>
      </c>
      <c r="I215" s="427">
        <f t="shared" si="501"/>
        <v>8</v>
      </c>
      <c r="J215" s="428">
        <f t="shared" si="501"/>
        <v>100</v>
      </c>
      <c r="K215" s="428">
        <f t="shared" si="501"/>
        <v>3</v>
      </c>
      <c r="L215" s="428">
        <f t="shared" si="501"/>
        <v>15</v>
      </c>
      <c r="M215" s="429">
        <f t="shared" si="501"/>
        <v>-64</v>
      </c>
      <c r="N215" s="426">
        <f t="shared" si="501"/>
        <v>305</v>
      </c>
      <c r="O215" s="427">
        <f t="shared" si="501"/>
        <v>89</v>
      </c>
      <c r="P215" s="428">
        <f t="shared" si="501"/>
        <v>220</v>
      </c>
      <c r="Q215" s="428">
        <f t="shared" si="501"/>
        <v>-1</v>
      </c>
      <c r="R215" s="428">
        <f t="shared" si="501"/>
        <v>0</v>
      </c>
      <c r="S215" s="429">
        <f t="shared" si="501"/>
        <v>-3</v>
      </c>
      <c r="T215" s="426">
        <f t="shared" si="501"/>
        <v>-184</v>
      </c>
      <c r="U215" s="427">
        <f t="shared" si="501"/>
        <v>9</v>
      </c>
      <c r="V215" s="428">
        <f t="shared" si="501"/>
        <v>-129</v>
      </c>
      <c r="W215" s="428">
        <f t="shared" si="501"/>
        <v>-73</v>
      </c>
      <c r="X215" s="428">
        <f t="shared" si="501"/>
        <v>-38</v>
      </c>
      <c r="Y215" s="430">
        <f t="shared" si="501"/>
        <v>47</v>
      </c>
      <c r="AA215" s="291"/>
      <c r="AB215" s="412"/>
      <c r="AC215" s="473" t="s">
        <v>43</v>
      </c>
      <c r="AD215" s="432" t="s">
        <v>32</v>
      </c>
      <c r="AE215" s="426">
        <f t="shared" ref="AE215:AQ217" si="502">AE212-AE209</f>
        <v>417</v>
      </c>
      <c r="AF215" s="427">
        <f t="shared" si="502"/>
        <v>4</v>
      </c>
      <c r="AG215" s="428">
        <f t="shared" si="502"/>
        <v>128</v>
      </c>
      <c r="AH215" s="428">
        <f t="shared" si="502"/>
        <v>8</v>
      </c>
      <c r="AI215" s="428">
        <f t="shared" si="502"/>
        <v>29</v>
      </c>
      <c r="AJ215" s="428">
        <f t="shared" si="502"/>
        <v>50</v>
      </c>
      <c r="AK215" s="428">
        <f t="shared" si="502"/>
        <v>-10</v>
      </c>
      <c r="AL215" s="428">
        <f t="shared" si="502"/>
        <v>20</v>
      </c>
      <c r="AM215" s="428">
        <f t="shared" si="502"/>
        <v>-2</v>
      </c>
      <c r="AN215" s="428">
        <f t="shared" si="502"/>
        <v>30</v>
      </c>
      <c r="AO215" s="428">
        <f t="shared" si="502"/>
        <v>75</v>
      </c>
      <c r="AP215" s="428">
        <f t="shared" si="502"/>
        <v>70</v>
      </c>
      <c r="AQ215" s="430">
        <f t="shared" si="502"/>
        <v>15</v>
      </c>
    </row>
    <row r="216" spans="1:43" s="366" customFormat="1" ht="7.8" customHeight="1" x14ac:dyDescent="0.25">
      <c r="B216" s="282"/>
      <c r="C216" s="404"/>
      <c r="D216" s="405"/>
      <c r="E216" s="474" t="s">
        <v>33</v>
      </c>
      <c r="F216" s="407">
        <f t="shared" si="501"/>
        <v>-12000.590000000026</v>
      </c>
      <c r="G216" s="407">
        <f t="shared" si="501"/>
        <v>-45409</v>
      </c>
      <c r="H216" s="407">
        <f t="shared" si="501"/>
        <v>8230</v>
      </c>
      <c r="I216" s="408">
        <f t="shared" si="501"/>
        <v>950</v>
      </c>
      <c r="J216" s="409">
        <f t="shared" si="501"/>
        <v>15500</v>
      </c>
      <c r="K216" s="409">
        <f t="shared" si="501"/>
        <v>465</v>
      </c>
      <c r="L216" s="409">
        <f t="shared" si="501"/>
        <v>2400</v>
      </c>
      <c r="M216" s="410">
        <f t="shared" si="501"/>
        <v>-11085</v>
      </c>
      <c r="N216" s="407">
        <f t="shared" si="501"/>
        <v>48092</v>
      </c>
      <c r="O216" s="408">
        <f t="shared" si="501"/>
        <v>14500</v>
      </c>
      <c r="P216" s="409">
        <f t="shared" si="501"/>
        <v>34262</v>
      </c>
      <c r="Q216" s="409">
        <f t="shared" si="501"/>
        <v>-205</v>
      </c>
      <c r="R216" s="409">
        <f t="shared" si="501"/>
        <v>0</v>
      </c>
      <c r="S216" s="410">
        <f t="shared" si="501"/>
        <v>-465</v>
      </c>
      <c r="T216" s="407">
        <f t="shared" si="501"/>
        <v>-22913.590000000026</v>
      </c>
      <c r="U216" s="408">
        <f t="shared" si="501"/>
        <v>-11431.200000000004</v>
      </c>
      <c r="V216" s="409">
        <f t="shared" si="501"/>
        <v>-6810.5400000000081</v>
      </c>
      <c r="W216" s="409">
        <f t="shared" si="501"/>
        <v>-8405.8499999999913</v>
      </c>
      <c r="X216" s="409">
        <f t="shared" si="501"/>
        <v>-5080</v>
      </c>
      <c r="Y216" s="411">
        <f t="shared" si="501"/>
        <v>8814</v>
      </c>
      <c r="AA216" s="291"/>
      <c r="AB216" s="412"/>
      <c r="AC216" s="475"/>
      <c r="AD216" s="476" t="s">
        <v>33</v>
      </c>
      <c r="AE216" s="407">
        <f t="shared" si="502"/>
        <v>61545</v>
      </c>
      <c r="AF216" s="408">
        <f t="shared" si="502"/>
        <v>422</v>
      </c>
      <c r="AG216" s="409">
        <f t="shared" si="502"/>
        <v>21133</v>
      </c>
      <c r="AH216" s="409">
        <f t="shared" si="502"/>
        <v>950</v>
      </c>
      <c r="AI216" s="409">
        <f t="shared" si="502"/>
        <v>4099</v>
      </c>
      <c r="AJ216" s="409">
        <f t="shared" si="502"/>
        <v>7250</v>
      </c>
      <c r="AK216" s="409">
        <f t="shared" si="502"/>
        <v>-1643</v>
      </c>
      <c r="AL216" s="409">
        <f t="shared" si="502"/>
        <v>3500</v>
      </c>
      <c r="AM216" s="409">
        <f t="shared" si="502"/>
        <v>-916</v>
      </c>
      <c r="AN216" s="409">
        <f t="shared" si="502"/>
        <v>4350</v>
      </c>
      <c r="AO216" s="409">
        <f t="shared" si="502"/>
        <v>10500</v>
      </c>
      <c r="AP216" s="409">
        <f t="shared" si="502"/>
        <v>9800</v>
      </c>
      <c r="AQ216" s="411">
        <f t="shared" si="502"/>
        <v>2100</v>
      </c>
    </row>
    <row r="217" spans="1:43" ht="7.8" customHeight="1" x14ac:dyDescent="0.25">
      <c r="B217" s="282"/>
      <c r="C217" s="404"/>
      <c r="D217" s="415"/>
      <c r="E217" s="416" t="s">
        <v>30</v>
      </c>
      <c r="F217" s="417">
        <f t="shared" si="501"/>
        <v>2.3849622401529018</v>
      </c>
      <c r="G217" s="417">
        <f t="shared" si="501"/>
        <v>-157.12456747404843</v>
      </c>
      <c r="H217" s="417">
        <f t="shared" si="501"/>
        <v>-13.031045751633997</v>
      </c>
      <c r="I217" s="418">
        <f t="shared" si="501"/>
        <v>-9.0625</v>
      </c>
      <c r="J217" s="419">
        <f t="shared" si="501"/>
        <v>155</v>
      </c>
      <c r="K217" s="419">
        <f t="shared" si="501"/>
        <v>0</v>
      </c>
      <c r="L217" s="419">
        <f t="shared" si="501"/>
        <v>160</v>
      </c>
      <c r="M217" s="420">
        <f t="shared" si="501"/>
        <v>-173.203125</v>
      </c>
      <c r="N217" s="417">
        <f t="shared" si="501"/>
        <v>-3.4934594168636579</v>
      </c>
      <c r="O217" s="418">
        <f t="shared" si="501"/>
        <v>-1.6666666666666572</v>
      </c>
      <c r="P217" s="419">
        <f t="shared" si="501"/>
        <v>-6.2249999999999943</v>
      </c>
      <c r="Q217" s="419">
        <f t="shared" si="501"/>
        <v>-1.2195121951219505</v>
      </c>
      <c r="R217" s="419">
        <f t="shared" si="501"/>
        <v>0</v>
      </c>
      <c r="S217" s="420">
        <f t="shared" si="501"/>
        <v>-155</v>
      </c>
      <c r="T217" s="417">
        <f t="shared" si="501"/>
        <v>4.7435458030631708</v>
      </c>
      <c r="U217" s="418">
        <f t="shared" si="501"/>
        <v>-113.48869565217393</v>
      </c>
      <c r="V217" s="419">
        <f t="shared" si="501"/>
        <v>19.554552631578929</v>
      </c>
      <c r="W217" s="419">
        <f t="shared" si="501"/>
        <v>5.1078783151326093</v>
      </c>
      <c r="X217" s="419">
        <f t="shared" si="501"/>
        <v>27.083333333333343</v>
      </c>
      <c r="Y217" s="421">
        <f t="shared" si="501"/>
        <v>13.531914893617028</v>
      </c>
      <c r="AA217" s="291"/>
      <c r="AB217" s="412"/>
      <c r="AC217" s="477"/>
      <c r="AD217" s="423" t="s">
        <v>30</v>
      </c>
      <c r="AE217" s="417">
        <f t="shared" si="502"/>
        <v>-12.301428923380143</v>
      </c>
      <c r="AF217" s="418">
        <f t="shared" si="502"/>
        <v>-12.285714285714278</v>
      </c>
      <c r="AG217" s="419">
        <f t="shared" si="502"/>
        <v>0.59090909090909349</v>
      </c>
      <c r="AH217" s="419">
        <f t="shared" si="502"/>
        <v>-9.0625</v>
      </c>
      <c r="AI217" s="419">
        <f t="shared" si="502"/>
        <v>-3.4193548387096655</v>
      </c>
      <c r="AJ217" s="419">
        <f t="shared" si="502"/>
        <v>145</v>
      </c>
      <c r="AK217" s="419">
        <f t="shared" si="502"/>
        <v>1.2333333333333201</v>
      </c>
      <c r="AL217" s="419">
        <f t="shared" si="502"/>
        <v>175</v>
      </c>
      <c r="AM217" s="419">
        <f t="shared" si="502"/>
        <v>-9.6129032258064626</v>
      </c>
      <c r="AN217" s="419">
        <f t="shared" si="502"/>
        <v>145</v>
      </c>
      <c r="AO217" s="419">
        <f t="shared" si="502"/>
        <v>140</v>
      </c>
      <c r="AP217" s="419">
        <f t="shared" si="502"/>
        <v>140</v>
      </c>
      <c r="AQ217" s="421">
        <f t="shared" si="502"/>
        <v>140</v>
      </c>
    </row>
    <row r="218" spans="1:43" ht="7.8" customHeight="1" x14ac:dyDescent="0.25">
      <c r="B218" s="282"/>
      <c r="C218" s="404"/>
      <c r="D218" s="472" t="s">
        <v>44</v>
      </c>
      <c r="E218" s="425" t="s">
        <v>32</v>
      </c>
      <c r="F218" s="478">
        <f t="shared" ref="F218:Y220" si="503">IFERROR((F212-F209)/ABS(F209),"")</f>
        <v>-4.6757829730921921E-2</v>
      </c>
      <c r="G218" s="478">
        <f t="shared" si="503"/>
        <v>-1</v>
      </c>
      <c r="H218" s="478">
        <f t="shared" si="503"/>
        <v>0.57407407407407407</v>
      </c>
      <c r="I218" s="479">
        <f t="shared" si="503"/>
        <v>0.25</v>
      </c>
      <c r="J218" s="480" t="str">
        <f t="shared" si="503"/>
        <v/>
      </c>
      <c r="K218" s="480">
        <f t="shared" si="503"/>
        <v>0.25</v>
      </c>
      <c r="L218" s="480" t="str">
        <f t="shared" si="503"/>
        <v/>
      </c>
      <c r="M218" s="481">
        <f t="shared" si="503"/>
        <v>-1</v>
      </c>
      <c r="N218" s="478">
        <f t="shared" si="503"/>
        <v>1.2978723404255319</v>
      </c>
      <c r="O218" s="479">
        <f t="shared" si="503"/>
        <v>0.80180180180180183</v>
      </c>
      <c r="P218" s="480">
        <f t="shared" si="503"/>
        <v>2.75</v>
      </c>
      <c r="Q218" s="480">
        <f t="shared" si="503"/>
        <v>-2.4390243902439025E-2</v>
      </c>
      <c r="R218" s="480" t="str">
        <f t="shared" si="503"/>
        <v/>
      </c>
      <c r="S218" s="481">
        <f t="shared" si="503"/>
        <v>-1</v>
      </c>
      <c r="T218" s="478">
        <f t="shared" si="503"/>
        <v>-0.11253822629969419</v>
      </c>
      <c r="U218" s="479">
        <f t="shared" si="503"/>
        <v>7.8260869565217397E-2</v>
      </c>
      <c r="V218" s="480">
        <f t="shared" si="503"/>
        <v>-0.16973684210526316</v>
      </c>
      <c r="W218" s="480">
        <f t="shared" si="503"/>
        <v>-0.11388455538221529</v>
      </c>
      <c r="X218" s="480">
        <f t="shared" si="503"/>
        <v>-0.52777777777777779</v>
      </c>
      <c r="Y218" s="482">
        <f t="shared" si="503"/>
        <v>1</v>
      </c>
      <c r="AA218" s="291"/>
      <c r="AB218" s="412"/>
      <c r="AC218" s="473" t="s">
        <v>44</v>
      </c>
      <c r="AD218" s="432" t="s">
        <v>32</v>
      </c>
      <c r="AE218" s="478">
        <f t="shared" ref="AE218:AQ220" si="504">IFERROR((AE212-AE209)/ABS(AE209),"")</f>
        <v>2.106060606060606</v>
      </c>
      <c r="AF218" s="479">
        <f t="shared" si="504"/>
        <v>0.19047619047619047</v>
      </c>
      <c r="AG218" s="480">
        <f t="shared" si="504"/>
        <v>5.8181818181818183</v>
      </c>
      <c r="AH218" s="480">
        <f t="shared" si="504"/>
        <v>0.25</v>
      </c>
      <c r="AI218" s="480">
        <f t="shared" si="504"/>
        <v>0.93548387096774188</v>
      </c>
      <c r="AJ218" s="480" t="str">
        <f t="shared" si="504"/>
        <v/>
      </c>
      <c r="AK218" s="480">
        <f t="shared" si="504"/>
        <v>-0.33333333333333331</v>
      </c>
      <c r="AL218" s="480" t="str">
        <f t="shared" si="504"/>
        <v/>
      </c>
      <c r="AM218" s="480">
        <f t="shared" si="504"/>
        <v>-3.2258064516129031E-2</v>
      </c>
      <c r="AN218" s="480" t="str">
        <f t="shared" si="504"/>
        <v/>
      </c>
      <c r="AO218" s="480" t="str">
        <f t="shared" si="504"/>
        <v/>
      </c>
      <c r="AP218" s="480" t="str">
        <f t="shared" si="504"/>
        <v/>
      </c>
      <c r="AQ218" s="482" t="str">
        <f t="shared" si="504"/>
        <v/>
      </c>
    </row>
    <row r="219" spans="1:43" ht="7.8" customHeight="1" x14ac:dyDescent="0.25">
      <c r="B219" s="282"/>
      <c r="C219" s="404"/>
      <c r="D219" s="405"/>
      <c r="E219" s="483" t="s">
        <v>33</v>
      </c>
      <c r="F219" s="484">
        <f t="shared" si="503"/>
        <v>-3.2709887186692571E-2</v>
      </c>
      <c r="G219" s="484">
        <f t="shared" si="503"/>
        <v>-1</v>
      </c>
      <c r="H219" s="484">
        <f t="shared" si="503"/>
        <v>0.45232206650178619</v>
      </c>
      <c r="I219" s="485">
        <f t="shared" si="503"/>
        <v>0.18095238095238095</v>
      </c>
      <c r="J219" s="486" t="str">
        <f t="shared" si="503"/>
        <v/>
      </c>
      <c r="K219" s="486">
        <f t="shared" si="503"/>
        <v>0.25</v>
      </c>
      <c r="L219" s="486" t="str">
        <f t="shared" si="503"/>
        <v/>
      </c>
      <c r="M219" s="487">
        <f t="shared" si="503"/>
        <v>-1</v>
      </c>
      <c r="N219" s="484">
        <f t="shared" si="503"/>
        <v>1.2488833489145112</v>
      </c>
      <c r="O219" s="485">
        <f t="shared" si="503"/>
        <v>0.78378378378378377</v>
      </c>
      <c r="P219" s="486">
        <f t="shared" si="503"/>
        <v>2.6078550768762367</v>
      </c>
      <c r="Q219" s="486">
        <f t="shared" si="503"/>
        <v>-3.200624512099922E-2</v>
      </c>
      <c r="R219" s="486" t="str">
        <f t="shared" si="503"/>
        <v/>
      </c>
      <c r="S219" s="487">
        <f t="shared" si="503"/>
        <v>-1</v>
      </c>
      <c r="T219" s="484">
        <f t="shared" si="503"/>
        <v>-8.6542276567913856E-2</v>
      </c>
      <c r="U219" s="485">
        <f t="shared" si="503"/>
        <v>-0.33869017990471456</v>
      </c>
      <c r="V219" s="486">
        <f t="shared" si="503"/>
        <v>-6.0367205602908952E-2</v>
      </c>
      <c r="W219" s="486">
        <f t="shared" si="503"/>
        <v>-8.4663121683502651E-2</v>
      </c>
      <c r="X219" s="486">
        <f t="shared" si="503"/>
        <v>-0.44678979771328059</v>
      </c>
      <c r="Y219" s="488">
        <f t="shared" si="503"/>
        <v>1.1686555290373906</v>
      </c>
      <c r="AA219" s="291"/>
      <c r="AB219" s="412"/>
      <c r="AC219" s="475"/>
      <c r="AD219" s="489" t="s">
        <v>33</v>
      </c>
      <c r="AE219" s="484">
        <f t="shared" si="504"/>
        <v>1.8755142465335974</v>
      </c>
      <c r="AF219" s="485">
        <f t="shared" si="504"/>
        <v>0.11024033437826541</v>
      </c>
      <c r="AG219" s="486">
        <f t="shared" si="504"/>
        <v>5.8426873099253527</v>
      </c>
      <c r="AH219" s="486">
        <f t="shared" si="504"/>
        <v>0.18095238095238095</v>
      </c>
      <c r="AI219" s="486">
        <f t="shared" si="504"/>
        <v>0.89089328406868074</v>
      </c>
      <c r="AJ219" s="486" t="str">
        <f t="shared" si="504"/>
        <v/>
      </c>
      <c r="AK219" s="486">
        <f t="shared" si="504"/>
        <v>-0.32840295822506493</v>
      </c>
      <c r="AL219" s="486" t="str">
        <f t="shared" si="504"/>
        <v/>
      </c>
      <c r="AM219" s="486">
        <f t="shared" si="504"/>
        <v>-8.7105363255990872E-2</v>
      </c>
      <c r="AN219" s="486" t="str">
        <f t="shared" si="504"/>
        <v/>
      </c>
      <c r="AO219" s="486" t="str">
        <f t="shared" si="504"/>
        <v/>
      </c>
      <c r="AP219" s="486" t="str">
        <f t="shared" si="504"/>
        <v/>
      </c>
      <c r="AQ219" s="488" t="str">
        <f t="shared" si="504"/>
        <v/>
      </c>
    </row>
    <row r="220" spans="1:43" ht="7.8" customHeight="1" x14ac:dyDescent="0.25">
      <c r="B220" s="282"/>
      <c r="C220" s="502"/>
      <c r="D220" s="503"/>
      <c r="E220" s="504" t="s">
        <v>30</v>
      </c>
      <c r="F220" s="505">
        <f t="shared" si="503"/>
        <v>1.4737013302993028E-2</v>
      </c>
      <c r="G220" s="505">
        <f t="shared" si="503"/>
        <v>-1</v>
      </c>
      <c r="H220" s="505">
        <f t="shared" si="503"/>
        <v>-7.7348334222394705E-2</v>
      </c>
      <c r="I220" s="506">
        <f t="shared" si="503"/>
        <v>-5.5238095238095239E-2</v>
      </c>
      <c r="J220" s="507" t="str">
        <f t="shared" si="503"/>
        <v/>
      </c>
      <c r="K220" s="507">
        <f t="shared" si="503"/>
        <v>0</v>
      </c>
      <c r="L220" s="507" t="str">
        <f t="shared" si="503"/>
        <v/>
      </c>
      <c r="M220" s="508">
        <f t="shared" si="503"/>
        <v>-1</v>
      </c>
      <c r="N220" s="505">
        <f t="shared" si="503"/>
        <v>-2.1319283342758899E-2</v>
      </c>
      <c r="O220" s="506">
        <f t="shared" si="503"/>
        <v>-9.999999999999943E-3</v>
      </c>
      <c r="P220" s="507">
        <f t="shared" si="503"/>
        <v>-3.7905312833003468E-2</v>
      </c>
      <c r="Q220" s="507">
        <f t="shared" si="503"/>
        <v>-7.8064012490241955E-3</v>
      </c>
      <c r="R220" s="507" t="str">
        <f t="shared" si="503"/>
        <v/>
      </c>
      <c r="S220" s="508">
        <f t="shared" si="503"/>
        <v>-1</v>
      </c>
      <c r="T220" s="505">
        <f t="shared" si="503"/>
        <v>2.929247264745766E-2</v>
      </c>
      <c r="U220" s="506">
        <f t="shared" si="503"/>
        <v>-0.38668847329872719</v>
      </c>
      <c r="V220" s="507">
        <f t="shared" si="503"/>
        <v>0.13172888073183703</v>
      </c>
      <c r="W220" s="507">
        <f t="shared" si="503"/>
        <v>3.2977005283230214E-2</v>
      </c>
      <c r="X220" s="507">
        <f t="shared" si="503"/>
        <v>0.17150395778364122</v>
      </c>
      <c r="Y220" s="509">
        <f t="shared" si="503"/>
        <v>8.432776451869535E-2</v>
      </c>
      <c r="AA220" s="291"/>
      <c r="AB220" s="510"/>
      <c r="AC220" s="511"/>
      <c r="AD220" s="512" t="s">
        <v>30</v>
      </c>
      <c r="AE220" s="505">
        <f t="shared" si="504"/>
        <v>-7.4224681603817413E-2</v>
      </c>
      <c r="AF220" s="506">
        <f t="shared" si="504"/>
        <v>-6.7398119122257016E-2</v>
      </c>
      <c r="AG220" s="507">
        <f t="shared" si="504"/>
        <v>3.5941387890517161E-3</v>
      </c>
      <c r="AH220" s="507">
        <f t="shared" si="504"/>
        <v>-5.5238095238095239E-2</v>
      </c>
      <c r="AI220" s="507">
        <f t="shared" si="504"/>
        <v>-2.3038469897848215E-2</v>
      </c>
      <c r="AJ220" s="507" t="str">
        <f t="shared" si="504"/>
        <v/>
      </c>
      <c r="AK220" s="507">
        <f t="shared" si="504"/>
        <v>7.395562662402478E-3</v>
      </c>
      <c r="AL220" s="507" t="str">
        <f t="shared" si="504"/>
        <v/>
      </c>
      <c r="AM220" s="507">
        <f t="shared" si="504"/>
        <v>-5.6675542031190629E-2</v>
      </c>
      <c r="AN220" s="507" t="str">
        <f t="shared" si="504"/>
        <v/>
      </c>
      <c r="AO220" s="507" t="str">
        <f t="shared" si="504"/>
        <v/>
      </c>
      <c r="AP220" s="507" t="str">
        <f t="shared" si="504"/>
        <v/>
      </c>
      <c r="AQ220" s="509" t="str">
        <f t="shared" si="504"/>
        <v/>
      </c>
    </row>
    <row r="221" spans="1:43" ht="7.8" customHeight="1" x14ac:dyDescent="0.25">
      <c r="B221" s="282" t="s">
        <v>54</v>
      </c>
      <c r="C221" s="283" t="s">
        <v>9</v>
      </c>
      <c r="D221" s="284" t="s">
        <v>39</v>
      </c>
      <c r="E221" s="285" t="s">
        <v>32</v>
      </c>
      <c r="F221" s="286">
        <f t="shared" ref="F221:F222" si="505">SUM(G221,H221,N221,T221)</f>
        <v>0</v>
      </c>
      <c r="G221" s="286">
        <f t="shared" si="394"/>
        <v>0</v>
      </c>
      <c r="H221" s="286">
        <f t="shared" ref="H221:H222" si="506">SUM(I221:M221)</f>
        <v>0</v>
      </c>
      <c r="I221" s="287">
        <f t="shared" ref="I221:M222" si="507">SUM(I239,I257)</f>
        <v>0</v>
      </c>
      <c r="J221" s="288">
        <f t="shared" si="507"/>
        <v>0</v>
      </c>
      <c r="K221" s="288">
        <f t="shared" si="507"/>
        <v>0</v>
      </c>
      <c r="L221" s="288">
        <f t="shared" si="507"/>
        <v>0</v>
      </c>
      <c r="M221" s="289">
        <f t="shared" si="507"/>
        <v>0</v>
      </c>
      <c r="N221" s="286">
        <f t="shared" ref="N221:N222" si="508">SUM(O221:S221)</f>
        <v>0</v>
      </c>
      <c r="O221" s="287">
        <f t="shared" ref="O221:S222" si="509">SUM(O239,O257)</f>
        <v>0</v>
      </c>
      <c r="P221" s="288">
        <f t="shared" si="509"/>
        <v>0</v>
      </c>
      <c r="Q221" s="288">
        <f t="shared" si="509"/>
        <v>0</v>
      </c>
      <c r="R221" s="288">
        <f t="shared" si="509"/>
        <v>0</v>
      </c>
      <c r="S221" s="289">
        <f t="shared" si="509"/>
        <v>0</v>
      </c>
      <c r="T221" s="286">
        <f t="shared" ref="T221:T222" si="510">SUM(U221:Y221)</f>
        <v>0</v>
      </c>
      <c r="U221" s="287">
        <f t="shared" ref="U221:Y222" si="511">SUM(U239,U257)</f>
        <v>0</v>
      </c>
      <c r="V221" s="288">
        <f t="shared" si="511"/>
        <v>0</v>
      </c>
      <c r="W221" s="288">
        <f t="shared" si="511"/>
        <v>0</v>
      </c>
      <c r="X221" s="288">
        <f t="shared" si="511"/>
        <v>0</v>
      </c>
      <c r="Y221" s="290">
        <f t="shared" si="511"/>
        <v>0</v>
      </c>
      <c r="AA221" s="291" t="s">
        <v>55</v>
      </c>
      <c r="AB221" s="292" t="s">
        <v>9</v>
      </c>
      <c r="AC221" s="293" t="s">
        <v>39</v>
      </c>
      <c r="AD221" s="294" t="s">
        <v>32</v>
      </c>
      <c r="AE221" s="286">
        <f t="shared" ref="AE221:AE222" si="512">SUM(AF221:AQ221)</f>
        <v>0</v>
      </c>
      <c r="AF221" s="287">
        <f t="shared" ref="AF221:AQ222" si="513">SUM(AF239,AF257)</f>
        <v>0</v>
      </c>
      <c r="AG221" s="288">
        <f t="shared" si="513"/>
        <v>0</v>
      </c>
      <c r="AH221" s="288">
        <f t="shared" si="513"/>
        <v>0</v>
      </c>
      <c r="AI221" s="288">
        <f t="shared" si="513"/>
        <v>0</v>
      </c>
      <c r="AJ221" s="288">
        <f t="shared" si="513"/>
        <v>0</v>
      </c>
      <c r="AK221" s="288">
        <f t="shared" si="513"/>
        <v>0</v>
      </c>
      <c r="AL221" s="288">
        <f t="shared" si="513"/>
        <v>0</v>
      </c>
      <c r="AM221" s="288">
        <f t="shared" si="513"/>
        <v>0</v>
      </c>
      <c r="AN221" s="288">
        <f t="shared" si="513"/>
        <v>0</v>
      </c>
      <c r="AO221" s="288">
        <f t="shared" si="513"/>
        <v>0</v>
      </c>
      <c r="AP221" s="288">
        <f t="shared" si="513"/>
        <v>0</v>
      </c>
      <c r="AQ221" s="290">
        <f t="shared" si="513"/>
        <v>0</v>
      </c>
    </row>
    <row r="222" spans="1:43" s="41" customFormat="1" ht="7.8" customHeight="1" x14ac:dyDescent="0.25">
      <c r="B222" s="282"/>
      <c r="C222" s="295"/>
      <c r="D222" s="296"/>
      <c r="E222" s="297" t="s">
        <v>33</v>
      </c>
      <c r="F222" s="298">
        <f t="shared" si="505"/>
        <v>0</v>
      </c>
      <c r="G222" s="298">
        <f t="shared" si="394"/>
        <v>0</v>
      </c>
      <c r="H222" s="298">
        <f t="shared" si="506"/>
        <v>0</v>
      </c>
      <c r="I222" s="299">
        <f t="shared" si="507"/>
        <v>0</v>
      </c>
      <c r="J222" s="300">
        <f t="shared" si="507"/>
        <v>0</v>
      </c>
      <c r="K222" s="300">
        <f t="shared" si="507"/>
        <v>0</v>
      </c>
      <c r="L222" s="300">
        <f t="shared" si="507"/>
        <v>0</v>
      </c>
      <c r="M222" s="301">
        <f t="shared" si="507"/>
        <v>0</v>
      </c>
      <c r="N222" s="298">
        <f t="shared" si="508"/>
        <v>0</v>
      </c>
      <c r="O222" s="299">
        <f t="shared" si="509"/>
        <v>0</v>
      </c>
      <c r="P222" s="300">
        <f t="shared" si="509"/>
        <v>0</v>
      </c>
      <c r="Q222" s="300">
        <f t="shared" si="509"/>
        <v>0</v>
      </c>
      <c r="R222" s="300">
        <f t="shared" si="509"/>
        <v>0</v>
      </c>
      <c r="S222" s="301">
        <f t="shared" si="509"/>
        <v>0</v>
      </c>
      <c r="T222" s="298">
        <f t="shared" si="510"/>
        <v>0</v>
      </c>
      <c r="U222" s="299">
        <f t="shared" si="511"/>
        <v>0</v>
      </c>
      <c r="V222" s="300">
        <f t="shared" si="511"/>
        <v>0</v>
      </c>
      <c r="W222" s="300">
        <f t="shared" si="511"/>
        <v>0</v>
      </c>
      <c r="X222" s="300">
        <f t="shared" si="511"/>
        <v>0</v>
      </c>
      <c r="Y222" s="302">
        <f t="shared" si="511"/>
        <v>0</v>
      </c>
      <c r="AA222" s="291"/>
      <c r="AB222" s="303"/>
      <c r="AC222" s="304"/>
      <c r="AD222" s="305" t="s">
        <v>33</v>
      </c>
      <c r="AE222" s="298">
        <f t="shared" si="512"/>
        <v>0</v>
      </c>
      <c r="AF222" s="299">
        <f t="shared" si="513"/>
        <v>0</v>
      </c>
      <c r="AG222" s="300">
        <f t="shared" si="513"/>
        <v>0</v>
      </c>
      <c r="AH222" s="300">
        <f t="shared" si="513"/>
        <v>0</v>
      </c>
      <c r="AI222" s="300">
        <f t="shared" si="513"/>
        <v>0</v>
      </c>
      <c r="AJ222" s="300">
        <f t="shared" si="513"/>
        <v>0</v>
      </c>
      <c r="AK222" s="300">
        <f t="shared" si="513"/>
        <v>0</v>
      </c>
      <c r="AL222" s="300">
        <f t="shared" si="513"/>
        <v>0</v>
      </c>
      <c r="AM222" s="300">
        <f t="shared" si="513"/>
        <v>0</v>
      </c>
      <c r="AN222" s="300">
        <f t="shared" si="513"/>
        <v>0</v>
      </c>
      <c r="AO222" s="300">
        <f t="shared" si="513"/>
        <v>0</v>
      </c>
      <c r="AP222" s="300">
        <f t="shared" si="513"/>
        <v>0</v>
      </c>
      <c r="AQ222" s="302">
        <f t="shared" si="513"/>
        <v>0</v>
      </c>
    </row>
    <row r="223" spans="1:43" ht="7.8" customHeight="1" x14ac:dyDescent="0.25">
      <c r="B223" s="282"/>
      <c r="C223" s="295"/>
      <c r="D223" s="306"/>
      <c r="E223" s="307" t="s">
        <v>30</v>
      </c>
      <c r="F223" s="308">
        <f t="shared" si="403"/>
        <v>0</v>
      </c>
      <c r="G223" s="308">
        <f t="shared" si="403"/>
        <v>0</v>
      </c>
      <c r="H223" s="308">
        <f t="shared" si="403"/>
        <v>0</v>
      </c>
      <c r="I223" s="309">
        <f t="shared" si="403"/>
        <v>0</v>
      </c>
      <c r="J223" s="310">
        <f t="shared" si="403"/>
        <v>0</v>
      </c>
      <c r="K223" s="310">
        <f t="shared" si="403"/>
        <v>0</v>
      </c>
      <c r="L223" s="310">
        <f t="shared" si="403"/>
        <v>0</v>
      </c>
      <c r="M223" s="311">
        <f t="shared" si="403"/>
        <v>0</v>
      </c>
      <c r="N223" s="308">
        <f t="shared" si="403"/>
        <v>0</v>
      </c>
      <c r="O223" s="309">
        <f t="shared" si="403"/>
        <v>0</v>
      </c>
      <c r="P223" s="310">
        <f t="shared" si="403"/>
        <v>0</v>
      </c>
      <c r="Q223" s="310">
        <f t="shared" si="403"/>
        <v>0</v>
      </c>
      <c r="R223" s="310">
        <f t="shared" si="403"/>
        <v>0</v>
      </c>
      <c r="S223" s="311">
        <f t="shared" si="403"/>
        <v>0</v>
      </c>
      <c r="T223" s="308">
        <f t="shared" si="403"/>
        <v>0</v>
      </c>
      <c r="U223" s="309">
        <f t="shared" si="403"/>
        <v>0</v>
      </c>
      <c r="V223" s="310">
        <f t="shared" si="403"/>
        <v>0</v>
      </c>
      <c r="W223" s="310">
        <f t="shared" si="403"/>
        <v>0</v>
      </c>
      <c r="X223" s="310">
        <f t="shared" si="403"/>
        <v>0</v>
      </c>
      <c r="Y223" s="312">
        <f t="shared" si="403"/>
        <v>0</v>
      </c>
      <c r="AA223" s="291"/>
      <c r="AB223" s="303"/>
      <c r="AC223" s="313"/>
      <c r="AD223" s="314" t="s">
        <v>30</v>
      </c>
      <c r="AE223" s="308">
        <f t="shared" ref="AE223:AQ223" si="514">IFERROR(AE222/AE221,0)</f>
        <v>0</v>
      </c>
      <c r="AF223" s="309">
        <f t="shared" si="514"/>
        <v>0</v>
      </c>
      <c r="AG223" s="310">
        <f t="shared" si="514"/>
        <v>0</v>
      </c>
      <c r="AH223" s="310">
        <f t="shared" si="514"/>
        <v>0</v>
      </c>
      <c r="AI223" s="310">
        <f t="shared" si="514"/>
        <v>0</v>
      </c>
      <c r="AJ223" s="310">
        <f t="shared" si="514"/>
        <v>0</v>
      </c>
      <c r="AK223" s="310">
        <f t="shared" si="514"/>
        <v>0</v>
      </c>
      <c r="AL223" s="310">
        <f t="shared" si="514"/>
        <v>0</v>
      </c>
      <c r="AM223" s="310">
        <f t="shared" si="514"/>
        <v>0</v>
      </c>
      <c r="AN223" s="310">
        <f t="shared" si="514"/>
        <v>0</v>
      </c>
      <c r="AO223" s="310">
        <f t="shared" si="514"/>
        <v>0</v>
      </c>
      <c r="AP223" s="310">
        <f t="shared" si="514"/>
        <v>0</v>
      </c>
      <c r="AQ223" s="312">
        <f t="shared" si="514"/>
        <v>0</v>
      </c>
    </row>
    <row r="224" spans="1:43" ht="7.8" customHeight="1" x14ac:dyDescent="0.25">
      <c r="A224" s="526"/>
      <c r="B224" s="282"/>
      <c r="C224" s="295"/>
      <c r="D224" s="315" t="s">
        <v>40</v>
      </c>
      <c r="E224" s="316" t="s">
        <v>32</v>
      </c>
      <c r="F224" s="317">
        <f t="shared" ref="F224:F225" si="515">SUM(G224,H224,N224,T224)</f>
        <v>7292</v>
      </c>
      <c r="G224" s="317">
        <f t="shared" ref="G224:G279" si="516">SUM(G242,G260)</f>
        <v>948</v>
      </c>
      <c r="H224" s="317">
        <f t="shared" ref="H224:H225" si="517">SUM(I224:M224)</f>
        <v>390</v>
      </c>
      <c r="I224" s="318">
        <f t="shared" ref="I224:M225" si="518">SUM(I242,I260)</f>
        <v>61</v>
      </c>
      <c r="J224" s="319">
        <f t="shared" si="518"/>
        <v>297</v>
      </c>
      <c r="K224" s="319">
        <f t="shared" si="518"/>
        <v>0</v>
      </c>
      <c r="L224" s="319">
        <f t="shared" si="518"/>
        <v>0</v>
      </c>
      <c r="M224" s="320">
        <f t="shared" si="518"/>
        <v>32</v>
      </c>
      <c r="N224" s="317">
        <f t="shared" ref="N224:N225" si="519">SUM(O224:S224)</f>
        <v>982</v>
      </c>
      <c r="O224" s="318">
        <f t="shared" ref="O224:S225" si="520">SUM(O242,O260)</f>
        <v>514</v>
      </c>
      <c r="P224" s="319">
        <f t="shared" si="520"/>
        <v>380</v>
      </c>
      <c r="Q224" s="319">
        <f t="shared" si="520"/>
        <v>79</v>
      </c>
      <c r="R224" s="319">
        <f t="shared" si="520"/>
        <v>4</v>
      </c>
      <c r="S224" s="320">
        <f t="shared" si="520"/>
        <v>5</v>
      </c>
      <c r="T224" s="317">
        <f t="shared" ref="T224:T225" si="521">SUM(U224:Y224)</f>
        <v>4972</v>
      </c>
      <c r="U224" s="318">
        <f t="shared" ref="U224:Y225" si="522">SUM(U242,U260)</f>
        <v>286</v>
      </c>
      <c r="V224" s="319">
        <f t="shared" si="522"/>
        <v>1971</v>
      </c>
      <c r="W224" s="319">
        <f t="shared" si="522"/>
        <v>2345</v>
      </c>
      <c r="X224" s="319">
        <f t="shared" si="522"/>
        <v>132</v>
      </c>
      <c r="Y224" s="321">
        <f t="shared" si="522"/>
        <v>238</v>
      </c>
      <c r="Z224" s="526"/>
      <c r="AA224" s="291"/>
      <c r="AB224" s="303"/>
      <c r="AC224" s="322" t="s">
        <v>40</v>
      </c>
      <c r="AD224" s="323" t="s">
        <v>32</v>
      </c>
      <c r="AE224" s="317">
        <f t="shared" ref="AE224:AE225" si="523">SUM(AF224:AQ224)</f>
        <v>2478</v>
      </c>
      <c r="AF224" s="318">
        <f t="shared" ref="AF224:AQ225" si="524">SUM(AF242,AF260)</f>
        <v>39</v>
      </c>
      <c r="AG224" s="319">
        <f t="shared" si="524"/>
        <v>0</v>
      </c>
      <c r="AH224" s="319">
        <f t="shared" si="524"/>
        <v>20</v>
      </c>
      <c r="AI224" s="319">
        <f t="shared" si="524"/>
        <v>297</v>
      </c>
      <c r="AJ224" s="319">
        <f t="shared" si="524"/>
        <v>0</v>
      </c>
      <c r="AK224" s="319">
        <f t="shared" si="524"/>
        <v>104</v>
      </c>
      <c r="AL224" s="319">
        <f t="shared" si="524"/>
        <v>24</v>
      </c>
      <c r="AM224" s="319">
        <f t="shared" si="524"/>
        <v>260</v>
      </c>
      <c r="AN224" s="319">
        <f t="shared" si="524"/>
        <v>77</v>
      </c>
      <c r="AO224" s="319">
        <f t="shared" si="524"/>
        <v>892</v>
      </c>
      <c r="AP224" s="319">
        <f t="shared" si="524"/>
        <v>485</v>
      </c>
      <c r="AQ224" s="321">
        <f t="shared" si="524"/>
        <v>280</v>
      </c>
    </row>
    <row r="225" spans="1:43" s="41" customFormat="1" ht="7.8" customHeight="1" x14ac:dyDescent="0.25">
      <c r="A225" s="529"/>
      <c r="B225" s="282"/>
      <c r="C225" s="295"/>
      <c r="D225" s="296"/>
      <c r="E225" s="297" t="s">
        <v>33</v>
      </c>
      <c r="F225" s="298">
        <f t="shared" si="515"/>
        <v>1087032</v>
      </c>
      <c r="G225" s="298">
        <f t="shared" si="516"/>
        <v>147576</v>
      </c>
      <c r="H225" s="298">
        <f t="shared" si="517"/>
        <v>57378</v>
      </c>
      <c r="I225" s="299">
        <f t="shared" si="518"/>
        <v>10025</v>
      </c>
      <c r="J225" s="300">
        <f t="shared" si="518"/>
        <v>43065</v>
      </c>
      <c r="K225" s="300">
        <f t="shared" si="518"/>
        <v>0</v>
      </c>
      <c r="L225" s="300">
        <f t="shared" si="518"/>
        <v>0</v>
      </c>
      <c r="M225" s="301">
        <f t="shared" si="518"/>
        <v>4288</v>
      </c>
      <c r="N225" s="298">
        <f t="shared" si="519"/>
        <v>144090</v>
      </c>
      <c r="O225" s="299">
        <f t="shared" si="520"/>
        <v>76165</v>
      </c>
      <c r="P225" s="300">
        <f t="shared" si="520"/>
        <v>55015</v>
      </c>
      <c r="Q225" s="300">
        <f t="shared" si="520"/>
        <v>11400</v>
      </c>
      <c r="R225" s="300">
        <f t="shared" si="520"/>
        <v>670</v>
      </c>
      <c r="S225" s="301">
        <f t="shared" si="520"/>
        <v>840</v>
      </c>
      <c r="T225" s="298">
        <f t="shared" si="521"/>
        <v>737988</v>
      </c>
      <c r="U225" s="299">
        <f t="shared" si="522"/>
        <v>55512.459999999992</v>
      </c>
      <c r="V225" s="300">
        <f t="shared" si="522"/>
        <v>274149.74999999994</v>
      </c>
      <c r="W225" s="300">
        <f t="shared" si="522"/>
        <v>356528.79000000004</v>
      </c>
      <c r="X225" s="300">
        <f t="shared" si="522"/>
        <v>20032</v>
      </c>
      <c r="Y225" s="302">
        <f t="shared" si="522"/>
        <v>31765</v>
      </c>
      <c r="Z225" s="529"/>
      <c r="AA225" s="291"/>
      <c r="AB225" s="303"/>
      <c r="AC225" s="304"/>
      <c r="AD225" s="305" t="s">
        <v>33</v>
      </c>
      <c r="AE225" s="298">
        <f t="shared" si="523"/>
        <v>417674.31</v>
      </c>
      <c r="AF225" s="299">
        <f t="shared" si="524"/>
        <v>6762</v>
      </c>
      <c r="AG225" s="300">
        <f t="shared" si="524"/>
        <v>0</v>
      </c>
      <c r="AH225" s="300">
        <f t="shared" si="524"/>
        <v>3660</v>
      </c>
      <c r="AI225" s="300">
        <f t="shared" si="524"/>
        <v>43065</v>
      </c>
      <c r="AJ225" s="300">
        <f t="shared" si="524"/>
        <v>0</v>
      </c>
      <c r="AK225" s="300">
        <f t="shared" si="524"/>
        <v>17007</v>
      </c>
      <c r="AL225" s="300">
        <f t="shared" si="524"/>
        <v>4320</v>
      </c>
      <c r="AM225" s="300">
        <f t="shared" si="524"/>
        <v>50860</v>
      </c>
      <c r="AN225" s="300">
        <f t="shared" si="524"/>
        <v>11020</v>
      </c>
      <c r="AO225" s="300">
        <f t="shared" si="524"/>
        <v>151455</v>
      </c>
      <c r="AP225" s="300">
        <f t="shared" si="524"/>
        <v>83731</v>
      </c>
      <c r="AQ225" s="302">
        <f t="shared" si="524"/>
        <v>45794.31</v>
      </c>
    </row>
    <row r="226" spans="1:43" ht="7.8" customHeight="1" x14ac:dyDescent="0.25">
      <c r="A226" s="526"/>
      <c r="B226" s="282"/>
      <c r="C226" s="295"/>
      <c r="D226" s="306"/>
      <c r="E226" s="307" t="s">
        <v>30</v>
      </c>
      <c r="F226" s="308">
        <f t="shared" si="414"/>
        <v>149.07185957213383</v>
      </c>
      <c r="G226" s="308">
        <f t="shared" si="414"/>
        <v>155.67088607594937</v>
      </c>
      <c r="H226" s="308">
        <f t="shared" si="414"/>
        <v>147.12307692307692</v>
      </c>
      <c r="I226" s="309">
        <f t="shared" si="414"/>
        <v>164.34426229508196</v>
      </c>
      <c r="J226" s="310">
        <f t="shared" si="414"/>
        <v>145</v>
      </c>
      <c r="K226" s="310">
        <f t="shared" si="414"/>
        <v>0</v>
      </c>
      <c r="L226" s="310">
        <f t="shared" si="414"/>
        <v>0</v>
      </c>
      <c r="M226" s="311">
        <f t="shared" si="414"/>
        <v>134</v>
      </c>
      <c r="N226" s="308">
        <f t="shared" si="414"/>
        <v>146.73116089613035</v>
      </c>
      <c r="O226" s="309">
        <f t="shared" si="414"/>
        <v>148.18093385214007</v>
      </c>
      <c r="P226" s="310">
        <f t="shared" si="414"/>
        <v>144.77631578947367</v>
      </c>
      <c r="Q226" s="310">
        <f t="shared" si="414"/>
        <v>144.30379746835442</v>
      </c>
      <c r="R226" s="310">
        <f t="shared" si="414"/>
        <v>167.5</v>
      </c>
      <c r="S226" s="311">
        <f t="shared" si="414"/>
        <v>168</v>
      </c>
      <c r="T226" s="308">
        <f t="shared" si="414"/>
        <v>148.42880128720836</v>
      </c>
      <c r="U226" s="309">
        <f t="shared" si="414"/>
        <v>194.09951048951046</v>
      </c>
      <c r="V226" s="310">
        <f t="shared" si="414"/>
        <v>139.09170471841702</v>
      </c>
      <c r="W226" s="310">
        <f t="shared" si="414"/>
        <v>152.03786353944565</v>
      </c>
      <c r="X226" s="310">
        <f t="shared" si="414"/>
        <v>151.75757575757575</v>
      </c>
      <c r="Y226" s="312">
        <f t="shared" si="414"/>
        <v>133.46638655462183</v>
      </c>
      <c r="Z226" s="526"/>
      <c r="AA226" s="291"/>
      <c r="AB226" s="303"/>
      <c r="AC226" s="313"/>
      <c r="AD226" s="314" t="s">
        <v>30</v>
      </c>
      <c r="AE226" s="308">
        <f t="shared" ref="AE226:AQ226" si="525">IFERROR(AE225/AE224,0)</f>
        <v>168.55299031476997</v>
      </c>
      <c r="AF226" s="309">
        <f t="shared" si="525"/>
        <v>173.38461538461539</v>
      </c>
      <c r="AG226" s="310">
        <f t="shared" si="525"/>
        <v>0</v>
      </c>
      <c r="AH226" s="310">
        <f t="shared" si="525"/>
        <v>183</v>
      </c>
      <c r="AI226" s="310">
        <f t="shared" si="525"/>
        <v>145</v>
      </c>
      <c r="AJ226" s="310">
        <f t="shared" si="525"/>
        <v>0</v>
      </c>
      <c r="AK226" s="310">
        <f t="shared" si="525"/>
        <v>163.52884615384616</v>
      </c>
      <c r="AL226" s="310">
        <f t="shared" si="525"/>
        <v>180</v>
      </c>
      <c r="AM226" s="310">
        <f t="shared" si="525"/>
        <v>195.61538461538461</v>
      </c>
      <c r="AN226" s="310">
        <f t="shared" si="525"/>
        <v>143.11688311688312</v>
      </c>
      <c r="AO226" s="310">
        <f t="shared" si="525"/>
        <v>169.79260089686099</v>
      </c>
      <c r="AP226" s="310">
        <f t="shared" si="525"/>
        <v>172.64123711340207</v>
      </c>
      <c r="AQ226" s="312">
        <f t="shared" si="525"/>
        <v>163.55110714285715</v>
      </c>
    </row>
    <row r="227" spans="1:43" ht="7.8" customHeight="1" x14ac:dyDescent="0.25">
      <c r="B227" s="282"/>
      <c r="C227" s="295"/>
      <c r="D227" s="315" t="s">
        <v>41</v>
      </c>
      <c r="E227" s="316" t="s">
        <v>32</v>
      </c>
      <c r="F227" s="317">
        <f t="shared" ref="F227:F228" si="526">SUM(G227,H227,N227,T227)</f>
        <v>7377</v>
      </c>
      <c r="G227" s="317">
        <f t="shared" ref="G227:G282" si="527">SUM(G245,G263)</f>
        <v>902</v>
      </c>
      <c r="H227" s="317">
        <f t="shared" ref="H227:H228" si="528">SUM(I227:M227)</f>
        <v>721</v>
      </c>
      <c r="I227" s="318">
        <f t="shared" ref="I227:M228" si="529">SUM(I245,I263)</f>
        <v>526</v>
      </c>
      <c r="J227" s="319">
        <f t="shared" si="529"/>
        <v>15</v>
      </c>
      <c r="K227" s="319">
        <f t="shared" si="529"/>
        <v>103</v>
      </c>
      <c r="L227" s="319">
        <f t="shared" si="529"/>
        <v>0</v>
      </c>
      <c r="M227" s="320">
        <f t="shared" si="529"/>
        <v>77</v>
      </c>
      <c r="N227" s="317">
        <f t="shared" ref="N227:N228" si="530">SUM(O227:S227)</f>
        <v>1028</v>
      </c>
      <c r="O227" s="318">
        <f t="shared" ref="O227:S228" si="531">SUM(O245,O263)</f>
        <v>660</v>
      </c>
      <c r="P227" s="319">
        <f t="shared" si="531"/>
        <v>175</v>
      </c>
      <c r="Q227" s="319">
        <f t="shared" si="531"/>
        <v>184</v>
      </c>
      <c r="R227" s="319">
        <f t="shared" si="531"/>
        <v>0</v>
      </c>
      <c r="S227" s="320">
        <f t="shared" si="531"/>
        <v>9</v>
      </c>
      <c r="T227" s="317">
        <f t="shared" ref="T227:T228" si="532">SUM(U227:Y227)</f>
        <v>4726</v>
      </c>
      <c r="U227" s="318">
        <f t="shared" ref="U227:Y228" si="533">SUM(U245,U263)</f>
        <v>307</v>
      </c>
      <c r="V227" s="319">
        <f t="shared" si="533"/>
        <v>1701</v>
      </c>
      <c r="W227" s="319">
        <f t="shared" si="533"/>
        <v>2385</v>
      </c>
      <c r="X227" s="319">
        <f t="shared" si="533"/>
        <v>230</v>
      </c>
      <c r="Y227" s="321">
        <f t="shared" si="533"/>
        <v>103</v>
      </c>
      <c r="AA227" s="291"/>
      <c r="AB227" s="303"/>
      <c r="AC227" s="322" t="s">
        <v>41</v>
      </c>
      <c r="AD227" s="323" t="s">
        <v>32</v>
      </c>
      <c r="AE227" s="317">
        <f t="shared" ref="AE227:AE228" si="534">SUM(AF227:AQ227)</f>
        <v>697</v>
      </c>
      <c r="AF227" s="318">
        <f t="shared" ref="AF227:AQ228" si="535">SUM(AF245,AF263)</f>
        <v>39</v>
      </c>
      <c r="AG227" s="319">
        <f t="shared" si="535"/>
        <v>21</v>
      </c>
      <c r="AH227" s="319">
        <f t="shared" si="535"/>
        <v>0</v>
      </c>
      <c r="AI227" s="319">
        <f t="shared" si="535"/>
        <v>15</v>
      </c>
      <c r="AJ227" s="319">
        <f t="shared" si="535"/>
        <v>12</v>
      </c>
      <c r="AK227" s="319">
        <f t="shared" si="535"/>
        <v>111</v>
      </c>
      <c r="AL227" s="319">
        <f t="shared" si="535"/>
        <v>158</v>
      </c>
      <c r="AM227" s="319">
        <f t="shared" si="535"/>
        <v>341</v>
      </c>
      <c r="AN227" s="319">
        <f t="shared" si="535"/>
        <v>0</v>
      </c>
      <c r="AO227" s="319">
        <f t="shared" si="535"/>
        <v>0</v>
      </c>
      <c r="AP227" s="319">
        <f t="shared" si="535"/>
        <v>0</v>
      </c>
      <c r="AQ227" s="321">
        <f t="shared" si="535"/>
        <v>0</v>
      </c>
    </row>
    <row r="228" spans="1:43" s="41" customFormat="1" ht="7.8" customHeight="1" x14ac:dyDescent="0.25">
      <c r="B228" s="282"/>
      <c r="C228" s="295"/>
      <c r="D228" s="296"/>
      <c r="E228" s="297" t="s">
        <v>33</v>
      </c>
      <c r="F228" s="298">
        <f t="shared" si="526"/>
        <v>1140800.3</v>
      </c>
      <c r="G228" s="298">
        <f t="shared" si="527"/>
        <v>140712</v>
      </c>
      <c r="H228" s="298">
        <f t="shared" si="528"/>
        <v>104616</v>
      </c>
      <c r="I228" s="299">
        <f t="shared" si="529"/>
        <v>75010</v>
      </c>
      <c r="J228" s="300">
        <f t="shared" si="529"/>
        <v>2250</v>
      </c>
      <c r="K228" s="300">
        <f t="shared" si="529"/>
        <v>15299</v>
      </c>
      <c r="L228" s="300">
        <f t="shared" si="529"/>
        <v>0</v>
      </c>
      <c r="M228" s="301">
        <f t="shared" si="529"/>
        <v>12057</v>
      </c>
      <c r="N228" s="298">
        <f t="shared" si="530"/>
        <v>154204</v>
      </c>
      <c r="O228" s="299">
        <f t="shared" si="531"/>
        <v>100394</v>
      </c>
      <c r="P228" s="300">
        <f t="shared" si="531"/>
        <v>25435</v>
      </c>
      <c r="Q228" s="300">
        <f t="shared" si="531"/>
        <v>27085</v>
      </c>
      <c r="R228" s="300">
        <f t="shared" si="531"/>
        <v>0</v>
      </c>
      <c r="S228" s="301">
        <f t="shared" si="531"/>
        <v>1290</v>
      </c>
      <c r="T228" s="298">
        <f t="shared" si="532"/>
        <v>741268.3</v>
      </c>
      <c r="U228" s="299">
        <f t="shared" si="533"/>
        <v>63438.270000000004</v>
      </c>
      <c r="V228" s="300">
        <f t="shared" si="533"/>
        <v>270249.09000000003</v>
      </c>
      <c r="W228" s="300">
        <f t="shared" si="533"/>
        <v>357400.8</v>
      </c>
      <c r="X228" s="300">
        <f t="shared" si="533"/>
        <v>35173</v>
      </c>
      <c r="Y228" s="302">
        <f t="shared" si="533"/>
        <v>15007.14</v>
      </c>
      <c r="AA228" s="291"/>
      <c r="AB228" s="303"/>
      <c r="AC228" s="304"/>
      <c r="AD228" s="305" t="s">
        <v>33</v>
      </c>
      <c r="AE228" s="298">
        <f t="shared" si="534"/>
        <v>126201</v>
      </c>
      <c r="AF228" s="299">
        <f t="shared" si="535"/>
        <v>7551</v>
      </c>
      <c r="AG228" s="300">
        <f t="shared" si="535"/>
        <v>4230</v>
      </c>
      <c r="AH228" s="300">
        <f t="shared" si="535"/>
        <v>0</v>
      </c>
      <c r="AI228" s="300">
        <f t="shared" si="535"/>
        <v>2250</v>
      </c>
      <c r="AJ228" s="300">
        <f t="shared" si="535"/>
        <v>1860</v>
      </c>
      <c r="AK228" s="300">
        <f t="shared" si="535"/>
        <v>17955</v>
      </c>
      <c r="AL228" s="300">
        <f t="shared" si="535"/>
        <v>28025</v>
      </c>
      <c r="AM228" s="300">
        <f t="shared" si="535"/>
        <v>64330</v>
      </c>
      <c r="AN228" s="300">
        <f t="shared" si="535"/>
        <v>0</v>
      </c>
      <c r="AO228" s="300">
        <f t="shared" si="535"/>
        <v>0</v>
      </c>
      <c r="AP228" s="300">
        <f t="shared" si="535"/>
        <v>0</v>
      </c>
      <c r="AQ228" s="302">
        <f t="shared" si="535"/>
        <v>0</v>
      </c>
    </row>
    <row r="229" spans="1:43" ht="7.8" customHeight="1" x14ac:dyDescent="0.25">
      <c r="B229" s="282"/>
      <c r="C229" s="295"/>
      <c r="D229" s="306"/>
      <c r="E229" s="307" t="s">
        <v>30</v>
      </c>
      <c r="F229" s="308">
        <f t="shared" si="425"/>
        <v>154.64284939677376</v>
      </c>
      <c r="G229" s="308">
        <f t="shared" si="425"/>
        <v>156</v>
      </c>
      <c r="H229" s="308">
        <f t="shared" si="425"/>
        <v>145.0984743411928</v>
      </c>
      <c r="I229" s="309">
        <f t="shared" si="425"/>
        <v>142.6045627376426</v>
      </c>
      <c r="J229" s="310">
        <f t="shared" si="425"/>
        <v>150</v>
      </c>
      <c r="K229" s="310">
        <f t="shared" si="425"/>
        <v>148.53398058252426</v>
      </c>
      <c r="L229" s="310">
        <f t="shared" si="425"/>
        <v>0</v>
      </c>
      <c r="M229" s="311">
        <f t="shared" si="425"/>
        <v>156.58441558441558</v>
      </c>
      <c r="N229" s="308">
        <f t="shared" si="425"/>
        <v>150.00389105058366</v>
      </c>
      <c r="O229" s="309">
        <f t="shared" si="425"/>
        <v>152.11212121212122</v>
      </c>
      <c r="P229" s="310">
        <f t="shared" si="425"/>
        <v>145.34285714285716</v>
      </c>
      <c r="Q229" s="310">
        <f t="shared" si="425"/>
        <v>147.20108695652175</v>
      </c>
      <c r="R229" s="310">
        <f t="shared" si="425"/>
        <v>0</v>
      </c>
      <c r="S229" s="311">
        <f t="shared" si="425"/>
        <v>143.33333333333334</v>
      </c>
      <c r="T229" s="308">
        <f t="shared" si="425"/>
        <v>156.84898434193823</v>
      </c>
      <c r="U229" s="309">
        <f t="shared" si="425"/>
        <v>206.63931596091206</v>
      </c>
      <c r="V229" s="310">
        <f t="shared" si="425"/>
        <v>158.87659611992947</v>
      </c>
      <c r="W229" s="310">
        <f t="shared" si="425"/>
        <v>149.85358490566037</v>
      </c>
      <c r="X229" s="310">
        <f t="shared" si="425"/>
        <v>152.92608695652174</v>
      </c>
      <c r="Y229" s="312">
        <f t="shared" si="425"/>
        <v>145.70038834951455</v>
      </c>
      <c r="AA229" s="291"/>
      <c r="AB229" s="303"/>
      <c r="AC229" s="313"/>
      <c r="AD229" s="314" t="s">
        <v>30</v>
      </c>
      <c r="AE229" s="308">
        <f t="shared" ref="AE229:AQ229" si="536">IFERROR(AE228/AE227,0)</f>
        <v>181.06312769010043</v>
      </c>
      <c r="AF229" s="309">
        <f t="shared" si="536"/>
        <v>193.61538461538461</v>
      </c>
      <c r="AG229" s="310">
        <f t="shared" si="536"/>
        <v>201.42857142857142</v>
      </c>
      <c r="AH229" s="310">
        <f t="shared" si="536"/>
        <v>0</v>
      </c>
      <c r="AI229" s="310">
        <f t="shared" si="536"/>
        <v>150</v>
      </c>
      <c r="AJ229" s="310">
        <f t="shared" si="536"/>
        <v>155</v>
      </c>
      <c r="AK229" s="310">
        <f t="shared" si="536"/>
        <v>161.75675675675674</v>
      </c>
      <c r="AL229" s="310">
        <f t="shared" si="536"/>
        <v>177.37341772151899</v>
      </c>
      <c r="AM229" s="310">
        <f t="shared" si="536"/>
        <v>188.65102639296188</v>
      </c>
      <c r="AN229" s="310">
        <f t="shared" si="536"/>
        <v>0</v>
      </c>
      <c r="AO229" s="310">
        <f t="shared" si="536"/>
        <v>0</v>
      </c>
      <c r="AP229" s="310">
        <f t="shared" si="536"/>
        <v>0</v>
      </c>
      <c r="AQ229" s="312">
        <f t="shared" si="536"/>
        <v>0</v>
      </c>
    </row>
    <row r="230" spans="1:43" ht="7.8" customHeight="1" x14ac:dyDescent="0.25">
      <c r="B230" s="282"/>
      <c r="C230" s="295"/>
      <c r="D230" s="324" t="s">
        <v>42</v>
      </c>
      <c r="E230" s="325" t="s">
        <v>32</v>
      </c>
      <c r="F230" s="326">
        <f t="shared" ref="F230:F231" si="537">SUM(G230,H230,N230,T230)</f>
        <v>7386</v>
      </c>
      <c r="G230" s="326">
        <f t="shared" ref="G230:G285" si="538">SUM(G248,G266)</f>
        <v>0</v>
      </c>
      <c r="H230" s="326">
        <f t="shared" ref="H230:H231" si="539">SUM(I230:M230)</f>
        <v>540</v>
      </c>
      <c r="I230" s="327">
        <f t="shared" ref="I230:M231" si="540">SUM(I248,I266)</f>
        <v>240</v>
      </c>
      <c r="J230" s="328">
        <f t="shared" si="540"/>
        <v>140</v>
      </c>
      <c r="K230" s="328">
        <f t="shared" si="540"/>
        <v>90</v>
      </c>
      <c r="L230" s="328">
        <f t="shared" si="540"/>
        <v>0</v>
      </c>
      <c r="M230" s="329">
        <f t="shared" si="540"/>
        <v>70</v>
      </c>
      <c r="N230" s="326">
        <f t="shared" ref="N230:N231" si="541">SUM(O230:S230)</f>
        <v>1190</v>
      </c>
      <c r="O230" s="327">
        <f t="shared" ref="O230:S231" si="542">SUM(O248,O266)</f>
        <v>750</v>
      </c>
      <c r="P230" s="328">
        <f t="shared" si="542"/>
        <v>350</v>
      </c>
      <c r="Q230" s="328">
        <f t="shared" si="542"/>
        <v>90</v>
      </c>
      <c r="R230" s="328">
        <f t="shared" si="542"/>
        <v>0</v>
      </c>
      <c r="S230" s="329">
        <f t="shared" si="542"/>
        <v>0</v>
      </c>
      <c r="T230" s="326">
        <f t="shared" ref="T230:T231" si="543">SUM(U230:Y230)</f>
        <v>5656</v>
      </c>
      <c r="U230" s="327">
        <f t="shared" ref="U230:Y231" si="544">SUM(U248,U266)</f>
        <v>450</v>
      </c>
      <c r="V230" s="328">
        <f t="shared" si="544"/>
        <v>2628</v>
      </c>
      <c r="W230" s="328">
        <f t="shared" si="544"/>
        <v>2128</v>
      </c>
      <c r="X230" s="328">
        <f t="shared" si="544"/>
        <v>100</v>
      </c>
      <c r="Y230" s="330">
        <f t="shared" si="544"/>
        <v>350</v>
      </c>
      <c r="AA230" s="291"/>
      <c r="AB230" s="303"/>
      <c r="AC230" s="331" t="s">
        <v>42</v>
      </c>
      <c r="AD230" s="332" t="s">
        <v>32</v>
      </c>
      <c r="AE230" s="333">
        <f t="shared" ref="AE230:AE231" si="545">SUM(AF230:AQ230)</f>
        <v>2665</v>
      </c>
      <c r="AF230" s="334">
        <f t="shared" ref="AF230:AQ231" si="546">SUM(AF248,AF266)</f>
        <v>70</v>
      </c>
      <c r="AG230" s="335">
        <f t="shared" si="546"/>
        <v>200</v>
      </c>
      <c r="AH230" s="335">
        <f t="shared" si="546"/>
        <v>250</v>
      </c>
      <c r="AI230" s="335">
        <f t="shared" si="546"/>
        <v>140</v>
      </c>
      <c r="AJ230" s="335">
        <f t="shared" si="546"/>
        <v>70</v>
      </c>
      <c r="AK230" s="335">
        <f t="shared" si="546"/>
        <v>150</v>
      </c>
      <c r="AL230" s="335">
        <f t="shared" si="546"/>
        <v>45</v>
      </c>
      <c r="AM230" s="335">
        <f t="shared" si="546"/>
        <v>170</v>
      </c>
      <c r="AN230" s="335">
        <f t="shared" si="546"/>
        <v>160</v>
      </c>
      <c r="AO230" s="335">
        <f t="shared" si="546"/>
        <v>450</v>
      </c>
      <c r="AP230" s="335">
        <f t="shared" si="546"/>
        <v>500</v>
      </c>
      <c r="AQ230" s="336">
        <f t="shared" si="546"/>
        <v>460</v>
      </c>
    </row>
    <row r="231" spans="1:43" s="41" customFormat="1" ht="7.8" customHeight="1" x14ac:dyDescent="0.25">
      <c r="B231" s="282"/>
      <c r="C231" s="295"/>
      <c r="D231" s="337"/>
      <c r="E231" s="338" t="s">
        <v>33</v>
      </c>
      <c r="F231" s="339">
        <f t="shared" si="537"/>
        <v>1127688</v>
      </c>
      <c r="G231" s="339">
        <f t="shared" si="538"/>
        <v>0</v>
      </c>
      <c r="H231" s="339">
        <f t="shared" si="539"/>
        <v>78210</v>
      </c>
      <c r="I231" s="340">
        <f t="shared" si="540"/>
        <v>34260</v>
      </c>
      <c r="J231" s="341">
        <f t="shared" si="540"/>
        <v>20300</v>
      </c>
      <c r="K231" s="341">
        <f t="shared" si="540"/>
        <v>13050</v>
      </c>
      <c r="L231" s="341">
        <f t="shared" si="540"/>
        <v>0</v>
      </c>
      <c r="M231" s="342">
        <f t="shared" si="540"/>
        <v>10600</v>
      </c>
      <c r="N231" s="339">
        <f t="shared" si="541"/>
        <v>175050</v>
      </c>
      <c r="O231" s="340">
        <f t="shared" si="542"/>
        <v>112500</v>
      </c>
      <c r="P231" s="341">
        <f t="shared" si="542"/>
        <v>49500</v>
      </c>
      <c r="Q231" s="341">
        <f t="shared" si="542"/>
        <v>13050</v>
      </c>
      <c r="R231" s="341">
        <f t="shared" si="542"/>
        <v>0</v>
      </c>
      <c r="S231" s="342">
        <f t="shared" si="542"/>
        <v>0</v>
      </c>
      <c r="T231" s="339">
        <f t="shared" si="543"/>
        <v>874428</v>
      </c>
      <c r="U231" s="340">
        <f t="shared" si="544"/>
        <v>78750</v>
      </c>
      <c r="V231" s="341">
        <f t="shared" si="544"/>
        <v>407340</v>
      </c>
      <c r="W231" s="341">
        <f t="shared" si="544"/>
        <v>310688</v>
      </c>
      <c r="X231" s="341">
        <f t="shared" si="544"/>
        <v>18500</v>
      </c>
      <c r="Y231" s="343">
        <f t="shared" si="544"/>
        <v>59150</v>
      </c>
      <c r="AA231" s="291"/>
      <c r="AB231" s="303"/>
      <c r="AC231" s="344"/>
      <c r="AD231" s="345" t="s">
        <v>33</v>
      </c>
      <c r="AE231" s="346">
        <f t="shared" si="545"/>
        <v>407475</v>
      </c>
      <c r="AF231" s="347">
        <f t="shared" si="546"/>
        <v>11900</v>
      </c>
      <c r="AG231" s="348">
        <f t="shared" si="546"/>
        <v>34000</v>
      </c>
      <c r="AH231" s="348">
        <f t="shared" si="546"/>
        <v>38750</v>
      </c>
      <c r="AI231" s="348">
        <f t="shared" si="546"/>
        <v>20300</v>
      </c>
      <c r="AJ231" s="348">
        <f t="shared" si="546"/>
        <v>10350</v>
      </c>
      <c r="AK231" s="348">
        <f t="shared" si="546"/>
        <v>24300</v>
      </c>
      <c r="AL231" s="348">
        <f t="shared" si="546"/>
        <v>7875</v>
      </c>
      <c r="AM231" s="348">
        <f t="shared" si="546"/>
        <v>28900</v>
      </c>
      <c r="AN231" s="348">
        <f t="shared" si="546"/>
        <v>23200</v>
      </c>
      <c r="AO231" s="348">
        <f t="shared" si="546"/>
        <v>65250</v>
      </c>
      <c r="AP231" s="348">
        <f t="shared" si="546"/>
        <v>77500</v>
      </c>
      <c r="AQ231" s="349">
        <f t="shared" si="546"/>
        <v>65150</v>
      </c>
    </row>
    <row r="232" spans="1:43" ht="7.8" customHeight="1" x14ac:dyDescent="0.25">
      <c r="B232" s="282"/>
      <c r="C232" s="295"/>
      <c r="D232" s="350"/>
      <c r="E232" s="351" t="s">
        <v>30</v>
      </c>
      <c r="F232" s="352">
        <f t="shared" si="436"/>
        <v>152.6791226645004</v>
      </c>
      <c r="G232" s="352">
        <f t="shared" si="436"/>
        <v>0</v>
      </c>
      <c r="H232" s="352">
        <f t="shared" si="436"/>
        <v>144.83333333333334</v>
      </c>
      <c r="I232" s="353">
        <f t="shared" si="436"/>
        <v>142.75</v>
      </c>
      <c r="J232" s="354">
        <f t="shared" si="436"/>
        <v>145</v>
      </c>
      <c r="K232" s="354">
        <f t="shared" si="436"/>
        <v>145</v>
      </c>
      <c r="L232" s="354">
        <f t="shared" si="436"/>
        <v>0</v>
      </c>
      <c r="M232" s="355">
        <f t="shared" si="436"/>
        <v>151.42857142857142</v>
      </c>
      <c r="N232" s="352">
        <f t="shared" si="436"/>
        <v>147.10084033613447</v>
      </c>
      <c r="O232" s="353">
        <f t="shared" si="436"/>
        <v>150</v>
      </c>
      <c r="P232" s="354">
        <f t="shared" si="436"/>
        <v>141.42857142857142</v>
      </c>
      <c r="Q232" s="354">
        <f t="shared" si="436"/>
        <v>145</v>
      </c>
      <c r="R232" s="354">
        <f t="shared" si="436"/>
        <v>0</v>
      </c>
      <c r="S232" s="355">
        <f t="shared" si="436"/>
        <v>0</v>
      </c>
      <c r="T232" s="352">
        <f t="shared" si="436"/>
        <v>154.6018387553041</v>
      </c>
      <c r="U232" s="353">
        <f t="shared" si="436"/>
        <v>175</v>
      </c>
      <c r="V232" s="354">
        <f t="shared" si="436"/>
        <v>155</v>
      </c>
      <c r="W232" s="354">
        <f t="shared" si="436"/>
        <v>146</v>
      </c>
      <c r="X232" s="354">
        <f t="shared" si="436"/>
        <v>185</v>
      </c>
      <c r="Y232" s="356">
        <f t="shared" si="436"/>
        <v>169</v>
      </c>
      <c r="AA232" s="291"/>
      <c r="AB232" s="303"/>
      <c r="AC232" s="357"/>
      <c r="AD232" s="358" t="s">
        <v>30</v>
      </c>
      <c r="AE232" s="359">
        <f t="shared" ref="AE232:AQ232" si="547">IFERROR(AE231/AE230,0)</f>
        <v>152.89868667917449</v>
      </c>
      <c r="AF232" s="360">
        <f t="shared" si="547"/>
        <v>170</v>
      </c>
      <c r="AG232" s="361">
        <f t="shared" si="547"/>
        <v>170</v>
      </c>
      <c r="AH232" s="361">
        <f t="shared" si="547"/>
        <v>155</v>
      </c>
      <c r="AI232" s="361">
        <f t="shared" si="547"/>
        <v>145</v>
      </c>
      <c r="AJ232" s="361">
        <f t="shared" si="547"/>
        <v>147.85714285714286</v>
      </c>
      <c r="AK232" s="361">
        <f t="shared" si="547"/>
        <v>162</v>
      </c>
      <c r="AL232" s="361">
        <f t="shared" si="547"/>
        <v>175</v>
      </c>
      <c r="AM232" s="361">
        <f t="shared" si="547"/>
        <v>170</v>
      </c>
      <c r="AN232" s="361">
        <f t="shared" si="547"/>
        <v>145</v>
      </c>
      <c r="AO232" s="361">
        <f t="shared" si="547"/>
        <v>145</v>
      </c>
      <c r="AP232" s="361">
        <f t="shared" si="547"/>
        <v>155</v>
      </c>
      <c r="AQ232" s="362">
        <f t="shared" si="547"/>
        <v>141.63043478260869</v>
      </c>
    </row>
    <row r="233" spans="1:43" ht="7.8" customHeight="1" x14ac:dyDescent="0.25">
      <c r="B233" s="282"/>
      <c r="C233" s="295"/>
      <c r="D233" s="363" t="s">
        <v>43</v>
      </c>
      <c r="E233" s="316" t="s">
        <v>32</v>
      </c>
      <c r="F233" s="317">
        <f t="shared" ref="F233:Y235" si="548">F230-F227</f>
        <v>9</v>
      </c>
      <c r="G233" s="317">
        <f t="shared" si="548"/>
        <v>-902</v>
      </c>
      <c r="H233" s="317">
        <f t="shared" si="548"/>
        <v>-181</v>
      </c>
      <c r="I233" s="318">
        <f t="shared" si="548"/>
        <v>-286</v>
      </c>
      <c r="J233" s="319">
        <f t="shared" si="548"/>
        <v>125</v>
      </c>
      <c r="K233" s="319">
        <f t="shared" si="548"/>
        <v>-13</v>
      </c>
      <c r="L233" s="319">
        <f t="shared" si="548"/>
        <v>0</v>
      </c>
      <c r="M233" s="320">
        <f t="shared" si="548"/>
        <v>-7</v>
      </c>
      <c r="N233" s="317">
        <f t="shared" si="548"/>
        <v>162</v>
      </c>
      <c r="O233" s="318">
        <f t="shared" si="548"/>
        <v>90</v>
      </c>
      <c r="P233" s="319">
        <f t="shared" si="548"/>
        <v>175</v>
      </c>
      <c r="Q233" s="319">
        <f t="shared" si="548"/>
        <v>-94</v>
      </c>
      <c r="R233" s="319">
        <f t="shared" si="548"/>
        <v>0</v>
      </c>
      <c r="S233" s="320">
        <f t="shared" si="548"/>
        <v>-9</v>
      </c>
      <c r="T233" s="317">
        <f t="shared" si="548"/>
        <v>930</v>
      </c>
      <c r="U233" s="318">
        <f t="shared" si="548"/>
        <v>143</v>
      </c>
      <c r="V233" s="319">
        <f t="shared" si="548"/>
        <v>927</v>
      </c>
      <c r="W233" s="319">
        <f t="shared" si="548"/>
        <v>-257</v>
      </c>
      <c r="X233" s="319">
        <f t="shared" si="548"/>
        <v>-130</v>
      </c>
      <c r="Y233" s="321">
        <f t="shared" si="548"/>
        <v>247</v>
      </c>
      <c r="AA233" s="291"/>
      <c r="AB233" s="303"/>
      <c r="AC233" s="364" t="s">
        <v>43</v>
      </c>
      <c r="AD233" s="323" t="s">
        <v>32</v>
      </c>
      <c r="AE233" s="317">
        <f t="shared" ref="AE233:AQ235" si="549">AE230-AE227</f>
        <v>1968</v>
      </c>
      <c r="AF233" s="318">
        <f t="shared" si="549"/>
        <v>31</v>
      </c>
      <c r="AG233" s="319">
        <f t="shared" si="549"/>
        <v>179</v>
      </c>
      <c r="AH233" s="319">
        <f t="shared" si="549"/>
        <v>250</v>
      </c>
      <c r="AI233" s="319">
        <f t="shared" si="549"/>
        <v>125</v>
      </c>
      <c r="AJ233" s="319">
        <f t="shared" si="549"/>
        <v>58</v>
      </c>
      <c r="AK233" s="319">
        <f t="shared" si="549"/>
        <v>39</v>
      </c>
      <c r="AL233" s="319">
        <f t="shared" si="549"/>
        <v>-113</v>
      </c>
      <c r="AM233" s="319">
        <f t="shared" si="549"/>
        <v>-171</v>
      </c>
      <c r="AN233" s="319">
        <f t="shared" si="549"/>
        <v>160</v>
      </c>
      <c r="AO233" s="319">
        <f t="shared" si="549"/>
        <v>450</v>
      </c>
      <c r="AP233" s="319">
        <f t="shared" si="549"/>
        <v>500</v>
      </c>
      <c r="AQ233" s="321">
        <f t="shared" si="549"/>
        <v>460</v>
      </c>
    </row>
    <row r="234" spans="1:43" s="366" customFormat="1" ht="7.8" customHeight="1" x14ac:dyDescent="0.25">
      <c r="B234" s="282"/>
      <c r="C234" s="295"/>
      <c r="D234" s="296"/>
      <c r="E234" s="365" t="s">
        <v>33</v>
      </c>
      <c r="F234" s="298">
        <f t="shared" si="548"/>
        <v>-13112.300000000047</v>
      </c>
      <c r="G234" s="298">
        <f t="shared" si="548"/>
        <v>-140712</v>
      </c>
      <c r="H234" s="298">
        <f t="shared" si="548"/>
        <v>-26406</v>
      </c>
      <c r="I234" s="299">
        <f t="shared" si="548"/>
        <v>-40750</v>
      </c>
      <c r="J234" s="300">
        <f t="shared" si="548"/>
        <v>18050</v>
      </c>
      <c r="K234" s="300">
        <f t="shared" si="548"/>
        <v>-2249</v>
      </c>
      <c r="L234" s="300">
        <f t="shared" si="548"/>
        <v>0</v>
      </c>
      <c r="M234" s="301">
        <f t="shared" si="548"/>
        <v>-1457</v>
      </c>
      <c r="N234" s="298">
        <f t="shared" si="548"/>
        <v>20846</v>
      </c>
      <c r="O234" s="299">
        <f t="shared" si="548"/>
        <v>12106</v>
      </c>
      <c r="P234" s="300">
        <f t="shared" si="548"/>
        <v>24065</v>
      </c>
      <c r="Q234" s="300">
        <f t="shared" si="548"/>
        <v>-14035</v>
      </c>
      <c r="R234" s="300">
        <f t="shared" si="548"/>
        <v>0</v>
      </c>
      <c r="S234" s="301">
        <f t="shared" si="548"/>
        <v>-1290</v>
      </c>
      <c r="T234" s="298">
        <f t="shared" si="548"/>
        <v>133159.69999999995</v>
      </c>
      <c r="U234" s="299">
        <f t="shared" si="548"/>
        <v>15311.729999999996</v>
      </c>
      <c r="V234" s="300">
        <f t="shared" si="548"/>
        <v>137090.90999999997</v>
      </c>
      <c r="W234" s="300">
        <f t="shared" si="548"/>
        <v>-46712.799999999988</v>
      </c>
      <c r="X234" s="300">
        <f t="shared" si="548"/>
        <v>-16673</v>
      </c>
      <c r="Y234" s="302">
        <f t="shared" si="548"/>
        <v>44142.86</v>
      </c>
      <c r="AA234" s="291"/>
      <c r="AB234" s="303"/>
      <c r="AC234" s="367"/>
      <c r="AD234" s="368" t="s">
        <v>33</v>
      </c>
      <c r="AE234" s="298">
        <f t="shared" si="549"/>
        <v>281274</v>
      </c>
      <c r="AF234" s="299">
        <f t="shared" si="549"/>
        <v>4349</v>
      </c>
      <c r="AG234" s="300">
        <f t="shared" si="549"/>
        <v>29770</v>
      </c>
      <c r="AH234" s="300">
        <f t="shared" si="549"/>
        <v>38750</v>
      </c>
      <c r="AI234" s="300">
        <f t="shared" si="549"/>
        <v>18050</v>
      </c>
      <c r="AJ234" s="300">
        <f t="shared" si="549"/>
        <v>8490</v>
      </c>
      <c r="AK234" s="300">
        <f t="shared" si="549"/>
        <v>6345</v>
      </c>
      <c r="AL234" s="300">
        <f t="shared" si="549"/>
        <v>-20150</v>
      </c>
      <c r="AM234" s="300">
        <f t="shared" si="549"/>
        <v>-35430</v>
      </c>
      <c r="AN234" s="300">
        <f t="shared" si="549"/>
        <v>23200</v>
      </c>
      <c r="AO234" s="300">
        <f t="shared" si="549"/>
        <v>65250</v>
      </c>
      <c r="AP234" s="300">
        <f t="shared" si="549"/>
        <v>77500</v>
      </c>
      <c r="AQ234" s="302">
        <f t="shared" si="549"/>
        <v>65150</v>
      </c>
    </row>
    <row r="235" spans="1:43" ht="7.8" customHeight="1" x14ac:dyDescent="0.25">
      <c r="B235" s="282"/>
      <c r="C235" s="295"/>
      <c r="D235" s="306"/>
      <c r="E235" s="307" t="s">
        <v>30</v>
      </c>
      <c r="F235" s="308">
        <f t="shared" si="548"/>
        <v>-1.9637267322733578</v>
      </c>
      <c r="G235" s="308">
        <f t="shared" si="548"/>
        <v>-156</v>
      </c>
      <c r="H235" s="308">
        <f t="shared" si="548"/>
        <v>-0.26514100785945516</v>
      </c>
      <c r="I235" s="309">
        <f t="shared" si="548"/>
        <v>0.14543726235740451</v>
      </c>
      <c r="J235" s="310">
        <f t="shared" si="548"/>
        <v>-5</v>
      </c>
      <c r="K235" s="310">
        <f t="shared" si="548"/>
        <v>-3.5339805825242649</v>
      </c>
      <c r="L235" s="310">
        <f t="shared" si="548"/>
        <v>0</v>
      </c>
      <c r="M235" s="311">
        <f t="shared" si="548"/>
        <v>-5.1558441558441643</v>
      </c>
      <c r="N235" s="308">
        <f t="shared" si="548"/>
        <v>-2.9030507144491935</v>
      </c>
      <c r="O235" s="309">
        <f t="shared" si="548"/>
        <v>-2.1121212121212238</v>
      </c>
      <c r="P235" s="310">
        <f t="shared" si="548"/>
        <v>-3.9142857142857395</v>
      </c>
      <c r="Q235" s="310">
        <f t="shared" si="548"/>
        <v>-2.201086956521749</v>
      </c>
      <c r="R235" s="310">
        <f t="shared" si="548"/>
        <v>0</v>
      </c>
      <c r="S235" s="311">
        <f t="shared" si="548"/>
        <v>-143.33333333333334</v>
      </c>
      <c r="T235" s="308">
        <f t="shared" si="548"/>
        <v>-2.247145586634133</v>
      </c>
      <c r="U235" s="309">
        <f t="shared" si="548"/>
        <v>-31.639315960912057</v>
      </c>
      <c r="V235" s="310">
        <f t="shared" si="548"/>
        <v>-3.8765961199294736</v>
      </c>
      <c r="W235" s="310">
        <f t="shared" si="548"/>
        <v>-3.8535849056603695</v>
      </c>
      <c r="X235" s="310">
        <f t="shared" si="548"/>
        <v>32.073913043478257</v>
      </c>
      <c r="Y235" s="312">
        <f t="shared" si="548"/>
        <v>23.299611650485446</v>
      </c>
      <c r="AA235" s="291"/>
      <c r="AB235" s="303"/>
      <c r="AC235" s="369"/>
      <c r="AD235" s="314" t="s">
        <v>30</v>
      </c>
      <c r="AE235" s="308">
        <f t="shared" si="549"/>
        <v>-28.164441010925941</v>
      </c>
      <c r="AF235" s="309">
        <f t="shared" si="549"/>
        <v>-23.615384615384613</v>
      </c>
      <c r="AG235" s="310">
        <f t="shared" si="549"/>
        <v>-31.428571428571416</v>
      </c>
      <c r="AH235" s="310">
        <f t="shared" si="549"/>
        <v>155</v>
      </c>
      <c r="AI235" s="310">
        <f t="shared" si="549"/>
        <v>-5</v>
      </c>
      <c r="AJ235" s="310">
        <f t="shared" si="549"/>
        <v>-7.1428571428571388</v>
      </c>
      <c r="AK235" s="310">
        <f t="shared" si="549"/>
        <v>0.2432432432432563</v>
      </c>
      <c r="AL235" s="310">
        <f t="shared" si="549"/>
        <v>-2.3734177215189902</v>
      </c>
      <c r="AM235" s="310">
        <f t="shared" si="549"/>
        <v>-18.651026392961882</v>
      </c>
      <c r="AN235" s="310">
        <f t="shared" si="549"/>
        <v>145</v>
      </c>
      <c r="AO235" s="310">
        <f t="shared" si="549"/>
        <v>145</v>
      </c>
      <c r="AP235" s="310">
        <f t="shared" si="549"/>
        <v>155</v>
      </c>
      <c r="AQ235" s="312">
        <f t="shared" si="549"/>
        <v>141.63043478260869</v>
      </c>
    </row>
    <row r="236" spans="1:43" ht="7.8" customHeight="1" x14ac:dyDescent="0.25">
      <c r="B236" s="282"/>
      <c r="C236" s="295"/>
      <c r="D236" s="363" t="s">
        <v>44</v>
      </c>
      <c r="E236" s="316" t="s">
        <v>32</v>
      </c>
      <c r="F236" s="370">
        <f t="shared" ref="F236:Y238" si="550">IFERROR((F230-F227)/ABS(F227),"")</f>
        <v>1.2200081333875558E-3</v>
      </c>
      <c r="G236" s="370">
        <f t="shared" si="550"/>
        <v>-1</v>
      </c>
      <c r="H236" s="370">
        <f t="shared" si="550"/>
        <v>-0.25104022191400832</v>
      </c>
      <c r="I236" s="371">
        <f t="shared" si="550"/>
        <v>-0.54372623574144485</v>
      </c>
      <c r="J236" s="372">
        <f t="shared" si="550"/>
        <v>8.3333333333333339</v>
      </c>
      <c r="K236" s="372">
        <f t="shared" si="550"/>
        <v>-0.12621359223300971</v>
      </c>
      <c r="L236" s="372" t="str">
        <f t="shared" si="550"/>
        <v/>
      </c>
      <c r="M236" s="373">
        <f t="shared" si="550"/>
        <v>-9.0909090909090912E-2</v>
      </c>
      <c r="N236" s="370">
        <f t="shared" si="550"/>
        <v>0.15758754863813229</v>
      </c>
      <c r="O236" s="371">
        <f t="shared" si="550"/>
        <v>0.13636363636363635</v>
      </c>
      <c r="P236" s="372">
        <f t="shared" si="550"/>
        <v>1</v>
      </c>
      <c r="Q236" s="372">
        <f t="shared" si="550"/>
        <v>-0.51086956521739135</v>
      </c>
      <c r="R236" s="372" t="str">
        <f t="shared" si="550"/>
        <v/>
      </c>
      <c r="S236" s="373">
        <f t="shared" si="550"/>
        <v>-1</v>
      </c>
      <c r="T236" s="370">
        <f t="shared" si="550"/>
        <v>0.19678374947101143</v>
      </c>
      <c r="U236" s="371">
        <f t="shared" si="550"/>
        <v>0.46579804560260585</v>
      </c>
      <c r="V236" s="372">
        <f t="shared" si="550"/>
        <v>0.544973544973545</v>
      </c>
      <c r="W236" s="372">
        <f t="shared" si="550"/>
        <v>-0.10775681341719077</v>
      </c>
      <c r="X236" s="372">
        <f t="shared" si="550"/>
        <v>-0.56521739130434778</v>
      </c>
      <c r="Y236" s="374">
        <f t="shared" si="550"/>
        <v>2.3980582524271843</v>
      </c>
      <c r="AA236" s="291"/>
      <c r="AB236" s="303"/>
      <c r="AC236" s="364" t="s">
        <v>44</v>
      </c>
      <c r="AD236" s="323" t="s">
        <v>32</v>
      </c>
      <c r="AE236" s="370">
        <f t="shared" ref="AE236:AQ238" si="551">IFERROR((AE230-AE227)/ABS(AE227),"")</f>
        <v>2.8235294117647061</v>
      </c>
      <c r="AF236" s="371">
        <f t="shared" si="551"/>
        <v>0.79487179487179482</v>
      </c>
      <c r="AG236" s="372">
        <f t="shared" si="551"/>
        <v>8.5238095238095237</v>
      </c>
      <c r="AH236" s="372" t="str">
        <f t="shared" si="551"/>
        <v/>
      </c>
      <c r="AI236" s="372">
        <f t="shared" si="551"/>
        <v>8.3333333333333339</v>
      </c>
      <c r="AJ236" s="372">
        <f t="shared" si="551"/>
        <v>4.833333333333333</v>
      </c>
      <c r="AK236" s="372">
        <f t="shared" si="551"/>
        <v>0.35135135135135137</v>
      </c>
      <c r="AL236" s="372">
        <f t="shared" si="551"/>
        <v>-0.71518987341772156</v>
      </c>
      <c r="AM236" s="372">
        <f t="shared" si="551"/>
        <v>-0.50146627565982405</v>
      </c>
      <c r="AN236" s="372" t="str">
        <f t="shared" si="551"/>
        <v/>
      </c>
      <c r="AO236" s="372" t="str">
        <f t="shared" si="551"/>
        <v/>
      </c>
      <c r="AP236" s="372" t="str">
        <f t="shared" si="551"/>
        <v/>
      </c>
      <c r="AQ236" s="374" t="str">
        <f t="shared" si="551"/>
        <v/>
      </c>
    </row>
    <row r="237" spans="1:43" ht="7.8" customHeight="1" x14ac:dyDescent="0.25">
      <c r="B237" s="282"/>
      <c r="C237" s="295"/>
      <c r="D237" s="296"/>
      <c r="E237" s="375" t="s">
        <v>33</v>
      </c>
      <c r="F237" s="376">
        <f t="shared" si="550"/>
        <v>-1.1493948590301077E-2</v>
      </c>
      <c r="G237" s="376">
        <f t="shared" si="550"/>
        <v>-1</v>
      </c>
      <c r="H237" s="376">
        <f t="shared" si="550"/>
        <v>-0.25240880935994492</v>
      </c>
      <c r="I237" s="377">
        <f t="shared" si="550"/>
        <v>-0.54326089854686044</v>
      </c>
      <c r="J237" s="378">
        <f t="shared" si="550"/>
        <v>8.0222222222222221</v>
      </c>
      <c r="K237" s="378">
        <f t="shared" si="550"/>
        <v>-0.14700307209621544</v>
      </c>
      <c r="L237" s="378" t="str">
        <f t="shared" si="550"/>
        <v/>
      </c>
      <c r="M237" s="379">
        <f t="shared" si="550"/>
        <v>-0.12084266401260678</v>
      </c>
      <c r="N237" s="376">
        <f t="shared" si="550"/>
        <v>0.13518456071178439</v>
      </c>
      <c r="O237" s="377">
        <f t="shared" si="550"/>
        <v>0.12058489551168397</v>
      </c>
      <c r="P237" s="378">
        <f t="shared" si="550"/>
        <v>0.94613721250245719</v>
      </c>
      <c r="Q237" s="378">
        <f t="shared" si="550"/>
        <v>-0.51818349640022154</v>
      </c>
      <c r="R237" s="378" t="str">
        <f t="shared" si="550"/>
        <v/>
      </c>
      <c r="S237" s="379">
        <f t="shared" si="550"/>
        <v>-1</v>
      </c>
      <c r="T237" s="376">
        <f t="shared" si="550"/>
        <v>0.1796376561630923</v>
      </c>
      <c r="U237" s="377">
        <f t="shared" si="550"/>
        <v>0.24136424275126031</v>
      </c>
      <c r="V237" s="378">
        <f t="shared" si="550"/>
        <v>0.50727612070775141</v>
      </c>
      <c r="W237" s="378">
        <f t="shared" si="550"/>
        <v>-0.13070144219039237</v>
      </c>
      <c r="X237" s="378">
        <f t="shared" si="550"/>
        <v>-0.47402837403690329</v>
      </c>
      <c r="Y237" s="380">
        <f t="shared" si="550"/>
        <v>2.9414571997062735</v>
      </c>
      <c r="AA237" s="291"/>
      <c r="AB237" s="303"/>
      <c r="AC237" s="367"/>
      <c r="AD237" s="381" t="s">
        <v>33</v>
      </c>
      <c r="AE237" s="376">
        <f t="shared" si="551"/>
        <v>2.2287779019183684</v>
      </c>
      <c r="AF237" s="377">
        <f t="shared" si="551"/>
        <v>0.57595020527082508</v>
      </c>
      <c r="AG237" s="378">
        <f t="shared" si="551"/>
        <v>7.0378250591016549</v>
      </c>
      <c r="AH237" s="378" t="str">
        <f t="shared" si="551"/>
        <v/>
      </c>
      <c r="AI237" s="378">
        <f t="shared" si="551"/>
        <v>8.0222222222222221</v>
      </c>
      <c r="AJ237" s="378">
        <f t="shared" si="551"/>
        <v>4.564516129032258</v>
      </c>
      <c r="AK237" s="378">
        <f t="shared" si="551"/>
        <v>0.35338345864661652</v>
      </c>
      <c r="AL237" s="378">
        <f t="shared" si="551"/>
        <v>-0.71900089206066009</v>
      </c>
      <c r="AM237" s="378">
        <f t="shared" si="551"/>
        <v>-0.55075392507383802</v>
      </c>
      <c r="AN237" s="378" t="str">
        <f t="shared" si="551"/>
        <v/>
      </c>
      <c r="AO237" s="378" t="str">
        <f t="shared" si="551"/>
        <v/>
      </c>
      <c r="AP237" s="378" t="str">
        <f t="shared" si="551"/>
        <v/>
      </c>
      <c r="AQ237" s="380" t="str">
        <f t="shared" si="551"/>
        <v/>
      </c>
    </row>
    <row r="238" spans="1:43" ht="7.8" customHeight="1" x14ac:dyDescent="0.25">
      <c r="B238" s="282"/>
      <c r="C238" s="382"/>
      <c r="D238" s="383"/>
      <c r="E238" s="384" t="s">
        <v>30</v>
      </c>
      <c r="F238" s="385">
        <f t="shared" si="550"/>
        <v>-1.2698464493724766E-2</v>
      </c>
      <c r="G238" s="385">
        <f t="shared" si="550"/>
        <v>-1</v>
      </c>
      <c r="H238" s="385">
        <f t="shared" si="550"/>
        <v>-1.82731768244501E-3</v>
      </c>
      <c r="I238" s="386">
        <f t="shared" si="550"/>
        <v>1.0198640181308461E-3</v>
      </c>
      <c r="J238" s="387">
        <f t="shared" si="550"/>
        <v>-3.3333333333333333E-2</v>
      </c>
      <c r="K238" s="387">
        <f t="shared" si="550"/>
        <v>-2.37924047323354E-2</v>
      </c>
      <c r="L238" s="387" t="str">
        <f t="shared" si="550"/>
        <v/>
      </c>
      <c r="M238" s="388">
        <f t="shared" si="550"/>
        <v>-3.2926930413867517E-2</v>
      </c>
      <c r="N238" s="385">
        <f t="shared" si="550"/>
        <v>-1.9353169401920643E-2</v>
      </c>
      <c r="O238" s="386">
        <f t="shared" si="550"/>
        <v>-1.3885291949718187E-2</v>
      </c>
      <c r="P238" s="387">
        <f t="shared" si="550"/>
        <v>-2.693139374877155E-2</v>
      </c>
      <c r="Q238" s="387">
        <f t="shared" si="550"/>
        <v>-1.4952925973786295E-2</v>
      </c>
      <c r="R238" s="387" t="str">
        <f t="shared" si="550"/>
        <v/>
      </c>
      <c r="S238" s="388">
        <f t="shared" si="550"/>
        <v>-1</v>
      </c>
      <c r="T238" s="385">
        <f t="shared" si="550"/>
        <v>-1.4326809931617083E-2</v>
      </c>
      <c r="U238" s="386">
        <f t="shared" si="550"/>
        <v>-0.15311372772302903</v>
      </c>
      <c r="V238" s="387">
        <f t="shared" si="550"/>
        <v>-2.4400045158339049E-2</v>
      </c>
      <c r="W238" s="387">
        <f t="shared" si="550"/>
        <v>-2.5715667116581669E-2</v>
      </c>
      <c r="X238" s="387">
        <f t="shared" si="550"/>
        <v>0.20973473971512235</v>
      </c>
      <c r="Y238" s="389">
        <f t="shared" si="550"/>
        <v>0.15991454734213187</v>
      </c>
      <c r="AA238" s="291"/>
      <c r="AB238" s="390"/>
      <c r="AC238" s="391"/>
      <c r="AD238" s="392" t="s">
        <v>30</v>
      </c>
      <c r="AE238" s="385">
        <f t="shared" si="551"/>
        <v>-0.15555039488288827</v>
      </c>
      <c r="AF238" s="386">
        <f t="shared" si="551"/>
        <v>-0.12197059992054031</v>
      </c>
      <c r="AG238" s="387">
        <f t="shared" si="551"/>
        <v>-0.15602836879432619</v>
      </c>
      <c r="AH238" s="387" t="str">
        <f t="shared" si="551"/>
        <v/>
      </c>
      <c r="AI238" s="387">
        <f t="shared" si="551"/>
        <v>-3.3333333333333333E-2</v>
      </c>
      <c r="AJ238" s="387">
        <f t="shared" si="551"/>
        <v>-4.6082949308755734E-2</v>
      </c>
      <c r="AK238" s="387">
        <f t="shared" si="551"/>
        <v>1.5037593984963214E-3</v>
      </c>
      <c r="AL238" s="387">
        <f t="shared" si="551"/>
        <v>-1.3380909901873343E-2</v>
      </c>
      <c r="AM238" s="387">
        <f t="shared" si="551"/>
        <v>-9.8865226177522178E-2</v>
      </c>
      <c r="AN238" s="387" t="str">
        <f t="shared" si="551"/>
        <v/>
      </c>
      <c r="AO238" s="387" t="str">
        <f t="shared" si="551"/>
        <v/>
      </c>
      <c r="AP238" s="387" t="str">
        <f t="shared" si="551"/>
        <v/>
      </c>
      <c r="AQ238" s="389" t="str">
        <f t="shared" si="551"/>
        <v/>
      </c>
    </row>
    <row r="239" spans="1:43" ht="7.8" customHeight="1" x14ac:dyDescent="0.25">
      <c r="B239" s="282"/>
      <c r="C239" s="393" t="s">
        <v>48</v>
      </c>
      <c r="D239" s="394" t="s">
        <v>39</v>
      </c>
      <c r="E239" s="395" t="s">
        <v>32</v>
      </c>
      <c r="F239" s="396">
        <f t="shared" ref="F239:F240" si="552">SUM(G239,H239,N239,T239)</f>
        <v>0</v>
      </c>
      <c r="G239" s="396"/>
      <c r="H239" s="396">
        <f t="shared" ref="H239:H240" si="553">SUM(I239:M239)</f>
        <v>0</v>
      </c>
      <c r="I239" s="397"/>
      <c r="J239" s="398"/>
      <c r="K239" s="398"/>
      <c r="L239" s="398"/>
      <c r="M239" s="399"/>
      <c r="N239" s="396">
        <f t="shared" ref="N239:N240" si="554">SUM(O239:S239)</f>
        <v>0</v>
      </c>
      <c r="O239" s="397"/>
      <c r="P239" s="398"/>
      <c r="Q239" s="398"/>
      <c r="R239" s="398"/>
      <c r="S239" s="399"/>
      <c r="T239" s="396">
        <f t="shared" ref="T239:T240" si="555">SUM(U239:Y239)</f>
        <v>0</v>
      </c>
      <c r="U239" s="397"/>
      <c r="V239" s="398"/>
      <c r="W239" s="398"/>
      <c r="X239" s="398"/>
      <c r="Y239" s="400"/>
      <c r="AA239" s="291"/>
      <c r="AB239" s="401" t="s">
        <v>48</v>
      </c>
      <c r="AC239" s="402" t="s">
        <v>39</v>
      </c>
      <c r="AD239" s="403" t="s">
        <v>32</v>
      </c>
      <c r="AE239" s="396">
        <f t="shared" ref="AE239:AE240" si="556">SUM(AF239:AQ239)</f>
        <v>0</v>
      </c>
      <c r="AF239" s="397">
        <f>$J$77</f>
        <v>0</v>
      </c>
      <c r="AG239" s="398">
        <f>$J$131</f>
        <v>0</v>
      </c>
      <c r="AH239" s="398">
        <f>$J$185</f>
        <v>0</v>
      </c>
      <c r="AI239" s="398">
        <f>$J$239</f>
        <v>0</v>
      </c>
      <c r="AJ239" s="398">
        <f>$J$293</f>
        <v>0</v>
      </c>
      <c r="AK239" s="398">
        <f>$J$347</f>
        <v>0</v>
      </c>
      <c r="AL239" s="398">
        <f>$J$401</f>
        <v>0</v>
      </c>
      <c r="AM239" s="398">
        <f>$J$455</f>
        <v>0</v>
      </c>
      <c r="AN239" s="398">
        <f>$J$509</f>
        <v>0</v>
      </c>
      <c r="AO239" s="398">
        <f>$J$563</f>
        <v>0</v>
      </c>
      <c r="AP239" s="398">
        <f>$J$617</f>
        <v>0</v>
      </c>
      <c r="AQ239" s="400">
        <f>$J$671</f>
        <v>0</v>
      </c>
    </row>
    <row r="240" spans="1:43" s="41" customFormat="1" ht="7.8" customHeight="1" x14ac:dyDescent="0.25">
      <c r="B240" s="282"/>
      <c r="C240" s="404"/>
      <c r="D240" s="405"/>
      <c r="E240" s="406" t="s">
        <v>33</v>
      </c>
      <c r="F240" s="407">
        <f t="shared" si="552"/>
        <v>0</v>
      </c>
      <c r="G240" s="407"/>
      <c r="H240" s="407">
        <f t="shared" si="553"/>
        <v>0</v>
      </c>
      <c r="I240" s="408"/>
      <c r="J240" s="409"/>
      <c r="K240" s="409"/>
      <c r="L240" s="409"/>
      <c r="M240" s="410"/>
      <c r="N240" s="407">
        <f t="shared" si="554"/>
        <v>0</v>
      </c>
      <c r="O240" s="408"/>
      <c r="P240" s="409"/>
      <c r="Q240" s="409"/>
      <c r="R240" s="409"/>
      <c r="S240" s="410"/>
      <c r="T240" s="407">
        <f t="shared" si="555"/>
        <v>0</v>
      </c>
      <c r="U240" s="408"/>
      <c r="V240" s="409"/>
      <c r="W240" s="409"/>
      <c r="X240" s="409"/>
      <c r="Y240" s="411"/>
      <c r="AA240" s="291"/>
      <c r="AB240" s="412"/>
      <c r="AC240" s="413"/>
      <c r="AD240" s="414" t="s">
        <v>33</v>
      </c>
      <c r="AE240" s="407">
        <f t="shared" si="556"/>
        <v>0</v>
      </c>
      <c r="AF240" s="408">
        <f>$J$78</f>
        <v>0</v>
      </c>
      <c r="AG240" s="409">
        <f>$J$132</f>
        <v>0</v>
      </c>
      <c r="AH240" s="409">
        <f>$J$186</f>
        <v>0</v>
      </c>
      <c r="AI240" s="409">
        <f>$J$240</f>
        <v>0</v>
      </c>
      <c r="AJ240" s="409">
        <f>$J$294</f>
        <v>0</v>
      </c>
      <c r="AK240" s="409">
        <f>$J$348</f>
        <v>0</v>
      </c>
      <c r="AL240" s="409">
        <f>$J$402</f>
        <v>0</v>
      </c>
      <c r="AM240" s="409">
        <f>$J$456</f>
        <v>0</v>
      </c>
      <c r="AN240" s="409">
        <f>$J$510</f>
        <v>0</v>
      </c>
      <c r="AO240" s="409">
        <f>$J$564</f>
        <v>0</v>
      </c>
      <c r="AP240" s="409">
        <f>$J$618</f>
        <v>0</v>
      </c>
      <c r="AQ240" s="411">
        <f>$J$672</f>
        <v>0</v>
      </c>
    </row>
    <row r="241" spans="2:43" ht="7.8" customHeight="1" x14ac:dyDescent="0.25">
      <c r="B241" s="282"/>
      <c r="C241" s="404"/>
      <c r="D241" s="415"/>
      <c r="E241" s="416" t="s">
        <v>30</v>
      </c>
      <c r="F241" s="417">
        <f t="shared" si="447"/>
        <v>0</v>
      </c>
      <c r="G241" s="417">
        <f t="shared" si="447"/>
        <v>0</v>
      </c>
      <c r="H241" s="417">
        <f t="shared" si="447"/>
        <v>0</v>
      </c>
      <c r="I241" s="418">
        <f t="shared" si="447"/>
        <v>0</v>
      </c>
      <c r="J241" s="419">
        <f t="shared" si="447"/>
        <v>0</v>
      </c>
      <c r="K241" s="419">
        <f t="shared" si="447"/>
        <v>0</v>
      </c>
      <c r="L241" s="419">
        <f t="shared" si="447"/>
        <v>0</v>
      </c>
      <c r="M241" s="420">
        <f t="shared" si="447"/>
        <v>0</v>
      </c>
      <c r="N241" s="417">
        <f t="shared" si="447"/>
        <v>0</v>
      </c>
      <c r="O241" s="418">
        <f t="shared" si="447"/>
        <v>0</v>
      </c>
      <c r="P241" s="419">
        <f t="shared" si="447"/>
        <v>0</v>
      </c>
      <c r="Q241" s="419">
        <f t="shared" si="447"/>
        <v>0</v>
      </c>
      <c r="R241" s="419">
        <f t="shared" si="447"/>
        <v>0</v>
      </c>
      <c r="S241" s="420">
        <f t="shared" si="447"/>
        <v>0</v>
      </c>
      <c r="T241" s="417">
        <f t="shared" si="447"/>
        <v>0</v>
      </c>
      <c r="U241" s="418">
        <f t="shared" si="447"/>
        <v>0</v>
      </c>
      <c r="V241" s="419">
        <f t="shared" si="447"/>
        <v>0</v>
      </c>
      <c r="W241" s="419">
        <f t="shared" si="447"/>
        <v>0</v>
      </c>
      <c r="X241" s="419">
        <f t="shared" si="447"/>
        <v>0</v>
      </c>
      <c r="Y241" s="421">
        <f t="shared" si="447"/>
        <v>0</v>
      </c>
      <c r="AA241" s="291"/>
      <c r="AB241" s="412"/>
      <c r="AC241" s="422"/>
      <c r="AD241" s="423" t="s">
        <v>30</v>
      </c>
      <c r="AE241" s="417">
        <f t="shared" ref="AE241:AQ241" si="557">IFERROR(AE240/AE239,0)</f>
        <v>0</v>
      </c>
      <c r="AF241" s="418">
        <f t="shared" si="557"/>
        <v>0</v>
      </c>
      <c r="AG241" s="419">
        <f t="shared" si="557"/>
        <v>0</v>
      </c>
      <c r="AH241" s="419">
        <f t="shared" si="557"/>
        <v>0</v>
      </c>
      <c r="AI241" s="419">
        <f t="shared" si="557"/>
        <v>0</v>
      </c>
      <c r="AJ241" s="419">
        <f t="shared" si="557"/>
        <v>0</v>
      </c>
      <c r="AK241" s="419">
        <f t="shared" si="557"/>
        <v>0</v>
      </c>
      <c r="AL241" s="419">
        <f t="shared" si="557"/>
        <v>0</v>
      </c>
      <c r="AM241" s="419">
        <f t="shared" si="557"/>
        <v>0</v>
      </c>
      <c r="AN241" s="419">
        <f t="shared" si="557"/>
        <v>0</v>
      </c>
      <c r="AO241" s="419">
        <f t="shared" si="557"/>
        <v>0</v>
      </c>
      <c r="AP241" s="419">
        <f t="shared" si="557"/>
        <v>0</v>
      </c>
      <c r="AQ241" s="421">
        <f t="shared" si="557"/>
        <v>0</v>
      </c>
    </row>
    <row r="242" spans="2:43" ht="7.8" customHeight="1" x14ac:dyDescent="0.25">
      <c r="B242" s="282"/>
      <c r="C242" s="404"/>
      <c r="D242" s="424" t="s">
        <v>40</v>
      </c>
      <c r="E242" s="425" t="s">
        <v>32</v>
      </c>
      <c r="F242" s="426">
        <f t="shared" ref="F242:F243" si="558">SUM(G242,H242,N242,T242)</f>
        <v>5254</v>
      </c>
      <c r="G242" s="426">
        <v>696</v>
      </c>
      <c r="H242" s="426">
        <f t="shared" ref="H242:H243" si="559">SUM(I242:M242)</f>
        <v>269</v>
      </c>
      <c r="I242" s="427">
        <v>56</v>
      </c>
      <c r="J242" s="428">
        <v>198</v>
      </c>
      <c r="K242" s="428">
        <v>0</v>
      </c>
      <c r="L242" s="428">
        <v>0</v>
      </c>
      <c r="M242" s="429">
        <v>15</v>
      </c>
      <c r="N242" s="426">
        <f t="shared" ref="N242:N243" si="560">SUM(O242:S242)</f>
        <v>676</v>
      </c>
      <c r="O242" s="427">
        <v>357</v>
      </c>
      <c r="P242" s="428">
        <v>260</v>
      </c>
      <c r="Q242" s="428">
        <v>50</v>
      </c>
      <c r="R242" s="428">
        <v>4</v>
      </c>
      <c r="S242" s="429">
        <v>5</v>
      </c>
      <c r="T242" s="426">
        <f t="shared" ref="T242:T243" si="561">SUM(U242:Y242)</f>
        <v>3613</v>
      </c>
      <c r="U242" s="427">
        <v>201</v>
      </c>
      <c r="V242" s="428">
        <v>1474</v>
      </c>
      <c r="W242" s="428">
        <v>1680</v>
      </c>
      <c r="X242" s="428">
        <v>97</v>
      </c>
      <c r="Y242" s="430">
        <v>161</v>
      </c>
      <c r="AA242" s="291"/>
      <c r="AB242" s="412"/>
      <c r="AC242" s="431" t="s">
        <v>40</v>
      </c>
      <c r="AD242" s="432" t="s">
        <v>32</v>
      </c>
      <c r="AE242" s="426">
        <f t="shared" ref="AE242:AE243" si="562">SUM(AF242:AQ242)</f>
        <v>2057</v>
      </c>
      <c r="AF242" s="427">
        <f>$J$80</f>
        <v>39</v>
      </c>
      <c r="AG242" s="428">
        <f>$J$134</f>
        <v>0</v>
      </c>
      <c r="AH242" s="428">
        <f>$J$188</f>
        <v>12</v>
      </c>
      <c r="AI242" s="428">
        <f>$J$242</f>
        <v>198</v>
      </c>
      <c r="AJ242" s="428">
        <f>$J$296</f>
        <v>0</v>
      </c>
      <c r="AK242" s="428">
        <f>$J$350</f>
        <v>52</v>
      </c>
      <c r="AL242" s="428">
        <f>$J$404</f>
        <v>24</v>
      </c>
      <c r="AM242" s="428">
        <f>$J$458</f>
        <v>156</v>
      </c>
      <c r="AN242" s="428">
        <f>$J$512</f>
        <v>52</v>
      </c>
      <c r="AO242" s="428">
        <f>$J$566</f>
        <v>851</v>
      </c>
      <c r="AP242" s="428">
        <f>$J$620</f>
        <v>427</v>
      </c>
      <c r="AQ242" s="430">
        <f>$J$674</f>
        <v>246</v>
      </c>
    </row>
    <row r="243" spans="2:43" s="41" customFormat="1" ht="7.8" customHeight="1" x14ac:dyDescent="0.25">
      <c r="B243" s="282"/>
      <c r="C243" s="404"/>
      <c r="D243" s="405"/>
      <c r="E243" s="406" t="s">
        <v>33</v>
      </c>
      <c r="F243" s="407">
        <f t="shared" si="558"/>
        <v>768953.85</v>
      </c>
      <c r="G243" s="407">
        <v>108219</v>
      </c>
      <c r="H243" s="407">
        <f t="shared" si="559"/>
        <v>40000</v>
      </c>
      <c r="I243" s="408">
        <v>9280</v>
      </c>
      <c r="J243" s="409">
        <v>28710</v>
      </c>
      <c r="K243" s="409">
        <v>0</v>
      </c>
      <c r="L243" s="409">
        <v>0</v>
      </c>
      <c r="M243" s="410">
        <v>2010</v>
      </c>
      <c r="N243" s="407">
        <f t="shared" si="560"/>
        <v>99770</v>
      </c>
      <c r="O243" s="408">
        <v>53355</v>
      </c>
      <c r="P243" s="409">
        <v>37485</v>
      </c>
      <c r="Q243" s="409">
        <v>7420</v>
      </c>
      <c r="R243" s="409">
        <v>670</v>
      </c>
      <c r="S243" s="410">
        <v>840</v>
      </c>
      <c r="T243" s="407">
        <f t="shared" si="561"/>
        <v>520964.85</v>
      </c>
      <c r="U243" s="408">
        <v>38789.509999999995</v>
      </c>
      <c r="V243" s="409">
        <v>202386.43999999994</v>
      </c>
      <c r="W243" s="409">
        <v>243605.90000000002</v>
      </c>
      <c r="X243" s="409">
        <v>14798</v>
      </c>
      <c r="Y243" s="411">
        <v>21385</v>
      </c>
      <c r="AA243" s="291"/>
      <c r="AB243" s="412"/>
      <c r="AC243" s="413"/>
      <c r="AD243" s="414" t="s">
        <v>33</v>
      </c>
      <c r="AE243" s="407">
        <f t="shared" si="562"/>
        <v>347708.31</v>
      </c>
      <c r="AF243" s="408">
        <f>$J$81</f>
        <v>6762</v>
      </c>
      <c r="AG243" s="409">
        <f>$J$135</f>
        <v>0</v>
      </c>
      <c r="AH243" s="409">
        <f>$J$189</f>
        <v>2200</v>
      </c>
      <c r="AI243" s="409">
        <f>$J$243</f>
        <v>28710</v>
      </c>
      <c r="AJ243" s="409">
        <f>$J$297</f>
        <v>0</v>
      </c>
      <c r="AK243" s="409">
        <f>$J$351</f>
        <v>8529</v>
      </c>
      <c r="AL243" s="409">
        <f>$J$405</f>
        <v>4320</v>
      </c>
      <c r="AM243" s="409">
        <f>$J$459</f>
        <v>30540</v>
      </c>
      <c r="AN243" s="409">
        <f>$J$513</f>
        <v>7440</v>
      </c>
      <c r="AO243" s="409">
        <f>$J$567</f>
        <v>144912</v>
      </c>
      <c r="AP243" s="409">
        <f>$J$621</f>
        <v>74101</v>
      </c>
      <c r="AQ243" s="411">
        <f>$J$675</f>
        <v>40194.31</v>
      </c>
    </row>
    <row r="244" spans="2:43" ht="7.8" customHeight="1" x14ac:dyDescent="0.25">
      <c r="B244" s="282"/>
      <c r="C244" s="404"/>
      <c r="D244" s="415"/>
      <c r="E244" s="416" t="s">
        <v>30</v>
      </c>
      <c r="F244" s="417">
        <f t="shared" si="454"/>
        <v>146.35589074990483</v>
      </c>
      <c r="G244" s="417">
        <f t="shared" si="454"/>
        <v>155.48706896551724</v>
      </c>
      <c r="H244" s="417">
        <f t="shared" si="454"/>
        <v>148.6988847583643</v>
      </c>
      <c r="I244" s="418">
        <f t="shared" si="454"/>
        <v>165.71428571428572</v>
      </c>
      <c r="J244" s="419">
        <f t="shared" si="454"/>
        <v>145</v>
      </c>
      <c r="K244" s="419">
        <f t="shared" si="454"/>
        <v>0</v>
      </c>
      <c r="L244" s="419">
        <f t="shared" si="454"/>
        <v>0</v>
      </c>
      <c r="M244" s="420">
        <f t="shared" si="454"/>
        <v>134</v>
      </c>
      <c r="N244" s="417">
        <f t="shared" si="454"/>
        <v>147.58875739644969</v>
      </c>
      <c r="O244" s="418">
        <f t="shared" si="454"/>
        <v>149.45378151260505</v>
      </c>
      <c r="P244" s="419">
        <f t="shared" si="454"/>
        <v>144.17307692307693</v>
      </c>
      <c r="Q244" s="419">
        <f t="shared" si="454"/>
        <v>148.4</v>
      </c>
      <c r="R244" s="419">
        <f t="shared" si="454"/>
        <v>167.5</v>
      </c>
      <c r="S244" s="420">
        <f t="shared" si="454"/>
        <v>168</v>
      </c>
      <c r="T244" s="417">
        <f t="shared" si="454"/>
        <v>144.19176584555771</v>
      </c>
      <c r="U244" s="418">
        <f t="shared" si="454"/>
        <v>192.98263681592036</v>
      </c>
      <c r="V244" s="419">
        <f t="shared" si="454"/>
        <v>137.30423337856169</v>
      </c>
      <c r="W244" s="419">
        <f t="shared" si="454"/>
        <v>145.00351190476192</v>
      </c>
      <c r="X244" s="419">
        <f t="shared" si="454"/>
        <v>152.55670103092783</v>
      </c>
      <c r="Y244" s="421">
        <f t="shared" si="454"/>
        <v>132.82608695652175</v>
      </c>
      <c r="AA244" s="291"/>
      <c r="AB244" s="412"/>
      <c r="AC244" s="422"/>
      <c r="AD244" s="423" t="s">
        <v>30</v>
      </c>
      <c r="AE244" s="417">
        <f t="shared" ref="AE244:AQ244" si="563">IFERROR(AE243/AE242,0)</f>
        <v>169.03661157024794</v>
      </c>
      <c r="AF244" s="418">
        <f t="shared" si="563"/>
        <v>173.38461538461539</v>
      </c>
      <c r="AG244" s="419">
        <f t="shared" si="563"/>
        <v>0</v>
      </c>
      <c r="AH244" s="419">
        <f t="shared" si="563"/>
        <v>183.33333333333334</v>
      </c>
      <c r="AI244" s="419">
        <f t="shared" si="563"/>
        <v>145</v>
      </c>
      <c r="AJ244" s="419">
        <f t="shared" si="563"/>
        <v>0</v>
      </c>
      <c r="AK244" s="419">
        <f t="shared" si="563"/>
        <v>164.01923076923077</v>
      </c>
      <c r="AL244" s="419">
        <f t="shared" si="563"/>
        <v>180</v>
      </c>
      <c r="AM244" s="419">
        <f t="shared" si="563"/>
        <v>195.76923076923077</v>
      </c>
      <c r="AN244" s="419">
        <f t="shared" si="563"/>
        <v>143.07692307692307</v>
      </c>
      <c r="AO244" s="419">
        <f t="shared" si="563"/>
        <v>170.28437132784958</v>
      </c>
      <c r="AP244" s="419">
        <f t="shared" si="563"/>
        <v>173.53864168618267</v>
      </c>
      <c r="AQ244" s="421">
        <f t="shared" si="563"/>
        <v>163.39150406504064</v>
      </c>
    </row>
    <row r="245" spans="2:43" ht="7.8" customHeight="1" x14ac:dyDescent="0.25">
      <c r="B245" s="282"/>
      <c r="C245" s="404"/>
      <c r="D245" s="424" t="s">
        <v>41</v>
      </c>
      <c r="E245" s="425" t="s">
        <v>32</v>
      </c>
      <c r="F245" s="426">
        <f t="shared" ref="F245:F246" si="564">SUM(G245,H245,N245,T245)</f>
        <v>5365</v>
      </c>
      <c r="G245" s="426">
        <v>656</v>
      </c>
      <c r="H245" s="426">
        <f t="shared" ref="H245:H246" si="565">SUM(I245:M245)</f>
        <v>603</v>
      </c>
      <c r="I245" s="427">
        <v>495</v>
      </c>
      <c r="J245" s="428">
        <v>10</v>
      </c>
      <c r="K245" s="428">
        <v>59</v>
      </c>
      <c r="L245" s="428">
        <v>0</v>
      </c>
      <c r="M245" s="429">
        <v>39</v>
      </c>
      <c r="N245" s="426">
        <f t="shared" ref="N245:N246" si="566">SUM(O245:S245)</f>
        <v>733</v>
      </c>
      <c r="O245" s="427">
        <v>459</v>
      </c>
      <c r="P245" s="428">
        <v>129</v>
      </c>
      <c r="Q245" s="428">
        <v>139</v>
      </c>
      <c r="R245" s="428">
        <v>0</v>
      </c>
      <c r="S245" s="429">
        <v>6</v>
      </c>
      <c r="T245" s="426">
        <f t="shared" ref="T245:T246" si="567">SUM(U245:Y245)</f>
        <v>3373</v>
      </c>
      <c r="U245" s="427">
        <v>212</v>
      </c>
      <c r="V245" s="428">
        <v>1228</v>
      </c>
      <c r="W245" s="428">
        <v>1686</v>
      </c>
      <c r="X245" s="428">
        <v>164</v>
      </c>
      <c r="Y245" s="430">
        <v>83</v>
      </c>
      <c r="AA245" s="291"/>
      <c r="AB245" s="412"/>
      <c r="AC245" s="431" t="s">
        <v>41</v>
      </c>
      <c r="AD245" s="432" t="s">
        <v>32</v>
      </c>
      <c r="AE245" s="426">
        <f t="shared" ref="AE245:AE246" si="568">SUM(AF245:AQ245)</f>
        <v>464</v>
      </c>
      <c r="AF245" s="427">
        <f>$J$83</f>
        <v>39</v>
      </c>
      <c r="AG245" s="428">
        <f>$J$137</f>
        <v>21</v>
      </c>
      <c r="AH245" s="428">
        <f>$J$191</f>
        <v>0</v>
      </c>
      <c r="AI245" s="428">
        <f>$J$245</f>
        <v>10</v>
      </c>
      <c r="AJ245" s="428">
        <f>$J$299</f>
        <v>0</v>
      </c>
      <c r="AK245" s="428">
        <f>$J$353</f>
        <v>81</v>
      </c>
      <c r="AL245" s="428">
        <f>$J$407</f>
        <v>94</v>
      </c>
      <c r="AM245" s="428">
        <f>$J$461</f>
        <v>219</v>
      </c>
      <c r="AN245" s="428">
        <f>$J$515</f>
        <v>0</v>
      </c>
      <c r="AO245" s="428">
        <f>$J$569</f>
        <v>0</v>
      </c>
      <c r="AP245" s="428">
        <f>$J$623</f>
        <v>0</v>
      </c>
      <c r="AQ245" s="430">
        <f>$J$677</f>
        <v>0</v>
      </c>
    </row>
    <row r="246" spans="2:43" s="41" customFormat="1" ht="7.8" customHeight="1" x14ac:dyDescent="0.25">
      <c r="B246" s="282"/>
      <c r="C246" s="404"/>
      <c r="D246" s="405"/>
      <c r="E246" s="406" t="s">
        <v>33</v>
      </c>
      <c r="F246" s="407">
        <f t="shared" si="564"/>
        <v>815445.07000000007</v>
      </c>
      <c r="G246" s="407">
        <v>102276</v>
      </c>
      <c r="H246" s="407">
        <f t="shared" si="565"/>
        <v>86753</v>
      </c>
      <c r="I246" s="408">
        <v>70409</v>
      </c>
      <c r="J246" s="409">
        <v>1500</v>
      </c>
      <c r="K246" s="409">
        <v>8743</v>
      </c>
      <c r="L246" s="409">
        <v>0</v>
      </c>
      <c r="M246" s="410">
        <v>6101</v>
      </c>
      <c r="N246" s="407">
        <f t="shared" si="566"/>
        <v>109960</v>
      </c>
      <c r="O246" s="408">
        <v>70082</v>
      </c>
      <c r="P246" s="409">
        <v>18605</v>
      </c>
      <c r="Q246" s="409">
        <v>20415</v>
      </c>
      <c r="R246" s="409">
        <v>0</v>
      </c>
      <c r="S246" s="410">
        <v>858</v>
      </c>
      <c r="T246" s="407">
        <f t="shared" si="567"/>
        <v>516456.07000000007</v>
      </c>
      <c r="U246" s="408">
        <v>44020.070000000007</v>
      </c>
      <c r="V246" s="409">
        <v>191538.74000000002</v>
      </c>
      <c r="W246" s="409">
        <v>242576.22999999998</v>
      </c>
      <c r="X246" s="409">
        <v>25019</v>
      </c>
      <c r="Y246" s="411">
        <v>13302.029999999999</v>
      </c>
      <c r="AA246" s="291"/>
      <c r="AB246" s="412"/>
      <c r="AC246" s="413"/>
      <c r="AD246" s="414" t="s">
        <v>33</v>
      </c>
      <c r="AE246" s="407">
        <f t="shared" si="568"/>
        <v>85777</v>
      </c>
      <c r="AF246" s="408">
        <f>$J$84</f>
        <v>7551</v>
      </c>
      <c r="AG246" s="409">
        <f>$J$138</f>
        <v>4230</v>
      </c>
      <c r="AH246" s="409">
        <f>$J$192</f>
        <v>0</v>
      </c>
      <c r="AI246" s="409">
        <f>$J$246</f>
        <v>1500</v>
      </c>
      <c r="AJ246" s="409">
        <f>$J$300</f>
        <v>0</v>
      </c>
      <c r="AK246" s="409">
        <f>$J$354</f>
        <v>12975</v>
      </c>
      <c r="AL246" s="409">
        <f>$J$408</f>
        <v>16825</v>
      </c>
      <c r="AM246" s="409">
        <f>$J$462</f>
        <v>42696</v>
      </c>
      <c r="AN246" s="409">
        <f>$J$516</f>
        <v>0</v>
      </c>
      <c r="AO246" s="409">
        <f>$J$570</f>
        <v>0</v>
      </c>
      <c r="AP246" s="409">
        <f>$J$624</f>
        <v>0</v>
      </c>
      <c r="AQ246" s="411">
        <f>$J$678</f>
        <v>0</v>
      </c>
    </row>
    <row r="247" spans="2:43" ht="7.8" customHeight="1" x14ac:dyDescent="0.25">
      <c r="B247" s="282"/>
      <c r="C247" s="404"/>
      <c r="D247" s="415"/>
      <c r="E247" s="416" t="s">
        <v>30</v>
      </c>
      <c r="F247" s="417">
        <f t="shared" si="461"/>
        <v>151.99348928238584</v>
      </c>
      <c r="G247" s="417">
        <f t="shared" si="461"/>
        <v>155.90853658536585</v>
      </c>
      <c r="H247" s="417">
        <f t="shared" si="461"/>
        <v>143.86898839137646</v>
      </c>
      <c r="I247" s="418">
        <f t="shared" si="461"/>
        <v>142.24040404040403</v>
      </c>
      <c r="J247" s="419">
        <f t="shared" si="461"/>
        <v>150</v>
      </c>
      <c r="K247" s="419">
        <f t="shared" si="461"/>
        <v>148.18644067796609</v>
      </c>
      <c r="L247" s="419">
        <f t="shared" si="461"/>
        <v>0</v>
      </c>
      <c r="M247" s="420">
        <f t="shared" si="461"/>
        <v>156.43589743589743</v>
      </c>
      <c r="N247" s="417">
        <f t="shared" si="461"/>
        <v>150.01364256480218</v>
      </c>
      <c r="O247" s="418">
        <f t="shared" si="461"/>
        <v>152.68409586056646</v>
      </c>
      <c r="P247" s="419">
        <f t="shared" si="461"/>
        <v>144.22480620155039</v>
      </c>
      <c r="Q247" s="419">
        <f t="shared" si="461"/>
        <v>146.87050359712231</v>
      </c>
      <c r="R247" s="419">
        <f t="shared" si="461"/>
        <v>0</v>
      </c>
      <c r="S247" s="420">
        <f t="shared" si="461"/>
        <v>143</v>
      </c>
      <c r="T247" s="417">
        <f t="shared" si="461"/>
        <v>153.11475541061372</v>
      </c>
      <c r="U247" s="418">
        <f t="shared" si="461"/>
        <v>207.64183962264156</v>
      </c>
      <c r="V247" s="419">
        <f t="shared" si="461"/>
        <v>155.97617263843651</v>
      </c>
      <c r="W247" s="419">
        <f t="shared" si="461"/>
        <v>143.87676749703439</v>
      </c>
      <c r="X247" s="419">
        <f t="shared" si="461"/>
        <v>152.55487804878049</v>
      </c>
      <c r="Y247" s="421">
        <f t="shared" si="461"/>
        <v>160.26542168674698</v>
      </c>
      <c r="AA247" s="291"/>
      <c r="AB247" s="412"/>
      <c r="AC247" s="422"/>
      <c r="AD247" s="423" t="s">
        <v>30</v>
      </c>
      <c r="AE247" s="417">
        <f t="shared" ref="AE247:AQ247" si="569">IFERROR(AE246/AE245,0)</f>
        <v>184.86422413793105</v>
      </c>
      <c r="AF247" s="418">
        <f t="shared" si="569"/>
        <v>193.61538461538461</v>
      </c>
      <c r="AG247" s="419">
        <f t="shared" si="569"/>
        <v>201.42857142857142</v>
      </c>
      <c r="AH247" s="419">
        <f t="shared" si="569"/>
        <v>0</v>
      </c>
      <c r="AI247" s="419">
        <f t="shared" si="569"/>
        <v>150</v>
      </c>
      <c r="AJ247" s="419">
        <f t="shared" si="569"/>
        <v>0</v>
      </c>
      <c r="AK247" s="419">
        <f t="shared" si="569"/>
        <v>160.18518518518519</v>
      </c>
      <c r="AL247" s="419">
        <f t="shared" si="569"/>
        <v>178.98936170212767</v>
      </c>
      <c r="AM247" s="419">
        <f t="shared" si="569"/>
        <v>194.95890410958904</v>
      </c>
      <c r="AN247" s="419">
        <f t="shared" si="569"/>
        <v>0</v>
      </c>
      <c r="AO247" s="419">
        <f t="shared" si="569"/>
        <v>0</v>
      </c>
      <c r="AP247" s="419">
        <f t="shared" si="569"/>
        <v>0</v>
      </c>
      <c r="AQ247" s="421">
        <f t="shared" si="569"/>
        <v>0</v>
      </c>
    </row>
    <row r="248" spans="2:43" ht="7.8" customHeight="1" x14ac:dyDescent="0.25">
      <c r="B248" s="282"/>
      <c r="C248" s="404"/>
      <c r="D248" s="433" t="s">
        <v>42</v>
      </c>
      <c r="E248" s="434" t="s">
        <v>32</v>
      </c>
      <c r="F248" s="435">
        <f t="shared" ref="F248:F249" si="570">SUM(G248,H248,N248,T248)</f>
        <v>5221</v>
      </c>
      <c r="G248" s="435">
        <v>0</v>
      </c>
      <c r="H248" s="435">
        <v>390</v>
      </c>
      <c r="I248" s="436">
        <v>180</v>
      </c>
      <c r="J248" s="437">
        <v>100</v>
      </c>
      <c r="K248" s="437">
        <v>60</v>
      </c>
      <c r="L248" s="437">
        <v>0</v>
      </c>
      <c r="M248" s="438">
        <v>50</v>
      </c>
      <c r="N248" s="435">
        <f t="shared" ref="N248:N249" si="571">SUM(O248:S248)</f>
        <v>800</v>
      </c>
      <c r="O248" s="436">
        <v>500</v>
      </c>
      <c r="P248" s="437">
        <v>250</v>
      </c>
      <c r="Q248" s="437">
        <v>50</v>
      </c>
      <c r="R248" s="437">
        <v>0</v>
      </c>
      <c r="S248" s="438">
        <v>0</v>
      </c>
      <c r="T248" s="435">
        <f t="shared" ref="T248:T249" si="572">SUM(U248:Y248)</f>
        <v>4031</v>
      </c>
      <c r="U248" s="436">
        <v>273</v>
      </c>
      <c r="V248" s="437">
        <v>1870</v>
      </c>
      <c r="W248" s="437">
        <v>1619</v>
      </c>
      <c r="X248" s="437">
        <v>67</v>
      </c>
      <c r="Y248" s="439">
        <v>202</v>
      </c>
      <c r="AA248" s="291"/>
      <c r="AB248" s="412"/>
      <c r="AC248" s="440" t="s">
        <v>42</v>
      </c>
      <c r="AD248" s="441" t="s">
        <v>32</v>
      </c>
      <c r="AE248" s="442">
        <f t="shared" ref="AE248:AE249" si="573">SUM(AF248:AQ248)</f>
        <v>1835</v>
      </c>
      <c r="AF248" s="443">
        <f>$J$86</f>
        <v>50</v>
      </c>
      <c r="AG248" s="444">
        <f>$J$140</f>
        <v>150</v>
      </c>
      <c r="AH248" s="444">
        <f>$J$194</f>
        <v>150</v>
      </c>
      <c r="AI248" s="444">
        <f>$J$248</f>
        <v>100</v>
      </c>
      <c r="AJ248" s="444">
        <f>$J$302</f>
        <v>50</v>
      </c>
      <c r="AK248" s="444">
        <f>$J$356</f>
        <v>60</v>
      </c>
      <c r="AL248" s="444">
        <f>$J$410</f>
        <v>25</v>
      </c>
      <c r="AM248" s="444">
        <f>$J$464</f>
        <v>100</v>
      </c>
      <c r="AN248" s="444">
        <f>$J$518</f>
        <v>100</v>
      </c>
      <c r="AO248" s="444">
        <f>$J$572</f>
        <v>350</v>
      </c>
      <c r="AP248" s="444">
        <f>$J$626</f>
        <v>350</v>
      </c>
      <c r="AQ248" s="445">
        <f>$J$680</f>
        <v>350</v>
      </c>
    </row>
    <row r="249" spans="2:43" s="41" customFormat="1" ht="7.8" customHeight="1" x14ac:dyDescent="0.25">
      <c r="B249" s="282"/>
      <c r="C249" s="404"/>
      <c r="D249" s="446"/>
      <c r="E249" s="447" t="s">
        <v>33</v>
      </c>
      <c r="F249" s="448">
        <f t="shared" si="570"/>
        <v>794042</v>
      </c>
      <c r="G249" s="448">
        <v>0</v>
      </c>
      <c r="H249" s="448">
        <v>56260</v>
      </c>
      <c r="I249" s="449">
        <v>25560</v>
      </c>
      <c r="J249" s="450">
        <v>14500</v>
      </c>
      <c r="K249" s="450">
        <v>8700</v>
      </c>
      <c r="L249" s="450">
        <v>0</v>
      </c>
      <c r="M249" s="451">
        <v>7500</v>
      </c>
      <c r="N249" s="448">
        <f t="shared" si="571"/>
        <v>117250</v>
      </c>
      <c r="O249" s="449">
        <v>75000</v>
      </c>
      <c r="P249" s="450">
        <v>35000</v>
      </c>
      <c r="Q249" s="450">
        <v>7250</v>
      </c>
      <c r="R249" s="450">
        <v>0</v>
      </c>
      <c r="S249" s="451">
        <v>0</v>
      </c>
      <c r="T249" s="448">
        <f t="shared" si="572"/>
        <v>620532</v>
      </c>
      <c r="U249" s="449">
        <v>47775</v>
      </c>
      <c r="V249" s="450">
        <v>289850</v>
      </c>
      <c r="W249" s="450">
        <v>236374</v>
      </c>
      <c r="X249" s="450">
        <v>12395</v>
      </c>
      <c r="Y249" s="452">
        <v>34138</v>
      </c>
      <c r="AA249" s="291"/>
      <c r="AB249" s="412"/>
      <c r="AC249" s="453"/>
      <c r="AD249" s="454" t="s">
        <v>33</v>
      </c>
      <c r="AE249" s="455">
        <f t="shared" si="573"/>
        <v>280345</v>
      </c>
      <c r="AF249" s="456">
        <f>$J$87</f>
        <v>8500</v>
      </c>
      <c r="AG249" s="457">
        <f>$J$141</f>
        <v>25500</v>
      </c>
      <c r="AH249" s="457">
        <f>$J$195</f>
        <v>23250</v>
      </c>
      <c r="AI249" s="457">
        <f>$J$249</f>
        <v>14500</v>
      </c>
      <c r="AJ249" s="457">
        <f>$J$303</f>
        <v>7250</v>
      </c>
      <c r="AK249" s="457">
        <f>$J$357</f>
        <v>9720</v>
      </c>
      <c r="AL249" s="457">
        <f>$J$411</f>
        <v>4375</v>
      </c>
      <c r="AM249" s="457">
        <f>$J$465</f>
        <v>17000</v>
      </c>
      <c r="AN249" s="457">
        <f>$J$519</f>
        <v>14500</v>
      </c>
      <c r="AO249" s="457">
        <f>$J$573</f>
        <v>50750</v>
      </c>
      <c r="AP249" s="457">
        <f>$J$627</f>
        <v>54250</v>
      </c>
      <c r="AQ249" s="458">
        <f>$J$681</f>
        <v>50750</v>
      </c>
    </row>
    <row r="250" spans="2:43" ht="7.8" customHeight="1" x14ac:dyDescent="0.25">
      <c r="B250" s="282"/>
      <c r="C250" s="404"/>
      <c r="D250" s="459"/>
      <c r="E250" s="460" t="s">
        <v>30</v>
      </c>
      <c r="F250" s="461">
        <f t="shared" si="467"/>
        <v>152.08619038498372</v>
      </c>
      <c r="G250" s="461">
        <f t="shared" si="467"/>
        <v>0</v>
      </c>
      <c r="H250" s="461">
        <f t="shared" si="467"/>
        <v>144.25641025641025</v>
      </c>
      <c r="I250" s="462">
        <f t="shared" si="467"/>
        <v>142</v>
      </c>
      <c r="J250" s="463">
        <f t="shared" si="467"/>
        <v>145</v>
      </c>
      <c r="K250" s="463">
        <f t="shared" si="467"/>
        <v>145</v>
      </c>
      <c r="L250" s="463">
        <f t="shared" si="467"/>
        <v>0</v>
      </c>
      <c r="M250" s="464"/>
      <c r="N250" s="461">
        <f t="shared" si="468"/>
        <v>146.5625</v>
      </c>
      <c r="O250" s="462">
        <f t="shared" si="468"/>
        <v>150</v>
      </c>
      <c r="P250" s="463">
        <f t="shared" si="468"/>
        <v>140</v>
      </c>
      <c r="Q250" s="463">
        <f t="shared" si="468"/>
        <v>145</v>
      </c>
      <c r="R250" s="463">
        <f t="shared" si="468"/>
        <v>0</v>
      </c>
      <c r="S250" s="464">
        <f t="shared" si="468"/>
        <v>0</v>
      </c>
      <c r="T250" s="461">
        <f t="shared" si="468"/>
        <v>153.93996526916399</v>
      </c>
      <c r="U250" s="462">
        <f t="shared" si="468"/>
        <v>175</v>
      </c>
      <c r="V250" s="463">
        <f t="shared" si="468"/>
        <v>155</v>
      </c>
      <c r="W250" s="463">
        <f t="shared" si="468"/>
        <v>146</v>
      </c>
      <c r="X250" s="463">
        <f t="shared" si="468"/>
        <v>185</v>
      </c>
      <c r="Y250" s="465">
        <f t="shared" si="468"/>
        <v>169</v>
      </c>
      <c r="AA250" s="291"/>
      <c r="AB250" s="412"/>
      <c r="AC250" s="466"/>
      <c r="AD250" s="467" t="s">
        <v>30</v>
      </c>
      <c r="AE250" s="468">
        <f t="shared" ref="AE250:AQ250" si="574">IFERROR(AE249/AE248,0)</f>
        <v>152.77656675749319</v>
      </c>
      <c r="AF250" s="469">
        <f t="shared" si="574"/>
        <v>170</v>
      </c>
      <c r="AG250" s="470">
        <f t="shared" si="574"/>
        <v>170</v>
      </c>
      <c r="AH250" s="470">
        <f t="shared" si="574"/>
        <v>155</v>
      </c>
      <c r="AI250" s="470">
        <f t="shared" si="574"/>
        <v>145</v>
      </c>
      <c r="AJ250" s="470">
        <f t="shared" si="574"/>
        <v>145</v>
      </c>
      <c r="AK250" s="470">
        <f t="shared" si="574"/>
        <v>162</v>
      </c>
      <c r="AL250" s="470">
        <f t="shared" si="574"/>
        <v>175</v>
      </c>
      <c r="AM250" s="470">
        <f t="shared" si="574"/>
        <v>170</v>
      </c>
      <c r="AN250" s="470">
        <f t="shared" si="574"/>
        <v>145</v>
      </c>
      <c r="AO250" s="470">
        <f t="shared" si="574"/>
        <v>145</v>
      </c>
      <c r="AP250" s="470">
        <f t="shared" si="574"/>
        <v>155</v>
      </c>
      <c r="AQ250" s="471">
        <f t="shared" si="574"/>
        <v>145</v>
      </c>
    </row>
    <row r="251" spans="2:43" ht="7.8" customHeight="1" x14ac:dyDescent="0.25">
      <c r="B251" s="282"/>
      <c r="C251" s="404"/>
      <c r="D251" s="472" t="s">
        <v>43</v>
      </c>
      <c r="E251" s="425" t="s">
        <v>32</v>
      </c>
      <c r="F251" s="426">
        <f t="shared" ref="F251:Y253" si="575">F248-F245</f>
        <v>-144</v>
      </c>
      <c r="G251" s="426">
        <f t="shared" si="575"/>
        <v>-656</v>
      </c>
      <c r="H251" s="426">
        <f t="shared" si="575"/>
        <v>-213</v>
      </c>
      <c r="I251" s="427">
        <f t="shared" si="575"/>
        <v>-315</v>
      </c>
      <c r="J251" s="428">
        <f t="shared" si="575"/>
        <v>90</v>
      </c>
      <c r="K251" s="428">
        <f t="shared" si="575"/>
        <v>1</v>
      </c>
      <c r="L251" s="428">
        <f t="shared" si="575"/>
        <v>0</v>
      </c>
      <c r="M251" s="429">
        <f t="shared" si="575"/>
        <v>11</v>
      </c>
      <c r="N251" s="426">
        <f t="shared" si="575"/>
        <v>67</v>
      </c>
      <c r="O251" s="427">
        <f t="shared" si="575"/>
        <v>41</v>
      </c>
      <c r="P251" s="428">
        <f t="shared" si="575"/>
        <v>121</v>
      </c>
      <c r="Q251" s="428">
        <f t="shared" si="575"/>
        <v>-89</v>
      </c>
      <c r="R251" s="428">
        <f t="shared" si="575"/>
        <v>0</v>
      </c>
      <c r="S251" s="429">
        <f t="shared" si="575"/>
        <v>-6</v>
      </c>
      <c r="T251" s="426">
        <f t="shared" si="575"/>
        <v>658</v>
      </c>
      <c r="U251" s="427">
        <f t="shared" si="575"/>
        <v>61</v>
      </c>
      <c r="V251" s="428">
        <f t="shared" si="575"/>
        <v>642</v>
      </c>
      <c r="W251" s="428">
        <f t="shared" si="575"/>
        <v>-67</v>
      </c>
      <c r="X251" s="428">
        <f t="shared" si="575"/>
        <v>-97</v>
      </c>
      <c r="Y251" s="430">
        <f t="shared" si="575"/>
        <v>119</v>
      </c>
      <c r="AA251" s="291"/>
      <c r="AB251" s="412"/>
      <c r="AC251" s="473" t="s">
        <v>43</v>
      </c>
      <c r="AD251" s="432" t="s">
        <v>32</v>
      </c>
      <c r="AE251" s="426">
        <f t="shared" ref="AE251:AQ253" si="576">AE248-AE245</f>
        <v>1371</v>
      </c>
      <c r="AF251" s="427">
        <f t="shared" si="576"/>
        <v>11</v>
      </c>
      <c r="AG251" s="428">
        <f t="shared" si="576"/>
        <v>129</v>
      </c>
      <c r="AH251" s="428">
        <f t="shared" si="576"/>
        <v>150</v>
      </c>
      <c r="AI251" s="428">
        <f t="shared" si="576"/>
        <v>90</v>
      </c>
      <c r="AJ251" s="428">
        <f t="shared" si="576"/>
        <v>50</v>
      </c>
      <c r="AK251" s="428">
        <f t="shared" si="576"/>
        <v>-21</v>
      </c>
      <c r="AL251" s="428">
        <f t="shared" si="576"/>
        <v>-69</v>
      </c>
      <c r="AM251" s="428">
        <f t="shared" si="576"/>
        <v>-119</v>
      </c>
      <c r="AN251" s="428">
        <f t="shared" si="576"/>
        <v>100</v>
      </c>
      <c r="AO251" s="428">
        <f t="shared" si="576"/>
        <v>350</v>
      </c>
      <c r="AP251" s="428">
        <f t="shared" si="576"/>
        <v>350</v>
      </c>
      <c r="AQ251" s="430">
        <f t="shared" si="576"/>
        <v>350</v>
      </c>
    </row>
    <row r="252" spans="2:43" s="366" customFormat="1" ht="7.8" customHeight="1" x14ac:dyDescent="0.25">
      <c r="B252" s="282"/>
      <c r="C252" s="404"/>
      <c r="D252" s="405"/>
      <c r="E252" s="474" t="s">
        <v>33</v>
      </c>
      <c r="F252" s="407">
        <f t="shared" si="575"/>
        <v>-21403.070000000065</v>
      </c>
      <c r="G252" s="407">
        <f t="shared" si="575"/>
        <v>-102276</v>
      </c>
      <c r="H252" s="407">
        <f t="shared" si="575"/>
        <v>-30493</v>
      </c>
      <c r="I252" s="408">
        <f t="shared" si="575"/>
        <v>-44849</v>
      </c>
      <c r="J252" s="409">
        <f t="shared" si="575"/>
        <v>13000</v>
      </c>
      <c r="K252" s="409">
        <f t="shared" si="575"/>
        <v>-43</v>
      </c>
      <c r="L252" s="409">
        <f t="shared" si="575"/>
        <v>0</v>
      </c>
      <c r="M252" s="410">
        <f t="shared" si="575"/>
        <v>1399</v>
      </c>
      <c r="N252" s="407">
        <f t="shared" si="575"/>
        <v>7290</v>
      </c>
      <c r="O252" s="408">
        <f t="shared" si="575"/>
        <v>4918</v>
      </c>
      <c r="P252" s="409">
        <f t="shared" si="575"/>
        <v>16395</v>
      </c>
      <c r="Q252" s="409">
        <f t="shared" si="575"/>
        <v>-13165</v>
      </c>
      <c r="R252" s="409">
        <f t="shared" si="575"/>
        <v>0</v>
      </c>
      <c r="S252" s="410">
        <f t="shared" si="575"/>
        <v>-858</v>
      </c>
      <c r="T252" s="407">
        <f t="shared" si="575"/>
        <v>104075.92999999993</v>
      </c>
      <c r="U252" s="408">
        <f t="shared" si="575"/>
        <v>3754.929999999993</v>
      </c>
      <c r="V252" s="409">
        <f t="shared" si="575"/>
        <v>98311.25999999998</v>
      </c>
      <c r="W252" s="409">
        <f t="shared" si="575"/>
        <v>-6202.2299999999814</v>
      </c>
      <c r="X252" s="409">
        <f t="shared" si="575"/>
        <v>-12624</v>
      </c>
      <c r="Y252" s="411">
        <f t="shared" si="575"/>
        <v>20835.97</v>
      </c>
      <c r="AA252" s="291"/>
      <c r="AB252" s="412"/>
      <c r="AC252" s="475"/>
      <c r="AD252" s="476" t="s">
        <v>33</v>
      </c>
      <c r="AE252" s="407">
        <f t="shared" si="576"/>
        <v>194568</v>
      </c>
      <c r="AF252" s="408">
        <f t="shared" si="576"/>
        <v>949</v>
      </c>
      <c r="AG252" s="409">
        <f t="shared" si="576"/>
        <v>21270</v>
      </c>
      <c r="AH252" s="409">
        <f t="shared" si="576"/>
        <v>23250</v>
      </c>
      <c r="AI252" s="409">
        <f t="shared" si="576"/>
        <v>13000</v>
      </c>
      <c r="AJ252" s="409">
        <f t="shared" si="576"/>
        <v>7250</v>
      </c>
      <c r="AK252" s="409">
        <f t="shared" si="576"/>
        <v>-3255</v>
      </c>
      <c r="AL252" s="409">
        <f t="shared" si="576"/>
        <v>-12450</v>
      </c>
      <c r="AM252" s="409">
        <f t="shared" si="576"/>
        <v>-25696</v>
      </c>
      <c r="AN252" s="409">
        <f t="shared" si="576"/>
        <v>14500</v>
      </c>
      <c r="AO252" s="409">
        <f t="shared" si="576"/>
        <v>50750</v>
      </c>
      <c r="AP252" s="409">
        <f t="shared" si="576"/>
        <v>54250</v>
      </c>
      <c r="AQ252" s="411">
        <f t="shared" si="576"/>
        <v>50750</v>
      </c>
    </row>
    <row r="253" spans="2:43" ht="7.8" customHeight="1" x14ac:dyDescent="0.25">
      <c r="B253" s="282"/>
      <c r="C253" s="404"/>
      <c r="D253" s="415"/>
      <c r="E253" s="416" t="s">
        <v>30</v>
      </c>
      <c r="F253" s="417">
        <f t="shared" si="575"/>
        <v>9.2701102597885665E-2</v>
      </c>
      <c r="G253" s="417">
        <f t="shared" si="575"/>
        <v>-155.90853658536585</v>
      </c>
      <c r="H253" s="417">
        <f t="shared" si="575"/>
        <v>0.38742186503378662</v>
      </c>
      <c r="I253" s="418">
        <f t="shared" si="575"/>
        <v>-0.24040404040403018</v>
      </c>
      <c r="J253" s="419">
        <f t="shared" si="575"/>
        <v>-5</v>
      </c>
      <c r="K253" s="419">
        <f t="shared" si="575"/>
        <v>-3.1864406779660897</v>
      </c>
      <c r="L253" s="419">
        <f t="shared" si="575"/>
        <v>0</v>
      </c>
      <c r="M253" s="420">
        <f t="shared" si="575"/>
        <v>-156.43589743589743</v>
      </c>
      <c r="N253" s="417">
        <f t="shared" si="575"/>
        <v>-3.4511425648021827</v>
      </c>
      <c r="O253" s="418">
        <f t="shared" si="575"/>
        <v>-2.6840958605664582</v>
      </c>
      <c r="P253" s="419">
        <f t="shared" si="575"/>
        <v>-4.2248062015503933</v>
      </c>
      <c r="Q253" s="419">
        <f t="shared" si="575"/>
        <v>-1.8705035971223083</v>
      </c>
      <c r="R253" s="419">
        <f t="shared" si="575"/>
        <v>0</v>
      </c>
      <c r="S253" s="420">
        <f t="shared" si="575"/>
        <v>-143</v>
      </c>
      <c r="T253" s="417">
        <f t="shared" si="575"/>
        <v>0.82520985855026652</v>
      </c>
      <c r="U253" s="418">
        <f t="shared" si="575"/>
        <v>-32.641839622641555</v>
      </c>
      <c r="V253" s="419">
        <f t="shared" si="575"/>
        <v>-0.97617263843650903</v>
      </c>
      <c r="W253" s="419">
        <f t="shared" si="575"/>
        <v>2.1232325029656067</v>
      </c>
      <c r="X253" s="419">
        <f t="shared" si="575"/>
        <v>32.445121951219505</v>
      </c>
      <c r="Y253" s="421">
        <f t="shared" si="575"/>
        <v>8.7345783132530244</v>
      </c>
      <c r="AA253" s="291"/>
      <c r="AB253" s="412"/>
      <c r="AC253" s="477"/>
      <c r="AD253" s="423" t="s">
        <v>30</v>
      </c>
      <c r="AE253" s="417">
        <f t="shared" si="576"/>
        <v>-32.087657380437861</v>
      </c>
      <c r="AF253" s="418">
        <f t="shared" si="576"/>
        <v>-23.615384615384613</v>
      </c>
      <c r="AG253" s="419">
        <f t="shared" si="576"/>
        <v>-31.428571428571416</v>
      </c>
      <c r="AH253" s="419">
        <f t="shared" si="576"/>
        <v>155</v>
      </c>
      <c r="AI253" s="419">
        <f t="shared" si="576"/>
        <v>-5</v>
      </c>
      <c r="AJ253" s="419">
        <f t="shared" si="576"/>
        <v>145</v>
      </c>
      <c r="AK253" s="419">
        <f t="shared" si="576"/>
        <v>1.8148148148148096</v>
      </c>
      <c r="AL253" s="419">
        <f t="shared" si="576"/>
        <v>-3.9893617021276668</v>
      </c>
      <c r="AM253" s="419">
        <f t="shared" si="576"/>
        <v>-24.958904109589042</v>
      </c>
      <c r="AN253" s="419">
        <f t="shared" si="576"/>
        <v>145</v>
      </c>
      <c r="AO253" s="419">
        <f t="shared" si="576"/>
        <v>145</v>
      </c>
      <c r="AP253" s="419">
        <f t="shared" si="576"/>
        <v>155</v>
      </c>
      <c r="AQ253" s="421">
        <f t="shared" si="576"/>
        <v>145</v>
      </c>
    </row>
    <row r="254" spans="2:43" ht="7.8" customHeight="1" x14ac:dyDescent="0.25">
      <c r="B254" s="282"/>
      <c r="C254" s="404"/>
      <c r="D254" s="472" t="s">
        <v>44</v>
      </c>
      <c r="E254" s="425" t="s">
        <v>32</v>
      </c>
      <c r="F254" s="478">
        <f t="shared" ref="F254:Y256" si="577">IFERROR((F248-F245)/ABS(F245),"")</f>
        <v>-2.6840633737185461E-2</v>
      </c>
      <c r="G254" s="478">
        <f t="shared" si="577"/>
        <v>-1</v>
      </c>
      <c r="H254" s="478">
        <f t="shared" si="577"/>
        <v>-0.35323383084577115</v>
      </c>
      <c r="I254" s="479">
        <f t="shared" si="577"/>
        <v>-0.63636363636363635</v>
      </c>
      <c r="J254" s="480">
        <f t="shared" si="577"/>
        <v>9</v>
      </c>
      <c r="K254" s="480">
        <f t="shared" si="577"/>
        <v>1.6949152542372881E-2</v>
      </c>
      <c r="L254" s="480" t="str">
        <f t="shared" si="577"/>
        <v/>
      </c>
      <c r="M254" s="481">
        <f t="shared" si="577"/>
        <v>0.28205128205128205</v>
      </c>
      <c r="N254" s="478">
        <f t="shared" si="577"/>
        <v>9.1405184174624829E-2</v>
      </c>
      <c r="O254" s="479">
        <f t="shared" si="577"/>
        <v>8.9324618736383449E-2</v>
      </c>
      <c r="P254" s="480">
        <f t="shared" si="577"/>
        <v>0.93798449612403101</v>
      </c>
      <c r="Q254" s="480">
        <f t="shared" si="577"/>
        <v>-0.64028776978417268</v>
      </c>
      <c r="R254" s="480" t="str">
        <f t="shared" si="577"/>
        <v/>
      </c>
      <c r="S254" s="481">
        <f t="shared" si="577"/>
        <v>-1</v>
      </c>
      <c r="T254" s="478">
        <f t="shared" si="577"/>
        <v>0.19507856507560037</v>
      </c>
      <c r="U254" s="479">
        <f t="shared" si="577"/>
        <v>0.28773584905660377</v>
      </c>
      <c r="V254" s="480">
        <f t="shared" si="577"/>
        <v>0.5228013029315961</v>
      </c>
      <c r="W254" s="480">
        <f t="shared" si="577"/>
        <v>-3.9739027283511266E-2</v>
      </c>
      <c r="X254" s="480">
        <f t="shared" si="577"/>
        <v>-0.59146341463414631</v>
      </c>
      <c r="Y254" s="482">
        <f t="shared" si="577"/>
        <v>1.4337349397590362</v>
      </c>
      <c r="AA254" s="291"/>
      <c r="AB254" s="412"/>
      <c r="AC254" s="473" t="s">
        <v>44</v>
      </c>
      <c r="AD254" s="432" t="s">
        <v>32</v>
      </c>
      <c r="AE254" s="478">
        <f t="shared" ref="AE254:AQ256" si="578">IFERROR((AE248-AE245)/ABS(AE245),"")</f>
        <v>2.9547413793103448</v>
      </c>
      <c r="AF254" s="479">
        <f t="shared" si="578"/>
        <v>0.28205128205128205</v>
      </c>
      <c r="AG254" s="480">
        <f t="shared" si="578"/>
        <v>6.1428571428571432</v>
      </c>
      <c r="AH254" s="480" t="str">
        <f t="shared" si="578"/>
        <v/>
      </c>
      <c r="AI254" s="480">
        <f t="shared" si="578"/>
        <v>9</v>
      </c>
      <c r="AJ254" s="480" t="str">
        <f t="shared" si="578"/>
        <v/>
      </c>
      <c r="AK254" s="480">
        <f t="shared" si="578"/>
        <v>-0.25925925925925924</v>
      </c>
      <c r="AL254" s="480">
        <f t="shared" si="578"/>
        <v>-0.73404255319148937</v>
      </c>
      <c r="AM254" s="480">
        <f t="shared" si="578"/>
        <v>-0.54337899543378998</v>
      </c>
      <c r="AN254" s="480" t="str">
        <f t="shared" si="578"/>
        <v/>
      </c>
      <c r="AO254" s="480" t="str">
        <f t="shared" si="578"/>
        <v/>
      </c>
      <c r="AP254" s="480" t="str">
        <f t="shared" si="578"/>
        <v/>
      </c>
      <c r="AQ254" s="482" t="str">
        <f t="shared" si="578"/>
        <v/>
      </c>
    </row>
    <row r="255" spans="2:43" ht="7.8" customHeight="1" x14ac:dyDescent="0.25">
      <c r="B255" s="282"/>
      <c r="C255" s="404"/>
      <c r="D255" s="405"/>
      <c r="E255" s="483" t="s">
        <v>33</v>
      </c>
      <c r="F255" s="484">
        <f t="shared" si="577"/>
        <v>-2.6247102088679086E-2</v>
      </c>
      <c r="G255" s="484">
        <f t="shared" si="577"/>
        <v>-1</v>
      </c>
      <c r="H255" s="484">
        <f t="shared" si="577"/>
        <v>-0.35149216741784145</v>
      </c>
      <c r="I255" s="485">
        <f t="shared" si="577"/>
        <v>-0.63697822721527075</v>
      </c>
      <c r="J255" s="486">
        <f t="shared" si="577"/>
        <v>8.6666666666666661</v>
      </c>
      <c r="K255" s="486">
        <f t="shared" si="577"/>
        <v>-4.9182202905181287E-3</v>
      </c>
      <c r="L255" s="486" t="str">
        <f t="shared" si="577"/>
        <v/>
      </c>
      <c r="M255" s="487">
        <f t="shared" si="577"/>
        <v>0.22930667103753483</v>
      </c>
      <c r="N255" s="484">
        <f t="shared" si="577"/>
        <v>6.6296835212804661E-2</v>
      </c>
      <c r="O255" s="485">
        <f t="shared" si="577"/>
        <v>7.0174937929853604E-2</v>
      </c>
      <c r="P255" s="486">
        <f t="shared" si="577"/>
        <v>0.88121472722386451</v>
      </c>
      <c r="Q255" s="486">
        <f t="shared" si="577"/>
        <v>-0.64486896889542</v>
      </c>
      <c r="R255" s="486" t="str">
        <f t="shared" si="577"/>
        <v/>
      </c>
      <c r="S255" s="487">
        <f t="shared" si="577"/>
        <v>-1</v>
      </c>
      <c r="T255" s="484">
        <f t="shared" si="577"/>
        <v>0.20151942448851443</v>
      </c>
      <c r="U255" s="485">
        <f t="shared" si="577"/>
        <v>8.530040956318316E-2</v>
      </c>
      <c r="V255" s="486">
        <f t="shared" si="577"/>
        <v>0.51327089235316037</v>
      </c>
      <c r="W255" s="486">
        <f t="shared" si="577"/>
        <v>-2.5568168818519366E-2</v>
      </c>
      <c r="X255" s="486">
        <f t="shared" si="577"/>
        <v>-0.50457652184339896</v>
      </c>
      <c r="Y255" s="488">
        <f t="shared" si="577"/>
        <v>1.5663752073931576</v>
      </c>
      <c r="AA255" s="291"/>
      <c r="AB255" s="412"/>
      <c r="AC255" s="475"/>
      <c r="AD255" s="489" t="s">
        <v>33</v>
      </c>
      <c r="AE255" s="484">
        <f t="shared" si="578"/>
        <v>2.2683003602364269</v>
      </c>
      <c r="AF255" s="485">
        <f t="shared" si="578"/>
        <v>0.12567871805058933</v>
      </c>
      <c r="AG255" s="486">
        <f t="shared" si="578"/>
        <v>5.0283687943262407</v>
      </c>
      <c r="AH255" s="486" t="str">
        <f t="shared" si="578"/>
        <v/>
      </c>
      <c r="AI255" s="486">
        <f t="shared" si="578"/>
        <v>8.6666666666666661</v>
      </c>
      <c r="AJ255" s="486" t="str">
        <f t="shared" si="578"/>
        <v/>
      </c>
      <c r="AK255" s="486">
        <f t="shared" si="578"/>
        <v>-0.25086705202312137</v>
      </c>
      <c r="AL255" s="486">
        <f t="shared" si="578"/>
        <v>-0.73997028231797923</v>
      </c>
      <c r="AM255" s="486">
        <f t="shared" si="578"/>
        <v>-0.60183623758665916</v>
      </c>
      <c r="AN255" s="486" t="str">
        <f t="shared" si="578"/>
        <v/>
      </c>
      <c r="AO255" s="486" t="str">
        <f t="shared" si="578"/>
        <v/>
      </c>
      <c r="AP255" s="486" t="str">
        <f t="shared" si="578"/>
        <v/>
      </c>
      <c r="AQ255" s="488" t="str">
        <f t="shared" si="578"/>
        <v/>
      </c>
    </row>
    <row r="256" spans="2:43" ht="7.8" customHeight="1" x14ac:dyDescent="0.25">
      <c r="B256" s="282"/>
      <c r="C256" s="490"/>
      <c r="D256" s="405"/>
      <c r="E256" s="483" t="s">
        <v>30</v>
      </c>
      <c r="F256" s="484">
        <f t="shared" si="577"/>
        <v>6.0990179931758807E-4</v>
      </c>
      <c r="G256" s="484">
        <f t="shared" si="577"/>
        <v>-1</v>
      </c>
      <c r="H256" s="484">
        <f t="shared" si="577"/>
        <v>2.6928796077988464E-3</v>
      </c>
      <c r="I256" s="485">
        <f t="shared" si="577"/>
        <v>-1.6901248419945597E-3</v>
      </c>
      <c r="J256" s="486">
        <f t="shared" si="577"/>
        <v>-3.3333333333333333E-2</v>
      </c>
      <c r="K256" s="486">
        <f t="shared" si="577"/>
        <v>-2.1502916619009414E-2</v>
      </c>
      <c r="L256" s="486" t="str">
        <f t="shared" si="577"/>
        <v/>
      </c>
      <c r="M256" s="487">
        <f t="shared" si="577"/>
        <v>-1</v>
      </c>
      <c r="N256" s="484">
        <f t="shared" si="577"/>
        <v>-2.3005524736267734E-2</v>
      </c>
      <c r="O256" s="485">
        <f t="shared" si="577"/>
        <v>-1.7579406980394455E-2</v>
      </c>
      <c r="P256" s="486">
        <f t="shared" si="577"/>
        <v>-2.929320075248593E-2</v>
      </c>
      <c r="Q256" s="486">
        <f t="shared" si="577"/>
        <v>-1.2735733529267736E-2</v>
      </c>
      <c r="R256" s="486" t="str">
        <f t="shared" si="577"/>
        <v/>
      </c>
      <c r="S256" s="487">
        <f t="shared" si="577"/>
        <v>-1</v>
      </c>
      <c r="T256" s="484">
        <f t="shared" si="577"/>
        <v>5.3894861820290903E-3</v>
      </c>
      <c r="U256" s="485">
        <f t="shared" si="577"/>
        <v>-0.15720261235386515</v>
      </c>
      <c r="V256" s="486">
        <f t="shared" si="577"/>
        <v>-6.2584728290477057E-3</v>
      </c>
      <c r="W256" s="486">
        <f t="shared" si="577"/>
        <v>1.4757299179725949E-2</v>
      </c>
      <c r="X256" s="486">
        <f t="shared" si="577"/>
        <v>0.21267836444302324</v>
      </c>
      <c r="Y256" s="488">
        <f t="shared" si="577"/>
        <v>5.4500704027881541E-2</v>
      </c>
      <c r="AA256" s="291"/>
      <c r="AB256" s="412"/>
      <c r="AC256" s="475"/>
      <c r="AD256" s="489" t="s">
        <v>30</v>
      </c>
      <c r="AE256" s="484">
        <f t="shared" si="578"/>
        <v>-0.17357418683939946</v>
      </c>
      <c r="AF256" s="485">
        <f t="shared" si="578"/>
        <v>-0.12197059992054031</v>
      </c>
      <c r="AG256" s="486">
        <f t="shared" si="578"/>
        <v>-0.15602836879432619</v>
      </c>
      <c r="AH256" s="486" t="str">
        <f t="shared" si="578"/>
        <v/>
      </c>
      <c r="AI256" s="486">
        <f t="shared" si="578"/>
        <v>-3.3333333333333333E-2</v>
      </c>
      <c r="AJ256" s="486" t="str">
        <f t="shared" si="578"/>
        <v/>
      </c>
      <c r="AK256" s="486">
        <f t="shared" si="578"/>
        <v>1.1329479768786094E-2</v>
      </c>
      <c r="AL256" s="486">
        <f t="shared" si="578"/>
        <v>-2.2288261515601822E-2</v>
      </c>
      <c r="AM256" s="486">
        <f t="shared" si="578"/>
        <v>-0.12802136031478359</v>
      </c>
      <c r="AN256" s="486" t="str">
        <f t="shared" si="578"/>
        <v/>
      </c>
      <c r="AO256" s="486" t="str">
        <f t="shared" si="578"/>
        <v/>
      </c>
      <c r="AP256" s="486" t="str">
        <f t="shared" si="578"/>
        <v/>
      </c>
      <c r="AQ256" s="488" t="str">
        <f t="shared" si="578"/>
        <v/>
      </c>
    </row>
    <row r="257" spans="2:43" ht="7.8" customHeight="1" x14ac:dyDescent="0.25">
      <c r="B257" s="282"/>
      <c r="C257" s="491" t="s">
        <v>49</v>
      </c>
      <c r="D257" s="492" t="s">
        <v>39</v>
      </c>
      <c r="E257" s="493" t="s">
        <v>32</v>
      </c>
      <c r="F257" s="494">
        <f t="shared" ref="F257:F258" si="579">SUM(G257,H257,N257,T257)</f>
        <v>0</v>
      </c>
      <c r="G257" s="494"/>
      <c r="H257" s="494">
        <f t="shared" ref="H257:H258" si="580">SUM(I257:M257)</f>
        <v>0</v>
      </c>
      <c r="I257" s="495"/>
      <c r="J257" s="496"/>
      <c r="K257" s="496"/>
      <c r="L257" s="496"/>
      <c r="M257" s="497"/>
      <c r="N257" s="494">
        <f t="shared" ref="N257:N258" si="581">SUM(O257:S257)</f>
        <v>0</v>
      </c>
      <c r="O257" s="495"/>
      <c r="P257" s="496"/>
      <c r="Q257" s="496"/>
      <c r="R257" s="496"/>
      <c r="S257" s="497"/>
      <c r="T257" s="494">
        <f t="shared" ref="T257:T258" si="582">SUM(U257:Y257)</f>
        <v>0</v>
      </c>
      <c r="U257" s="495"/>
      <c r="V257" s="496"/>
      <c r="W257" s="496"/>
      <c r="X257" s="496"/>
      <c r="Y257" s="498"/>
      <c r="AA257" s="291"/>
      <c r="AB257" s="499" t="s">
        <v>49</v>
      </c>
      <c r="AC257" s="500" t="s">
        <v>39</v>
      </c>
      <c r="AD257" s="501" t="s">
        <v>32</v>
      </c>
      <c r="AE257" s="494">
        <f t="shared" ref="AE257:AE258" si="583">SUM(AF257:AQ257)</f>
        <v>0</v>
      </c>
      <c r="AF257" s="495">
        <f>$J$95</f>
        <v>0</v>
      </c>
      <c r="AG257" s="496">
        <f>$J$149</f>
        <v>0</v>
      </c>
      <c r="AH257" s="496">
        <f>$J$203</f>
        <v>0</v>
      </c>
      <c r="AI257" s="496">
        <f>$J$257</f>
        <v>0</v>
      </c>
      <c r="AJ257" s="496">
        <f>$J$311</f>
        <v>0</v>
      </c>
      <c r="AK257" s="496">
        <f>$J$365</f>
        <v>0</v>
      </c>
      <c r="AL257" s="496">
        <f>$J$419</f>
        <v>0</v>
      </c>
      <c r="AM257" s="496">
        <f>$J$473</f>
        <v>0</v>
      </c>
      <c r="AN257" s="496">
        <f>$J$527</f>
        <v>0</v>
      </c>
      <c r="AO257" s="496">
        <f>$J$581</f>
        <v>0</v>
      </c>
      <c r="AP257" s="496">
        <f>$J$635</f>
        <v>0</v>
      </c>
      <c r="AQ257" s="498">
        <f>$J$689</f>
        <v>0</v>
      </c>
    </row>
    <row r="258" spans="2:43" s="41" customFormat="1" ht="7.8" customHeight="1" x14ac:dyDescent="0.25">
      <c r="B258" s="282"/>
      <c r="C258" s="404"/>
      <c r="D258" s="405"/>
      <c r="E258" s="406" t="s">
        <v>33</v>
      </c>
      <c r="F258" s="407">
        <f t="shared" si="579"/>
        <v>0</v>
      </c>
      <c r="G258" s="407"/>
      <c r="H258" s="407">
        <f t="shared" si="580"/>
        <v>0</v>
      </c>
      <c r="I258" s="408"/>
      <c r="J258" s="409"/>
      <c r="K258" s="409"/>
      <c r="L258" s="409"/>
      <c r="M258" s="410"/>
      <c r="N258" s="407">
        <f t="shared" si="581"/>
        <v>0</v>
      </c>
      <c r="O258" s="408"/>
      <c r="P258" s="409"/>
      <c r="Q258" s="409"/>
      <c r="R258" s="409"/>
      <c r="S258" s="410"/>
      <c r="T258" s="407">
        <f t="shared" si="582"/>
        <v>0</v>
      </c>
      <c r="U258" s="408"/>
      <c r="V258" s="409"/>
      <c r="W258" s="409"/>
      <c r="X258" s="409"/>
      <c r="Y258" s="411"/>
      <c r="AA258" s="291"/>
      <c r="AB258" s="412"/>
      <c r="AC258" s="413"/>
      <c r="AD258" s="414" t="s">
        <v>33</v>
      </c>
      <c r="AE258" s="407">
        <f t="shared" si="583"/>
        <v>0</v>
      </c>
      <c r="AF258" s="408">
        <f>$J$96</f>
        <v>0</v>
      </c>
      <c r="AG258" s="409">
        <f>$J$150</f>
        <v>0</v>
      </c>
      <c r="AH258" s="409">
        <f>$J$204</f>
        <v>0</v>
      </c>
      <c r="AI258" s="409">
        <f>$J$258</f>
        <v>0</v>
      </c>
      <c r="AJ258" s="409">
        <f>$J$312</f>
        <v>0</v>
      </c>
      <c r="AK258" s="409">
        <f>$J$366</f>
        <v>0</v>
      </c>
      <c r="AL258" s="409">
        <f>$J$420</f>
        <v>0</v>
      </c>
      <c r="AM258" s="409">
        <f>$J$474</f>
        <v>0</v>
      </c>
      <c r="AN258" s="409">
        <f>$J$528</f>
        <v>0</v>
      </c>
      <c r="AO258" s="409">
        <f>$J$582</f>
        <v>0</v>
      </c>
      <c r="AP258" s="409">
        <f>$J$636</f>
        <v>0</v>
      </c>
      <c r="AQ258" s="411">
        <f>$J$690</f>
        <v>0</v>
      </c>
    </row>
    <row r="259" spans="2:43" ht="7.8" customHeight="1" x14ac:dyDescent="0.25">
      <c r="B259" s="282"/>
      <c r="C259" s="404"/>
      <c r="D259" s="415"/>
      <c r="E259" s="416" t="s">
        <v>30</v>
      </c>
      <c r="F259" s="417">
        <f t="shared" si="479"/>
        <v>0</v>
      </c>
      <c r="G259" s="417">
        <f t="shared" si="479"/>
        <v>0</v>
      </c>
      <c r="H259" s="417">
        <f t="shared" si="479"/>
        <v>0</v>
      </c>
      <c r="I259" s="418">
        <f t="shared" si="479"/>
        <v>0</v>
      </c>
      <c r="J259" s="419">
        <f t="shared" si="479"/>
        <v>0</v>
      </c>
      <c r="K259" s="419">
        <f t="shared" si="479"/>
        <v>0</v>
      </c>
      <c r="L259" s="419">
        <f t="shared" si="479"/>
        <v>0</v>
      </c>
      <c r="M259" s="420">
        <f t="shared" si="479"/>
        <v>0</v>
      </c>
      <c r="N259" s="417">
        <f t="shared" si="479"/>
        <v>0</v>
      </c>
      <c r="O259" s="418">
        <f t="shared" si="479"/>
        <v>0</v>
      </c>
      <c r="P259" s="419">
        <f t="shared" si="479"/>
        <v>0</v>
      </c>
      <c r="Q259" s="419">
        <f t="shared" si="479"/>
        <v>0</v>
      </c>
      <c r="R259" s="419">
        <f t="shared" si="479"/>
        <v>0</v>
      </c>
      <c r="S259" s="420">
        <f t="shared" si="479"/>
        <v>0</v>
      </c>
      <c r="T259" s="417">
        <f t="shared" si="479"/>
        <v>0</v>
      </c>
      <c r="U259" s="418">
        <f t="shared" si="479"/>
        <v>0</v>
      </c>
      <c r="V259" s="419">
        <f t="shared" si="479"/>
        <v>0</v>
      </c>
      <c r="W259" s="419">
        <f t="shared" si="479"/>
        <v>0</v>
      </c>
      <c r="X259" s="419">
        <f t="shared" si="479"/>
        <v>0</v>
      </c>
      <c r="Y259" s="421">
        <f t="shared" si="479"/>
        <v>0</v>
      </c>
      <c r="AA259" s="291"/>
      <c r="AB259" s="412"/>
      <c r="AC259" s="422"/>
      <c r="AD259" s="423" t="s">
        <v>30</v>
      </c>
      <c r="AE259" s="417">
        <f t="shared" ref="AE259:AQ259" si="584">IFERROR(AE258/AE257,0)</f>
        <v>0</v>
      </c>
      <c r="AF259" s="418">
        <f t="shared" si="584"/>
        <v>0</v>
      </c>
      <c r="AG259" s="419">
        <f t="shared" si="584"/>
        <v>0</v>
      </c>
      <c r="AH259" s="419">
        <f t="shared" si="584"/>
        <v>0</v>
      </c>
      <c r="AI259" s="419">
        <f t="shared" si="584"/>
        <v>0</v>
      </c>
      <c r="AJ259" s="419">
        <f t="shared" si="584"/>
        <v>0</v>
      </c>
      <c r="AK259" s="419">
        <f t="shared" si="584"/>
        <v>0</v>
      </c>
      <c r="AL259" s="419">
        <f t="shared" si="584"/>
        <v>0</v>
      </c>
      <c r="AM259" s="419">
        <f t="shared" si="584"/>
        <v>0</v>
      </c>
      <c r="AN259" s="419">
        <f t="shared" si="584"/>
        <v>0</v>
      </c>
      <c r="AO259" s="419">
        <f t="shared" si="584"/>
        <v>0</v>
      </c>
      <c r="AP259" s="419">
        <f t="shared" si="584"/>
        <v>0</v>
      </c>
      <c r="AQ259" s="421">
        <f t="shared" si="584"/>
        <v>0</v>
      </c>
    </row>
    <row r="260" spans="2:43" ht="7.8" customHeight="1" x14ac:dyDescent="0.25">
      <c r="B260" s="282"/>
      <c r="C260" s="404"/>
      <c r="D260" s="424" t="s">
        <v>40</v>
      </c>
      <c r="E260" s="425" t="s">
        <v>32</v>
      </c>
      <c r="F260" s="426">
        <f t="shared" ref="F260:F261" si="585">SUM(G260,H260,N260,T260)</f>
        <v>2038</v>
      </c>
      <c r="G260" s="426">
        <v>252</v>
      </c>
      <c r="H260" s="426">
        <f t="shared" ref="H260:H261" si="586">SUM(I260:M260)</f>
        <v>121</v>
      </c>
      <c r="I260" s="427">
        <v>5</v>
      </c>
      <c r="J260" s="428">
        <v>99</v>
      </c>
      <c r="K260" s="428">
        <v>0</v>
      </c>
      <c r="L260" s="428">
        <v>0</v>
      </c>
      <c r="M260" s="429">
        <v>17</v>
      </c>
      <c r="N260" s="426">
        <f t="shared" ref="N260:N261" si="587">SUM(O260:S260)</f>
        <v>306</v>
      </c>
      <c r="O260" s="427">
        <v>157</v>
      </c>
      <c r="P260" s="428">
        <v>120</v>
      </c>
      <c r="Q260" s="428">
        <v>29</v>
      </c>
      <c r="R260" s="428">
        <v>0</v>
      </c>
      <c r="S260" s="429">
        <v>0</v>
      </c>
      <c r="T260" s="426">
        <f t="shared" ref="T260:T261" si="588">SUM(U260:Y260)</f>
        <v>1359</v>
      </c>
      <c r="U260" s="427">
        <v>85</v>
      </c>
      <c r="V260" s="428">
        <v>497</v>
      </c>
      <c r="W260" s="428">
        <v>665</v>
      </c>
      <c r="X260" s="428">
        <v>35</v>
      </c>
      <c r="Y260" s="430">
        <v>77</v>
      </c>
      <c r="AA260" s="291"/>
      <c r="AB260" s="412"/>
      <c r="AC260" s="431" t="s">
        <v>40</v>
      </c>
      <c r="AD260" s="432" t="s">
        <v>32</v>
      </c>
      <c r="AE260" s="426">
        <f t="shared" ref="AE260:AE261" si="589">SUM(AF260:AQ260)</f>
        <v>421</v>
      </c>
      <c r="AF260" s="427">
        <f>$J$98</f>
        <v>0</v>
      </c>
      <c r="AG260" s="428">
        <f>$J$152</f>
        <v>0</v>
      </c>
      <c r="AH260" s="428">
        <f>$J$206</f>
        <v>8</v>
      </c>
      <c r="AI260" s="428">
        <f>$J$260</f>
        <v>99</v>
      </c>
      <c r="AJ260" s="428">
        <f>$J$314</f>
        <v>0</v>
      </c>
      <c r="AK260" s="428">
        <f>$J$368</f>
        <v>52</v>
      </c>
      <c r="AL260" s="428">
        <f>$J$422</f>
        <v>0</v>
      </c>
      <c r="AM260" s="428">
        <f>$J$476</f>
        <v>104</v>
      </c>
      <c r="AN260" s="428">
        <f>$J$530</f>
        <v>25</v>
      </c>
      <c r="AO260" s="428">
        <f>$J$584</f>
        <v>41</v>
      </c>
      <c r="AP260" s="428">
        <f>$J$638</f>
        <v>58</v>
      </c>
      <c r="AQ260" s="430">
        <f>$J$692</f>
        <v>34</v>
      </c>
    </row>
    <row r="261" spans="2:43" s="41" customFormat="1" ht="7.8" customHeight="1" x14ac:dyDescent="0.25">
      <c r="B261" s="282"/>
      <c r="C261" s="404"/>
      <c r="D261" s="405"/>
      <c r="E261" s="406" t="s">
        <v>33</v>
      </c>
      <c r="F261" s="407">
        <f t="shared" si="585"/>
        <v>318078.15000000002</v>
      </c>
      <c r="G261" s="407">
        <v>39357</v>
      </c>
      <c r="H261" s="407">
        <f t="shared" si="586"/>
        <v>17378</v>
      </c>
      <c r="I261" s="408">
        <v>745</v>
      </c>
      <c r="J261" s="409">
        <v>14355</v>
      </c>
      <c r="K261" s="409">
        <v>0</v>
      </c>
      <c r="L261" s="409">
        <v>0</v>
      </c>
      <c r="M261" s="410">
        <v>2278</v>
      </c>
      <c r="N261" s="407">
        <f t="shared" si="587"/>
        <v>44320</v>
      </c>
      <c r="O261" s="408">
        <v>22810</v>
      </c>
      <c r="P261" s="409">
        <v>17530</v>
      </c>
      <c r="Q261" s="409">
        <v>3980</v>
      </c>
      <c r="R261" s="409">
        <v>0</v>
      </c>
      <c r="S261" s="410">
        <v>0</v>
      </c>
      <c r="T261" s="407">
        <f t="shared" si="588"/>
        <v>217023.15</v>
      </c>
      <c r="U261" s="408">
        <v>16722.95</v>
      </c>
      <c r="V261" s="409">
        <v>71763.31</v>
      </c>
      <c r="W261" s="409">
        <v>112922.89</v>
      </c>
      <c r="X261" s="409">
        <v>5234</v>
      </c>
      <c r="Y261" s="411">
        <v>10380</v>
      </c>
      <c r="AA261" s="291"/>
      <c r="AB261" s="412"/>
      <c r="AC261" s="413"/>
      <c r="AD261" s="414" t="s">
        <v>33</v>
      </c>
      <c r="AE261" s="407">
        <f t="shared" si="589"/>
        <v>69966</v>
      </c>
      <c r="AF261" s="408">
        <f>$J$99</f>
        <v>0</v>
      </c>
      <c r="AG261" s="409">
        <f>$J$153</f>
        <v>0</v>
      </c>
      <c r="AH261" s="409">
        <f>$J$207</f>
        <v>1460</v>
      </c>
      <c r="AI261" s="409">
        <f>$J$261</f>
        <v>14355</v>
      </c>
      <c r="AJ261" s="409">
        <f>$J$315</f>
        <v>0</v>
      </c>
      <c r="AK261" s="409">
        <f>$J$369</f>
        <v>8478</v>
      </c>
      <c r="AL261" s="409">
        <f>$J$423</f>
        <v>0</v>
      </c>
      <c r="AM261" s="409">
        <f>$J$477</f>
        <v>20320</v>
      </c>
      <c r="AN261" s="409">
        <f>$J$531</f>
        <v>3580</v>
      </c>
      <c r="AO261" s="409">
        <f>$J$585</f>
        <v>6543</v>
      </c>
      <c r="AP261" s="409">
        <f>$J$639</f>
        <v>9630</v>
      </c>
      <c r="AQ261" s="411">
        <f>$J$693</f>
        <v>5600</v>
      </c>
    </row>
    <row r="262" spans="2:43" ht="7.8" customHeight="1" x14ac:dyDescent="0.25">
      <c r="B262" s="282"/>
      <c r="C262" s="404"/>
      <c r="D262" s="415"/>
      <c r="E262" s="416" t="s">
        <v>30</v>
      </c>
      <c r="F262" s="417">
        <f t="shared" si="486"/>
        <v>156.07367517173702</v>
      </c>
      <c r="G262" s="417">
        <f t="shared" si="486"/>
        <v>156.17857142857142</v>
      </c>
      <c r="H262" s="417">
        <f t="shared" si="486"/>
        <v>143.61983471074379</v>
      </c>
      <c r="I262" s="418">
        <f t="shared" si="486"/>
        <v>149</v>
      </c>
      <c r="J262" s="419">
        <f t="shared" si="486"/>
        <v>145</v>
      </c>
      <c r="K262" s="419">
        <f t="shared" si="486"/>
        <v>0</v>
      </c>
      <c r="L262" s="419">
        <f t="shared" si="486"/>
        <v>0</v>
      </c>
      <c r="M262" s="420">
        <f t="shared" si="486"/>
        <v>134</v>
      </c>
      <c r="N262" s="417">
        <f t="shared" si="486"/>
        <v>144.83660130718954</v>
      </c>
      <c r="O262" s="418">
        <f t="shared" si="486"/>
        <v>145.28662420382165</v>
      </c>
      <c r="P262" s="419">
        <f t="shared" si="486"/>
        <v>146.08333333333334</v>
      </c>
      <c r="Q262" s="419">
        <f t="shared" si="486"/>
        <v>137.24137931034483</v>
      </c>
      <c r="R262" s="419">
        <f t="shared" si="486"/>
        <v>0</v>
      </c>
      <c r="S262" s="420">
        <f t="shared" si="486"/>
        <v>0</v>
      </c>
      <c r="T262" s="417">
        <f t="shared" si="486"/>
        <v>159.69326710816776</v>
      </c>
      <c r="U262" s="418">
        <f t="shared" si="486"/>
        <v>196.74058823529413</v>
      </c>
      <c r="V262" s="419">
        <f t="shared" si="486"/>
        <v>144.39297786720323</v>
      </c>
      <c r="W262" s="419">
        <f t="shared" si="486"/>
        <v>169.80885714285714</v>
      </c>
      <c r="X262" s="419">
        <f t="shared" si="486"/>
        <v>149.54285714285714</v>
      </c>
      <c r="Y262" s="421">
        <f t="shared" si="486"/>
        <v>134.80519480519482</v>
      </c>
      <c r="AA262" s="291"/>
      <c r="AB262" s="412"/>
      <c r="AC262" s="422"/>
      <c r="AD262" s="423" t="s">
        <v>30</v>
      </c>
      <c r="AE262" s="417">
        <f t="shared" ref="AE262:AQ262" si="590">IFERROR(AE261/AE260,0)</f>
        <v>166.19002375296913</v>
      </c>
      <c r="AF262" s="418">
        <f t="shared" si="590"/>
        <v>0</v>
      </c>
      <c r="AG262" s="419">
        <f t="shared" si="590"/>
        <v>0</v>
      </c>
      <c r="AH262" s="419">
        <f t="shared" si="590"/>
        <v>182.5</v>
      </c>
      <c r="AI262" s="419">
        <f t="shared" si="590"/>
        <v>145</v>
      </c>
      <c r="AJ262" s="419">
        <f t="shared" si="590"/>
        <v>0</v>
      </c>
      <c r="AK262" s="419">
        <f t="shared" si="590"/>
        <v>163.03846153846155</v>
      </c>
      <c r="AL262" s="419">
        <f t="shared" si="590"/>
        <v>0</v>
      </c>
      <c r="AM262" s="419">
        <f t="shared" si="590"/>
        <v>195.38461538461539</v>
      </c>
      <c r="AN262" s="419">
        <f t="shared" si="590"/>
        <v>143.19999999999999</v>
      </c>
      <c r="AO262" s="419">
        <f t="shared" si="590"/>
        <v>159.58536585365854</v>
      </c>
      <c r="AP262" s="419">
        <f t="shared" si="590"/>
        <v>166.0344827586207</v>
      </c>
      <c r="AQ262" s="421">
        <f t="shared" si="590"/>
        <v>164.70588235294119</v>
      </c>
    </row>
    <row r="263" spans="2:43" ht="7.8" customHeight="1" x14ac:dyDescent="0.25">
      <c r="B263" s="282"/>
      <c r="C263" s="404"/>
      <c r="D263" s="424" t="s">
        <v>41</v>
      </c>
      <c r="E263" s="425" t="s">
        <v>32</v>
      </c>
      <c r="F263" s="426">
        <f t="shared" ref="F263:F264" si="591">SUM(G263,H263,N263,T263)</f>
        <v>2012</v>
      </c>
      <c r="G263" s="426">
        <v>246</v>
      </c>
      <c r="H263" s="426">
        <f t="shared" ref="H263:H264" si="592">SUM(I263:M263)</f>
        <v>118</v>
      </c>
      <c r="I263" s="427">
        <v>31</v>
      </c>
      <c r="J263" s="428">
        <v>5</v>
      </c>
      <c r="K263" s="428">
        <v>44</v>
      </c>
      <c r="L263" s="428">
        <v>0</v>
      </c>
      <c r="M263" s="429">
        <v>38</v>
      </c>
      <c r="N263" s="426">
        <f t="shared" ref="N263:N264" si="593">SUM(O263:S263)</f>
        <v>295</v>
      </c>
      <c r="O263" s="427">
        <v>201</v>
      </c>
      <c r="P263" s="428">
        <v>46</v>
      </c>
      <c r="Q263" s="428">
        <v>45</v>
      </c>
      <c r="R263" s="428">
        <v>0</v>
      </c>
      <c r="S263" s="429">
        <v>3</v>
      </c>
      <c r="T263" s="426">
        <f t="shared" ref="T263:T264" si="594">SUM(U263:Y263)</f>
        <v>1353</v>
      </c>
      <c r="U263" s="427">
        <v>95</v>
      </c>
      <c r="V263" s="428">
        <v>473</v>
      </c>
      <c r="W263" s="428">
        <v>699</v>
      </c>
      <c r="X263" s="428">
        <v>66</v>
      </c>
      <c r="Y263" s="430">
        <v>20</v>
      </c>
      <c r="AA263" s="291"/>
      <c r="AB263" s="412"/>
      <c r="AC263" s="431" t="s">
        <v>41</v>
      </c>
      <c r="AD263" s="432" t="s">
        <v>32</v>
      </c>
      <c r="AE263" s="426">
        <f t="shared" ref="AE263:AE264" si="595">SUM(AF263:AQ263)</f>
        <v>233</v>
      </c>
      <c r="AF263" s="427">
        <f>$J$101</f>
        <v>0</v>
      </c>
      <c r="AG263" s="428">
        <f>$J$155</f>
        <v>0</v>
      </c>
      <c r="AH263" s="428">
        <f>$J$209</f>
        <v>0</v>
      </c>
      <c r="AI263" s="428">
        <f>$J$263</f>
        <v>5</v>
      </c>
      <c r="AJ263" s="428">
        <f>$J$317</f>
        <v>12</v>
      </c>
      <c r="AK263" s="428">
        <f>$J$371</f>
        <v>30</v>
      </c>
      <c r="AL263" s="428">
        <f>$J$425</f>
        <v>64</v>
      </c>
      <c r="AM263" s="428">
        <f>$J$479</f>
        <v>122</v>
      </c>
      <c r="AN263" s="428">
        <f>$J$533</f>
        <v>0</v>
      </c>
      <c r="AO263" s="428">
        <f>$J$587</f>
        <v>0</v>
      </c>
      <c r="AP263" s="428">
        <f>$J$641</f>
        <v>0</v>
      </c>
      <c r="AQ263" s="430">
        <f>$J$695</f>
        <v>0</v>
      </c>
    </row>
    <row r="264" spans="2:43" s="41" customFormat="1" ht="7.8" customHeight="1" x14ac:dyDescent="0.25">
      <c r="B264" s="282"/>
      <c r="C264" s="404"/>
      <c r="D264" s="405"/>
      <c r="E264" s="406" t="s">
        <v>33</v>
      </c>
      <c r="F264" s="407">
        <f t="shared" si="591"/>
        <v>325355.23</v>
      </c>
      <c r="G264" s="407">
        <v>38436</v>
      </c>
      <c r="H264" s="407">
        <f t="shared" si="592"/>
        <v>17863</v>
      </c>
      <c r="I264" s="408">
        <v>4601</v>
      </c>
      <c r="J264" s="409">
        <v>750</v>
      </c>
      <c r="K264" s="409">
        <v>6556</v>
      </c>
      <c r="L264" s="409">
        <v>0</v>
      </c>
      <c r="M264" s="410">
        <v>5956</v>
      </c>
      <c r="N264" s="407">
        <f t="shared" si="593"/>
        <v>44244</v>
      </c>
      <c r="O264" s="408">
        <v>30312</v>
      </c>
      <c r="P264" s="409">
        <v>6830</v>
      </c>
      <c r="Q264" s="409">
        <v>6670</v>
      </c>
      <c r="R264" s="409">
        <v>0</v>
      </c>
      <c r="S264" s="410">
        <v>432</v>
      </c>
      <c r="T264" s="407">
        <f t="shared" si="594"/>
        <v>224812.22999999998</v>
      </c>
      <c r="U264" s="408">
        <v>19418.2</v>
      </c>
      <c r="V264" s="409">
        <v>78710.350000000006</v>
      </c>
      <c r="W264" s="409">
        <v>114824.57</v>
      </c>
      <c r="X264" s="409">
        <v>10154</v>
      </c>
      <c r="Y264" s="411">
        <v>1705.1100000000001</v>
      </c>
      <c r="AA264" s="291"/>
      <c r="AB264" s="412"/>
      <c r="AC264" s="413"/>
      <c r="AD264" s="414" t="s">
        <v>33</v>
      </c>
      <c r="AE264" s="407">
        <f t="shared" si="595"/>
        <v>40424</v>
      </c>
      <c r="AF264" s="408">
        <f>$J$102</f>
        <v>0</v>
      </c>
      <c r="AG264" s="409">
        <f>$J$156</f>
        <v>0</v>
      </c>
      <c r="AH264" s="409">
        <f>$J$210</f>
        <v>0</v>
      </c>
      <c r="AI264" s="409">
        <f>$J$264</f>
        <v>750</v>
      </c>
      <c r="AJ264" s="409">
        <f>$J$318</f>
        <v>1860</v>
      </c>
      <c r="AK264" s="409">
        <f>$J$372</f>
        <v>4980</v>
      </c>
      <c r="AL264" s="409">
        <f>$J$426</f>
        <v>11200</v>
      </c>
      <c r="AM264" s="409">
        <f>$J$480</f>
        <v>21634</v>
      </c>
      <c r="AN264" s="409">
        <f>$J$534</f>
        <v>0</v>
      </c>
      <c r="AO264" s="409">
        <f>$J$588</f>
        <v>0</v>
      </c>
      <c r="AP264" s="409">
        <f>$J$642</f>
        <v>0</v>
      </c>
      <c r="AQ264" s="411">
        <f>$J$696</f>
        <v>0</v>
      </c>
    </row>
    <row r="265" spans="2:43" ht="7.8" customHeight="1" x14ac:dyDescent="0.25">
      <c r="B265" s="282"/>
      <c r="C265" s="404"/>
      <c r="D265" s="415"/>
      <c r="E265" s="416" t="s">
        <v>30</v>
      </c>
      <c r="F265" s="417">
        <f t="shared" si="493"/>
        <v>161.7073707753479</v>
      </c>
      <c r="G265" s="417">
        <f t="shared" si="493"/>
        <v>156.2439024390244</v>
      </c>
      <c r="H265" s="417">
        <f t="shared" si="493"/>
        <v>151.38135593220338</v>
      </c>
      <c r="I265" s="418">
        <f t="shared" si="493"/>
        <v>148.41935483870967</v>
      </c>
      <c r="J265" s="419">
        <f t="shared" si="493"/>
        <v>150</v>
      </c>
      <c r="K265" s="419">
        <f t="shared" si="493"/>
        <v>149</v>
      </c>
      <c r="L265" s="419">
        <f t="shared" si="493"/>
        <v>0</v>
      </c>
      <c r="M265" s="420">
        <f t="shared" si="493"/>
        <v>156.73684210526315</v>
      </c>
      <c r="N265" s="417">
        <f t="shared" si="493"/>
        <v>149.97966101694917</v>
      </c>
      <c r="O265" s="418">
        <f t="shared" si="493"/>
        <v>150.80597014925374</v>
      </c>
      <c r="P265" s="419">
        <f t="shared" si="493"/>
        <v>148.47826086956522</v>
      </c>
      <c r="Q265" s="419">
        <f t="shared" si="493"/>
        <v>148.22222222222223</v>
      </c>
      <c r="R265" s="419">
        <f t="shared" si="493"/>
        <v>0</v>
      </c>
      <c r="S265" s="420">
        <f t="shared" si="493"/>
        <v>144</v>
      </c>
      <c r="T265" s="417">
        <f t="shared" si="493"/>
        <v>166.15833702882483</v>
      </c>
      <c r="U265" s="418">
        <f t="shared" si="493"/>
        <v>204.40210526315789</v>
      </c>
      <c r="V265" s="419">
        <f t="shared" si="493"/>
        <v>166.40665961945032</v>
      </c>
      <c r="W265" s="419">
        <f t="shared" si="493"/>
        <v>164.2697711015737</v>
      </c>
      <c r="X265" s="419">
        <f t="shared" si="493"/>
        <v>153.84848484848484</v>
      </c>
      <c r="Y265" s="421">
        <f t="shared" si="493"/>
        <v>85.255500000000012</v>
      </c>
      <c r="AA265" s="291"/>
      <c r="AB265" s="412"/>
      <c r="AC265" s="422"/>
      <c r="AD265" s="423" t="s">
        <v>30</v>
      </c>
      <c r="AE265" s="417">
        <f t="shared" ref="AE265:AQ265" si="596">IFERROR(AE264/AE263,0)</f>
        <v>173.49356223175965</v>
      </c>
      <c r="AF265" s="418">
        <f t="shared" si="596"/>
        <v>0</v>
      </c>
      <c r="AG265" s="419">
        <f t="shared" si="596"/>
        <v>0</v>
      </c>
      <c r="AH265" s="419">
        <f t="shared" si="596"/>
        <v>0</v>
      </c>
      <c r="AI265" s="419">
        <f t="shared" si="596"/>
        <v>150</v>
      </c>
      <c r="AJ265" s="419">
        <f t="shared" si="596"/>
        <v>155</v>
      </c>
      <c r="AK265" s="419">
        <f t="shared" si="596"/>
        <v>166</v>
      </c>
      <c r="AL265" s="419">
        <f t="shared" si="596"/>
        <v>175</v>
      </c>
      <c r="AM265" s="419">
        <f t="shared" si="596"/>
        <v>177.32786885245901</v>
      </c>
      <c r="AN265" s="419">
        <f t="shared" si="596"/>
        <v>0</v>
      </c>
      <c r="AO265" s="419">
        <f t="shared" si="596"/>
        <v>0</v>
      </c>
      <c r="AP265" s="419">
        <f t="shared" si="596"/>
        <v>0</v>
      </c>
      <c r="AQ265" s="421">
        <f t="shared" si="596"/>
        <v>0</v>
      </c>
    </row>
    <row r="266" spans="2:43" ht="7.8" customHeight="1" x14ac:dyDescent="0.25">
      <c r="B266" s="282"/>
      <c r="C266" s="404"/>
      <c r="D266" s="433" t="s">
        <v>42</v>
      </c>
      <c r="E266" s="434" t="s">
        <v>32</v>
      </c>
      <c r="F266" s="435">
        <f t="shared" ref="F266:F267" si="597">SUM(G266,H266,N266,T266)</f>
        <v>2165</v>
      </c>
      <c r="G266" s="435">
        <v>0</v>
      </c>
      <c r="H266" s="435">
        <v>150</v>
      </c>
      <c r="I266" s="436">
        <v>60</v>
      </c>
      <c r="J266" s="437">
        <v>40</v>
      </c>
      <c r="K266" s="437">
        <v>30</v>
      </c>
      <c r="L266" s="437">
        <v>0</v>
      </c>
      <c r="M266" s="438">
        <v>20</v>
      </c>
      <c r="N266" s="435">
        <f t="shared" ref="N266:N267" si="598">SUM(O266:S266)</f>
        <v>390</v>
      </c>
      <c r="O266" s="436">
        <v>250</v>
      </c>
      <c r="P266" s="437">
        <v>100</v>
      </c>
      <c r="Q266" s="437">
        <v>40</v>
      </c>
      <c r="R266" s="437">
        <v>0</v>
      </c>
      <c r="S266" s="438">
        <v>0</v>
      </c>
      <c r="T266" s="435">
        <f t="shared" ref="T266:T267" si="599">SUM(U266:Y266)</f>
        <v>1625</v>
      </c>
      <c r="U266" s="436">
        <v>177</v>
      </c>
      <c r="V266" s="437">
        <v>758</v>
      </c>
      <c r="W266" s="437">
        <v>509</v>
      </c>
      <c r="X266" s="437">
        <v>33</v>
      </c>
      <c r="Y266" s="439">
        <v>148</v>
      </c>
      <c r="AA266" s="291"/>
      <c r="AB266" s="412"/>
      <c r="AC266" s="440" t="s">
        <v>42</v>
      </c>
      <c r="AD266" s="441" t="s">
        <v>32</v>
      </c>
      <c r="AE266" s="442">
        <f t="shared" ref="AE266:AE267" si="600">SUM(AF266:AQ266)</f>
        <v>830</v>
      </c>
      <c r="AF266" s="443">
        <f>$J$104</f>
        <v>20</v>
      </c>
      <c r="AG266" s="444">
        <f>$J$158</f>
        <v>50</v>
      </c>
      <c r="AH266" s="444">
        <f>$J$212</f>
        <v>100</v>
      </c>
      <c r="AI266" s="444">
        <f>$J$266</f>
        <v>40</v>
      </c>
      <c r="AJ266" s="444">
        <f>$J$320</f>
        <v>20</v>
      </c>
      <c r="AK266" s="444">
        <f>$J$374</f>
        <v>90</v>
      </c>
      <c r="AL266" s="444">
        <f>$J$428</f>
        <v>20</v>
      </c>
      <c r="AM266" s="444">
        <f>$J$482</f>
        <v>70</v>
      </c>
      <c r="AN266" s="444">
        <f>$J$536</f>
        <v>60</v>
      </c>
      <c r="AO266" s="444">
        <f>$J$590</f>
        <v>100</v>
      </c>
      <c r="AP266" s="444">
        <f>$J$644</f>
        <v>150</v>
      </c>
      <c r="AQ266" s="445">
        <f>$J$698</f>
        <v>110</v>
      </c>
    </row>
    <row r="267" spans="2:43" s="41" customFormat="1" ht="7.8" customHeight="1" x14ac:dyDescent="0.25">
      <c r="B267" s="282"/>
      <c r="C267" s="404"/>
      <c r="D267" s="446"/>
      <c r="E267" s="447" t="s">
        <v>33</v>
      </c>
      <c r="F267" s="448">
        <f t="shared" si="597"/>
        <v>333646</v>
      </c>
      <c r="G267" s="448">
        <v>0</v>
      </c>
      <c r="H267" s="448">
        <v>21950</v>
      </c>
      <c r="I267" s="449">
        <v>8700</v>
      </c>
      <c r="J267" s="450">
        <v>5800</v>
      </c>
      <c r="K267" s="450">
        <v>4350</v>
      </c>
      <c r="L267" s="450">
        <v>0</v>
      </c>
      <c r="M267" s="451">
        <v>3100</v>
      </c>
      <c r="N267" s="448">
        <f t="shared" si="598"/>
        <v>57800</v>
      </c>
      <c r="O267" s="449">
        <v>37500</v>
      </c>
      <c r="P267" s="450">
        <v>14500</v>
      </c>
      <c r="Q267" s="450">
        <v>5800</v>
      </c>
      <c r="R267" s="450">
        <v>0</v>
      </c>
      <c r="S267" s="451">
        <v>0</v>
      </c>
      <c r="T267" s="448">
        <f t="shared" si="599"/>
        <v>253896</v>
      </c>
      <c r="U267" s="449">
        <v>30975</v>
      </c>
      <c r="V267" s="450">
        <v>117490</v>
      </c>
      <c r="W267" s="450">
        <v>74314</v>
      </c>
      <c r="X267" s="450">
        <v>6105</v>
      </c>
      <c r="Y267" s="452">
        <v>25012</v>
      </c>
      <c r="AA267" s="291"/>
      <c r="AB267" s="412"/>
      <c r="AC267" s="453"/>
      <c r="AD267" s="454" t="s">
        <v>33</v>
      </c>
      <c r="AE267" s="455">
        <f t="shared" si="600"/>
        <v>127130</v>
      </c>
      <c r="AF267" s="456">
        <f>$J$105</f>
        <v>3400</v>
      </c>
      <c r="AG267" s="457">
        <f>$J$159</f>
        <v>8500</v>
      </c>
      <c r="AH267" s="457">
        <f>$J$213</f>
        <v>15500</v>
      </c>
      <c r="AI267" s="457">
        <f>$J$267</f>
        <v>5800</v>
      </c>
      <c r="AJ267" s="457">
        <f>$J$321</f>
        <v>3100</v>
      </c>
      <c r="AK267" s="457">
        <f>$J$375</f>
        <v>14580</v>
      </c>
      <c r="AL267" s="457">
        <f>$J$429</f>
        <v>3500</v>
      </c>
      <c r="AM267" s="457">
        <f>$J$483</f>
        <v>11900</v>
      </c>
      <c r="AN267" s="457">
        <f>$J$537</f>
        <v>8700</v>
      </c>
      <c r="AO267" s="457">
        <f>$J$591</f>
        <v>14500</v>
      </c>
      <c r="AP267" s="457">
        <f>$J$645</f>
        <v>23250</v>
      </c>
      <c r="AQ267" s="458">
        <f>$J$699</f>
        <v>14400</v>
      </c>
    </row>
    <row r="268" spans="2:43" ht="7.8" customHeight="1" x14ac:dyDescent="0.25">
      <c r="B268" s="282"/>
      <c r="C268" s="404"/>
      <c r="D268" s="459"/>
      <c r="E268" s="460" t="s">
        <v>30</v>
      </c>
      <c r="F268" s="461">
        <f t="shared" si="499"/>
        <v>154.10900692840647</v>
      </c>
      <c r="G268" s="461">
        <f t="shared" si="499"/>
        <v>0</v>
      </c>
      <c r="H268" s="461">
        <f t="shared" si="499"/>
        <v>146.33333333333334</v>
      </c>
      <c r="I268" s="462">
        <f t="shared" si="499"/>
        <v>145</v>
      </c>
      <c r="J268" s="463">
        <f t="shared" si="499"/>
        <v>145</v>
      </c>
      <c r="K268" s="463">
        <f t="shared" si="499"/>
        <v>145</v>
      </c>
      <c r="L268" s="463">
        <f t="shared" si="499"/>
        <v>0</v>
      </c>
      <c r="M268" s="464">
        <f t="shared" si="499"/>
        <v>155</v>
      </c>
      <c r="N268" s="461">
        <f t="shared" si="499"/>
        <v>148.2051282051282</v>
      </c>
      <c r="O268" s="462">
        <f t="shared" si="499"/>
        <v>150</v>
      </c>
      <c r="P268" s="463">
        <f t="shared" si="499"/>
        <v>145</v>
      </c>
      <c r="Q268" s="463">
        <f t="shared" si="499"/>
        <v>145</v>
      </c>
      <c r="R268" s="463">
        <f t="shared" si="499"/>
        <v>0</v>
      </c>
      <c r="S268" s="464">
        <f t="shared" si="499"/>
        <v>0</v>
      </c>
      <c r="T268" s="461">
        <f t="shared" si="499"/>
        <v>156.2436923076923</v>
      </c>
      <c r="U268" s="462">
        <f t="shared" si="499"/>
        <v>175</v>
      </c>
      <c r="V268" s="463">
        <f t="shared" si="499"/>
        <v>155</v>
      </c>
      <c r="W268" s="463">
        <f t="shared" si="499"/>
        <v>146</v>
      </c>
      <c r="X268" s="463">
        <f t="shared" si="499"/>
        <v>185</v>
      </c>
      <c r="Y268" s="465">
        <f t="shared" si="499"/>
        <v>169</v>
      </c>
      <c r="AA268" s="291"/>
      <c r="AB268" s="412"/>
      <c r="AC268" s="466"/>
      <c r="AD268" s="467" t="s">
        <v>30</v>
      </c>
      <c r="AE268" s="468">
        <f t="shared" ref="AE268:AQ268" si="601">IFERROR(AE267/AE266,0)</f>
        <v>153.16867469879517</v>
      </c>
      <c r="AF268" s="469">
        <f t="shared" si="601"/>
        <v>170</v>
      </c>
      <c r="AG268" s="470">
        <f t="shared" si="601"/>
        <v>170</v>
      </c>
      <c r="AH268" s="470">
        <f t="shared" si="601"/>
        <v>155</v>
      </c>
      <c r="AI268" s="470">
        <f t="shared" si="601"/>
        <v>145</v>
      </c>
      <c r="AJ268" s="470">
        <f t="shared" si="601"/>
        <v>155</v>
      </c>
      <c r="AK268" s="470">
        <f t="shared" si="601"/>
        <v>162</v>
      </c>
      <c r="AL268" s="470">
        <f t="shared" si="601"/>
        <v>175</v>
      </c>
      <c r="AM268" s="470">
        <f t="shared" si="601"/>
        <v>170</v>
      </c>
      <c r="AN268" s="470">
        <f t="shared" si="601"/>
        <v>145</v>
      </c>
      <c r="AO268" s="470">
        <f t="shared" si="601"/>
        <v>145</v>
      </c>
      <c r="AP268" s="470">
        <f t="shared" si="601"/>
        <v>155</v>
      </c>
      <c r="AQ268" s="471">
        <f t="shared" si="601"/>
        <v>130.90909090909091</v>
      </c>
    </row>
    <row r="269" spans="2:43" ht="7.8" customHeight="1" x14ac:dyDescent="0.25">
      <c r="B269" s="282"/>
      <c r="C269" s="404"/>
      <c r="D269" s="472" t="s">
        <v>43</v>
      </c>
      <c r="E269" s="425" t="s">
        <v>32</v>
      </c>
      <c r="F269" s="426">
        <f t="shared" ref="F269:Y271" si="602">F266-F263</f>
        <v>153</v>
      </c>
      <c r="G269" s="426">
        <f t="shared" si="602"/>
        <v>-246</v>
      </c>
      <c r="H269" s="426">
        <f t="shared" si="602"/>
        <v>32</v>
      </c>
      <c r="I269" s="427">
        <f t="shared" si="602"/>
        <v>29</v>
      </c>
      <c r="J269" s="428">
        <f t="shared" si="602"/>
        <v>35</v>
      </c>
      <c r="K269" s="428">
        <f t="shared" si="602"/>
        <v>-14</v>
      </c>
      <c r="L269" s="428">
        <f t="shared" si="602"/>
        <v>0</v>
      </c>
      <c r="M269" s="429">
        <f t="shared" si="602"/>
        <v>-18</v>
      </c>
      <c r="N269" s="426">
        <f t="shared" si="602"/>
        <v>95</v>
      </c>
      <c r="O269" s="427">
        <f t="shared" si="602"/>
        <v>49</v>
      </c>
      <c r="P269" s="428">
        <f t="shared" si="602"/>
        <v>54</v>
      </c>
      <c r="Q269" s="428">
        <f t="shared" si="602"/>
        <v>-5</v>
      </c>
      <c r="R269" s="428">
        <f t="shared" si="602"/>
        <v>0</v>
      </c>
      <c r="S269" s="429">
        <f t="shared" si="602"/>
        <v>-3</v>
      </c>
      <c r="T269" s="426">
        <f t="shared" si="602"/>
        <v>272</v>
      </c>
      <c r="U269" s="427">
        <f t="shared" si="602"/>
        <v>82</v>
      </c>
      <c r="V269" s="428">
        <f t="shared" si="602"/>
        <v>285</v>
      </c>
      <c r="W269" s="428">
        <f t="shared" si="602"/>
        <v>-190</v>
      </c>
      <c r="X269" s="428">
        <f t="shared" si="602"/>
        <v>-33</v>
      </c>
      <c r="Y269" s="430">
        <f t="shared" si="602"/>
        <v>128</v>
      </c>
      <c r="AA269" s="291"/>
      <c r="AB269" s="412"/>
      <c r="AC269" s="473" t="s">
        <v>43</v>
      </c>
      <c r="AD269" s="432" t="s">
        <v>32</v>
      </c>
      <c r="AE269" s="426">
        <f t="shared" ref="AE269:AQ271" si="603">AE266-AE263</f>
        <v>597</v>
      </c>
      <c r="AF269" s="427">
        <f t="shared" si="603"/>
        <v>20</v>
      </c>
      <c r="AG269" s="428">
        <f t="shared" si="603"/>
        <v>50</v>
      </c>
      <c r="AH269" s="428">
        <f t="shared" si="603"/>
        <v>100</v>
      </c>
      <c r="AI269" s="428">
        <f t="shared" si="603"/>
        <v>35</v>
      </c>
      <c r="AJ269" s="428">
        <f t="shared" si="603"/>
        <v>8</v>
      </c>
      <c r="AK269" s="428">
        <f t="shared" si="603"/>
        <v>60</v>
      </c>
      <c r="AL269" s="428">
        <f t="shared" si="603"/>
        <v>-44</v>
      </c>
      <c r="AM269" s="428">
        <f t="shared" si="603"/>
        <v>-52</v>
      </c>
      <c r="AN269" s="428">
        <f t="shared" si="603"/>
        <v>60</v>
      </c>
      <c r="AO269" s="428">
        <f t="shared" si="603"/>
        <v>100</v>
      </c>
      <c r="AP269" s="428">
        <f t="shared" si="603"/>
        <v>150</v>
      </c>
      <c r="AQ269" s="430">
        <f t="shared" si="603"/>
        <v>110</v>
      </c>
    </row>
    <row r="270" spans="2:43" s="366" customFormat="1" ht="7.8" customHeight="1" x14ac:dyDescent="0.25">
      <c r="B270" s="282"/>
      <c r="C270" s="404"/>
      <c r="D270" s="405"/>
      <c r="E270" s="474" t="s">
        <v>33</v>
      </c>
      <c r="F270" s="407">
        <f t="shared" si="602"/>
        <v>8290.7700000000186</v>
      </c>
      <c r="G270" s="407">
        <f t="shared" si="602"/>
        <v>-38436</v>
      </c>
      <c r="H270" s="407">
        <f t="shared" si="602"/>
        <v>4087</v>
      </c>
      <c r="I270" s="408">
        <f t="shared" si="602"/>
        <v>4099</v>
      </c>
      <c r="J270" s="409">
        <f t="shared" si="602"/>
        <v>5050</v>
      </c>
      <c r="K270" s="409">
        <f t="shared" si="602"/>
        <v>-2206</v>
      </c>
      <c r="L270" s="409">
        <f t="shared" si="602"/>
        <v>0</v>
      </c>
      <c r="M270" s="410">
        <f t="shared" si="602"/>
        <v>-2856</v>
      </c>
      <c r="N270" s="407">
        <f t="shared" si="602"/>
        <v>13556</v>
      </c>
      <c r="O270" s="408">
        <f t="shared" si="602"/>
        <v>7188</v>
      </c>
      <c r="P270" s="409">
        <f t="shared" si="602"/>
        <v>7670</v>
      </c>
      <c r="Q270" s="409">
        <f t="shared" si="602"/>
        <v>-870</v>
      </c>
      <c r="R270" s="409">
        <f t="shared" si="602"/>
        <v>0</v>
      </c>
      <c r="S270" s="410">
        <f t="shared" si="602"/>
        <v>-432</v>
      </c>
      <c r="T270" s="407">
        <f t="shared" si="602"/>
        <v>29083.770000000019</v>
      </c>
      <c r="U270" s="408">
        <f t="shared" si="602"/>
        <v>11556.8</v>
      </c>
      <c r="V270" s="409">
        <f t="shared" si="602"/>
        <v>38779.649999999994</v>
      </c>
      <c r="W270" s="409">
        <f t="shared" si="602"/>
        <v>-40510.570000000007</v>
      </c>
      <c r="X270" s="409">
        <f t="shared" si="602"/>
        <v>-4049</v>
      </c>
      <c r="Y270" s="411">
        <f t="shared" si="602"/>
        <v>23306.89</v>
      </c>
      <c r="AA270" s="291"/>
      <c r="AB270" s="412"/>
      <c r="AC270" s="475"/>
      <c r="AD270" s="476" t="s">
        <v>33</v>
      </c>
      <c r="AE270" s="407">
        <f t="shared" si="603"/>
        <v>86706</v>
      </c>
      <c r="AF270" s="408">
        <f t="shared" si="603"/>
        <v>3400</v>
      </c>
      <c r="AG270" s="409">
        <f t="shared" si="603"/>
        <v>8500</v>
      </c>
      <c r="AH270" s="409">
        <f t="shared" si="603"/>
        <v>15500</v>
      </c>
      <c r="AI270" s="409">
        <f t="shared" si="603"/>
        <v>5050</v>
      </c>
      <c r="AJ270" s="409">
        <f t="shared" si="603"/>
        <v>1240</v>
      </c>
      <c r="AK270" s="409">
        <f t="shared" si="603"/>
        <v>9600</v>
      </c>
      <c r="AL270" s="409">
        <f t="shared" si="603"/>
        <v>-7700</v>
      </c>
      <c r="AM270" s="409">
        <f t="shared" si="603"/>
        <v>-9734</v>
      </c>
      <c r="AN270" s="409">
        <f t="shared" si="603"/>
        <v>8700</v>
      </c>
      <c r="AO270" s="409">
        <f t="shared" si="603"/>
        <v>14500</v>
      </c>
      <c r="AP270" s="409">
        <f t="shared" si="603"/>
        <v>23250</v>
      </c>
      <c r="AQ270" s="411">
        <f t="shared" si="603"/>
        <v>14400</v>
      </c>
    </row>
    <row r="271" spans="2:43" ht="7.8" customHeight="1" x14ac:dyDescent="0.25">
      <c r="B271" s="282"/>
      <c r="C271" s="404"/>
      <c r="D271" s="415"/>
      <c r="E271" s="416" t="s">
        <v>30</v>
      </c>
      <c r="F271" s="417">
        <f t="shared" si="602"/>
        <v>-7.5983638469414245</v>
      </c>
      <c r="G271" s="417">
        <f t="shared" si="602"/>
        <v>-156.2439024390244</v>
      </c>
      <c r="H271" s="417">
        <f t="shared" si="602"/>
        <v>-5.048022598870034</v>
      </c>
      <c r="I271" s="418">
        <f t="shared" si="602"/>
        <v>-3.4193548387096655</v>
      </c>
      <c r="J271" s="419">
        <f t="shared" si="602"/>
        <v>-5</v>
      </c>
      <c r="K271" s="419">
        <f t="shared" si="602"/>
        <v>-4</v>
      </c>
      <c r="L271" s="419">
        <f t="shared" si="602"/>
        <v>0</v>
      </c>
      <c r="M271" s="420">
        <f t="shared" si="602"/>
        <v>-1.7368421052631504</v>
      </c>
      <c r="N271" s="417">
        <f t="shared" si="602"/>
        <v>-1.7745328118209613</v>
      </c>
      <c r="O271" s="418">
        <f t="shared" si="602"/>
        <v>-0.80597014925373855</v>
      </c>
      <c r="P271" s="419">
        <f t="shared" si="602"/>
        <v>-3.4782608695652186</v>
      </c>
      <c r="Q271" s="419">
        <f t="shared" si="602"/>
        <v>-3.2222222222222285</v>
      </c>
      <c r="R271" s="419">
        <f t="shared" si="602"/>
        <v>0</v>
      </c>
      <c r="S271" s="420">
        <f t="shared" si="602"/>
        <v>-144</v>
      </c>
      <c r="T271" s="417">
        <f t="shared" si="602"/>
        <v>-9.9146447211325324</v>
      </c>
      <c r="U271" s="418">
        <f t="shared" si="602"/>
        <v>-29.402105263157893</v>
      </c>
      <c r="V271" s="419">
        <f t="shared" si="602"/>
        <v>-11.406659619450323</v>
      </c>
      <c r="W271" s="419">
        <f t="shared" si="602"/>
        <v>-18.269771101573696</v>
      </c>
      <c r="X271" s="419">
        <f t="shared" si="602"/>
        <v>31.151515151515156</v>
      </c>
      <c r="Y271" s="421">
        <f t="shared" si="602"/>
        <v>83.744499999999988</v>
      </c>
      <c r="AA271" s="291"/>
      <c r="AB271" s="412"/>
      <c r="AC271" s="477"/>
      <c r="AD271" s="423" t="s">
        <v>30</v>
      </c>
      <c r="AE271" s="417">
        <f t="shared" si="603"/>
        <v>-20.324887532964482</v>
      </c>
      <c r="AF271" s="418">
        <f t="shared" si="603"/>
        <v>170</v>
      </c>
      <c r="AG271" s="419">
        <f t="shared" si="603"/>
        <v>170</v>
      </c>
      <c r="AH271" s="419">
        <f t="shared" si="603"/>
        <v>155</v>
      </c>
      <c r="AI271" s="419">
        <f t="shared" si="603"/>
        <v>-5</v>
      </c>
      <c r="AJ271" s="419">
        <f t="shared" si="603"/>
        <v>0</v>
      </c>
      <c r="AK271" s="419">
        <f t="shared" si="603"/>
        <v>-4</v>
      </c>
      <c r="AL271" s="419">
        <f t="shared" si="603"/>
        <v>0</v>
      </c>
      <c r="AM271" s="419">
        <f t="shared" si="603"/>
        <v>-7.3278688524590052</v>
      </c>
      <c r="AN271" s="419">
        <f t="shared" si="603"/>
        <v>145</v>
      </c>
      <c r="AO271" s="419">
        <f t="shared" si="603"/>
        <v>145</v>
      </c>
      <c r="AP271" s="419">
        <f t="shared" si="603"/>
        <v>155</v>
      </c>
      <c r="AQ271" s="421">
        <f t="shared" si="603"/>
        <v>130.90909090909091</v>
      </c>
    </row>
    <row r="272" spans="2:43" ht="7.8" customHeight="1" x14ac:dyDescent="0.25">
      <c r="B272" s="282"/>
      <c r="C272" s="404"/>
      <c r="D272" s="472" t="s">
        <v>44</v>
      </c>
      <c r="E272" s="425" t="s">
        <v>32</v>
      </c>
      <c r="F272" s="478">
        <f t="shared" ref="F272:Y274" si="604">IFERROR((F266-F263)/ABS(F263),"")</f>
        <v>7.6043737574552683E-2</v>
      </c>
      <c r="G272" s="478">
        <f t="shared" si="604"/>
        <v>-1</v>
      </c>
      <c r="H272" s="478">
        <f t="shared" si="604"/>
        <v>0.2711864406779661</v>
      </c>
      <c r="I272" s="479">
        <f t="shared" si="604"/>
        <v>0.93548387096774188</v>
      </c>
      <c r="J272" s="480">
        <f t="shared" si="604"/>
        <v>7</v>
      </c>
      <c r="K272" s="480">
        <f t="shared" si="604"/>
        <v>-0.31818181818181818</v>
      </c>
      <c r="L272" s="480" t="str">
        <f t="shared" si="604"/>
        <v/>
      </c>
      <c r="M272" s="481">
        <f t="shared" si="604"/>
        <v>-0.47368421052631576</v>
      </c>
      <c r="N272" s="478">
        <f t="shared" si="604"/>
        <v>0.32203389830508472</v>
      </c>
      <c r="O272" s="479">
        <f t="shared" si="604"/>
        <v>0.24378109452736318</v>
      </c>
      <c r="P272" s="480">
        <f t="shared" si="604"/>
        <v>1.173913043478261</v>
      </c>
      <c r="Q272" s="480">
        <f t="shared" si="604"/>
        <v>-0.1111111111111111</v>
      </c>
      <c r="R272" s="480" t="str">
        <f t="shared" si="604"/>
        <v/>
      </c>
      <c r="S272" s="481">
        <f t="shared" si="604"/>
        <v>-1</v>
      </c>
      <c r="T272" s="478">
        <f t="shared" si="604"/>
        <v>0.20103473762010349</v>
      </c>
      <c r="U272" s="479">
        <f t="shared" si="604"/>
        <v>0.86315789473684212</v>
      </c>
      <c r="V272" s="480">
        <f t="shared" si="604"/>
        <v>0.60253699788583515</v>
      </c>
      <c r="W272" s="480">
        <f t="shared" si="604"/>
        <v>-0.27181688125894132</v>
      </c>
      <c r="X272" s="480">
        <f t="shared" si="604"/>
        <v>-0.5</v>
      </c>
      <c r="Y272" s="482">
        <f t="shared" si="604"/>
        <v>6.4</v>
      </c>
      <c r="AA272" s="291"/>
      <c r="AB272" s="412"/>
      <c r="AC272" s="473" t="s">
        <v>44</v>
      </c>
      <c r="AD272" s="432" t="s">
        <v>32</v>
      </c>
      <c r="AE272" s="478">
        <f t="shared" ref="AE272:AQ274" si="605">IFERROR((AE266-AE263)/ABS(AE263),"")</f>
        <v>2.5622317596566524</v>
      </c>
      <c r="AF272" s="479" t="str">
        <f t="shared" si="605"/>
        <v/>
      </c>
      <c r="AG272" s="480" t="str">
        <f t="shared" si="605"/>
        <v/>
      </c>
      <c r="AH272" s="480" t="str">
        <f t="shared" si="605"/>
        <v/>
      </c>
      <c r="AI272" s="480">
        <f t="shared" si="605"/>
        <v>7</v>
      </c>
      <c r="AJ272" s="480">
        <f t="shared" si="605"/>
        <v>0.66666666666666663</v>
      </c>
      <c r="AK272" s="480">
        <f t="shared" si="605"/>
        <v>2</v>
      </c>
      <c r="AL272" s="480">
        <f t="shared" si="605"/>
        <v>-0.6875</v>
      </c>
      <c r="AM272" s="480">
        <f t="shared" si="605"/>
        <v>-0.42622950819672129</v>
      </c>
      <c r="AN272" s="480" t="str">
        <f t="shared" si="605"/>
        <v/>
      </c>
      <c r="AO272" s="480" t="str">
        <f t="shared" si="605"/>
        <v/>
      </c>
      <c r="AP272" s="480" t="str">
        <f t="shared" si="605"/>
        <v/>
      </c>
      <c r="AQ272" s="482" t="str">
        <f t="shared" si="605"/>
        <v/>
      </c>
    </row>
    <row r="273" spans="1:43" ht="7.8" customHeight="1" x14ac:dyDescent="0.25">
      <c r="B273" s="282"/>
      <c r="C273" s="404"/>
      <c r="D273" s="405"/>
      <c r="E273" s="483" t="s">
        <v>33</v>
      </c>
      <c r="F273" s="484">
        <f t="shared" si="604"/>
        <v>2.5482209091890175E-2</v>
      </c>
      <c r="G273" s="484">
        <f t="shared" si="604"/>
        <v>-1</v>
      </c>
      <c r="H273" s="484">
        <f t="shared" si="604"/>
        <v>0.22879695459889157</v>
      </c>
      <c r="I273" s="485">
        <f t="shared" si="604"/>
        <v>0.89089328406868074</v>
      </c>
      <c r="J273" s="486">
        <f t="shared" si="604"/>
        <v>6.7333333333333334</v>
      </c>
      <c r="K273" s="486">
        <f t="shared" si="604"/>
        <v>-0.33648566198901769</v>
      </c>
      <c r="L273" s="486" t="str">
        <f t="shared" si="604"/>
        <v/>
      </c>
      <c r="M273" s="487">
        <f t="shared" si="604"/>
        <v>-0.47951645399597043</v>
      </c>
      <c r="N273" s="484">
        <f t="shared" si="604"/>
        <v>0.30639182714040319</v>
      </c>
      <c r="O273" s="485">
        <f t="shared" si="604"/>
        <v>0.23713380839271575</v>
      </c>
      <c r="P273" s="486">
        <f t="shared" si="604"/>
        <v>1.1229868228404098</v>
      </c>
      <c r="Q273" s="486">
        <f t="shared" si="604"/>
        <v>-0.13043478260869565</v>
      </c>
      <c r="R273" s="486" t="str">
        <f t="shared" si="604"/>
        <v/>
      </c>
      <c r="S273" s="487">
        <f t="shared" si="604"/>
        <v>-1</v>
      </c>
      <c r="T273" s="484">
        <f t="shared" si="604"/>
        <v>0.12936916287872782</v>
      </c>
      <c r="U273" s="485">
        <f t="shared" si="604"/>
        <v>0.59515300079307032</v>
      </c>
      <c r="V273" s="486">
        <f t="shared" si="604"/>
        <v>0.49268806453026814</v>
      </c>
      <c r="W273" s="486">
        <f t="shared" si="604"/>
        <v>-0.35280402095126506</v>
      </c>
      <c r="X273" s="486">
        <f t="shared" si="604"/>
        <v>-0.39875910971045891</v>
      </c>
      <c r="Y273" s="488">
        <f t="shared" si="604"/>
        <v>13.668848344095101</v>
      </c>
      <c r="AA273" s="291"/>
      <c r="AB273" s="412"/>
      <c r="AC273" s="475"/>
      <c r="AD273" s="489" t="s">
        <v>33</v>
      </c>
      <c r="AE273" s="484">
        <f t="shared" si="605"/>
        <v>2.1449139125272114</v>
      </c>
      <c r="AF273" s="485" t="str">
        <f t="shared" si="605"/>
        <v/>
      </c>
      <c r="AG273" s="486" t="str">
        <f t="shared" si="605"/>
        <v/>
      </c>
      <c r="AH273" s="486" t="str">
        <f t="shared" si="605"/>
        <v/>
      </c>
      <c r="AI273" s="486">
        <f t="shared" si="605"/>
        <v>6.7333333333333334</v>
      </c>
      <c r="AJ273" s="486">
        <f t="shared" si="605"/>
        <v>0.66666666666666663</v>
      </c>
      <c r="AK273" s="486">
        <f t="shared" si="605"/>
        <v>1.927710843373494</v>
      </c>
      <c r="AL273" s="486">
        <f t="shared" si="605"/>
        <v>-0.6875</v>
      </c>
      <c r="AM273" s="486">
        <f t="shared" si="605"/>
        <v>-0.44993990940186745</v>
      </c>
      <c r="AN273" s="486" t="str">
        <f t="shared" si="605"/>
        <v/>
      </c>
      <c r="AO273" s="486" t="str">
        <f t="shared" si="605"/>
        <v/>
      </c>
      <c r="AP273" s="486" t="str">
        <f t="shared" si="605"/>
        <v/>
      </c>
      <c r="AQ273" s="488" t="str">
        <f t="shared" si="605"/>
        <v/>
      </c>
    </row>
    <row r="274" spans="1:43" ht="7.8" customHeight="1" x14ac:dyDescent="0.25">
      <c r="B274" s="282"/>
      <c r="C274" s="502"/>
      <c r="D274" s="503"/>
      <c r="E274" s="504" t="s">
        <v>30</v>
      </c>
      <c r="F274" s="505">
        <f t="shared" si="604"/>
        <v>-4.6988358109522774E-2</v>
      </c>
      <c r="G274" s="505">
        <f t="shared" si="604"/>
        <v>-1</v>
      </c>
      <c r="H274" s="505">
        <f t="shared" si="604"/>
        <v>-3.334639571553849E-2</v>
      </c>
      <c r="I274" s="506">
        <f t="shared" si="604"/>
        <v>-2.3038469897848215E-2</v>
      </c>
      <c r="J274" s="507">
        <f t="shared" si="604"/>
        <v>-3.3333333333333333E-2</v>
      </c>
      <c r="K274" s="507">
        <f t="shared" si="604"/>
        <v>-2.6845637583892617E-2</v>
      </c>
      <c r="L274" s="507" t="str">
        <f t="shared" si="604"/>
        <v/>
      </c>
      <c r="M274" s="508">
        <f t="shared" si="604"/>
        <v>-1.1081262592343807E-2</v>
      </c>
      <c r="N274" s="505">
        <f t="shared" si="604"/>
        <v>-1.1831823060464325E-2</v>
      </c>
      <c r="O274" s="506">
        <f t="shared" si="604"/>
        <v>-5.3444180522565794E-3</v>
      </c>
      <c r="P274" s="507">
        <f t="shared" si="604"/>
        <v>-2.3426061493411428E-2</v>
      </c>
      <c r="Q274" s="507">
        <f t="shared" si="604"/>
        <v>-2.173913043478265E-2</v>
      </c>
      <c r="R274" s="507" t="str">
        <f t="shared" si="604"/>
        <v/>
      </c>
      <c r="S274" s="508">
        <f t="shared" si="604"/>
        <v>-1</v>
      </c>
      <c r="T274" s="505">
        <f t="shared" si="604"/>
        <v>-5.9669860076973197E-2</v>
      </c>
      <c r="U274" s="506">
        <f t="shared" si="604"/>
        <v>-0.14384443460258931</v>
      </c>
      <c r="V274" s="507">
        <f t="shared" si="604"/>
        <v>-6.8546893769370898E-2</v>
      </c>
      <c r="W274" s="507">
        <f t="shared" si="604"/>
        <v>-0.11121809556961557</v>
      </c>
      <c r="X274" s="507">
        <f t="shared" si="604"/>
        <v>0.20248178057908217</v>
      </c>
      <c r="Y274" s="509">
        <f t="shared" si="604"/>
        <v>0.98227680325609468</v>
      </c>
      <c r="AA274" s="291"/>
      <c r="AB274" s="510"/>
      <c r="AC274" s="511"/>
      <c r="AD274" s="512" t="s">
        <v>30</v>
      </c>
      <c r="AE274" s="505">
        <f t="shared" si="605"/>
        <v>-0.11715067274838523</v>
      </c>
      <c r="AF274" s="506" t="str">
        <f t="shared" si="605"/>
        <v/>
      </c>
      <c r="AG274" s="507" t="str">
        <f t="shared" si="605"/>
        <v/>
      </c>
      <c r="AH274" s="507" t="str">
        <f t="shared" si="605"/>
        <v/>
      </c>
      <c r="AI274" s="507">
        <f t="shared" si="605"/>
        <v>-3.3333333333333333E-2</v>
      </c>
      <c r="AJ274" s="507">
        <f t="shared" si="605"/>
        <v>0</v>
      </c>
      <c r="AK274" s="507">
        <f t="shared" si="605"/>
        <v>-2.4096385542168676E-2</v>
      </c>
      <c r="AL274" s="507">
        <f t="shared" si="605"/>
        <v>0</v>
      </c>
      <c r="AM274" s="507">
        <f t="shared" si="605"/>
        <v>-4.1323842100397461E-2</v>
      </c>
      <c r="AN274" s="507" t="str">
        <f t="shared" si="605"/>
        <v/>
      </c>
      <c r="AO274" s="507" t="str">
        <f t="shared" si="605"/>
        <v/>
      </c>
      <c r="AP274" s="507" t="str">
        <f t="shared" si="605"/>
        <v/>
      </c>
      <c r="AQ274" s="509" t="str">
        <f t="shared" si="605"/>
        <v/>
      </c>
    </row>
    <row r="275" spans="1:43" ht="7.8" customHeight="1" x14ac:dyDescent="0.25">
      <c r="B275" s="282" t="s">
        <v>56</v>
      </c>
      <c r="C275" s="283" t="s">
        <v>9</v>
      </c>
      <c r="D275" s="284" t="s">
        <v>39</v>
      </c>
      <c r="E275" s="285" t="s">
        <v>32</v>
      </c>
      <c r="F275" s="286">
        <f t="shared" ref="F275:F276" si="606">SUM(G275,H275,N275,T275)</f>
        <v>0</v>
      </c>
      <c r="G275" s="286">
        <f t="shared" ref="G275:G330" si="607">SUM(G293,G311)</f>
        <v>0</v>
      </c>
      <c r="H275" s="286">
        <f t="shared" ref="H275:H276" si="608">SUM(I275:M275)</f>
        <v>0</v>
      </c>
      <c r="I275" s="287">
        <f t="shared" ref="I275:M276" si="609">SUM(I293,I311)</f>
        <v>0</v>
      </c>
      <c r="J275" s="288">
        <f t="shared" si="609"/>
        <v>0</v>
      </c>
      <c r="K275" s="288">
        <f t="shared" si="609"/>
        <v>0</v>
      </c>
      <c r="L275" s="288">
        <f t="shared" si="609"/>
        <v>0</v>
      </c>
      <c r="M275" s="289">
        <f t="shared" si="609"/>
        <v>0</v>
      </c>
      <c r="N275" s="286">
        <f t="shared" ref="N275:N276" si="610">SUM(O275:S275)</f>
        <v>0</v>
      </c>
      <c r="O275" s="287">
        <f t="shared" ref="O275:S276" si="611">SUM(O293,O311)</f>
        <v>0</v>
      </c>
      <c r="P275" s="288">
        <f t="shared" si="611"/>
        <v>0</v>
      </c>
      <c r="Q275" s="288">
        <f t="shared" si="611"/>
        <v>0</v>
      </c>
      <c r="R275" s="288">
        <f t="shared" si="611"/>
        <v>0</v>
      </c>
      <c r="S275" s="289">
        <f t="shared" si="611"/>
        <v>0</v>
      </c>
      <c r="T275" s="286">
        <f t="shared" ref="T275:T276" si="612">SUM(U275:Y275)</f>
        <v>0</v>
      </c>
      <c r="U275" s="287">
        <f t="shared" ref="U275:Y276" si="613">SUM(U293,U311)</f>
        <v>0</v>
      </c>
      <c r="V275" s="288">
        <f t="shared" si="613"/>
        <v>0</v>
      </c>
      <c r="W275" s="288">
        <f t="shared" si="613"/>
        <v>0</v>
      </c>
      <c r="X275" s="288">
        <f t="shared" si="613"/>
        <v>0</v>
      </c>
      <c r="Y275" s="290">
        <f t="shared" si="613"/>
        <v>0</v>
      </c>
      <c r="AA275" s="291" t="s">
        <v>57</v>
      </c>
      <c r="AB275" s="292" t="s">
        <v>9</v>
      </c>
      <c r="AC275" s="293" t="s">
        <v>39</v>
      </c>
      <c r="AD275" s="294" t="s">
        <v>32</v>
      </c>
      <c r="AE275" s="286">
        <f t="shared" ref="AE275:AE276" si="614">SUM(AF275:AQ275)</f>
        <v>0</v>
      </c>
      <c r="AF275" s="287">
        <f t="shared" ref="AF275:AQ276" si="615">SUM(AF293,AF311)</f>
        <v>0</v>
      </c>
      <c r="AG275" s="288">
        <f t="shared" si="615"/>
        <v>0</v>
      </c>
      <c r="AH275" s="288">
        <f t="shared" si="615"/>
        <v>0</v>
      </c>
      <c r="AI275" s="288">
        <f t="shared" si="615"/>
        <v>0</v>
      </c>
      <c r="AJ275" s="288">
        <f t="shared" si="615"/>
        <v>0</v>
      </c>
      <c r="AK275" s="288">
        <f t="shared" si="615"/>
        <v>0</v>
      </c>
      <c r="AL275" s="288">
        <f t="shared" si="615"/>
        <v>0</v>
      </c>
      <c r="AM275" s="288">
        <f t="shared" si="615"/>
        <v>0</v>
      </c>
      <c r="AN275" s="288">
        <f t="shared" si="615"/>
        <v>0</v>
      </c>
      <c r="AO275" s="288">
        <f t="shared" si="615"/>
        <v>0</v>
      </c>
      <c r="AP275" s="288">
        <f t="shared" si="615"/>
        <v>0</v>
      </c>
      <c r="AQ275" s="290">
        <f t="shared" si="615"/>
        <v>0</v>
      </c>
    </row>
    <row r="276" spans="1:43" s="41" customFormat="1" ht="7.8" customHeight="1" x14ac:dyDescent="0.25">
      <c r="B276" s="282"/>
      <c r="C276" s="295"/>
      <c r="D276" s="296"/>
      <c r="E276" s="297" t="s">
        <v>33</v>
      </c>
      <c r="F276" s="298">
        <f t="shared" si="606"/>
        <v>0</v>
      </c>
      <c r="G276" s="298">
        <f t="shared" si="607"/>
        <v>0</v>
      </c>
      <c r="H276" s="298">
        <f t="shared" si="608"/>
        <v>0</v>
      </c>
      <c r="I276" s="299">
        <f t="shared" si="609"/>
        <v>0</v>
      </c>
      <c r="J276" s="300">
        <f t="shared" si="609"/>
        <v>0</v>
      </c>
      <c r="K276" s="300">
        <f t="shared" si="609"/>
        <v>0</v>
      </c>
      <c r="L276" s="300">
        <f t="shared" si="609"/>
        <v>0</v>
      </c>
      <c r="M276" s="301">
        <f t="shared" si="609"/>
        <v>0</v>
      </c>
      <c r="N276" s="298">
        <f t="shared" si="610"/>
        <v>0</v>
      </c>
      <c r="O276" s="299">
        <f t="shared" si="611"/>
        <v>0</v>
      </c>
      <c r="P276" s="300">
        <f t="shared" si="611"/>
        <v>0</v>
      </c>
      <c r="Q276" s="300">
        <f t="shared" si="611"/>
        <v>0</v>
      </c>
      <c r="R276" s="300">
        <f t="shared" si="611"/>
        <v>0</v>
      </c>
      <c r="S276" s="301">
        <f t="shared" si="611"/>
        <v>0</v>
      </c>
      <c r="T276" s="298">
        <f t="shared" si="612"/>
        <v>0</v>
      </c>
      <c r="U276" s="299">
        <f t="shared" si="613"/>
        <v>0</v>
      </c>
      <c r="V276" s="300">
        <f t="shared" si="613"/>
        <v>0</v>
      </c>
      <c r="W276" s="300">
        <f t="shared" si="613"/>
        <v>0</v>
      </c>
      <c r="X276" s="300">
        <f t="shared" si="613"/>
        <v>0</v>
      </c>
      <c r="Y276" s="302">
        <f t="shared" si="613"/>
        <v>0</v>
      </c>
      <c r="AA276" s="291"/>
      <c r="AB276" s="303"/>
      <c r="AC276" s="304"/>
      <c r="AD276" s="305" t="s">
        <v>33</v>
      </c>
      <c r="AE276" s="298">
        <f t="shared" si="614"/>
        <v>0</v>
      </c>
      <c r="AF276" s="299">
        <f t="shared" si="615"/>
        <v>0</v>
      </c>
      <c r="AG276" s="300">
        <f t="shared" si="615"/>
        <v>0</v>
      </c>
      <c r="AH276" s="300">
        <f t="shared" si="615"/>
        <v>0</v>
      </c>
      <c r="AI276" s="300">
        <f t="shared" si="615"/>
        <v>0</v>
      </c>
      <c r="AJ276" s="300">
        <f t="shared" si="615"/>
        <v>0</v>
      </c>
      <c r="AK276" s="300">
        <f t="shared" si="615"/>
        <v>0</v>
      </c>
      <c r="AL276" s="300">
        <f t="shared" si="615"/>
        <v>0</v>
      </c>
      <c r="AM276" s="300">
        <f t="shared" si="615"/>
        <v>0</v>
      </c>
      <c r="AN276" s="300">
        <f t="shared" si="615"/>
        <v>0</v>
      </c>
      <c r="AO276" s="300">
        <f t="shared" si="615"/>
        <v>0</v>
      </c>
      <c r="AP276" s="300">
        <f t="shared" si="615"/>
        <v>0</v>
      </c>
      <c r="AQ276" s="302">
        <f t="shared" si="615"/>
        <v>0</v>
      </c>
    </row>
    <row r="277" spans="1:43" ht="7.8" customHeight="1" x14ac:dyDescent="0.25">
      <c r="B277" s="282"/>
      <c r="C277" s="295"/>
      <c r="D277" s="306"/>
      <c r="E277" s="307" t="s">
        <v>30</v>
      </c>
      <c r="F277" s="308">
        <f t="shared" ref="F277:Y331" si="616">IFERROR(F276/F275,0)</f>
        <v>0</v>
      </c>
      <c r="G277" s="308">
        <f t="shared" si="616"/>
        <v>0</v>
      </c>
      <c r="H277" s="308">
        <f t="shared" si="616"/>
        <v>0</v>
      </c>
      <c r="I277" s="309">
        <f t="shared" si="616"/>
        <v>0</v>
      </c>
      <c r="J277" s="310">
        <f t="shared" si="616"/>
        <v>0</v>
      </c>
      <c r="K277" s="310">
        <f t="shared" si="616"/>
        <v>0</v>
      </c>
      <c r="L277" s="310">
        <f t="shared" si="616"/>
        <v>0</v>
      </c>
      <c r="M277" s="311">
        <f t="shared" si="616"/>
        <v>0</v>
      </c>
      <c r="N277" s="308">
        <f t="shared" si="616"/>
        <v>0</v>
      </c>
      <c r="O277" s="309">
        <f t="shared" si="616"/>
        <v>0</v>
      </c>
      <c r="P277" s="310">
        <f t="shared" si="616"/>
        <v>0</v>
      </c>
      <c r="Q277" s="310">
        <f t="shared" si="616"/>
        <v>0</v>
      </c>
      <c r="R277" s="310">
        <f t="shared" si="616"/>
        <v>0</v>
      </c>
      <c r="S277" s="311">
        <f t="shared" si="616"/>
        <v>0</v>
      </c>
      <c r="T277" s="308">
        <f t="shared" si="616"/>
        <v>0</v>
      </c>
      <c r="U277" s="309">
        <f t="shared" si="616"/>
        <v>0</v>
      </c>
      <c r="V277" s="310">
        <f t="shared" si="616"/>
        <v>0</v>
      </c>
      <c r="W277" s="310">
        <f t="shared" si="616"/>
        <v>0</v>
      </c>
      <c r="X277" s="310">
        <f t="shared" si="616"/>
        <v>0</v>
      </c>
      <c r="Y277" s="312">
        <f t="shared" si="616"/>
        <v>0</v>
      </c>
      <c r="AA277" s="291"/>
      <c r="AB277" s="303"/>
      <c r="AC277" s="313"/>
      <c r="AD277" s="314" t="s">
        <v>30</v>
      </c>
      <c r="AE277" s="308">
        <f t="shared" ref="AE277:AQ277" si="617">IFERROR(AE276/AE275,0)</f>
        <v>0</v>
      </c>
      <c r="AF277" s="309">
        <f t="shared" si="617"/>
        <v>0</v>
      </c>
      <c r="AG277" s="310">
        <f t="shared" si="617"/>
        <v>0</v>
      </c>
      <c r="AH277" s="310">
        <f t="shared" si="617"/>
        <v>0</v>
      </c>
      <c r="AI277" s="310">
        <f t="shared" si="617"/>
        <v>0</v>
      </c>
      <c r="AJ277" s="310">
        <f t="shared" si="617"/>
        <v>0</v>
      </c>
      <c r="AK277" s="310">
        <f t="shared" si="617"/>
        <v>0</v>
      </c>
      <c r="AL277" s="310">
        <f t="shared" si="617"/>
        <v>0</v>
      </c>
      <c r="AM277" s="310">
        <f t="shared" si="617"/>
        <v>0</v>
      </c>
      <c r="AN277" s="310">
        <f t="shared" si="617"/>
        <v>0</v>
      </c>
      <c r="AO277" s="310">
        <f t="shared" si="617"/>
        <v>0</v>
      </c>
      <c r="AP277" s="310">
        <f t="shared" si="617"/>
        <v>0</v>
      </c>
      <c r="AQ277" s="312">
        <f t="shared" si="617"/>
        <v>0</v>
      </c>
    </row>
    <row r="278" spans="1:43" ht="7.8" customHeight="1" x14ac:dyDescent="0.25">
      <c r="A278" s="526"/>
      <c r="B278" s="282"/>
      <c r="C278" s="295"/>
      <c r="D278" s="315" t="s">
        <v>40</v>
      </c>
      <c r="E278" s="316" t="s">
        <v>32</v>
      </c>
      <c r="F278" s="317">
        <f t="shared" ref="F278:F279" si="618">SUM(G278,H278,N278,T278)</f>
        <v>7545</v>
      </c>
      <c r="G278" s="317">
        <f t="shared" si="516"/>
        <v>1045</v>
      </c>
      <c r="H278" s="317">
        <f t="shared" ref="H278:H279" si="619">SUM(I278:M278)</f>
        <v>246</v>
      </c>
      <c r="I278" s="318">
        <f t="shared" ref="I278:M279" si="620">SUM(I296,I314)</f>
        <v>205</v>
      </c>
      <c r="J278" s="319">
        <f t="shared" si="620"/>
        <v>0</v>
      </c>
      <c r="K278" s="319">
        <f t="shared" si="620"/>
        <v>0</v>
      </c>
      <c r="L278" s="319">
        <f t="shared" si="620"/>
        <v>0</v>
      </c>
      <c r="M278" s="320">
        <f t="shared" si="620"/>
        <v>41</v>
      </c>
      <c r="N278" s="317">
        <f t="shared" ref="N278:N279" si="621">SUM(O278:S278)</f>
        <v>1647</v>
      </c>
      <c r="O278" s="318">
        <f t="shared" ref="O278:S279" si="622">SUM(O296,O314)</f>
        <v>889</v>
      </c>
      <c r="P278" s="319">
        <f t="shared" si="622"/>
        <v>645</v>
      </c>
      <c r="Q278" s="319">
        <f t="shared" si="622"/>
        <v>103</v>
      </c>
      <c r="R278" s="319">
        <f t="shared" si="622"/>
        <v>0</v>
      </c>
      <c r="S278" s="320">
        <f t="shared" si="622"/>
        <v>10</v>
      </c>
      <c r="T278" s="317">
        <f t="shared" ref="T278:T279" si="623">SUM(U278:Y278)</f>
        <v>4607</v>
      </c>
      <c r="U278" s="318">
        <f t="shared" ref="U278:Y279" si="624">SUM(U296,U314)</f>
        <v>387</v>
      </c>
      <c r="V278" s="319">
        <f t="shared" si="624"/>
        <v>1236</v>
      </c>
      <c r="W278" s="319">
        <f t="shared" si="624"/>
        <v>2516</v>
      </c>
      <c r="X278" s="319">
        <f t="shared" si="624"/>
        <v>146</v>
      </c>
      <c r="Y278" s="321">
        <f t="shared" si="624"/>
        <v>322</v>
      </c>
      <c r="Z278" s="526"/>
      <c r="AA278" s="291"/>
      <c r="AB278" s="303"/>
      <c r="AC278" s="322" t="s">
        <v>40</v>
      </c>
      <c r="AD278" s="323" t="s">
        <v>32</v>
      </c>
      <c r="AE278" s="317">
        <f t="shared" ref="AE278:AE279" si="625">SUM(AF278:AQ278)</f>
        <v>559</v>
      </c>
      <c r="AF278" s="318">
        <f t="shared" ref="AF278:AQ279" si="626">SUM(AF296,AF314)</f>
        <v>20</v>
      </c>
      <c r="AG278" s="319">
        <f t="shared" si="626"/>
        <v>20</v>
      </c>
      <c r="AH278" s="319">
        <f t="shared" si="626"/>
        <v>0</v>
      </c>
      <c r="AI278" s="319">
        <f t="shared" si="626"/>
        <v>0</v>
      </c>
      <c r="AJ278" s="319">
        <f t="shared" si="626"/>
        <v>0</v>
      </c>
      <c r="AK278" s="319">
        <f t="shared" si="626"/>
        <v>51</v>
      </c>
      <c r="AL278" s="319">
        <f t="shared" si="626"/>
        <v>309</v>
      </c>
      <c r="AM278" s="319">
        <f t="shared" si="626"/>
        <v>0</v>
      </c>
      <c r="AN278" s="319">
        <f t="shared" si="626"/>
        <v>51</v>
      </c>
      <c r="AO278" s="319">
        <f t="shared" si="626"/>
        <v>0</v>
      </c>
      <c r="AP278" s="319">
        <f t="shared" si="626"/>
        <v>44</v>
      </c>
      <c r="AQ278" s="321">
        <f t="shared" si="626"/>
        <v>64</v>
      </c>
    </row>
    <row r="279" spans="1:43" s="41" customFormat="1" ht="7.8" customHeight="1" x14ac:dyDescent="0.25">
      <c r="A279" s="529"/>
      <c r="B279" s="282"/>
      <c r="C279" s="295"/>
      <c r="D279" s="296"/>
      <c r="E279" s="297" t="s">
        <v>33</v>
      </c>
      <c r="F279" s="298">
        <f t="shared" si="618"/>
        <v>1167234</v>
      </c>
      <c r="G279" s="298">
        <f t="shared" si="516"/>
        <v>163020</v>
      </c>
      <c r="H279" s="298">
        <f t="shared" si="619"/>
        <v>35470</v>
      </c>
      <c r="I279" s="299">
        <f t="shared" si="620"/>
        <v>29115</v>
      </c>
      <c r="J279" s="300">
        <f t="shared" si="620"/>
        <v>0</v>
      </c>
      <c r="K279" s="300">
        <f t="shared" si="620"/>
        <v>0</v>
      </c>
      <c r="L279" s="300">
        <f t="shared" si="620"/>
        <v>0</v>
      </c>
      <c r="M279" s="301">
        <f t="shared" si="620"/>
        <v>6355</v>
      </c>
      <c r="N279" s="298">
        <f t="shared" si="621"/>
        <v>236445</v>
      </c>
      <c r="O279" s="299">
        <f t="shared" si="622"/>
        <v>129080</v>
      </c>
      <c r="P279" s="300">
        <f t="shared" si="622"/>
        <v>91410</v>
      </c>
      <c r="Q279" s="300">
        <f t="shared" si="622"/>
        <v>14585</v>
      </c>
      <c r="R279" s="300">
        <f t="shared" si="622"/>
        <v>0</v>
      </c>
      <c r="S279" s="301">
        <f t="shared" si="622"/>
        <v>1370</v>
      </c>
      <c r="T279" s="298">
        <f t="shared" si="623"/>
        <v>732299</v>
      </c>
      <c r="U279" s="299">
        <f t="shared" si="624"/>
        <v>76352.009999999995</v>
      </c>
      <c r="V279" s="300">
        <f t="shared" si="624"/>
        <v>198434.75999999998</v>
      </c>
      <c r="W279" s="300">
        <f t="shared" si="624"/>
        <v>392551.2300000001</v>
      </c>
      <c r="X279" s="300">
        <f t="shared" si="624"/>
        <v>22133</v>
      </c>
      <c r="Y279" s="302">
        <f t="shared" si="624"/>
        <v>42828</v>
      </c>
      <c r="Z279" s="529"/>
      <c r="AA279" s="291"/>
      <c r="AB279" s="303"/>
      <c r="AC279" s="304"/>
      <c r="AD279" s="305" t="s">
        <v>33</v>
      </c>
      <c r="AE279" s="298">
        <f t="shared" si="625"/>
        <v>99235</v>
      </c>
      <c r="AF279" s="299">
        <f t="shared" si="626"/>
        <v>3820</v>
      </c>
      <c r="AG279" s="300">
        <f t="shared" si="626"/>
        <v>3770</v>
      </c>
      <c r="AH279" s="300">
        <f t="shared" si="626"/>
        <v>0</v>
      </c>
      <c r="AI279" s="300">
        <f t="shared" si="626"/>
        <v>0</v>
      </c>
      <c r="AJ279" s="300">
        <f t="shared" si="626"/>
        <v>0</v>
      </c>
      <c r="AK279" s="300">
        <f t="shared" si="626"/>
        <v>9435</v>
      </c>
      <c r="AL279" s="300">
        <f t="shared" si="626"/>
        <v>57669</v>
      </c>
      <c r="AM279" s="300">
        <f t="shared" si="626"/>
        <v>0</v>
      </c>
      <c r="AN279" s="300">
        <f t="shared" si="626"/>
        <v>7905</v>
      </c>
      <c r="AO279" s="300">
        <f t="shared" si="626"/>
        <v>0</v>
      </c>
      <c r="AP279" s="300">
        <f t="shared" si="626"/>
        <v>6556</v>
      </c>
      <c r="AQ279" s="302">
        <f t="shared" si="626"/>
        <v>10080</v>
      </c>
    </row>
    <row r="280" spans="1:43" ht="7.8" customHeight="1" x14ac:dyDescent="0.25">
      <c r="A280" s="526"/>
      <c r="B280" s="282"/>
      <c r="C280" s="295"/>
      <c r="D280" s="306"/>
      <c r="E280" s="307" t="s">
        <v>30</v>
      </c>
      <c r="F280" s="308">
        <f t="shared" ref="F280:Y334" si="627">IFERROR(F279/F278,0)</f>
        <v>154.70298210735587</v>
      </c>
      <c r="G280" s="308">
        <f t="shared" si="627"/>
        <v>156</v>
      </c>
      <c r="H280" s="308">
        <f t="shared" si="627"/>
        <v>144.1869918699187</v>
      </c>
      <c r="I280" s="309">
        <f t="shared" si="627"/>
        <v>142.02439024390245</v>
      </c>
      <c r="J280" s="310">
        <f t="shared" si="627"/>
        <v>0</v>
      </c>
      <c r="K280" s="310">
        <f t="shared" si="627"/>
        <v>0</v>
      </c>
      <c r="L280" s="310">
        <f t="shared" si="627"/>
        <v>0</v>
      </c>
      <c r="M280" s="311">
        <f t="shared" si="627"/>
        <v>155</v>
      </c>
      <c r="N280" s="308">
        <f t="shared" si="627"/>
        <v>143.56102003642988</v>
      </c>
      <c r="O280" s="309">
        <f t="shared" si="627"/>
        <v>145.1968503937008</v>
      </c>
      <c r="P280" s="310">
        <f t="shared" si="627"/>
        <v>141.72093023255815</v>
      </c>
      <c r="Q280" s="310">
        <f t="shared" si="627"/>
        <v>141.60194174757282</v>
      </c>
      <c r="R280" s="310">
        <f t="shared" si="627"/>
        <v>0</v>
      </c>
      <c r="S280" s="311">
        <f t="shared" si="627"/>
        <v>137</v>
      </c>
      <c r="T280" s="308">
        <f t="shared" si="627"/>
        <v>158.95354894725418</v>
      </c>
      <c r="U280" s="309">
        <f t="shared" si="627"/>
        <v>197.29201550387594</v>
      </c>
      <c r="V280" s="310">
        <f t="shared" si="627"/>
        <v>160.54592233009708</v>
      </c>
      <c r="W280" s="310">
        <f t="shared" si="627"/>
        <v>156.02195151033391</v>
      </c>
      <c r="X280" s="310">
        <f t="shared" si="627"/>
        <v>151.5958904109589</v>
      </c>
      <c r="Y280" s="312">
        <f t="shared" si="627"/>
        <v>133.00621118012421</v>
      </c>
      <c r="Z280" s="526"/>
      <c r="AA280" s="291"/>
      <c r="AB280" s="303"/>
      <c r="AC280" s="313"/>
      <c r="AD280" s="314" t="s">
        <v>30</v>
      </c>
      <c r="AE280" s="308">
        <f t="shared" ref="AE280:AQ280" si="628">IFERROR(AE279/AE278,0)</f>
        <v>177.52236135957065</v>
      </c>
      <c r="AF280" s="309">
        <f t="shared" si="628"/>
        <v>191</v>
      </c>
      <c r="AG280" s="310">
        <f t="shared" si="628"/>
        <v>188.5</v>
      </c>
      <c r="AH280" s="310">
        <f t="shared" si="628"/>
        <v>0</v>
      </c>
      <c r="AI280" s="310">
        <f t="shared" si="628"/>
        <v>0</v>
      </c>
      <c r="AJ280" s="310">
        <f t="shared" si="628"/>
        <v>0</v>
      </c>
      <c r="AK280" s="310">
        <f t="shared" si="628"/>
        <v>185</v>
      </c>
      <c r="AL280" s="310">
        <f t="shared" si="628"/>
        <v>186.63106796116506</v>
      </c>
      <c r="AM280" s="310">
        <f t="shared" si="628"/>
        <v>0</v>
      </c>
      <c r="AN280" s="310">
        <f t="shared" si="628"/>
        <v>155</v>
      </c>
      <c r="AO280" s="310">
        <f t="shared" si="628"/>
        <v>0</v>
      </c>
      <c r="AP280" s="310">
        <f t="shared" si="628"/>
        <v>149</v>
      </c>
      <c r="AQ280" s="312">
        <f t="shared" si="628"/>
        <v>157.5</v>
      </c>
    </row>
    <row r="281" spans="1:43" ht="7.8" customHeight="1" x14ac:dyDescent="0.25">
      <c r="B281" s="282"/>
      <c r="C281" s="295"/>
      <c r="D281" s="315" t="s">
        <v>41</v>
      </c>
      <c r="E281" s="316" t="s">
        <v>32</v>
      </c>
      <c r="F281" s="317">
        <f t="shared" ref="F281:F282" si="629">SUM(G281,H281,N281,T281)</f>
        <v>7688</v>
      </c>
      <c r="G281" s="317">
        <f t="shared" si="527"/>
        <v>954</v>
      </c>
      <c r="H281" s="317">
        <f t="shared" ref="H281:H282" si="630">SUM(I281:M281)</f>
        <v>241</v>
      </c>
      <c r="I281" s="318">
        <f t="shared" ref="I281:M282" si="631">SUM(I299,I317)</f>
        <v>75</v>
      </c>
      <c r="J281" s="319">
        <f t="shared" si="631"/>
        <v>12</v>
      </c>
      <c r="K281" s="319">
        <f t="shared" si="631"/>
        <v>121</v>
      </c>
      <c r="L281" s="319">
        <f t="shared" si="631"/>
        <v>0</v>
      </c>
      <c r="M281" s="320">
        <f t="shared" si="631"/>
        <v>33</v>
      </c>
      <c r="N281" s="317">
        <f t="shared" ref="N281:N282" si="632">SUM(O281:S281)</f>
        <v>1241</v>
      </c>
      <c r="O281" s="318">
        <f t="shared" ref="O281:S282" si="633">SUM(O299,O317)</f>
        <v>820</v>
      </c>
      <c r="P281" s="319">
        <f t="shared" si="633"/>
        <v>209</v>
      </c>
      <c r="Q281" s="319">
        <f t="shared" si="633"/>
        <v>185</v>
      </c>
      <c r="R281" s="319">
        <f t="shared" si="633"/>
        <v>0</v>
      </c>
      <c r="S281" s="320">
        <f t="shared" si="633"/>
        <v>27</v>
      </c>
      <c r="T281" s="317">
        <f t="shared" ref="T281:T282" si="634">SUM(U281:Y281)</f>
        <v>5252</v>
      </c>
      <c r="U281" s="318">
        <f t="shared" ref="U281:Y282" si="635">SUM(U299,U317)</f>
        <v>357</v>
      </c>
      <c r="V281" s="319">
        <f t="shared" si="635"/>
        <v>2766</v>
      </c>
      <c r="W281" s="319">
        <f t="shared" si="635"/>
        <v>1833</v>
      </c>
      <c r="X281" s="319">
        <f t="shared" si="635"/>
        <v>232</v>
      </c>
      <c r="Y281" s="321">
        <f t="shared" si="635"/>
        <v>64</v>
      </c>
      <c r="AA281" s="291"/>
      <c r="AB281" s="303"/>
      <c r="AC281" s="322" t="s">
        <v>41</v>
      </c>
      <c r="AD281" s="323" t="s">
        <v>32</v>
      </c>
      <c r="AE281" s="317">
        <f t="shared" ref="AE281:AE282" si="636">SUM(AF281:AQ281)</f>
        <v>324</v>
      </c>
      <c r="AF281" s="318">
        <f t="shared" ref="AF281:AQ282" si="637">SUM(AF299,AF317)</f>
        <v>0</v>
      </c>
      <c r="AG281" s="319">
        <f t="shared" si="637"/>
        <v>12</v>
      </c>
      <c r="AH281" s="319">
        <f t="shared" si="637"/>
        <v>38</v>
      </c>
      <c r="AI281" s="319">
        <f t="shared" si="637"/>
        <v>103</v>
      </c>
      <c r="AJ281" s="319">
        <f t="shared" si="637"/>
        <v>121</v>
      </c>
      <c r="AK281" s="319">
        <f t="shared" si="637"/>
        <v>50</v>
      </c>
      <c r="AL281" s="319">
        <f t="shared" si="637"/>
        <v>0</v>
      </c>
      <c r="AM281" s="319">
        <f t="shared" si="637"/>
        <v>0</v>
      </c>
      <c r="AN281" s="319">
        <f t="shared" si="637"/>
        <v>0</v>
      </c>
      <c r="AO281" s="319">
        <f t="shared" si="637"/>
        <v>0</v>
      </c>
      <c r="AP281" s="319">
        <f t="shared" si="637"/>
        <v>0</v>
      </c>
      <c r="AQ281" s="321">
        <f t="shared" si="637"/>
        <v>0</v>
      </c>
    </row>
    <row r="282" spans="1:43" s="41" customFormat="1" ht="7.8" customHeight="1" x14ac:dyDescent="0.25">
      <c r="B282" s="282"/>
      <c r="C282" s="295"/>
      <c r="D282" s="296"/>
      <c r="E282" s="297" t="s">
        <v>33</v>
      </c>
      <c r="F282" s="298">
        <f t="shared" si="629"/>
        <v>1164027.47</v>
      </c>
      <c r="G282" s="298">
        <f t="shared" si="527"/>
        <v>148668</v>
      </c>
      <c r="H282" s="298">
        <f t="shared" si="630"/>
        <v>36067</v>
      </c>
      <c r="I282" s="299">
        <f t="shared" si="631"/>
        <v>10875</v>
      </c>
      <c r="J282" s="300">
        <f t="shared" si="631"/>
        <v>1860</v>
      </c>
      <c r="K282" s="300">
        <f t="shared" si="631"/>
        <v>18007</v>
      </c>
      <c r="L282" s="300">
        <f t="shared" si="631"/>
        <v>0</v>
      </c>
      <c r="M282" s="301">
        <f t="shared" si="631"/>
        <v>5325</v>
      </c>
      <c r="N282" s="298">
        <f t="shared" si="632"/>
        <v>189697</v>
      </c>
      <c r="O282" s="299">
        <f t="shared" si="633"/>
        <v>126607</v>
      </c>
      <c r="P282" s="300">
        <f t="shared" si="633"/>
        <v>30900</v>
      </c>
      <c r="Q282" s="300">
        <f t="shared" si="633"/>
        <v>27670</v>
      </c>
      <c r="R282" s="300">
        <f t="shared" si="633"/>
        <v>0</v>
      </c>
      <c r="S282" s="301">
        <f t="shared" si="633"/>
        <v>4520</v>
      </c>
      <c r="T282" s="298">
        <f t="shared" si="634"/>
        <v>789595.47</v>
      </c>
      <c r="U282" s="299">
        <f t="shared" si="635"/>
        <v>70673.08</v>
      </c>
      <c r="V282" s="300">
        <f t="shared" si="635"/>
        <v>391732.67999999993</v>
      </c>
      <c r="W282" s="300">
        <f t="shared" si="635"/>
        <v>282750.70999999996</v>
      </c>
      <c r="X282" s="300">
        <f t="shared" si="635"/>
        <v>35365</v>
      </c>
      <c r="Y282" s="302">
        <f t="shared" si="635"/>
        <v>9074</v>
      </c>
      <c r="AA282" s="291"/>
      <c r="AB282" s="303"/>
      <c r="AC282" s="304"/>
      <c r="AD282" s="305" t="s">
        <v>33</v>
      </c>
      <c r="AE282" s="298">
        <f t="shared" si="636"/>
        <v>48854</v>
      </c>
      <c r="AF282" s="299">
        <f t="shared" si="637"/>
        <v>0</v>
      </c>
      <c r="AG282" s="300">
        <f t="shared" si="637"/>
        <v>1908</v>
      </c>
      <c r="AH282" s="300">
        <f t="shared" si="637"/>
        <v>5890</v>
      </c>
      <c r="AI282" s="300">
        <f t="shared" si="637"/>
        <v>15299</v>
      </c>
      <c r="AJ282" s="300">
        <f t="shared" si="637"/>
        <v>18007</v>
      </c>
      <c r="AK282" s="300">
        <f t="shared" si="637"/>
        <v>7750</v>
      </c>
      <c r="AL282" s="300">
        <f t="shared" si="637"/>
        <v>0</v>
      </c>
      <c r="AM282" s="300">
        <f t="shared" si="637"/>
        <v>0</v>
      </c>
      <c r="AN282" s="300">
        <f t="shared" si="637"/>
        <v>0</v>
      </c>
      <c r="AO282" s="300">
        <f t="shared" si="637"/>
        <v>0</v>
      </c>
      <c r="AP282" s="300">
        <f t="shared" si="637"/>
        <v>0</v>
      </c>
      <c r="AQ282" s="302">
        <f t="shared" si="637"/>
        <v>0</v>
      </c>
    </row>
    <row r="283" spans="1:43" ht="7.8" customHeight="1" x14ac:dyDescent="0.25">
      <c r="B283" s="282"/>
      <c r="C283" s="295"/>
      <c r="D283" s="306"/>
      <c r="E283" s="307" t="s">
        <v>30</v>
      </c>
      <c r="F283" s="308">
        <f t="shared" ref="F283:Y337" si="638">IFERROR(F282/F281,0)</f>
        <v>151.40835978147763</v>
      </c>
      <c r="G283" s="308">
        <f t="shared" si="638"/>
        <v>155.83647798742138</v>
      </c>
      <c r="H283" s="308">
        <f t="shared" si="638"/>
        <v>149.65560165975103</v>
      </c>
      <c r="I283" s="309">
        <f t="shared" si="638"/>
        <v>145</v>
      </c>
      <c r="J283" s="310">
        <f t="shared" si="638"/>
        <v>155</v>
      </c>
      <c r="K283" s="310">
        <f t="shared" si="638"/>
        <v>148.81818181818181</v>
      </c>
      <c r="L283" s="310">
        <f t="shared" si="638"/>
        <v>0</v>
      </c>
      <c r="M283" s="311">
        <f t="shared" si="638"/>
        <v>161.36363636363637</v>
      </c>
      <c r="N283" s="308">
        <f t="shared" si="638"/>
        <v>152.85817888799355</v>
      </c>
      <c r="O283" s="309">
        <f t="shared" si="638"/>
        <v>154.39878048780488</v>
      </c>
      <c r="P283" s="310">
        <f t="shared" si="638"/>
        <v>147.84688995215311</v>
      </c>
      <c r="Q283" s="310">
        <f t="shared" si="638"/>
        <v>149.56756756756758</v>
      </c>
      <c r="R283" s="310">
        <f t="shared" si="638"/>
        <v>0</v>
      </c>
      <c r="S283" s="311">
        <f t="shared" si="638"/>
        <v>167.40740740740742</v>
      </c>
      <c r="T283" s="308">
        <f t="shared" si="638"/>
        <v>150.3418640517898</v>
      </c>
      <c r="U283" s="309">
        <f t="shared" si="638"/>
        <v>197.96380952380952</v>
      </c>
      <c r="V283" s="310">
        <f t="shared" si="638"/>
        <v>141.62425162689803</v>
      </c>
      <c r="W283" s="310">
        <f t="shared" si="638"/>
        <v>154.25570649208944</v>
      </c>
      <c r="X283" s="310">
        <f t="shared" si="638"/>
        <v>152.43534482758622</v>
      </c>
      <c r="Y283" s="312">
        <f t="shared" si="638"/>
        <v>141.78125</v>
      </c>
      <c r="AA283" s="291"/>
      <c r="AB283" s="303"/>
      <c r="AC283" s="313"/>
      <c r="AD283" s="314" t="s">
        <v>30</v>
      </c>
      <c r="AE283" s="308">
        <f t="shared" ref="AE283:AQ283" si="639">IFERROR(AE282/AE281,0)</f>
        <v>150.78395061728395</v>
      </c>
      <c r="AF283" s="309">
        <f t="shared" si="639"/>
        <v>0</v>
      </c>
      <c r="AG283" s="310">
        <f t="shared" si="639"/>
        <v>159</v>
      </c>
      <c r="AH283" s="310">
        <f t="shared" si="639"/>
        <v>155</v>
      </c>
      <c r="AI283" s="310">
        <f t="shared" si="639"/>
        <v>148.53398058252426</v>
      </c>
      <c r="AJ283" s="310">
        <f t="shared" si="639"/>
        <v>148.81818181818181</v>
      </c>
      <c r="AK283" s="310">
        <f t="shared" si="639"/>
        <v>155</v>
      </c>
      <c r="AL283" s="310">
        <f t="shared" si="639"/>
        <v>0</v>
      </c>
      <c r="AM283" s="310">
        <f t="shared" si="639"/>
        <v>0</v>
      </c>
      <c r="AN283" s="310">
        <f t="shared" si="639"/>
        <v>0</v>
      </c>
      <c r="AO283" s="310">
        <f t="shared" si="639"/>
        <v>0</v>
      </c>
      <c r="AP283" s="310">
        <f t="shared" si="639"/>
        <v>0</v>
      </c>
      <c r="AQ283" s="312">
        <f t="shared" si="639"/>
        <v>0</v>
      </c>
    </row>
    <row r="284" spans="1:43" ht="7.8" customHeight="1" x14ac:dyDescent="0.25">
      <c r="B284" s="282"/>
      <c r="C284" s="295"/>
      <c r="D284" s="324" t="s">
        <v>42</v>
      </c>
      <c r="E284" s="325" t="s">
        <v>32</v>
      </c>
      <c r="F284" s="326">
        <f t="shared" ref="F284:F285" si="640">SUM(G284,H284,N284,T284)</f>
        <v>7674</v>
      </c>
      <c r="G284" s="326">
        <f t="shared" si="538"/>
        <v>0</v>
      </c>
      <c r="H284" s="326">
        <f t="shared" ref="H284:H285" si="641">SUM(I284:M284)</f>
        <v>410</v>
      </c>
      <c r="I284" s="327">
        <f t="shared" ref="I284:M285" si="642">SUM(I302,I320)</f>
        <v>200</v>
      </c>
      <c r="J284" s="328">
        <f t="shared" si="642"/>
        <v>70</v>
      </c>
      <c r="K284" s="328">
        <f t="shared" si="642"/>
        <v>70</v>
      </c>
      <c r="L284" s="328">
        <f t="shared" si="642"/>
        <v>0</v>
      </c>
      <c r="M284" s="329">
        <f t="shared" si="642"/>
        <v>70</v>
      </c>
      <c r="N284" s="326">
        <f t="shared" ref="N284:N285" si="643">SUM(O284:S284)</f>
        <v>1400</v>
      </c>
      <c r="O284" s="327">
        <f t="shared" ref="O284:S285" si="644">SUM(O302,O320)</f>
        <v>900</v>
      </c>
      <c r="P284" s="328">
        <f t="shared" si="644"/>
        <v>400</v>
      </c>
      <c r="Q284" s="328">
        <f t="shared" si="644"/>
        <v>100</v>
      </c>
      <c r="R284" s="328">
        <f t="shared" si="644"/>
        <v>0</v>
      </c>
      <c r="S284" s="329">
        <f t="shared" si="644"/>
        <v>0</v>
      </c>
      <c r="T284" s="326">
        <f t="shared" ref="T284:T285" si="645">SUM(U284:Y284)</f>
        <v>5864</v>
      </c>
      <c r="U284" s="327">
        <f t="shared" ref="U284:Y285" si="646">SUM(U302,U320)</f>
        <v>550</v>
      </c>
      <c r="V284" s="328">
        <f t="shared" si="646"/>
        <v>2582</v>
      </c>
      <c r="W284" s="328">
        <f t="shared" si="646"/>
        <v>2182</v>
      </c>
      <c r="X284" s="328">
        <f t="shared" si="646"/>
        <v>100</v>
      </c>
      <c r="Y284" s="330">
        <f t="shared" si="646"/>
        <v>450</v>
      </c>
      <c r="AA284" s="291"/>
      <c r="AB284" s="303"/>
      <c r="AC284" s="527" t="s">
        <v>42</v>
      </c>
      <c r="AD284" s="528" t="s">
        <v>32</v>
      </c>
      <c r="AE284" s="333">
        <f t="shared" ref="AE284:AE285" si="647">SUM(AF284:AQ284)</f>
        <v>610</v>
      </c>
      <c r="AF284" s="334">
        <f t="shared" ref="AF284:AQ285" si="648">SUM(AF302,AF320)</f>
        <v>0</v>
      </c>
      <c r="AG284" s="335">
        <f t="shared" si="648"/>
        <v>70</v>
      </c>
      <c r="AH284" s="335">
        <f t="shared" si="648"/>
        <v>45</v>
      </c>
      <c r="AI284" s="335">
        <f t="shared" si="648"/>
        <v>90</v>
      </c>
      <c r="AJ284" s="335">
        <f t="shared" si="648"/>
        <v>70</v>
      </c>
      <c r="AK284" s="335">
        <f t="shared" si="648"/>
        <v>50</v>
      </c>
      <c r="AL284" s="335">
        <f t="shared" si="648"/>
        <v>60</v>
      </c>
      <c r="AM284" s="335">
        <f t="shared" si="648"/>
        <v>0</v>
      </c>
      <c r="AN284" s="335">
        <f t="shared" si="648"/>
        <v>100</v>
      </c>
      <c r="AO284" s="335">
        <f t="shared" si="648"/>
        <v>75</v>
      </c>
      <c r="AP284" s="335">
        <f t="shared" si="648"/>
        <v>50</v>
      </c>
      <c r="AQ284" s="336">
        <f t="shared" si="648"/>
        <v>0</v>
      </c>
    </row>
    <row r="285" spans="1:43" s="41" customFormat="1" ht="7.8" customHeight="1" x14ac:dyDescent="0.25">
      <c r="B285" s="282"/>
      <c r="C285" s="295"/>
      <c r="D285" s="337"/>
      <c r="E285" s="338" t="s">
        <v>33</v>
      </c>
      <c r="F285" s="339">
        <f t="shared" si="640"/>
        <v>1251550</v>
      </c>
      <c r="G285" s="339">
        <f t="shared" si="538"/>
        <v>0</v>
      </c>
      <c r="H285" s="339">
        <f t="shared" si="641"/>
        <v>60450</v>
      </c>
      <c r="I285" s="340">
        <f t="shared" si="642"/>
        <v>29000</v>
      </c>
      <c r="J285" s="341">
        <f t="shared" si="642"/>
        <v>10350</v>
      </c>
      <c r="K285" s="341">
        <f t="shared" si="642"/>
        <v>10150</v>
      </c>
      <c r="L285" s="341">
        <f t="shared" si="642"/>
        <v>0</v>
      </c>
      <c r="M285" s="342">
        <f t="shared" si="642"/>
        <v>10950</v>
      </c>
      <c r="N285" s="339">
        <f t="shared" si="643"/>
        <v>211300</v>
      </c>
      <c r="O285" s="340">
        <f t="shared" si="644"/>
        <v>139500</v>
      </c>
      <c r="P285" s="341">
        <f t="shared" si="644"/>
        <v>56800</v>
      </c>
      <c r="Q285" s="341">
        <f t="shared" si="644"/>
        <v>15000</v>
      </c>
      <c r="R285" s="341">
        <f t="shared" si="644"/>
        <v>0</v>
      </c>
      <c r="S285" s="342">
        <f t="shared" si="644"/>
        <v>0</v>
      </c>
      <c r="T285" s="339">
        <f t="shared" si="645"/>
        <v>979800</v>
      </c>
      <c r="U285" s="340">
        <f t="shared" si="646"/>
        <v>101750</v>
      </c>
      <c r="V285" s="341">
        <f t="shared" si="646"/>
        <v>432500</v>
      </c>
      <c r="W285" s="341">
        <f t="shared" si="646"/>
        <v>346500</v>
      </c>
      <c r="X285" s="341">
        <f t="shared" si="646"/>
        <v>18500</v>
      </c>
      <c r="Y285" s="343">
        <f t="shared" si="646"/>
        <v>80550</v>
      </c>
      <c r="AA285" s="291"/>
      <c r="AB285" s="303"/>
      <c r="AC285" s="522"/>
      <c r="AD285" s="523" t="s">
        <v>33</v>
      </c>
      <c r="AE285" s="346">
        <f t="shared" si="647"/>
        <v>92000</v>
      </c>
      <c r="AF285" s="347">
        <f t="shared" si="648"/>
        <v>0</v>
      </c>
      <c r="AG285" s="348">
        <f t="shared" si="648"/>
        <v>11550</v>
      </c>
      <c r="AH285" s="348">
        <f t="shared" si="648"/>
        <v>6975</v>
      </c>
      <c r="AI285" s="348">
        <f t="shared" si="648"/>
        <v>13050</v>
      </c>
      <c r="AJ285" s="348">
        <f t="shared" si="648"/>
        <v>10150</v>
      </c>
      <c r="AK285" s="348">
        <f t="shared" si="648"/>
        <v>8000</v>
      </c>
      <c r="AL285" s="348">
        <f t="shared" si="648"/>
        <v>10500</v>
      </c>
      <c r="AM285" s="348">
        <f t="shared" si="648"/>
        <v>0</v>
      </c>
      <c r="AN285" s="348">
        <f t="shared" si="648"/>
        <v>14000</v>
      </c>
      <c r="AO285" s="348">
        <f t="shared" si="648"/>
        <v>10875</v>
      </c>
      <c r="AP285" s="348">
        <f t="shared" si="648"/>
        <v>6900</v>
      </c>
      <c r="AQ285" s="349">
        <f t="shared" si="648"/>
        <v>0</v>
      </c>
    </row>
    <row r="286" spans="1:43" ht="7.8" customHeight="1" x14ac:dyDescent="0.25">
      <c r="B286" s="282"/>
      <c r="C286" s="295"/>
      <c r="D286" s="350"/>
      <c r="E286" s="351" t="s">
        <v>30</v>
      </c>
      <c r="F286" s="352">
        <f t="shared" ref="F286:Y340" si="649">IFERROR(F285/F284,0)</f>
        <v>163.08965337503258</v>
      </c>
      <c r="G286" s="352">
        <f t="shared" si="649"/>
        <v>0</v>
      </c>
      <c r="H286" s="352">
        <f t="shared" si="649"/>
        <v>147.4390243902439</v>
      </c>
      <c r="I286" s="353">
        <f t="shared" si="649"/>
        <v>145</v>
      </c>
      <c r="J286" s="354">
        <f t="shared" si="649"/>
        <v>147.85714285714286</v>
      </c>
      <c r="K286" s="354">
        <f t="shared" si="649"/>
        <v>145</v>
      </c>
      <c r="L286" s="354">
        <f t="shared" si="649"/>
        <v>0</v>
      </c>
      <c r="M286" s="355">
        <f t="shared" si="649"/>
        <v>156.42857142857142</v>
      </c>
      <c r="N286" s="352">
        <f t="shared" si="649"/>
        <v>150.92857142857142</v>
      </c>
      <c r="O286" s="353">
        <f t="shared" si="649"/>
        <v>155</v>
      </c>
      <c r="P286" s="354">
        <f t="shared" si="649"/>
        <v>142</v>
      </c>
      <c r="Q286" s="354">
        <f t="shared" si="649"/>
        <v>150</v>
      </c>
      <c r="R286" s="354">
        <f t="shared" si="649"/>
        <v>0</v>
      </c>
      <c r="S286" s="355">
        <f t="shared" si="649"/>
        <v>0</v>
      </c>
      <c r="T286" s="352">
        <f t="shared" si="649"/>
        <v>167.08731241473396</v>
      </c>
      <c r="U286" s="353">
        <f t="shared" si="649"/>
        <v>185</v>
      </c>
      <c r="V286" s="354">
        <f t="shared" si="649"/>
        <v>167.50580945003873</v>
      </c>
      <c r="W286" s="354">
        <f t="shared" si="649"/>
        <v>158.79926672777268</v>
      </c>
      <c r="X286" s="354">
        <f t="shared" si="649"/>
        <v>185</v>
      </c>
      <c r="Y286" s="356">
        <f t="shared" si="649"/>
        <v>179</v>
      </c>
      <c r="AA286" s="291"/>
      <c r="AB286" s="303"/>
      <c r="AC286" s="524"/>
      <c r="AD286" s="525" t="s">
        <v>30</v>
      </c>
      <c r="AE286" s="359">
        <f t="shared" ref="AE286:AQ286" si="650">IFERROR(AE285/AE284,0)</f>
        <v>150.81967213114754</v>
      </c>
      <c r="AF286" s="360">
        <f t="shared" si="650"/>
        <v>0</v>
      </c>
      <c r="AG286" s="361">
        <f t="shared" si="650"/>
        <v>165</v>
      </c>
      <c r="AH286" s="361">
        <f t="shared" si="650"/>
        <v>155</v>
      </c>
      <c r="AI286" s="361">
        <f t="shared" si="650"/>
        <v>145</v>
      </c>
      <c r="AJ286" s="361">
        <f t="shared" si="650"/>
        <v>145</v>
      </c>
      <c r="AK286" s="361">
        <f t="shared" si="650"/>
        <v>160</v>
      </c>
      <c r="AL286" s="361">
        <f t="shared" si="650"/>
        <v>175</v>
      </c>
      <c r="AM286" s="361">
        <f t="shared" si="650"/>
        <v>0</v>
      </c>
      <c r="AN286" s="361">
        <f t="shared" si="650"/>
        <v>140</v>
      </c>
      <c r="AO286" s="361">
        <f t="shared" si="650"/>
        <v>145</v>
      </c>
      <c r="AP286" s="361">
        <f t="shared" si="650"/>
        <v>138</v>
      </c>
      <c r="AQ286" s="362">
        <f t="shared" si="650"/>
        <v>0</v>
      </c>
    </row>
    <row r="287" spans="1:43" ht="7.8" customHeight="1" x14ac:dyDescent="0.25">
      <c r="B287" s="282"/>
      <c r="C287" s="295"/>
      <c r="D287" s="363" t="s">
        <v>43</v>
      </c>
      <c r="E287" s="316" t="s">
        <v>32</v>
      </c>
      <c r="F287" s="317">
        <f t="shared" ref="F287:Y289" si="651">F284-F281</f>
        <v>-14</v>
      </c>
      <c r="G287" s="317">
        <f t="shared" si="651"/>
        <v>-954</v>
      </c>
      <c r="H287" s="317">
        <f t="shared" si="651"/>
        <v>169</v>
      </c>
      <c r="I287" s="318">
        <f t="shared" si="651"/>
        <v>125</v>
      </c>
      <c r="J287" s="319">
        <f t="shared" si="651"/>
        <v>58</v>
      </c>
      <c r="K287" s="319">
        <f t="shared" si="651"/>
        <v>-51</v>
      </c>
      <c r="L287" s="319">
        <f t="shared" si="651"/>
        <v>0</v>
      </c>
      <c r="M287" s="320">
        <f t="shared" si="651"/>
        <v>37</v>
      </c>
      <c r="N287" s="317">
        <f t="shared" si="651"/>
        <v>159</v>
      </c>
      <c r="O287" s="318">
        <f t="shared" si="651"/>
        <v>80</v>
      </c>
      <c r="P287" s="319">
        <f t="shared" si="651"/>
        <v>191</v>
      </c>
      <c r="Q287" s="319">
        <f t="shared" si="651"/>
        <v>-85</v>
      </c>
      <c r="R287" s="319">
        <f t="shared" si="651"/>
        <v>0</v>
      </c>
      <c r="S287" s="320">
        <f t="shared" si="651"/>
        <v>-27</v>
      </c>
      <c r="T287" s="317">
        <f t="shared" si="651"/>
        <v>612</v>
      </c>
      <c r="U287" s="318">
        <f t="shared" si="651"/>
        <v>193</v>
      </c>
      <c r="V287" s="319">
        <f t="shared" si="651"/>
        <v>-184</v>
      </c>
      <c r="W287" s="319">
        <f t="shared" si="651"/>
        <v>349</v>
      </c>
      <c r="X287" s="319">
        <f t="shared" si="651"/>
        <v>-132</v>
      </c>
      <c r="Y287" s="321">
        <f t="shared" si="651"/>
        <v>386</v>
      </c>
      <c r="AA287" s="291"/>
      <c r="AB287" s="303"/>
      <c r="AC287" s="364" t="s">
        <v>43</v>
      </c>
      <c r="AD287" s="323" t="s">
        <v>32</v>
      </c>
      <c r="AE287" s="317">
        <f t="shared" ref="AE287:AQ289" si="652">AE284-AE281</f>
        <v>286</v>
      </c>
      <c r="AF287" s="318">
        <f t="shared" si="652"/>
        <v>0</v>
      </c>
      <c r="AG287" s="319">
        <f t="shared" si="652"/>
        <v>58</v>
      </c>
      <c r="AH287" s="319">
        <f t="shared" si="652"/>
        <v>7</v>
      </c>
      <c r="AI287" s="319">
        <f t="shared" si="652"/>
        <v>-13</v>
      </c>
      <c r="AJ287" s="319">
        <f t="shared" si="652"/>
        <v>-51</v>
      </c>
      <c r="AK287" s="319">
        <f t="shared" si="652"/>
        <v>0</v>
      </c>
      <c r="AL287" s="319">
        <f t="shared" si="652"/>
        <v>60</v>
      </c>
      <c r="AM287" s="319">
        <f t="shared" si="652"/>
        <v>0</v>
      </c>
      <c r="AN287" s="319">
        <f t="shared" si="652"/>
        <v>100</v>
      </c>
      <c r="AO287" s="319">
        <f t="shared" si="652"/>
        <v>75</v>
      </c>
      <c r="AP287" s="319">
        <f t="shared" si="652"/>
        <v>50</v>
      </c>
      <c r="AQ287" s="321">
        <f t="shared" si="652"/>
        <v>0</v>
      </c>
    </row>
    <row r="288" spans="1:43" s="366" customFormat="1" ht="7.8" customHeight="1" x14ac:dyDescent="0.25">
      <c r="B288" s="282"/>
      <c r="C288" s="295"/>
      <c r="D288" s="296"/>
      <c r="E288" s="365" t="s">
        <v>33</v>
      </c>
      <c r="F288" s="298">
        <f t="shared" si="651"/>
        <v>87522.530000000028</v>
      </c>
      <c r="G288" s="298">
        <f t="shared" si="651"/>
        <v>-148668</v>
      </c>
      <c r="H288" s="298">
        <f t="shared" si="651"/>
        <v>24383</v>
      </c>
      <c r="I288" s="299">
        <f t="shared" si="651"/>
        <v>18125</v>
      </c>
      <c r="J288" s="300">
        <f t="shared" si="651"/>
        <v>8490</v>
      </c>
      <c r="K288" s="300">
        <f t="shared" si="651"/>
        <v>-7857</v>
      </c>
      <c r="L288" s="300">
        <f t="shared" si="651"/>
        <v>0</v>
      </c>
      <c r="M288" s="301">
        <f t="shared" si="651"/>
        <v>5625</v>
      </c>
      <c r="N288" s="298">
        <f t="shared" si="651"/>
        <v>21603</v>
      </c>
      <c r="O288" s="299">
        <f t="shared" si="651"/>
        <v>12893</v>
      </c>
      <c r="P288" s="300">
        <f t="shared" si="651"/>
        <v>25900</v>
      </c>
      <c r="Q288" s="300">
        <f t="shared" si="651"/>
        <v>-12670</v>
      </c>
      <c r="R288" s="300">
        <f t="shared" si="651"/>
        <v>0</v>
      </c>
      <c r="S288" s="301">
        <f t="shared" si="651"/>
        <v>-4520</v>
      </c>
      <c r="T288" s="298">
        <f t="shared" si="651"/>
        <v>190204.53000000003</v>
      </c>
      <c r="U288" s="299">
        <f t="shared" si="651"/>
        <v>31076.92</v>
      </c>
      <c r="V288" s="300">
        <f t="shared" si="651"/>
        <v>40767.320000000065</v>
      </c>
      <c r="W288" s="300">
        <f t="shared" si="651"/>
        <v>63749.290000000037</v>
      </c>
      <c r="X288" s="300">
        <f t="shared" si="651"/>
        <v>-16865</v>
      </c>
      <c r="Y288" s="302">
        <f t="shared" si="651"/>
        <v>71476</v>
      </c>
      <c r="AA288" s="291"/>
      <c r="AB288" s="303"/>
      <c r="AC288" s="367"/>
      <c r="AD288" s="368" t="s">
        <v>33</v>
      </c>
      <c r="AE288" s="298">
        <f t="shared" si="652"/>
        <v>43146</v>
      </c>
      <c r="AF288" s="299">
        <f t="shared" si="652"/>
        <v>0</v>
      </c>
      <c r="AG288" s="300">
        <f t="shared" si="652"/>
        <v>9642</v>
      </c>
      <c r="AH288" s="300">
        <f t="shared" si="652"/>
        <v>1085</v>
      </c>
      <c r="AI288" s="300">
        <f t="shared" si="652"/>
        <v>-2249</v>
      </c>
      <c r="AJ288" s="300">
        <f t="shared" si="652"/>
        <v>-7857</v>
      </c>
      <c r="AK288" s="300">
        <f t="shared" si="652"/>
        <v>250</v>
      </c>
      <c r="AL288" s="300">
        <f t="shared" si="652"/>
        <v>10500</v>
      </c>
      <c r="AM288" s="300">
        <f t="shared" si="652"/>
        <v>0</v>
      </c>
      <c r="AN288" s="300">
        <f t="shared" si="652"/>
        <v>14000</v>
      </c>
      <c r="AO288" s="300">
        <f t="shared" si="652"/>
        <v>10875</v>
      </c>
      <c r="AP288" s="300">
        <f t="shared" si="652"/>
        <v>6900</v>
      </c>
      <c r="AQ288" s="302">
        <f t="shared" si="652"/>
        <v>0</v>
      </c>
    </row>
    <row r="289" spans="2:43" ht="7.8" customHeight="1" x14ac:dyDescent="0.25">
      <c r="B289" s="282"/>
      <c r="C289" s="295"/>
      <c r="D289" s="306"/>
      <c r="E289" s="307" t="s">
        <v>30</v>
      </c>
      <c r="F289" s="308">
        <f t="shared" si="651"/>
        <v>11.681293593554955</v>
      </c>
      <c r="G289" s="308">
        <f t="shared" si="651"/>
        <v>-155.83647798742138</v>
      </c>
      <c r="H289" s="308">
        <f t="shared" si="651"/>
        <v>-2.2165772695071269</v>
      </c>
      <c r="I289" s="309">
        <f t="shared" si="651"/>
        <v>0</v>
      </c>
      <c r="J289" s="310">
        <f t="shared" si="651"/>
        <v>-7.1428571428571388</v>
      </c>
      <c r="K289" s="310">
        <f t="shared" si="651"/>
        <v>-3.818181818181813</v>
      </c>
      <c r="L289" s="310">
        <f t="shared" si="651"/>
        <v>0</v>
      </c>
      <c r="M289" s="311">
        <f t="shared" si="651"/>
        <v>-4.9350649350649576</v>
      </c>
      <c r="N289" s="308">
        <f t="shared" si="651"/>
        <v>-1.9296074594221295</v>
      </c>
      <c r="O289" s="309">
        <f t="shared" si="651"/>
        <v>0.60121951219511516</v>
      </c>
      <c r="P289" s="310">
        <f t="shared" si="651"/>
        <v>-5.8468899521531057</v>
      </c>
      <c r="Q289" s="310">
        <f t="shared" si="651"/>
        <v>0.43243243243242091</v>
      </c>
      <c r="R289" s="310">
        <f t="shared" si="651"/>
        <v>0</v>
      </c>
      <c r="S289" s="311">
        <f t="shared" si="651"/>
        <v>-167.40740740740742</v>
      </c>
      <c r="T289" s="308">
        <f t="shared" si="651"/>
        <v>16.74544836294416</v>
      </c>
      <c r="U289" s="309">
        <f t="shared" si="651"/>
        <v>-12.963809523809516</v>
      </c>
      <c r="V289" s="310">
        <f t="shared" si="651"/>
        <v>25.881557823140696</v>
      </c>
      <c r="W289" s="310">
        <f t="shared" si="651"/>
        <v>4.5435602356832305</v>
      </c>
      <c r="X289" s="310">
        <f t="shared" si="651"/>
        <v>32.564655172413779</v>
      </c>
      <c r="Y289" s="312">
        <f t="shared" si="651"/>
        <v>37.21875</v>
      </c>
      <c r="AA289" s="291"/>
      <c r="AB289" s="303"/>
      <c r="AC289" s="369"/>
      <c r="AD289" s="314" t="s">
        <v>30</v>
      </c>
      <c r="AE289" s="308">
        <f t="shared" si="652"/>
        <v>3.5721513863592236E-2</v>
      </c>
      <c r="AF289" s="309">
        <f t="shared" si="652"/>
        <v>0</v>
      </c>
      <c r="AG289" s="310">
        <f t="shared" si="652"/>
        <v>6</v>
      </c>
      <c r="AH289" s="310">
        <f t="shared" si="652"/>
        <v>0</v>
      </c>
      <c r="AI289" s="310">
        <f t="shared" si="652"/>
        <v>-3.5339805825242649</v>
      </c>
      <c r="AJ289" s="310">
        <f t="shared" si="652"/>
        <v>-3.818181818181813</v>
      </c>
      <c r="AK289" s="310">
        <f t="shared" si="652"/>
        <v>5</v>
      </c>
      <c r="AL289" s="310">
        <f t="shared" si="652"/>
        <v>175</v>
      </c>
      <c r="AM289" s="310">
        <f t="shared" si="652"/>
        <v>0</v>
      </c>
      <c r="AN289" s="310">
        <f t="shared" si="652"/>
        <v>140</v>
      </c>
      <c r="AO289" s="310">
        <f t="shared" si="652"/>
        <v>145</v>
      </c>
      <c r="AP289" s="310">
        <f t="shared" si="652"/>
        <v>138</v>
      </c>
      <c r="AQ289" s="312">
        <f t="shared" si="652"/>
        <v>0</v>
      </c>
    </row>
    <row r="290" spans="2:43" ht="7.8" customHeight="1" x14ac:dyDescent="0.25">
      <c r="B290" s="282"/>
      <c r="C290" s="295"/>
      <c r="D290" s="363" t="s">
        <v>44</v>
      </c>
      <c r="E290" s="316" t="s">
        <v>32</v>
      </c>
      <c r="F290" s="370">
        <f t="shared" ref="F290:Y292" si="653">IFERROR((F284-F281)/ABS(F281),"")</f>
        <v>-1.8210197710718003E-3</v>
      </c>
      <c r="G290" s="370">
        <f t="shared" si="653"/>
        <v>-1</v>
      </c>
      <c r="H290" s="370">
        <f t="shared" si="653"/>
        <v>0.70124481327800825</v>
      </c>
      <c r="I290" s="371">
        <f t="shared" si="653"/>
        <v>1.6666666666666667</v>
      </c>
      <c r="J290" s="372">
        <f t="shared" si="653"/>
        <v>4.833333333333333</v>
      </c>
      <c r="K290" s="372">
        <f t="shared" si="653"/>
        <v>-0.42148760330578511</v>
      </c>
      <c r="L290" s="372" t="str">
        <f t="shared" si="653"/>
        <v/>
      </c>
      <c r="M290" s="373">
        <f t="shared" si="653"/>
        <v>1.1212121212121211</v>
      </c>
      <c r="N290" s="370">
        <f t="shared" si="653"/>
        <v>0.12812248186946013</v>
      </c>
      <c r="O290" s="371">
        <f t="shared" si="653"/>
        <v>9.7560975609756101E-2</v>
      </c>
      <c r="P290" s="372">
        <f t="shared" si="653"/>
        <v>0.9138755980861244</v>
      </c>
      <c r="Q290" s="372">
        <f t="shared" si="653"/>
        <v>-0.45945945945945948</v>
      </c>
      <c r="R290" s="372" t="str">
        <f t="shared" si="653"/>
        <v/>
      </c>
      <c r="S290" s="373">
        <f t="shared" si="653"/>
        <v>-1</v>
      </c>
      <c r="T290" s="370">
        <f t="shared" si="653"/>
        <v>0.11652703731911652</v>
      </c>
      <c r="U290" s="371">
        <f t="shared" si="653"/>
        <v>0.54061624649859941</v>
      </c>
      <c r="V290" s="372">
        <f t="shared" si="653"/>
        <v>-6.6522053506869128E-2</v>
      </c>
      <c r="W290" s="372">
        <f t="shared" si="653"/>
        <v>0.19039825422804146</v>
      </c>
      <c r="X290" s="372">
        <f t="shared" si="653"/>
        <v>-0.56896551724137934</v>
      </c>
      <c r="Y290" s="374">
        <f t="shared" si="653"/>
        <v>6.03125</v>
      </c>
      <c r="AA290" s="291"/>
      <c r="AB290" s="303"/>
      <c r="AC290" s="364" t="s">
        <v>44</v>
      </c>
      <c r="AD290" s="323" t="s">
        <v>32</v>
      </c>
      <c r="AE290" s="370">
        <f t="shared" ref="AE290:AQ292" si="654">IFERROR((AE284-AE281)/ABS(AE281),"")</f>
        <v>0.88271604938271608</v>
      </c>
      <c r="AF290" s="371" t="str">
        <f t="shared" si="654"/>
        <v/>
      </c>
      <c r="AG290" s="372">
        <f t="shared" si="654"/>
        <v>4.833333333333333</v>
      </c>
      <c r="AH290" s="372">
        <f t="shared" si="654"/>
        <v>0.18421052631578946</v>
      </c>
      <c r="AI290" s="372">
        <f t="shared" si="654"/>
        <v>-0.12621359223300971</v>
      </c>
      <c r="AJ290" s="372">
        <f t="shared" si="654"/>
        <v>-0.42148760330578511</v>
      </c>
      <c r="AK290" s="372">
        <f t="shared" si="654"/>
        <v>0</v>
      </c>
      <c r="AL290" s="372" t="str">
        <f t="shared" si="654"/>
        <v/>
      </c>
      <c r="AM290" s="372" t="str">
        <f t="shared" si="654"/>
        <v/>
      </c>
      <c r="AN290" s="372" t="str">
        <f t="shared" si="654"/>
        <v/>
      </c>
      <c r="AO290" s="372" t="str">
        <f t="shared" si="654"/>
        <v/>
      </c>
      <c r="AP290" s="372" t="str">
        <f t="shared" si="654"/>
        <v/>
      </c>
      <c r="AQ290" s="374" t="str">
        <f t="shared" si="654"/>
        <v/>
      </c>
    </row>
    <row r="291" spans="2:43" ht="7.8" customHeight="1" x14ac:dyDescent="0.25">
      <c r="B291" s="282"/>
      <c r="C291" s="295"/>
      <c r="D291" s="296"/>
      <c r="E291" s="375" t="s">
        <v>33</v>
      </c>
      <c r="F291" s="376">
        <f t="shared" si="653"/>
        <v>7.5189402531883567E-2</v>
      </c>
      <c r="G291" s="376">
        <f t="shared" si="653"/>
        <v>-1</v>
      </c>
      <c r="H291" s="376">
        <f t="shared" si="653"/>
        <v>0.67604735630909141</v>
      </c>
      <c r="I291" s="377">
        <f t="shared" si="653"/>
        <v>1.6666666666666667</v>
      </c>
      <c r="J291" s="378">
        <f t="shared" si="653"/>
        <v>4.564516129032258</v>
      </c>
      <c r="K291" s="378">
        <f t="shared" si="653"/>
        <v>-0.4363303159882268</v>
      </c>
      <c r="L291" s="378" t="str">
        <f t="shared" si="653"/>
        <v/>
      </c>
      <c r="M291" s="379">
        <f t="shared" si="653"/>
        <v>1.056338028169014</v>
      </c>
      <c r="N291" s="376">
        <f t="shared" si="653"/>
        <v>0.11388161120102057</v>
      </c>
      <c r="O291" s="377">
        <f t="shared" si="653"/>
        <v>0.10183481166128255</v>
      </c>
      <c r="P291" s="378">
        <f t="shared" si="653"/>
        <v>0.8381877022653722</v>
      </c>
      <c r="Q291" s="378">
        <f t="shared" si="653"/>
        <v>-0.45789663895916155</v>
      </c>
      <c r="R291" s="378" t="str">
        <f t="shared" si="653"/>
        <v/>
      </c>
      <c r="S291" s="379">
        <f t="shared" si="653"/>
        <v>-1</v>
      </c>
      <c r="T291" s="376">
        <f t="shared" si="653"/>
        <v>0.24088857804617347</v>
      </c>
      <c r="U291" s="377">
        <f t="shared" si="653"/>
        <v>0.43972782847443465</v>
      </c>
      <c r="V291" s="378">
        <f t="shared" si="653"/>
        <v>0.10406923415222868</v>
      </c>
      <c r="W291" s="378">
        <f t="shared" si="653"/>
        <v>0.22546111378464814</v>
      </c>
      <c r="X291" s="378">
        <f t="shared" si="653"/>
        <v>-0.47688392478439134</v>
      </c>
      <c r="Y291" s="380">
        <f t="shared" si="653"/>
        <v>7.8770112409080895</v>
      </c>
      <c r="AA291" s="291"/>
      <c r="AB291" s="303"/>
      <c r="AC291" s="367"/>
      <c r="AD291" s="381" t="s">
        <v>33</v>
      </c>
      <c r="AE291" s="376">
        <f t="shared" si="654"/>
        <v>0.88316207475334674</v>
      </c>
      <c r="AF291" s="377" t="str">
        <f t="shared" si="654"/>
        <v/>
      </c>
      <c r="AG291" s="378">
        <f t="shared" si="654"/>
        <v>5.0534591194968552</v>
      </c>
      <c r="AH291" s="378">
        <f t="shared" si="654"/>
        <v>0.18421052631578946</v>
      </c>
      <c r="AI291" s="378">
        <f t="shared" si="654"/>
        <v>-0.14700307209621544</v>
      </c>
      <c r="AJ291" s="378">
        <f t="shared" si="654"/>
        <v>-0.4363303159882268</v>
      </c>
      <c r="AK291" s="378">
        <f t="shared" si="654"/>
        <v>3.2258064516129031E-2</v>
      </c>
      <c r="AL291" s="378" t="str">
        <f t="shared" si="654"/>
        <v/>
      </c>
      <c r="AM291" s="378" t="str">
        <f t="shared" si="654"/>
        <v/>
      </c>
      <c r="AN291" s="378" t="str">
        <f t="shared" si="654"/>
        <v/>
      </c>
      <c r="AO291" s="378" t="str">
        <f t="shared" si="654"/>
        <v/>
      </c>
      <c r="AP291" s="378" t="str">
        <f t="shared" si="654"/>
        <v/>
      </c>
      <c r="AQ291" s="380" t="str">
        <f t="shared" si="654"/>
        <v/>
      </c>
    </row>
    <row r="292" spans="2:43" ht="7.8" customHeight="1" x14ac:dyDescent="0.25">
      <c r="B292" s="282"/>
      <c r="C292" s="382"/>
      <c r="D292" s="383"/>
      <c r="E292" s="384" t="s">
        <v>30</v>
      </c>
      <c r="F292" s="385">
        <f t="shared" si="653"/>
        <v>7.7150915645702492E-2</v>
      </c>
      <c r="G292" s="385">
        <f t="shared" si="653"/>
        <v>-1</v>
      </c>
      <c r="H292" s="385">
        <f t="shared" si="653"/>
        <v>-1.4811188120753532E-2</v>
      </c>
      <c r="I292" s="386">
        <f t="shared" si="653"/>
        <v>0</v>
      </c>
      <c r="J292" s="387">
        <f t="shared" si="653"/>
        <v>-4.6082949308755734E-2</v>
      </c>
      <c r="K292" s="387">
        <f t="shared" si="653"/>
        <v>-2.5656689065363437E-2</v>
      </c>
      <c r="L292" s="387" t="str">
        <f t="shared" si="653"/>
        <v/>
      </c>
      <c r="M292" s="388">
        <f t="shared" si="653"/>
        <v>-3.0583501006036354E-2</v>
      </c>
      <c r="N292" s="385">
        <f t="shared" si="653"/>
        <v>-1.2623514642523934E-2</v>
      </c>
      <c r="O292" s="386">
        <f t="shared" si="653"/>
        <v>3.8939395136129472E-3</v>
      </c>
      <c r="P292" s="387">
        <f t="shared" si="653"/>
        <v>-3.9546925566343011E-2</v>
      </c>
      <c r="Q292" s="387">
        <f t="shared" si="653"/>
        <v>2.8912179255510613E-3</v>
      </c>
      <c r="R292" s="387" t="str">
        <f t="shared" si="653"/>
        <v/>
      </c>
      <c r="S292" s="388">
        <f t="shared" si="653"/>
        <v>-1</v>
      </c>
      <c r="T292" s="385">
        <f t="shared" si="653"/>
        <v>0.1113824713333053</v>
      </c>
      <c r="U292" s="386">
        <f t="shared" si="653"/>
        <v>-6.5485754972048726E-2</v>
      </c>
      <c r="V292" s="387">
        <f t="shared" si="653"/>
        <v>0.18274806416152764</v>
      </c>
      <c r="W292" s="387">
        <f t="shared" si="653"/>
        <v>2.9454730324133802E-2</v>
      </c>
      <c r="X292" s="387">
        <f t="shared" si="653"/>
        <v>0.21362929450021195</v>
      </c>
      <c r="Y292" s="389">
        <f t="shared" si="653"/>
        <v>0.2625082653735949</v>
      </c>
      <c r="AA292" s="291"/>
      <c r="AB292" s="390"/>
      <c r="AC292" s="391"/>
      <c r="AD292" s="392" t="s">
        <v>30</v>
      </c>
      <c r="AE292" s="385">
        <f t="shared" si="654"/>
        <v>2.3690527882678765E-4</v>
      </c>
      <c r="AF292" s="386" t="str">
        <f t="shared" si="654"/>
        <v/>
      </c>
      <c r="AG292" s="387">
        <f t="shared" si="654"/>
        <v>3.7735849056603772E-2</v>
      </c>
      <c r="AH292" s="387">
        <f t="shared" si="654"/>
        <v>0</v>
      </c>
      <c r="AI292" s="387">
        <f t="shared" si="654"/>
        <v>-2.37924047323354E-2</v>
      </c>
      <c r="AJ292" s="387">
        <f t="shared" si="654"/>
        <v>-2.5656689065363437E-2</v>
      </c>
      <c r="AK292" s="387">
        <f t="shared" si="654"/>
        <v>3.2258064516129031E-2</v>
      </c>
      <c r="AL292" s="387" t="str">
        <f t="shared" si="654"/>
        <v/>
      </c>
      <c r="AM292" s="387" t="str">
        <f t="shared" si="654"/>
        <v/>
      </c>
      <c r="AN292" s="387" t="str">
        <f t="shared" si="654"/>
        <v/>
      </c>
      <c r="AO292" s="387" t="str">
        <f t="shared" si="654"/>
        <v/>
      </c>
      <c r="AP292" s="387" t="str">
        <f t="shared" si="654"/>
        <v/>
      </c>
      <c r="AQ292" s="389" t="str">
        <f t="shared" si="654"/>
        <v/>
      </c>
    </row>
    <row r="293" spans="2:43" ht="7.8" customHeight="1" x14ac:dyDescent="0.25">
      <c r="B293" s="282"/>
      <c r="C293" s="393" t="s">
        <v>48</v>
      </c>
      <c r="D293" s="394" t="s">
        <v>39</v>
      </c>
      <c r="E293" s="395" t="s">
        <v>32</v>
      </c>
      <c r="F293" s="396">
        <f t="shared" ref="F293:F294" si="655">SUM(G293,H293,N293,T293)</f>
        <v>0</v>
      </c>
      <c r="G293" s="396"/>
      <c r="H293" s="396">
        <f t="shared" ref="H293:H294" si="656">SUM(I293:M293)</f>
        <v>0</v>
      </c>
      <c r="I293" s="397"/>
      <c r="J293" s="398"/>
      <c r="K293" s="398"/>
      <c r="L293" s="398"/>
      <c r="M293" s="399"/>
      <c r="N293" s="396">
        <f t="shared" ref="N293:N294" si="657">SUM(O293:S293)</f>
        <v>0</v>
      </c>
      <c r="O293" s="397"/>
      <c r="P293" s="398"/>
      <c r="Q293" s="398"/>
      <c r="R293" s="398"/>
      <c r="S293" s="399"/>
      <c r="T293" s="396">
        <f t="shared" ref="T293:T294" si="658">SUM(U293:Y293)</f>
        <v>0</v>
      </c>
      <c r="U293" s="397"/>
      <c r="V293" s="398"/>
      <c r="W293" s="398"/>
      <c r="X293" s="398"/>
      <c r="Y293" s="400"/>
      <c r="AA293" s="291"/>
      <c r="AB293" s="401" t="s">
        <v>48</v>
      </c>
      <c r="AC293" s="402" t="s">
        <v>39</v>
      </c>
      <c r="AD293" s="403" t="s">
        <v>32</v>
      </c>
      <c r="AE293" s="396">
        <f t="shared" ref="AE293:AE294" si="659">SUM(AF293:AQ293)</f>
        <v>0</v>
      </c>
      <c r="AF293" s="397">
        <f>$K$77</f>
        <v>0</v>
      </c>
      <c r="AG293" s="398">
        <f>$K$131</f>
        <v>0</v>
      </c>
      <c r="AH293" s="398">
        <f>$K$185</f>
        <v>0</v>
      </c>
      <c r="AI293" s="398">
        <f>$K$239</f>
        <v>0</v>
      </c>
      <c r="AJ293" s="398">
        <f>$K$293</f>
        <v>0</v>
      </c>
      <c r="AK293" s="398">
        <f>$K$347</f>
        <v>0</v>
      </c>
      <c r="AL293" s="398">
        <f>$K$401</f>
        <v>0</v>
      </c>
      <c r="AM293" s="398">
        <f>$K$455</f>
        <v>0</v>
      </c>
      <c r="AN293" s="398">
        <f>$K$509</f>
        <v>0</v>
      </c>
      <c r="AO293" s="398">
        <f>$K$563</f>
        <v>0</v>
      </c>
      <c r="AP293" s="398">
        <f>$K$617</f>
        <v>0</v>
      </c>
      <c r="AQ293" s="400">
        <f>$K$671</f>
        <v>0</v>
      </c>
    </row>
    <row r="294" spans="2:43" s="41" customFormat="1" ht="7.8" customHeight="1" x14ac:dyDescent="0.25">
      <c r="B294" s="282"/>
      <c r="C294" s="404"/>
      <c r="D294" s="405"/>
      <c r="E294" s="406" t="s">
        <v>33</v>
      </c>
      <c r="F294" s="407">
        <f t="shared" si="655"/>
        <v>0</v>
      </c>
      <c r="G294" s="407"/>
      <c r="H294" s="407">
        <f t="shared" si="656"/>
        <v>0</v>
      </c>
      <c r="I294" s="408"/>
      <c r="J294" s="409"/>
      <c r="K294" s="409"/>
      <c r="L294" s="409"/>
      <c r="M294" s="410"/>
      <c r="N294" s="407">
        <f t="shared" si="657"/>
        <v>0</v>
      </c>
      <c r="O294" s="408"/>
      <c r="P294" s="409"/>
      <c r="Q294" s="409"/>
      <c r="R294" s="409"/>
      <c r="S294" s="410"/>
      <c r="T294" s="407">
        <f t="shared" si="658"/>
        <v>0</v>
      </c>
      <c r="U294" s="408"/>
      <c r="V294" s="409"/>
      <c r="W294" s="409"/>
      <c r="X294" s="409"/>
      <c r="Y294" s="411"/>
      <c r="AA294" s="291"/>
      <c r="AB294" s="412"/>
      <c r="AC294" s="413"/>
      <c r="AD294" s="414" t="s">
        <v>33</v>
      </c>
      <c r="AE294" s="407">
        <f t="shared" si="659"/>
        <v>0</v>
      </c>
      <c r="AF294" s="408">
        <f>$K$78</f>
        <v>0</v>
      </c>
      <c r="AG294" s="409">
        <f>$K$132</f>
        <v>0</v>
      </c>
      <c r="AH294" s="409">
        <f>$K$186</f>
        <v>0</v>
      </c>
      <c r="AI294" s="409">
        <f>$K$240</f>
        <v>0</v>
      </c>
      <c r="AJ294" s="409">
        <f>$K$294</f>
        <v>0</v>
      </c>
      <c r="AK294" s="409">
        <f>$K$348</f>
        <v>0</v>
      </c>
      <c r="AL294" s="409">
        <f>$K$402</f>
        <v>0</v>
      </c>
      <c r="AM294" s="409">
        <f>$K$456</f>
        <v>0</v>
      </c>
      <c r="AN294" s="409">
        <f>$K$510</f>
        <v>0</v>
      </c>
      <c r="AO294" s="409">
        <f>$K$564</f>
        <v>0</v>
      </c>
      <c r="AP294" s="409">
        <f>$K$618</f>
        <v>0</v>
      </c>
      <c r="AQ294" s="411">
        <f>$K$672</f>
        <v>0</v>
      </c>
    </row>
    <row r="295" spans="2:43" ht="7.8" customHeight="1" x14ac:dyDescent="0.25">
      <c r="B295" s="282"/>
      <c r="C295" s="404"/>
      <c r="D295" s="415"/>
      <c r="E295" s="416" t="s">
        <v>30</v>
      </c>
      <c r="F295" s="417">
        <f t="shared" ref="F295:Y349" si="660">IFERROR(F294/F293,0)</f>
        <v>0</v>
      </c>
      <c r="G295" s="417">
        <f t="shared" si="660"/>
        <v>0</v>
      </c>
      <c r="H295" s="417">
        <f t="shared" si="660"/>
        <v>0</v>
      </c>
      <c r="I295" s="418">
        <f t="shared" si="660"/>
        <v>0</v>
      </c>
      <c r="J295" s="419">
        <f t="shared" si="660"/>
        <v>0</v>
      </c>
      <c r="K295" s="419">
        <f t="shared" si="660"/>
        <v>0</v>
      </c>
      <c r="L295" s="419">
        <f t="shared" si="660"/>
        <v>0</v>
      </c>
      <c r="M295" s="420">
        <f t="shared" si="660"/>
        <v>0</v>
      </c>
      <c r="N295" s="417">
        <f t="shared" si="660"/>
        <v>0</v>
      </c>
      <c r="O295" s="418">
        <f t="shared" si="660"/>
        <v>0</v>
      </c>
      <c r="P295" s="419">
        <f t="shared" si="660"/>
        <v>0</v>
      </c>
      <c r="Q295" s="419">
        <f t="shared" si="660"/>
        <v>0</v>
      </c>
      <c r="R295" s="419">
        <f t="shared" si="660"/>
        <v>0</v>
      </c>
      <c r="S295" s="420">
        <f t="shared" si="660"/>
        <v>0</v>
      </c>
      <c r="T295" s="417">
        <f t="shared" si="660"/>
        <v>0</v>
      </c>
      <c r="U295" s="418">
        <f t="shared" si="660"/>
        <v>0</v>
      </c>
      <c r="V295" s="419">
        <f t="shared" si="660"/>
        <v>0</v>
      </c>
      <c r="W295" s="419">
        <f t="shared" si="660"/>
        <v>0</v>
      </c>
      <c r="X295" s="419">
        <f t="shared" si="660"/>
        <v>0</v>
      </c>
      <c r="Y295" s="421">
        <f t="shared" si="660"/>
        <v>0</v>
      </c>
      <c r="AA295" s="291"/>
      <c r="AB295" s="412"/>
      <c r="AC295" s="422"/>
      <c r="AD295" s="423" t="s">
        <v>30</v>
      </c>
      <c r="AE295" s="417">
        <f t="shared" ref="AE295:AQ295" si="661">IFERROR(AE294/AE293,0)</f>
        <v>0</v>
      </c>
      <c r="AF295" s="418">
        <f t="shared" si="661"/>
        <v>0</v>
      </c>
      <c r="AG295" s="419">
        <f t="shared" si="661"/>
        <v>0</v>
      </c>
      <c r="AH295" s="419">
        <f t="shared" si="661"/>
        <v>0</v>
      </c>
      <c r="AI295" s="419">
        <f t="shared" si="661"/>
        <v>0</v>
      </c>
      <c r="AJ295" s="419">
        <f t="shared" si="661"/>
        <v>0</v>
      </c>
      <c r="AK295" s="419">
        <f t="shared" si="661"/>
        <v>0</v>
      </c>
      <c r="AL295" s="419">
        <f t="shared" si="661"/>
        <v>0</v>
      </c>
      <c r="AM295" s="419">
        <f t="shared" si="661"/>
        <v>0</v>
      </c>
      <c r="AN295" s="419">
        <f t="shared" si="661"/>
        <v>0</v>
      </c>
      <c r="AO295" s="419">
        <f t="shared" si="661"/>
        <v>0</v>
      </c>
      <c r="AP295" s="419">
        <f t="shared" si="661"/>
        <v>0</v>
      </c>
      <c r="AQ295" s="421">
        <f t="shared" si="661"/>
        <v>0</v>
      </c>
    </row>
    <row r="296" spans="2:43" ht="7.8" customHeight="1" x14ac:dyDescent="0.25">
      <c r="B296" s="282"/>
      <c r="C296" s="404"/>
      <c r="D296" s="424" t="s">
        <v>40</v>
      </c>
      <c r="E296" s="425" t="s">
        <v>32</v>
      </c>
      <c r="F296" s="426">
        <f t="shared" ref="F296:F297" si="662">SUM(G296,H296,N296,T296)</f>
        <v>5350</v>
      </c>
      <c r="G296" s="426">
        <v>743</v>
      </c>
      <c r="H296" s="426">
        <f t="shared" ref="H296:H297" si="663">SUM(I296:M296)</f>
        <v>208</v>
      </c>
      <c r="I296" s="427">
        <v>183</v>
      </c>
      <c r="J296" s="428">
        <v>0</v>
      </c>
      <c r="K296" s="428">
        <v>0</v>
      </c>
      <c r="L296" s="428">
        <v>0</v>
      </c>
      <c r="M296" s="429">
        <v>25</v>
      </c>
      <c r="N296" s="426">
        <f t="shared" ref="N296:N297" si="664">SUM(O296:S296)</f>
        <v>1127</v>
      </c>
      <c r="O296" s="427">
        <v>614</v>
      </c>
      <c r="P296" s="428">
        <v>443</v>
      </c>
      <c r="Q296" s="428">
        <v>63</v>
      </c>
      <c r="R296" s="428">
        <v>0</v>
      </c>
      <c r="S296" s="429">
        <v>7</v>
      </c>
      <c r="T296" s="426">
        <f t="shared" ref="T296:T297" si="665">SUM(U296:Y296)</f>
        <v>3272</v>
      </c>
      <c r="U296" s="427">
        <v>276</v>
      </c>
      <c r="V296" s="428">
        <v>888</v>
      </c>
      <c r="W296" s="428">
        <v>1813</v>
      </c>
      <c r="X296" s="428">
        <v>95</v>
      </c>
      <c r="Y296" s="430">
        <v>200</v>
      </c>
      <c r="AA296" s="291"/>
      <c r="AB296" s="412"/>
      <c r="AC296" s="431" t="s">
        <v>40</v>
      </c>
      <c r="AD296" s="432" t="s">
        <v>32</v>
      </c>
      <c r="AE296" s="426">
        <f t="shared" ref="AE296:AE297" si="666">SUM(AF296:AQ296)</f>
        <v>426</v>
      </c>
      <c r="AF296" s="427">
        <f>$K$80</f>
        <v>0</v>
      </c>
      <c r="AG296" s="428">
        <f>$K$134</f>
        <v>0</v>
      </c>
      <c r="AH296" s="428">
        <f>$K$188</f>
        <v>0</v>
      </c>
      <c r="AI296" s="428">
        <f>$K$242</f>
        <v>0</v>
      </c>
      <c r="AJ296" s="428">
        <f>$K$296</f>
        <v>0</v>
      </c>
      <c r="AK296" s="428">
        <f>$K$350</f>
        <v>34</v>
      </c>
      <c r="AL296" s="428">
        <f>$K$404</f>
        <v>265</v>
      </c>
      <c r="AM296" s="428">
        <f>$K$458</f>
        <v>0</v>
      </c>
      <c r="AN296" s="428">
        <f>$K$512</f>
        <v>51</v>
      </c>
      <c r="AO296" s="428">
        <f>$K$566</f>
        <v>0</v>
      </c>
      <c r="AP296" s="428">
        <f>$K$620</f>
        <v>44</v>
      </c>
      <c r="AQ296" s="430">
        <f>$K$674</f>
        <v>32</v>
      </c>
    </row>
    <row r="297" spans="2:43" s="41" customFormat="1" ht="7.8" customHeight="1" x14ac:dyDescent="0.25">
      <c r="B297" s="282"/>
      <c r="C297" s="404"/>
      <c r="D297" s="405"/>
      <c r="E297" s="406" t="s">
        <v>33</v>
      </c>
      <c r="F297" s="407">
        <f t="shared" si="662"/>
        <v>809358.16</v>
      </c>
      <c r="G297" s="407">
        <v>115908</v>
      </c>
      <c r="H297" s="407">
        <f t="shared" si="663"/>
        <v>29690</v>
      </c>
      <c r="I297" s="408">
        <v>25815</v>
      </c>
      <c r="J297" s="409">
        <v>0</v>
      </c>
      <c r="K297" s="409">
        <v>0</v>
      </c>
      <c r="L297" s="409">
        <v>0</v>
      </c>
      <c r="M297" s="410">
        <v>3875</v>
      </c>
      <c r="N297" s="407">
        <f t="shared" si="664"/>
        <v>161520</v>
      </c>
      <c r="O297" s="408">
        <v>88710</v>
      </c>
      <c r="P297" s="409">
        <v>62795</v>
      </c>
      <c r="Q297" s="409">
        <v>9060</v>
      </c>
      <c r="R297" s="409">
        <v>0</v>
      </c>
      <c r="S297" s="410">
        <v>955</v>
      </c>
      <c r="T297" s="407">
        <f t="shared" si="665"/>
        <v>502240.16000000003</v>
      </c>
      <c r="U297" s="408">
        <v>54218.619999999995</v>
      </c>
      <c r="V297" s="409">
        <v>137740.63999999998</v>
      </c>
      <c r="W297" s="409">
        <v>269689.90000000008</v>
      </c>
      <c r="X297" s="409">
        <v>14418</v>
      </c>
      <c r="Y297" s="411">
        <v>26173</v>
      </c>
      <c r="AA297" s="291"/>
      <c r="AB297" s="412"/>
      <c r="AC297" s="413"/>
      <c r="AD297" s="414" t="s">
        <v>33</v>
      </c>
      <c r="AE297" s="407">
        <f t="shared" si="666"/>
        <v>75360</v>
      </c>
      <c r="AF297" s="408">
        <f>$K$81</f>
        <v>0</v>
      </c>
      <c r="AG297" s="409">
        <f>$K$135</f>
        <v>0</v>
      </c>
      <c r="AH297" s="409">
        <f>$K$189</f>
        <v>0</v>
      </c>
      <c r="AI297" s="409">
        <f>$K$243</f>
        <v>0</v>
      </c>
      <c r="AJ297" s="409">
        <f>$K$297</f>
        <v>0</v>
      </c>
      <c r="AK297" s="409">
        <f>$K$351</f>
        <v>6290</v>
      </c>
      <c r="AL297" s="409">
        <f>$K$405</f>
        <v>49569</v>
      </c>
      <c r="AM297" s="409">
        <f>$K$459</f>
        <v>0</v>
      </c>
      <c r="AN297" s="409">
        <f>$K$513</f>
        <v>7905</v>
      </c>
      <c r="AO297" s="409">
        <f>$K$567</f>
        <v>0</v>
      </c>
      <c r="AP297" s="409">
        <f>$K$621</f>
        <v>6556</v>
      </c>
      <c r="AQ297" s="411">
        <f>$K$675</f>
        <v>5040</v>
      </c>
    </row>
    <row r="298" spans="2:43" ht="7.8" customHeight="1" x14ac:dyDescent="0.25">
      <c r="B298" s="282"/>
      <c r="C298" s="404"/>
      <c r="D298" s="415"/>
      <c r="E298" s="416" t="s">
        <v>30</v>
      </c>
      <c r="F298" s="417">
        <f t="shared" ref="F298:Y352" si="667">IFERROR(F297/F296,0)</f>
        <v>151.28189906542056</v>
      </c>
      <c r="G298" s="417">
        <f t="shared" si="667"/>
        <v>156</v>
      </c>
      <c r="H298" s="417">
        <f t="shared" si="667"/>
        <v>142.74038461538461</v>
      </c>
      <c r="I298" s="418">
        <f t="shared" si="667"/>
        <v>141.0655737704918</v>
      </c>
      <c r="J298" s="419">
        <f t="shared" si="667"/>
        <v>0</v>
      </c>
      <c r="K298" s="419">
        <f t="shared" si="667"/>
        <v>0</v>
      </c>
      <c r="L298" s="419">
        <f t="shared" si="667"/>
        <v>0</v>
      </c>
      <c r="M298" s="420">
        <f t="shared" si="667"/>
        <v>155</v>
      </c>
      <c r="N298" s="417">
        <f t="shared" si="667"/>
        <v>143.31854480922803</v>
      </c>
      <c r="O298" s="418">
        <f t="shared" si="667"/>
        <v>144.47882736156353</v>
      </c>
      <c r="P298" s="419">
        <f t="shared" si="667"/>
        <v>141.74943566591423</v>
      </c>
      <c r="Q298" s="419">
        <f t="shared" si="667"/>
        <v>143.8095238095238</v>
      </c>
      <c r="R298" s="419">
        <f t="shared" si="667"/>
        <v>0</v>
      </c>
      <c r="S298" s="420">
        <f t="shared" si="667"/>
        <v>136.42857142857142</v>
      </c>
      <c r="T298" s="417">
        <f t="shared" si="667"/>
        <v>153.49638141809291</v>
      </c>
      <c r="U298" s="418">
        <f t="shared" si="667"/>
        <v>196.44427536231882</v>
      </c>
      <c r="V298" s="419">
        <f t="shared" si="667"/>
        <v>155.11333333333332</v>
      </c>
      <c r="W298" s="419">
        <f t="shared" si="667"/>
        <v>148.75339216767793</v>
      </c>
      <c r="X298" s="419">
        <f t="shared" si="667"/>
        <v>151.76842105263157</v>
      </c>
      <c r="Y298" s="421">
        <f t="shared" si="667"/>
        <v>130.86500000000001</v>
      </c>
      <c r="AA298" s="291"/>
      <c r="AB298" s="412"/>
      <c r="AC298" s="422"/>
      <c r="AD298" s="423" t="s">
        <v>30</v>
      </c>
      <c r="AE298" s="417">
        <f t="shared" ref="AE298:AQ298" si="668">IFERROR(AE297/AE296,0)</f>
        <v>176.90140845070422</v>
      </c>
      <c r="AF298" s="418">
        <f t="shared" si="668"/>
        <v>0</v>
      </c>
      <c r="AG298" s="419">
        <f t="shared" si="668"/>
        <v>0</v>
      </c>
      <c r="AH298" s="419">
        <f t="shared" si="668"/>
        <v>0</v>
      </c>
      <c r="AI298" s="419">
        <f t="shared" si="668"/>
        <v>0</v>
      </c>
      <c r="AJ298" s="419">
        <f t="shared" si="668"/>
        <v>0</v>
      </c>
      <c r="AK298" s="419">
        <f t="shared" si="668"/>
        <v>185</v>
      </c>
      <c r="AL298" s="419">
        <f t="shared" si="668"/>
        <v>187.05283018867925</v>
      </c>
      <c r="AM298" s="419">
        <f t="shared" si="668"/>
        <v>0</v>
      </c>
      <c r="AN298" s="419">
        <f t="shared" si="668"/>
        <v>155</v>
      </c>
      <c r="AO298" s="419">
        <f t="shared" si="668"/>
        <v>0</v>
      </c>
      <c r="AP298" s="419">
        <f t="shared" si="668"/>
        <v>149</v>
      </c>
      <c r="AQ298" s="421">
        <f t="shared" si="668"/>
        <v>157.5</v>
      </c>
    </row>
    <row r="299" spans="2:43" ht="7.8" customHeight="1" x14ac:dyDescent="0.25">
      <c r="B299" s="282"/>
      <c r="C299" s="404"/>
      <c r="D299" s="424" t="s">
        <v>41</v>
      </c>
      <c r="E299" s="425" t="s">
        <v>32</v>
      </c>
      <c r="F299" s="426">
        <f t="shared" ref="F299:F300" si="669">SUM(G299,H299,N299,T299)</f>
        <v>5176</v>
      </c>
      <c r="G299" s="426">
        <v>643</v>
      </c>
      <c r="H299" s="426">
        <f t="shared" ref="H299:H300" si="670">SUM(I299:M299)</f>
        <v>196</v>
      </c>
      <c r="I299" s="427">
        <v>75</v>
      </c>
      <c r="J299" s="428">
        <v>0</v>
      </c>
      <c r="K299" s="428">
        <v>99</v>
      </c>
      <c r="L299" s="428">
        <v>0</v>
      </c>
      <c r="M299" s="429">
        <v>22</v>
      </c>
      <c r="N299" s="426">
        <f t="shared" ref="N299:N300" si="671">SUM(O299:S299)</f>
        <v>810</v>
      </c>
      <c r="O299" s="427">
        <v>524</v>
      </c>
      <c r="P299" s="428">
        <v>143</v>
      </c>
      <c r="Q299" s="428">
        <v>124</v>
      </c>
      <c r="R299" s="428">
        <v>0</v>
      </c>
      <c r="S299" s="429">
        <v>19</v>
      </c>
      <c r="T299" s="426">
        <f t="shared" ref="T299:T300" si="672">SUM(U299:Y299)</f>
        <v>3527</v>
      </c>
      <c r="U299" s="427">
        <v>230</v>
      </c>
      <c r="V299" s="428">
        <v>1860</v>
      </c>
      <c r="W299" s="428">
        <v>1236</v>
      </c>
      <c r="X299" s="428">
        <v>155</v>
      </c>
      <c r="Y299" s="430">
        <v>46</v>
      </c>
      <c r="AA299" s="291"/>
      <c r="AB299" s="412"/>
      <c r="AC299" s="431" t="s">
        <v>41</v>
      </c>
      <c r="AD299" s="432" t="s">
        <v>32</v>
      </c>
      <c r="AE299" s="426">
        <f t="shared" ref="AE299:AE300" si="673">SUM(AF299:AQ299)</f>
        <v>231</v>
      </c>
      <c r="AF299" s="427">
        <f>$K$83</f>
        <v>0</v>
      </c>
      <c r="AG299" s="428">
        <f>$K$137</f>
        <v>6</v>
      </c>
      <c r="AH299" s="428">
        <f>$K$191</f>
        <v>26</v>
      </c>
      <c r="AI299" s="428">
        <f>$K$245</f>
        <v>59</v>
      </c>
      <c r="AJ299" s="428">
        <f>$K$299</f>
        <v>99</v>
      </c>
      <c r="AK299" s="428">
        <f>$K$353</f>
        <v>41</v>
      </c>
      <c r="AL299" s="428">
        <f>$K$407</f>
        <v>0</v>
      </c>
      <c r="AM299" s="428">
        <f>$K$461</f>
        <v>0</v>
      </c>
      <c r="AN299" s="428">
        <f>$K$515</f>
        <v>0</v>
      </c>
      <c r="AO299" s="428">
        <f>$K$569</f>
        <v>0</v>
      </c>
      <c r="AP299" s="428">
        <f>$K$623</f>
        <v>0</v>
      </c>
      <c r="AQ299" s="430">
        <f>$K$677</f>
        <v>0</v>
      </c>
    </row>
    <row r="300" spans="2:43" s="41" customFormat="1" ht="7.8" customHeight="1" x14ac:dyDescent="0.25">
      <c r="B300" s="282"/>
      <c r="C300" s="404"/>
      <c r="D300" s="405"/>
      <c r="E300" s="406" t="s">
        <v>33</v>
      </c>
      <c r="F300" s="407">
        <f t="shared" si="669"/>
        <v>773157.1399999999</v>
      </c>
      <c r="G300" s="407">
        <v>100002</v>
      </c>
      <c r="H300" s="407">
        <f t="shared" si="670"/>
        <v>29180</v>
      </c>
      <c r="I300" s="408">
        <v>10875</v>
      </c>
      <c r="J300" s="409">
        <v>0</v>
      </c>
      <c r="K300" s="409">
        <v>14755</v>
      </c>
      <c r="L300" s="409">
        <v>0</v>
      </c>
      <c r="M300" s="410">
        <v>3550</v>
      </c>
      <c r="N300" s="407">
        <f t="shared" si="671"/>
        <v>123749</v>
      </c>
      <c r="O300" s="408">
        <v>80856</v>
      </c>
      <c r="P300" s="409">
        <v>21150</v>
      </c>
      <c r="Q300" s="409">
        <v>18580</v>
      </c>
      <c r="R300" s="409">
        <v>0</v>
      </c>
      <c r="S300" s="410">
        <v>3163</v>
      </c>
      <c r="T300" s="407">
        <f t="shared" si="672"/>
        <v>520226.13999999996</v>
      </c>
      <c r="U300" s="408">
        <v>45390.960000000006</v>
      </c>
      <c r="V300" s="409">
        <v>260477.57999999996</v>
      </c>
      <c r="W300" s="409">
        <v>184259.59999999998</v>
      </c>
      <c r="X300" s="409">
        <v>23925</v>
      </c>
      <c r="Y300" s="411">
        <v>6173</v>
      </c>
      <c r="AA300" s="291"/>
      <c r="AB300" s="412"/>
      <c r="AC300" s="413"/>
      <c r="AD300" s="414" t="s">
        <v>33</v>
      </c>
      <c r="AE300" s="407">
        <f t="shared" si="673"/>
        <v>34837</v>
      </c>
      <c r="AF300" s="408">
        <f>$K$84</f>
        <v>0</v>
      </c>
      <c r="AG300" s="409">
        <f>$K$138</f>
        <v>954</v>
      </c>
      <c r="AH300" s="409">
        <f>$K$192</f>
        <v>4030</v>
      </c>
      <c r="AI300" s="409">
        <f>$K$246</f>
        <v>8743</v>
      </c>
      <c r="AJ300" s="409">
        <f>$K$300</f>
        <v>14755</v>
      </c>
      <c r="AK300" s="409">
        <f>$K$354</f>
        <v>6355</v>
      </c>
      <c r="AL300" s="409">
        <f>$K$408</f>
        <v>0</v>
      </c>
      <c r="AM300" s="409">
        <f>$K$462</f>
        <v>0</v>
      </c>
      <c r="AN300" s="409">
        <f>$K$516</f>
        <v>0</v>
      </c>
      <c r="AO300" s="409">
        <f>$K$570</f>
        <v>0</v>
      </c>
      <c r="AP300" s="409">
        <f>$K$624</f>
        <v>0</v>
      </c>
      <c r="AQ300" s="411">
        <f>$K$678</f>
        <v>0</v>
      </c>
    </row>
    <row r="301" spans="2:43" ht="7.8" customHeight="1" x14ac:dyDescent="0.25">
      <c r="B301" s="282"/>
      <c r="C301" s="404"/>
      <c r="D301" s="415"/>
      <c r="E301" s="416" t="s">
        <v>30</v>
      </c>
      <c r="F301" s="417">
        <f t="shared" ref="F301:Y355" si="674">IFERROR(F300/F299,0)</f>
        <v>149.37348145285932</v>
      </c>
      <c r="G301" s="417">
        <f t="shared" si="674"/>
        <v>155.52410575427683</v>
      </c>
      <c r="H301" s="417">
        <f t="shared" si="674"/>
        <v>148.87755102040816</v>
      </c>
      <c r="I301" s="418">
        <f t="shared" si="674"/>
        <v>145</v>
      </c>
      <c r="J301" s="419">
        <f t="shared" si="674"/>
        <v>0</v>
      </c>
      <c r="K301" s="419">
        <f t="shared" si="674"/>
        <v>149.04040404040404</v>
      </c>
      <c r="L301" s="419">
        <f t="shared" si="674"/>
        <v>0</v>
      </c>
      <c r="M301" s="420">
        <f t="shared" si="674"/>
        <v>161.36363636363637</v>
      </c>
      <c r="N301" s="417">
        <f t="shared" si="674"/>
        <v>152.77654320987654</v>
      </c>
      <c r="O301" s="418">
        <f t="shared" si="674"/>
        <v>154.30534351145039</v>
      </c>
      <c r="P301" s="419">
        <f t="shared" si="674"/>
        <v>147.90209790209789</v>
      </c>
      <c r="Q301" s="419">
        <f t="shared" si="674"/>
        <v>149.83870967741936</v>
      </c>
      <c r="R301" s="419">
        <f t="shared" si="674"/>
        <v>0</v>
      </c>
      <c r="S301" s="420">
        <f t="shared" si="674"/>
        <v>166.47368421052633</v>
      </c>
      <c r="T301" s="417">
        <f t="shared" si="674"/>
        <v>147.49819676779131</v>
      </c>
      <c r="U301" s="418">
        <f t="shared" si="674"/>
        <v>197.35200000000003</v>
      </c>
      <c r="V301" s="419">
        <f t="shared" si="674"/>
        <v>140.04170967741933</v>
      </c>
      <c r="W301" s="419">
        <f t="shared" si="674"/>
        <v>149.07734627831712</v>
      </c>
      <c r="X301" s="419">
        <f t="shared" si="674"/>
        <v>154.35483870967741</v>
      </c>
      <c r="Y301" s="421">
        <f t="shared" si="674"/>
        <v>134.19565217391303</v>
      </c>
      <c r="AA301" s="291"/>
      <c r="AB301" s="412"/>
      <c r="AC301" s="422"/>
      <c r="AD301" s="423" t="s">
        <v>30</v>
      </c>
      <c r="AE301" s="417">
        <f t="shared" ref="AE301:AQ301" si="675">IFERROR(AE300/AE299,0)</f>
        <v>150.8095238095238</v>
      </c>
      <c r="AF301" s="418">
        <f t="shared" si="675"/>
        <v>0</v>
      </c>
      <c r="AG301" s="419">
        <f t="shared" si="675"/>
        <v>159</v>
      </c>
      <c r="AH301" s="419">
        <f t="shared" si="675"/>
        <v>155</v>
      </c>
      <c r="AI301" s="419">
        <f t="shared" si="675"/>
        <v>148.18644067796609</v>
      </c>
      <c r="AJ301" s="419">
        <f t="shared" si="675"/>
        <v>149.04040404040404</v>
      </c>
      <c r="AK301" s="419">
        <f t="shared" si="675"/>
        <v>155</v>
      </c>
      <c r="AL301" s="419">
        <f t="shared" si="675"/>
        <v>0</v>
      </c>
      <c r="AM301" s="419">
        <f t="shared" si="675"/>
        <v>0</v>
      </c>
      <c r="AN301" s="419">
        <f t="shared" si="675"/>
        <v>0</v>
      </c>
      <c r="AO301" s="419">
        <f t="shared" si="675"/>
        <v>0</v>
      </c>
      <c r="AP301" s="419">
        <f t="shared" si="675"/>
        <v>0</v>
      </c>
      <c r="AQ301" s="421">
        <f t="shared" si="675"/>
        <v>0</v>
      </c>
    </row>
    <row r="302" spans="2:43" ht="7.8" customHeight="1" x14ac:dyDescent="0.25">
      <c r="B302" s="282"/>
      <c r="C302" s="404"/>
      <c r="D302" s="433" t="s">
        <v>42</v>
      </c>
      <c r="E302" s="434" t="s">
        <v>32</v>
      </c>
      <c r="F302" s="435">
        <f t="shared" ref="F302:F303" si="676">SUM(G302,H302,N302,T302)</f>
        <v>5095</v>
      </c>
      <c r="G302" s="435">
        <v>0</v>
      </c>
      <c r="H302" s="435">
        <v>300</v>
      </c>
      <c r="I302" s="436">
        <v>150</v>
      </c>
      <c r="J302" s="437">
        <v>50</v>
      </c>
      <c r="K302" s="437">
        <v>50</v>
      </c>
      <c r="L302" s="437">
        <v>0</v>
      </c>
      <c r="M302" s="438">
        <v>50</v>
      </c>
      <c r="N302" s="435">
        <f t="shared" ref="N302:N303" si="677">SUM(O302:S302)</f>
        <v>960</v>
      </c>
      <c r="O302" s="436">
        <v>600</v>
      </c>
      <c r="P302" s="437">
        <v>300</v>
      </c>
      <c r="Q302" s="437">
        <v>60</v>
      </c>
      <c r="R302" s="437">
        <v>0</v>
      </c>
      <c r="S302" s="438">
        <v>0</v>
      </c>
      <c r="T302" s="435">
        <f t="shared" ref="T302:T303" si="678">SUM(U302:Y302)</f>
        <v>3835</v>
      </c>
      <c r="U302" s="436">
        <v>345</v>
      </c>
      <c r="V302" s="437">
        <v>1890</v>
      </c>
      <c r="W302" s="437">
        <v>1341</v>
      </c>
      <c r="X302" s="437">
        <v>66</v>
      </c>
      <c r="Y302" s="439">
        <v>193</v>
      </c>
      <c r="AA302" s="291"/>
      <c r="AB302" s="412"/>
      <c r="AC302" s="568" t="s">
        <v>42</v>
      </c>
      <c r="AD302" s="569" t="s">
        <v>32</v>
      </c>
      <c r="AE302" s="442">
        <f t="shared" ref="AE302:AE303" si="679">SUM(AF302:AQ302)</f>
        <v>450</v>
      </c>
      <c r="AF302" s="443">
        <f>$K$86</f>
        <v>0</v>
      </c>
      <c r="AG302" s="444">
        <f>$K$140</f>
        <v>50</v>
      </c>
      <c r="AH302" s="444">
        <f>$K$194</f>
        <v>30</v>
      </c>
      <c r="AI302" s="444">
        <f>$K$248</f>
        <v>60</v>
      </c>
      <c r="AJ302" s="444">
        <f>$K$302</f>
        <v>50</v>
      </c>
      <c r="AK302" s="444">
        <f>$K$356</f>
        <v>30</v>
      </c>
      <c r="AL302" s="444">
        <f>$K$410</f>
        <v>50</v>
      </c>
      <c r="AM302" s="444">
        <f>$K$464</f>
        <v>0</v>
      </c>
      <c r="AN302" s="444">
        <f>$K$518</f>
        <v>70</v>
      </c>
      <c r="AO302" s="444">
        <f>$K$572</f>
        <v>60</v>
      </c>
      <c r="AP302" s="444">
        <f>$K$626</f>
        <v>50</v>
      </c>
      <c r="AQ302" s="445">
        <f>$K$680</f>
        <v>0</v>
      </c>
    </row>
    <row r="303" spans="2:43" s="41" customFormat="1" ht="7.8" customHeight="1" x14ac:dyDescent="0.25">
      <c r="B303" s="282"/>
      <c r="C303" s="404"/>
      <c r="D303" s="446"/>
      <c r="E303" s="447" t="s">
        <v>33</v>
      </c>
      <c r="F303" s="448">
        <f t="shared" si="676"/>
        <v>833559</v>
      </c>
      <c r="G303" s="448">
        <v>0</v>
      </c>
      <c r="H303" s="448">
        <v>44000</v>
      </c>
      <c r="I303" s="449">
        <v>21750</v>
      </c>
      <c r="J303" s="450">
        <v>7250</v>
      </c>
      <c r="K303" s="450">
        <v>7250</v>
      </c>
      <c r="L303" s="450">
        <v>0</v>
      </c>
      <c r="M303" s="451">
        <v>7750</v>
      </c>
      <c r="N303" s="448">
        <f t="shared" si="677"/>
        <v>144600</v>
      </c>
      <c r="O303" s="449">
        <v>93000</v>
      </c>
      <c r="P303" s="450">
        <v>42600</v>
      </c>
      <c r="Q303" s="450">
        <v>9000</v>
      </c>
      <c r="R303" s="450">
        <v>0</v>
      </c>
      <c r="S303" s="451">
        <v>0</v>
      </c>
      <c r="T303" s="448">
        <f t="shared" si="678"/>
        <v>644959</v>
      </c>
      <c r="U303" s="449">
        <v>63825</v>
      </c>
      <c r="V303" s="450">
        <v>319877</v>
      </c>
      <c r="W303" s="450">
        <v>214500</v>
      </c>
      <c r="X303" s="450">
        <v>12210</v>
      </c>
      <c r="Y303" s="452">
        <v>34547</v>
      </c>
      <c r="AA303" s="291"/>
      <c r="AB303" s="412"/>
      <c r="AC303" s="564"/>
      <c r="AD303" s="565" t="s">
        <v>33</v>
      </c>
      <c r="AE303" s="455">
        <f t="shared" si="679"/>
        <v>67800</v>
      </c>
      <c r="AF303" s="456">
        <f>$K$87</f>
        <v>0</v>
      </c>
      <c r="AG303" s="457">
        <f>$K$141</f>
        <v>8250</v>
      </c>
      <c r="AH303" s="457">
        <f>$K$195</f>
        <v>4650</v>
      </c>
      <c r="AI303" s="457">
        <f>$K$249</f>
        <v>8700</v>
      </c>
      <c r="AJ303" s="457">
        <f>$K$303</f>
        <v>7250</v>
      </c>
      <c r="AK303" s="457">
        <f>$K$357</f>
        <v>4800</v>
      </c>
      <c r="AL303" s="457">
        <f>$K$411</f>
        <v>8750</v>
      </c>
      <c r="AM303" s="457">
        <f>$K$465</f>
        <v>0</v>
      </c>
      <c r="AN303" s="457">
        <f>$K$519</f>
        <v>9800</v>
      </c>
      <c r="AO303" s="457">
        <f>$K$573</f>
        <v>8700</v>
      </c>
      <c r="AP303" s="457">
        <f>$K$627</f>
        <v>6900</v>
      </c>
      <c r="AQ303" s="458">
        <f>$K$681</f>
        <v>0</v>
      </c>
    </row>
    <row r="304" spans="2:43" ht="7.8" customHeight="1" x14ac:dyDescent="0.25">
      <c r="B304" s="282"/>
      <c r="C304" s="404"/>
      <c r="D304" s="459"/>
      <c r="E304" s="460" t="s">
        <v>30</v>
      </c>
      <c r="F304" s="461">
        <f t="shared" ref="F304:L358" si="680">IFERROR(F303/F302,0)</f>
        <v>163.60333660451423</v>
      </c>
      <c r="G304" s="461">
        <f t="shared" si="680"/>
        <v>0</v>
      </c>
      <c r="H304" s="461">
        <f t="shared" si="680"/>
        <v>146.66666666666666</v>
      </c>
      <c r="I304" s="462">
        <f t="shared" si="680"/>
        <v>145</v>
      </c>
      <c r="J304" s="463">
        <f t="shared" si="680"/>
        <v>145</v>
      </c>
      <c r="K304" s="463">
        <f t="shared" si="680"/>
        <v>145</v>
      </c>
      <c r="L304" s="463">
        <f t="shared" si="680"/>
        <v>0</v>
      </c>
      <c r="M304" s="464"/>
      <c r="N304" s="461">
        <f t="shared" ref="N304:Y358" si="681">IFERROR(N303/N302,0)</f>
        <v>150.625</v>
      </c>
      <c r="O304" s="462">
        <f t="shared" si="681"/>
        <v>155</v>
      </c>
      <c r="P304" s="463">
        <f t="shared" si="681"/>
        <v>142</v>
      </c>
      <c r="Q304" s="463">
        <f t="shared" si="681"/>
        <v>150</v>
      </c>
      <c r="R304" s="463">
        <f t="shared" si="681"/>
        <v>0</v>
      </c>
      <c r="S304" s="464">
        <f t="shared" si="681"/>
        <v>0</v>
      </c>
      <c r="T304" s="461">
        <f t="shared" si="681"/>
        <v>168.17705345501955</v>
      </c>
      <c r="U304" s="462">
        <f t="shared" si="681"/>
        <v>185</v>
      </c>
      <c r="V304" s="463">
        <f t="shared" si="681"/>
        <v>169.24708994708996</v>
      </c>
      <c r="W304" s="463">
        <f t="shared" si="681"/>
        <v>159.95525727069352</v>
      </c>
      <c r="X304" s="463">
        <f t="shared" si="681"/>
        <v>185</v>
      </c>
      <c r="Y304" s="465">
        <f t="shared" si="681"/>
        <v>179</v>
      </c>
      <c r="AA304" s="291"/>
      <c r="AB304" s="412"/>
      <c r="AC304" s="566"/>
      <c r="AD304" s="567" t="s">
        <v>30</v>
      </c>
      <c r="AE304" s="468">
        <f t="shared" ref="AE304:AQ304" si="682">IFERROR(AE303/AE302,0)</f>
        <v>150.66666666666666</v>
      </c>
      <c r="AF304" s="469">
        <f t="shared" si="682"/>
        <v>0</v>
      </c>
      <c r="AG304" s="470">
        <f t="shared" si="682"/>
        <v>165</v>
      </c>
      <c r="AH304" s="470">
        <f t="shared" si="682"/>
        <v>155</v>
      </c>
      <c r="AI304" s="470">
        <f t="shared" si="682"/>
        <v>145</v>
      </c>
      <c r="AJ304" s="470">
        <f t="shared" si="682"/>
        <v>145</v>
      </c>
      <c r="AK304" s="470">
        <f t="shared" si="682"/>
        <v>160</v>
      </c>
      <c r="AL304" s="470">
        <f t="shared" si="682"/>
        <v>175</v>
      </c>
      <c r="AM304" s="470">
        <f t="shared" si="682"/>
        <v>0</v>
      </c>
      <c r="AN304" s="470">
        <f t="shared" si="682"/>
        <v>140</v>
      </c>
      <c r="AO304" s="470">
        <f t="shared" si="682"/>
        <v>145</v>
      </c>
      <c r="AP304" s="470">
        <f t="shared" si="682"/>
        <v>138</v>
      </c>
      <c r="AQ304" s="471">
        <f t="shared" si="682"/>
        <v>0</v>
      </c>
    </row>
    <row r="305" spans="2:43" ht="7.8" customHeight="1" x14ac:dyDescent="0.25">
      <c r="B305" s="282"/>
      <c r="C305" s="404"/>
      <c r="D305" s="472" t="s">
        <v>43</v>
      </c>
      <c r="E305" s="425" t="s">
        <v>32</v>
      </c>
      <c r="F305" s="426">
        <f t="shared" ref="F305:Y307" si="683">F302-F299</f>
        <v>-81</v>
      </c>
      <c r="G305" s="426">
        <f t="shared" si="683"/>
        <v>-643</v>
      </c>
      <c r="H305" s="426">
        <f t="shared" si="683"/>
        <v>104</v>
      </c>
      <c r="I305" s="427">
        <f t="shared" si="683"/>
        <v>75</v>
      </c>
      <c r="J305" s="428">
        <f t="shared" si="683"/>
        <v>50</v>
      </c>
      <c r="K305" s="428">
        <f t="shared" si="683"/>
        <v>-49</v>
      </c>
      <c r="L305" s="428">
        <f t="shared" si="683"/>
        <v>0</v>
      </c>
      <c r="M305" s="429">
        <f t="shared" si="683"/>
        <v>28</v>
      </c>
      <c r="N305" s="426">
        <f t="shared" si="683"/>
        <v>150</v>
      </c>
      <c r="O305" s="427">
        <f t="shared" si="683"/>
        <v>76</v>
      </c>
      <c r="P305" s="428">
        <f t="shared" si="683"/>
        <v>157</v>
      </c>
      <c r="Q305" s="428">
        <f t="shared" si="683"/>
        <v>-64</v>
      </c>
      <c r="R305" s="428">
        <f t="shared" si="683"/>
        <v>0</v>
      </c>
      <c r="S305" s="429">
        <f t="shared" si="683"/>
        <v>-19</v>
      </c>
      <c r="T305" s="426">
        <f t="shared" si="683"/>
        <v>308</v>
      </c>
      <c r="U305" s="427">
        <f t="shared" si="683"/>
        <v>115</v>
      </c>
      <c r="V305" s="428">
        <f t="shared" si="683"/>
        <v>30</v>
      </c>
      <c r="W305" s="428">
        <f t="shared" si="683"/>
        <v>105</v>
      </c>
      <c r="X305" s="428">
        <f t="shared" si="683"/>
        <v>-89</v>
      </c>
      <c r="Y305" s="430">
        <f t="shared" si="683"/>
        <v>147</v>
      </c>
      <c r="AA305" s="291"/>
      <c r="AB305" s="412"/>
      <c r="AC305" s="473" t="s">
        <v>43</v>
      </c>
      <c r="AD305" s="432" t="s">
        <v>32</v>
      </c>
      <c r="AE305" s="426">
        <f t="shared" ref="AE305:AQ307" si="684">AE302-AE299</f>
        <v>219</v>
      </c>
      <c r="AF305" s="427">
        <f t="shared" si="684"/>
        <v>0</v>
      </c>
      <c r="AG305" s="428">
        <f t="shared" si="684"/>
        <v>44</v>
      </c>
      <c r="AH305" s="428">
        <f t="shared" si="684"/>
        <v>4</v>
      </c>
      <c r="AI305" s="428">
        <f t="shared" si="684"/>
        <v>1</v>
      </c>
      <c r="AJ305" s="428">
        <f t="shared" si="684"/>
        <v>-49</v>
      </c>
      <c r="AK305" s="428">
        <f t="shared" si="684"/>
        <v>-11</v>
      </c>
      <c r="AL305" s="428">
        <f t="shared" si="684"/>
        <v>50</v>
      </c>
      <c r="AM305" s="428">
        <f t="shared" si="684"/>
        <v>0</v>
      </c>
      <c r="AN305" s="428">
        <f t="shared" si="684"/>
        <v>70</v>
      </c>
      <c r="AO305" s="428">
        <f t="shared" si="684"/>
        <v>60</v>
      </c>
      <c r="AP305" s="428">
        <f t="shared" si="684"/>
        <v>50</v>
      </c>
      <c r="AQ305" s="430">
        <f t="shared" si="684"/>
        <v>0</v>
      </c>
    </row>
    <row r="306" spans="2:43" s="366" customFormat="1" ht="7.8" customHeight="1" x14ac:dyDescent="0.25">
      <c r="B306" s="282"/>
      <c r="C306" s="404"/>
      <c r="D306" s="405"/>
      <c r="E306" s="474" t="s">
        <v>33</v>
      </c>
      <c r="F306" s="407">
        <f t="shared" si="683"/>
        <v>60401.860000000102</v>
      </c>
      <c r="G306" s="407">
        <f t="shared" si="683"/>
        <v>-100002</v>
      </c>
      <c r="H306" s="407">
        <f t="shared" si="683"/>
        <v>14820</v>
      </c>
      <c r="I306" s="408">
        <f t="shared" si="683"/>
        <v>10875</v>
      </c>
      <c r="J306" s="409">
        <f t="shared" si="683"/>
        <v>7250</v>
      </c>
      <c r="K306" s="409">
        <f t="shared" si="683"/>
        <v>-7505</v>
      </c>
      <c r="L306" s="409">
        <f t="shared" si="683"/>
        <v>0</v>
      </c>
      <c r="M306" s="410">
        <f t="shared" si="683"/>
        <v>4200</v>
      </c>
      <c r="N306" s="407">
        <f t="shared" si="683"/>
        <v>20851</v>
      </c>
      <c r="O306" s="408">
        <f t="shared" si="683"/>
        <v>12144</v>
      </c>
      <c r="P306" s="409">
        <f t="shared" si="683"/>
        <v>21450</v>
      </c>
      <c r="Q306" s="409">
        <f t="shared" si="683"/>
        <v>-9580</v>
      </c>
      <c r="R306" s="409">
        <f t="shared" si="683"/>
        <v>0</v>
      </c>
      <c r="S306" s="410">
        <f t="shared" si="683"/>
        <v>-3163</v>
      </c>
      <c r="T306" s="407">
        <f t="shared" si="683"/>
        <v>124732.86000000004</v>
      </c>
      <c r="U306" s="408">
        <f t="shared" si="683"/>
        <v>18434.039999999994</v>
      </c>
      <c r="V306" s="409">
        <f t="shared" si="683"/>
        <v>59399.420000000042</v>
      </c>
      <c r="W306" s="409">
        <f t="shared" si="683"/>
        <v>30240.400000000023</v>
      </c>
      <c r="X306" s="409">
        <f t="shared" si="683"/>
        <v>-11715</v>
      </c>
      <c r="Y306" s="411">
        <f t="shared" si="683"/>
        <v>28374</v>
      </c>
      <c r="AA306" s="291"/>
      <c r="AB306" s="412"/>
      <c r="AC306" s="475"/>
      <c r="AD306" s="476" t="s">
        <v>33</v>
      </c>
      <c r="AE306" s="407">
        <f t="shared" si="684"/>
        <v>32963</v>
      </c>
      <c r="AF306" s="408">
        <f t="shared" si="684"/>
        <v>0</v>
      </c>
      <c r="AG306" s="409">
        <f t="shared" si="684"/>
        <v>7296</v>
      </c>
      <c r="AH306" s="409">
        <f t="shared" si="684"/>
        <v>620</v>
      </c>
      <c r="AI306" s="409">
        <f t="shared" si="684"/>
        <v>-43</v>
      </c>
      <c r="AJ306" s="409">
        <f t="shared" si="684"/>
        <v>-7505</v>
      </c>
      <c r="AK306" s="409">
        <f t="shared" si="684"/>
        <v>-1555</v>
      </c>
      <c r="AL306" s="409">
        <f t="shared" si="684"/>
        <v>8750</v>
      </c>
      <c r="AM306" s="409">
        <f t="shared" si="684"/>
        <v>0</v>
      </c>
      <c r="AN306" s="409">
        <f t="shared" si="684"/>
        <v>9800</v>
      </c>
      <c r="AO306" s="409">
        <f t="shared" si="684"/>
        <v>8700</v>
      </c>
      <c r="AP306" s="409">
        <f t="shared" si="684"/>
        <v>6900</v>
      </c>
      <c r="AQ306" s="411">
        <f t="shared" si="684"/>
        <v>0</v>
      </c>
    </row>
    <row r="307" spans="2:43" ht="7.8" customHeight="1" x14ac:dyDescent="0.25">
      <c r="B307" s="282"/>
      <c r="C307" s="404"/>
      <c r="D307" s="415"/>
      <c r="E307" s="416" t="s">
        <v>30</v>
      </c>
      <c r="F307" s="417">
        <f t="shared" si="683"/>
        <v>14.229855151654903</v>
      </c>
      <c r="G307" s="417">
        <f t="shared" si="683"/>
        <v>-155.52410575427683</v>
      </c>
      <c r="H307" s="417">
        <f t="shared" si="683"/>
        <v>-2.2108843537415055</v>
      </c>
      <c r="I307" s="418">
        <f t="shared" si="683"/>
        <v>0</v>
      </c>
      <c r="J307" s="419">
        <f t="shared" si="683"/>
        <v>145</v>
      </c>
      <c r="K307" s="419">
        <f t="shared" si="683"/>
        <v>-4.0404040404040416</v>
      </c>
      <c r="L307" s="419">
        <f t="shared" si="683"/>
        <v>0</v>
      </c>
      <c r="M307" s="420">
        <f t="shared" si="683"/>
        <v>-161.36363636363637</v>
      </c>
      <c r="N307" s="417">
        <f t="shared" si="683"/>
        <v>-2.1515432098765359</v>
      </c>
      <c r="O307" s="418">
        <f t="shared" si="683"/>
        <v>0.69465648854961159</v>
      </c>
      <c r="P307" s="419">
        <f t="shared" si="683"/>
        <v>-5.9020979020978928</v>
      </c>
      <c r="Q307" s="419">
        <f t="shared" si="683"/>
        <v>0.16129032258064058</v>
      </c>
      <c r="R307" s="419">
        <f t="shared" si="683"/>
        <v>0</v>
      </c>
      <c r="S307" s="420">
        <f t="shared" si="683"/>
        <v>-166.47368421052633</v>
      </c>
      <c r="T307" s="417">
        <f t="shared" si="683"/>
        <v>20.678856687228233</v>
      </c>
      <c r="U307" s="418">
        <f t="shared" si="683"/>
        <v>-12.352000000000032</v>
      </c>
      <c r="V307" s="419">
        <f t="shared" si="683"/>
        <v>29.205380269670627</v>
      </c>
      <c r="W307" s="419">
        <f t="shared" si="683"/>
        <v>10.8779109923764</v>
      </c>
      <c r="X307" s="419">
        <f t="shared" si="683"/>
        <v>30.645161290322591</v>
      </c>
      <c r="Y307" s="421">
        <f t="shared" si="683"/>
        <v>44.804347826086968</v>
      </c>
      <c r="AA307" s="291"/>
      <c r="AB307" s="412"/>
      <c r="AC307" s="477"/>
      <c r="AD307" s="423" t="s">
        <v>30</v>
      </c>
      <c r="AE307" s="417">
        <f t="shared" si="684"/>
        <v>-0.1428571428571388</v>
      </c>
      <c r="AF307" s="418">
        <f t="shared" si="684"/>
        <v>0</v>
      </c>
      <c r="AG307" s="419">
        <f t="shared" si="684"/>
        <v>6</v>
      </c>
      <c r="AH307" s="419">
        <f t="shared" si="684"/>
        <v>0</v>
      </c>
      <c r="AI307" s="419">
        <f t="shared" si="684"/>
        <v>-3.1864406779660897</v>
      </c>
      <c r="AJ307" s="419">
        <f t="shared" si="684"/>
        <v>-4.0404040404040416</v>
      </c>
      <c r="AK307" s="419">
        <f t="shared" si="684"/>
        <v>5</v>
      </c>
      <c r="AL307" s="419">
        <f t="shared" si="684"/>
        <v>175</v>
      </c>
      <c r="AM307" s="419">
        <f t="shared" si="684"/>
        <v>0</v>
      </c>
      <c r="AN307" s="419">
        <f t="shared" si="684"/>
        <v>140</v>
      </c>
      <c r="AO307" s="419">
        <f t="shared" si="684"/>
        <v>145</v>
      </c>
      <c r="AP307" s="419">
        <f t="shared" si="684"/>
        <v>138</v>
      </c>
      <c r="AQ307" s="421">
        <f t="shared" si="684"/>
        <v>0</v>
      </c>
    </row>
    <row r="308" spans="2:43" ht="7.8" customHeight="1" x14ac:dyDescent="0.25">
      <c r="B308" s="282"/>
      <c r="C308" s="404"/>
      <c r="D308" s="472" t="s">
        <v>44</v>
      </c>
      <c r="E308" s="425" t="s">
        <v>32</v>
      </c>
      <c r="F308" s="478">
        <f t="shared" ref="F308:Y310" si="685">IFERROR((F302-F299)/ABS(F299),"")</f>
        <v>-1.5649149922720249E-2</v>
      </c>
      <c r="G308" s="478">
        <f t="shared" si="685"/>
        <v>-1</v>
      </c>
      <c r="H308" s="478">
        <f t="shared" si="685"/>
        <v>0.53061224489795922</v>
      </c>
      <c r="I308" s="479">
        <f t="shared" si="685"/>
        <v>1</v>
      </c>
      <c r="J308" s="480" t="str">
        <f t="shared" si="685"/>
        <v/>
      </c>
      <c r="K308" s="480">
        <f t="shared" si="685"/>
        <v>-0.49494949494949497</v>
      </c>
      <c r="L308" s="480" t="str">
        <f t="shared" si="685"/>
        <v/>
      </c>
      <c r="M308" s="481">
        <f t="shared" si="685"/>
        <v>1.2727272727272727</v>
      </c>
      <c r="N308" s="478">
        <f t="shared" si="685"/>
        <v>0.18518518518518517</v>
      </c>
      <c r="O308" s="479">
        <f t="shared" si="685"/>
        <v>0.14503816793893129</v>
      </c>
      <c r="P308" s="480">
        <f t="shared" si="685"/>
        <v>1.0979020979020979</v>
      </c>
      <c r="Q308" s="480">
        <f t="shared" si="685"/>
        <v>-0.5161290322580645</v>
      </c>
      <c r="R308" s="480" t="str">
        <f t="shared" si="685"/>
        <v/>
      </c>
      <c r="S308" s="481">
        <f t="shared" si="685"/>
        <v>-1</v>
      </c>
      <c r="T308" s="478">
        <f t="shared" si="685"/>
        <v>8.7326339665438055E-2</v>
      </c>
      <c r="U308" s="479">
        <f t="shared" si="685"/>
        <v>0.5</v>
      </c>
      <c r="V308" s="480">
        <f t="shared" si="685"/>
        <v>1.6129032258064516E-2</v>
      </c>
      <c r="W308" s="480">
        <f t="shared" si="685"/>
        <v>8.4951456310679616E-2</v>
      </c>
      <c r="X308" s="480">
        <f t="shared" si="685"/>
        <v>-0.5741935483870968</v>
      </c>
      <c r="Y308" s="482">
        <f t="shared" si="685"/>
        <v>3.1956521739130435</v>
      </c>
      <c r="AA308" s="291"/>
      <c r="AB308" s="412"/>
      <c r="AC308" s="473" t="s">
        <v>44</v>
      </c>
      <c r="AD308" s="432" t="s">
        <v>32</v>
      </c>
      <c r="AE308" s="478">
        <f t="shared" ref="AE308:AQ310" si="686">IFERROR((AE302-AE299)/ABS(AE299),"")</f>
        <v>0.94805194805194803</v>
      </c>
      <c r="AF308" s="479" t="str">
        <f t="shared" si="686"/>
        <v/>
      </c>
      <c r="AG308" s="480">
        <f t="shared" si="686"/>
        <v>7.333333333333333</v>
      </c>
      <c r="AH308" s="480">
        <f t="shared" si="686"/>
        <v>0.15384615384615385</v>
      </c>
      <c r="AI308" s="480">
        <f t="shared" si="686"/>
        <v>1.6949152542372881E-2</v>
      </c>
      <c r="AJ308" s="480">
        <f t="shared" si="686"/>
        <v>-0.49494949494949497</v>
      </c>
      <c r="AK308" s="480">
        <f t="shared" si="686"/>
        <v>-0.26829268292682928</v>
      </c>
      <c r="AL308" s="480" t="str">
        <f t="shared" si="686"/>
        <v/>
      </c>
      <c r="AM308" s="480" t="str">
        <f t="shared" si="686"/>
        <v/>
      </c>
      <c r="AN308" s="480" t="str">
        <f t="shared" si="686"/>
        <v/>
      </c>
      <c r="AO308" s="480" t="str">
        <f t="shared" si="686"/>
        <v/>
      </c>
      <c r="AP308" s="480" t="str">
        <f t="shared" si="686"/>
        <v/>
      </c>
      <c r="AQ308" s="482" t="str">
        <f t="shared" si="686"/>
        <v/>
      </c>
    </row>
    <row r="309" spans="2:43" ht="7.8" customHeight="1" x14ac:dyDescent="0.25">
      <c r="B309" s="282"/>
      <c r="C309" s="404"/>
      <c r="D309" s="405"/>
      <c r="E309" s="483" t="s">
        <v>33</v>
      </c>
      <c r="F309" s="484">
        <f t="shared" si="685"/>
        <v>7.812365284500912E-2</v>
      </c>
      <c r="G309" s="484">
        <f t="shared" si="685"/>
        <v>-1</v>
      </c>
      <c r="H309" s="484">
        <f t="shared" si="685"/>
        <v>0.5078821110349554</v>
      </c>
      <c r="I309" s="485">
        <f t="shared" si="685"/>
        <v>1</v>
      </c>
      <c r="J309" s="486" t="str">
        <f t="shared" si="685"/>
        <v/>
      </c>
      <c r="K309" s="486">
        <f t="shared" si="685"/>
        <v>-0.50864113859708571</v>
      </c>
      <c r="L309" s="486" t="str">
        <f t="shared" si="685"/>
        <v/>
      </c>
      <c r="M309" s="487">
        <f t="shared" si="685"/>
        <v>1.1830985915492958</v>
      </c>
      <c r="N309" s="484">
        <f t="shared" si="685"/>
        <v>0.16849429086295648</v>
      </c>
      <c r="O309" s="485">
        <f t="shared" si="685"/>
        <v>0.15019293558919561</v>
      </c>
      <c r="P309" s="486">
        <f t="shared" si="685"/>
        <v>1.0141843971631206</v>
      </c>
      <c r="Q309" s="486">
        <f t="shared" si="685"/>
        <v>-0.51560818083961246</v>
      </c>
      <c r="R309" s="486" t="str">
        <f t="shared" si="685"/>
        <v/>
      </c>
      <c r="S309" s="487">
        <f t="shared" si="685"/>
        <v>-1</v>
      </c>
      <c r="T309" s="484">
        <f t="shared" si="685"/>
        <v>0.2397666138037586</v>
      </c>
      <c r="U309" s="485">
        <f t="shared" si="685"/>
        <v>0.40611698893347908</v>
      </c>
      <c r="V309" s="486">
        <f t="shared" si="685"/>
        <v>0.2280404325009471</v>
      </c>
      <c r="W309" s="486">
        <f t="shared" si="685"/>
        <v>0.16411845027341873</v>
      </c>
      <c r="X309" s="486">
        <f t="shared" si="685"/>
        <v>-0.48965517241379308</v>
      </c>
      <c r="Y309" s="488">
        <f t="shared" si="685"/>
        <v>4.5964684918192127</v>
      </c>
      <c r="AA309" s="291"/>
      <c r="AB309" s="412"/>
      <c r="AC309" s="475"/>
      <c r="AD309" s="489" t="s">
        <v>33</v>
      </c>
      <c r="AE309" s="484">
        <f t="shared" si="686"/>
        <v>0.94620661939891493</v>
      </c>
      <c r="AF309" s="485" t="str">
        <f t="shared" si="686"/>
        <v/>
      </c>
      <c r="AG309" s="486">
        <f t="shared" si="686"/>
        <v>7.6477987421383649</v>
      </c>
      <c r="AH309" s="486">
        <f t="shared" si="686"/>
        <v>0.15384615384615385</v>
      </c>
      <c r="AI309" s="486">
        <f t="shared" si="686"/>
        <v>-4.9182202905181287E-3</v>
      </c>
      <c r="AJ309" s="486">
        <f t="shared" si="686"/>
        <v>-0.50864113859708571</v>
      </c>
      <c r="AK309" s="486">
        <f t="shared" si="686"/>
        <v>-0.24468922108575925</v>
      </c>
      <c r="AL309" s="486" t="str">
        <f t="shared" si="686"/>
        <v/>
      </c>
      <c r="AM309" s="486" t="str">
        <f t="shared" si="686"/>
        <v/>
      </c>
      <c r="AN309" s="486" t="str">
        <f t="shared" si="686"/>
        <v/>
      </c>
      <c r="AO309" s="486" t="str">
        <f t="shared" si="686"/>
        <v/>
      </c>
      <c r="AP309" s="486" t="str">
        <f t="shared" si="686"/>
        <v/>
      </c>
      <c r="AQ309" s="488" t="str">
        <f t="shared" si="686"/>
        <v/>
      </c>
    </row>
    <row r="310" spans="2:43" ht="7.8" customHeight="1" x14ac:dyDescent="0.25">
      <c r="B310" s="282"/>
      <c r="C310" s="490"/>
      <c r="D310" s="405"/>
      <c r="E310" s="483" t="s">
        <v>30</v>
      </c>
      <c r="F310" s="484">
        <f t="shared" si="685"/>
        <v>9.5263597080621654E-2</v>
      </c>
      <c r="G310" s="484">
        <f t="shared" si="685"/>
        <v>-1</v>
      </c>
      <c r="H310" s="484">
        <f t="shared" si="685"/>
        <v>-1.4850354123829167E-2</v>
      </c>
      <c r="I310" s="485">
        <f t="shared" si="685"/>
        <v>0</v>
      </c>
      <c r="J310" s="486" t="str">
        <f t="shared" si="685"/>
        <v/>
      </c>
      <c r="K310" s="486">
        <f t="shared" si="685"/>
        <v>-2.710945442222976E-2</v>
      </c>
      <c r="L310" s="486" t="str">
        <f t="shared" si="685"/>
        <v/>
      </c>
      <c r="M310" s="487">
        <f t="shared" si="685"/>
        <v>-1</v>
      </c>
      <c r="N310" s="484">
        <f t="shared" si="685"/>
        <v>-1.4082942084380433E-2</v>
      </c>
      <c r="O310" s="485">
        <f t="shared" si="685"/>
        <v>4.5018304145641201E-3</v>
      </c>
      <c r="P310" s="486">
        <f t="shared" si="685"/>
        <v>-3.9905437352245804E-2</v>
      </c>
      <c r="Q310" s="486">
        <f t="shared" si="685"/>
        <v>1.0764262648008305E-3</v>
      </c>
      <c r="R310" s="486" t="str">
        <f t="shared" si="685"/>
        <v/>
      </c>
      <c r="S310" s="487">
        <f t="shared" si="685"/>
        <v>-1</v>
      </c>
      <c r="T310" s="484">
        <f t="shared" si="685"/>
        <v>0.1401973525126092</v>
      </c>
      <c r="U310" s="485">
        <f t="shared" si="685"/>
        <v>-6.2588674044347314E-2</v>
      </c>
      <c r="V310" s="486">
        <f t="shared" si="685"/>
        <v>0.20854772722315437</v>
      </c>
      <c r="W310" s="486">
        <f t="shared" si="685"/>
        <v>7.2968236046193694E-2</v>
      </c>
      <c r="X310" s="486">
        <f t="shared" si="685"/>
        <v>0.19853709508881931</v>
      </c>
      <c r="Y310" s="488">
        <f t="shared" si="685"/>
        <v>0.33387331929369846</v>
      </c>
      <c r="AA310" s="291"/>
      <c r="AB310" s="412"/>
      <c r="AC310" s="475"/>
      <c r="AD310" s="489" t="s">
        <v>30</v>
      </c>
      <c r="AE310" s="484">
        <f t="shared" si="686"/>
        <v>-9.4726870855696714E-4</v>
      </c>
      <c r="AF310" s="485" t="str">
        <f t="shared" si="686"/>
        <v/>
      </c>
      <c r="AG310" s="486">
        <f t="shared" si="686"/>
        <v>3.7735849056603772E-2</v>
      </c>
      <c r="AH310" s="486">
        <f t="shared" si="686"/>
        <v>0</v>
      </c>
      <c r="AI310" s="486">
        <f t="shared" si="686"/>
        <v>-2.1502916619009414E-2</v>
      </c>
      <c r="AJ310" s="486">
        <f t="shared" si="686"/>
        <v>-2.710945442222976E-2</v>
      </c>
      <c r="AK310" s="486">
        <f t="shared" si="686"/>
        <v>3.2258064516129031E-2</v>
      </c>
      <c r="AL310" s="486" t="str">
        <f t="shared" si="686"/>
        <v/>
      </c>
      <c r="AM310" s="486" t="str">
        <f t="shared" si="686"/>
        <v/>
      </c>
      <c r="AN310" s="486" t="str">
        <f t="shared" si="686"/>
        <v/>
      </c>
      <c r="AO310" s="486" t="str">
        <f t="shared" si="686"/>
        <v/>
      </c>
      <c r="AP310" s="486" t="str">
        <f t="shared" si="686"/>
        <v/>
      </c>
      <c r="AQ310" s="488" t="str">
        <f t="shared" si="686"/>
        <v/>
      </c>
    </row>
    <row r="311" spans="2:43" ht="7.8" customHeight="1" x14ac:dyDescent="0.25">
      <c r="B311" s="282"/>
      <c r="C311" s="491" t="s">
        <v>49</v>
      </c>
      <c r="D311" s="492" t="s">
        <v>39</v>
      </c>
      <c r="E311" s="493" t="s">
        <v>32</v>
      </c>
      <c r="F311" s="494">
        <f t="shared" ref="F311:F312" si="687">SUM(G311,H311,N311,T311)</f>
        <v>0</v>
      </c>
      <c r="G311" s="494"/>
      <c r="H311" s="494">
        <f t="shared" ref="H311:H312" si="688">SUM(I311:M311)</f>
        <v>0</v>
      </c>
      <c r="I311" s="495"/>
      <c r="J311" s="496"/>
      <c r="K311" s="496"/>
      <c r="L311" s="496"/>
      <c r="M311" s="497"/>
      <c r="N311" s="494">
        <f t="shared" ref="N311:N312" si="689">SUM(O311:S311)</f>
        <v>0</v>
      </c>
      <c r="O311" s="495"/>
      <c r="P311" s="496"/>
      <c r="Q311" s="496"/>
      <c r="R311" s="496"/>
      <c r="S311" s="497"/>
      <c r="T311" s="494">
        <f t="shared" ref="T311:T312" si="690">SUM(U311:Y311)</f>
        <v>0</v>
      </c>
      <c r="U311" s="495"/>
      <c r="V311" s="496"/>
      <c r="W311" s="496"/>
      <c r="X311" s="496"/>
      <c r="Y311" s="498"/>
      <c r="AA311" s="291"/>
      <c r="AB311" s="499" t="s">
        <v>49</v>
      </c>
      <c r="AC311" s="500" t="s">
        <v>39</v>
      </c>
      <c r="AD311" s="501" t="s">
        <v>32</v>
      </c>
      <c r="AE311" s="494">
        <f t="shared" ref="AE311:AE312" si="691">SUM(AF311:AQ311)</f>
        <v>0</v>
      </c>
      <c r="AF311" s="495">
        <f>$K$95</f>
        <v>0</v>
      </c>
      <c r="AG311" s="496">
        <f>$K$149</f>
        <v>0</v>
      </c>
      <c r="AH311" s="496">
        <f>$K$203</f>
        <v>0</v>
      </c>
      <c r="AI311" s="496">
        <f>$K$257</f>
        <v>0</v>
      </c>
      <c r="AJ311" s="496">
        <f>$K$311</f>
        <v>0</v>
      </c>
      <c r="AK311" s="496">
        <f>$K$365</f>
        <v>0</v>
      </c>
      <c r="AL311" s="496">
        <f>$K$419</f>
        <v>0</v>
      </c>
      <c r="AM311" s="496">
        <f>$K$473</f>
        <v>0</v>
      </c>
      <c r="AN311" s="496">
        <f>$K$527</f>
        <v>0</v>
      </c>
      <c r="AO311" s="496">
        <f>$K$581</f>
        <v>0</v>
      </c>
      <c r="AP311" s="496">
        <f>$K$635</f>
        <v>0</v>
      </c>
      <c r="AQ311" s="498">
        <f>$K$689</f>
        <v>0</v>
      </c>
    </row>
    <row r="312" spans="2:43" s="41" customFormat="1" ht="7.8" customHeight="1" x14ac:dyDescent="0.25">
      <c r="B312" s="282"/>
      <c r="C312" s="404"/>
      <c r="D312" s="405"/>
      <c r="E312" s="406" t="s">
        <v>33</v>
      </c>
      <c r="F312" s="407">
        <f t="shared" si="687"/>
        <v>0</v>
      </c>
      <c r="G312" s="407"/>
      <c r="H312" s="407">
        <f t="shared" si="688"/>
        <v>0</v>
      </c>
      <c r="I312" s="408"/>
      <c r="J312" s="409"/>
      <c r="K312" s="409"/>
      <c r="L312" s="409"/>
      <c r="M312" s="410"/>
      <c r="N312" s="407">
        <f t="shared" si="689"/>
        <v>0</v>
      </c>
      <c r="O312" s="408"/>
      <c r="P312" s="409"/>
      <c r="Q312" s="409"/>
      <c r="R312" s="409"/>
      <c r="S312" s="410"/>
      <c r="T312" s="407">
        <f t="shared" si="690"/>
        <v>0</v>
      </c>
      <c r="U312" s="408"/>
      <c r="V312" s="409"/>
      <c r="W312" s="409"/>
      <c r="X312" s="409"/>
      <c r="Y312" s="411"/>
      <c r="AA312" s="291"/>
      <c r="AB312" s="412"/>
      <c r="AC312" s="413"/>
      <c r="AD312" s="414" t="s">
        <v>33</v>
      </c>
      <c r="AE312" s="407">
        <f t="shared" si="691"/>
        <v>0</v>
      </c>
      <c r="AF312" s="408">
        <f>$K$96</f>
        <v>0</v>
      </c>
      <c r="AG312" s="409">
        <f>$K$150</f>
        <v>0</v>
      </c>
      <c r="AH312" s="409">
        <f>$K$204</f>
        <v>0</v>
      </c>
      <c r="AI312" s="409">
        <f>$K$258</f>
        <v>0</v>
      </c>
      <c r="AJ312" s="409">
        <f>$K$312</f>
        <v>0</v>
      </c>
      <c r="AK312" s="409">
        <f>$K$366</f>
        <v>0</v>
      </c>
      <c r="AL312" s="409">
        <f>$K$420</f>
        <v>0</v>
      </c>
      <c r="AM312" s="409">
        <f>$K$474</f>
        <v>0</v>
      </c>
      <c r="AN312" s="409">
        <f>$K$528</f>
        <v>0</v>
      </c>
      <c r="AO312" s="409">
        <f>$K$582</f>
        <v>0</v>
      </c>
      <c r="AP312" s="409">
        <f>$K$636</f>
        <v>0</v>
      </c>
      <c r="AQ312" s="411">
        <f>$K$690</f>
        <v>0</v>
      </c>
    </row>
    <row r="313" spans="2:43" ht="7.8" customHeight="1" x14ac:dyDescent="0.25">
      <c r="B313" s="282"/>
      <c r="C313" s="404"/>
      <c r="D313" s="415"/>
      <c r="E313" s="416" t="s">
        <v>30</v>
      </c>
      <c r="F313" s="417">
        <f t="shared" ref="F313:Y367" si="692">IFERROR(F312/F311,0)</f>
        <v>0</v>
      </c>
      <c r="G313" s="417">
        <f t="shared" si="692"/>
        <v>0</v>
      </c>
      <c r="H313" s="417">
        <f t="shared" si="692"/>
        <v>0</v>
      </c>
      <c r="I313" s="418">
        <f t="shared" si="692"/>
        <v>0</v>
      </c>
      <c r="J313" s="419">
        <f t="shared" si="692"/>
        <v>0</v>
      </c>
      <c r="K313" s="419">
        <f t="shared" si="692"/>
        <v>0</v>
      </c>
      <c r="L313" s="419">
        <f t="shared" si="692"/>
        <v>0</v>
      </c>
      <c r="M313" s="420">
        <f t="shared" si="692"/>
        <v>0</v>
      </c>
      <c r="N313" s="417">
        <f t="shared" si="692"/>
        <v>0</v>
      </c>
      <c r="O313" s="418">
        <f t="shared" si="692"/>
        <v>0</v>
      </c>
      <c r="P313" s="419">
        <f t="shared" si="692"/>
        <v>0</v>
      </c>
      <c r="Q313" s="419">
        <f t="shared" si="692"/>
        <v>0</v>
      </c>
      <c r="R313" s="419">
        <f t="shared" si="692"/>
        <v>0</v>
      </c>
      <c r="S313" s="420">
        <f t="shared" si="692"/>
        <v>0</v>
      </c>
      <c r="T313" s="417">
        <f t="shared" si="692"/>
        <v>0</v>
      </c>
      <c r="U313" s="418">
        <f t="shared" si="692"/>
        <v>0</v>
      </c>
      <c r="V313" s="419">
        <f t="shared" si="692"/>
        <v>0</v>
      </c>
      <c r="W313" s="419">
        <f t="shared" si="692"/>
        <v>0</v>
      </c>
      <c r="X313" s="419">
        <f t="shared" si="692"/>
        <v>0</v>
      </c>
      <c r="Y313" s="421">
        <f t="shared" si="692"/>
        <v>0</v>
      </c>
      <c r="AA313" s="291"/>
      <c r="AB313" s="412"/>
      <c r="AC313" s="422"/>
      <c r="AD313" s="423" t="s">
        <v>30</v>
      </c>
      <c r="AE313" s="417">
        <f t="shared" ref="AE313:AQ313" si="693">IFERROR(AE312/AE311,0)</f>
        <v>0</v>
      </c>
      <c r="AF313" s="418">
        <f t="shared" si="693"/>
        <v>0</v>
      </c>
      <c r="AG313" s="419">
        <f t="shared" si="693"/>
        <v>0</v>
      </c>
      <c r="AH313" s="419">
        <f t="shared" si="693"/>
        <v>0</v>
      </c>
      <c r="AI313" s="419">
        <f t="shared" si="693"/>
        <v>0</v>
      </c>
      <c r="AJ313" s="419">
        <f t="shared" si="693"/>
        <v>0</v>
      </c>
      <c r="AK313" s="419">
        <f t="shared" si="693"/>
        <v>0</v>
      </c>
      <c r="AL313" s="419">
        <f t="shared" si="693"/>
        <v>0</v>
      </c>
      <c r="AM313" s="419">
        <f t="shared" si="693"/>
        <v>0</v>
      </c>
      <c r="AN313" s="419">
        <f t="shared" si="693"/>
        <v>0</v>
      </c>
      <c r="AO313" s="419">
        <f t="shared" si="693"/>
        <v>0</v>
      </c>
      <c r="AP313" s="419">
        <f t="shared" si="693"/>
        <v>0</v>
      </c>
      <c r="AQ313" s="421">
        <f t="shared" si="693"/>
        <v>0</v>
      </c>
    </row>
    <row r="314" spans="2:43" ht="7.8" customHeight="1" x14ac:dyDescent="0.25">
      <c r="B314" s="282"/>
      <c r="C314" s="404"/>
      <c r="D314" s="424" t="s">
        <v>40</v>
      </c>
      <c r="E314" s="425" t="s">
        <v>32</v>
      </c>
      <c r="F314" s="426">
        <f t="shared" ref="F314:F315" si="694">SUM(G314,H314,N314,T314)</f>
        <v>2195</v>
      </c>
      <c r="G314" s="426">
        <v>302</v>
      </c>
      <c r="H314" s="426">
        <f t="shared" ref="H314:H315" si="695">SUM(I314:M314)</f>
        <v>38</v>
      </c>
      <c r="I314" s="427">
        <v>22</v>
      </c>
      <c r="J314" s="428">
        <v>0</v>
      </c>
      <c r="K314" s="428">
        <v>0</v>
      </c>
      <c r="L314" s="428">
        <v>0</v>
      </c>
      <c r="M314" s="429">
        <v>16</v>
      </c>
      <c r="N314" s="426">
        <f t="shared" ref="N314:N315" si="696">SUM(O314:S314)</f>
        <v>520</v>
      </c>
      <c r="O314" s="427">
        <v>275</v>
      </c>
      <c r="P314" s="428">
        <v>202</v>
      </c>
      <c r="Q314" s="428">
        <v>40</v>
      </c>
      <c r="R314" s="428">
        <v>0</v>
      </c>
      <c r="S314" s="429">
        <v>3</v>
      </c>
      <c r="T314" s="426">
        <f t="shared" ref="T314:T315" si="697">SUM(U314:Y314)</f>
        <v>1335</v>
      </c>
      <c r="U314" s="427">
        <v>111</v>
      </c>
      <c r="V314" s="428">
        <v>348</v>
      </c>
      <c r="W314" s="428">
        <v>703</v>
      </c>
      <c r="X314" s="428">
        <v>51</v>
      </c>
      <c r="Y314" s="430">
        <v>122</v>
      </c>
      <c r="AA314" s="291"/>
      <c r="AB314" s="412"/>
      <c r="AC314" s="431" t="s">
        <v>40</v>
      </c>
      <c r="AD314" s="432" t="s">
        <v>32</v>
      </c>
      <c r="AE314" s="426">
        <f t="shared" ref="AE314:AE315" si="698">SUM(AF314:AQ314)</f>
        <v>133</v>
      </c>
      <c r="AF314" s="427">
        <f>$K$98</f>
        <v>20</v>
      </c>
      <c r="AG314" s="428">
        <f>$K$152</f>
        <v>20</v>
      </c>
      <c r="AH314" s="428">
        <f>$K$206</f>
        <v>0</v>
      </c>
      <c r="AI314" s="428">
        <f>$K$260</f>
        <v>0</v>
      </c>
      <c r="AJ314" s="428">
        <f>$K$314</f>
        <v>0</v>
      </c>
      <c r="AK314" s="428">
        <f>$K$368</f>
        <v>17</v>
      </c>
      <c r="AL314" s="428">
        <f>$K$422</f>
        <v>44</v>
      </c>
      <c r="AM314" s="428">
        <f>$K$476</f>
        <v>0</v>
      </c>
      <c r="AN314" s="428">
        <f>$K$530</f>
        <v>0</v>
      </c>
      <c r="AO314" s="428">
        <f>$K$584</f>
        <v>0</v>
      </c>
      <c r="AP314" s="428">
        <f>$K$638</f>
        <v>0</v>
      </c>
      <c r="AQ314" s="430">
        <f>$K$692</f>
        <v>32</v>
      </c>
    </row>
    <row r="315" spans="2:43" s="41" customFormat="1" ht="7.8" customHeight="1" x14ac:dyDescent="0.25">
      <c r="B315" s="282"/>
      <c r="C315" s="404"/>
      <c r="D315" s="405"/>
      <c r="E315" s="406" t="s">
        <v>33</v>
      </c>
      <c r="F315" s="407">
        <f t="shared" si="694"/>
        <v>357875.84</v>
      </c>
      <c r="G315" s="407">
        <v>47112</v>
      </c>
      <c r="H315" s="407">
        <f t="shared" si="695"/>
        <v>5780</v>
      </c>
      <c r="I315" s="408">
        <v>3300</v>
      </c>
      <c r="J315" s="409">
        <v>0</v>
      </c>
      <c r="K315" s="409">
        <v>0</v>
      </c>
      <c r="L315" s="409">
        <v>0</v>
      </c>
      <c r="M315" s="410">
        <v>2480</v>
      </c>
      <c r="N315" s="407">
        <f t="shared" si="696"/>
        <v>74925</v>
      </c>
      <c r="O315" s="408">
        <v>40370</v>
      </c>
      <c r="P315" s="409">
        <v>28615</v>
      </c>
      <c r="Q315" s="409">
        <v>5525</v>
      </c>
      <c r="R315" s="409">
        <v>0</v>
      </c>
      <c r="S315" s="410">
        <v>415</v>
      </c>
      <c r="T315" s="407">
        <f t="shared" si="697"/>
        <v>230058.84000000003</v>
      </c>
      <c r="U315" s="408">
        <v>22133.39</v>
      </c>
      <c r="V315" s="409">
        <v>60694.12</v>
      </c>
      <c r="W315" s="409">
        <v>122861.33</v>
      </c>
      <c r="X315" s="409">
        <v>7715</v>
      </c>
      <c r="Y315" s="411">
        <v>16655</v>
      </c>
      <c r="AA315" s="291"/>
      <c r="AB315" s="412"/>
      <c r="AC315" s="413"/>
      <c r="AD315" s="414" t="s">
        <v>33</v>
      </c>
      <c r="AE315" s="407">
        <f t="shared" si="698"/>
        <v>23875</v>
      </c>
      <c r="AF315" s="408">
        <f>$K$99</f>
        <v>3820</v>
      </c>
      <c r="AG315" s="409">
        <f>$K$153</f>
        <v>3770</v>
      </c>
      <c r="AH315" s="409">
        <f>$K$207</f>
        <v>0</v>
      </c>
      <c r="AI315" s="409">
        <f>$K$261</f>
        <v>0</v>
      </c>
      <c r="AJ315" s="409">
        <f>$K$315</f>
        <v>0</v>
      </c>
      <c r="AK315" s="409">
        <f>$K$369</f>
        <v>3145</v>
      </c>
      <c r="AL315" s="409">
        <f>$K$423</f>
        <v>8100</v>
      </c>
      <c r="AM315" s="409">
        <f>$K$477</f>
        <v>0</v>
      </c>
      <c r="AN315" s="409">
        <f>$K$531</f>
        <v>0</v>
      </c>
      <c r="AO315" s="409">
        <f>$K$585</f>
        <v>0</v>
      </c>
      <c r="AP315" s="409">
        <f>$K$639</f>
        <v>0</v>
      </c>
      <c r="AQ315" s="411">
        <f>$K$693</f>
        <v>5040</v>
      </c>
    </row>
    <row r="316" spans="2:43" ht="7.8" customHeight="1" x14ac:dyDescent="0.25">
      <c r="B316" s="282"/>
      <c r="C316" s="404"/>
      <c r="D316" s="415"/>
      <c r="E316" s="416" t="s">
        <v>30</v>
      </c>
      <c r="F316" s="417">
        <f t="shared" ref="F316:Y370" si="699">IFERROR(F315/F314,0)</f>
        <v>163.04138496583144</v>
      </c>
      <c r="G316" s="417">
        <f t="shared" si="699"/>
        <v>156</v>
      </c>
      <c r="H316" s="417">
        <f t="shared" si="699"/>
        <v>152.10526315789474</v>
      </c>
      <c r="I316" s="418">
        <f t="shared" si="699"/>
        <v>150</v>
      </c>
      <c r="J316" s="419">
        <f t="shared" si="699"/>
        <v>0</v>
      </c>
      <c r="K316" s="419">
        <f t="shared" si="699"/>
        <v>0</v>
      </c>
      <c r="L316" s="419">
        <f t="shared" si="699"/>
        <v>0</v>
      </c>
      <c r="M316" s="420">
        <f t="shared" si="699"/>
        <v>155</v>
      </c>
      <c r="N316" s="417">
        <f t="shared" si="699"/>
        <v>144.08653846153845</v>
      </c>
      <c r="O316" s="418">
        <f t="shared" si="699"/>
        <v>146.80000000000001</v>
      </c>
      <c r="P316" s="419">
        <f t="shared" si="699"/>
        <v>141.65841584158414</v>
      </c>
      <c r="Q316" s="419">
        <f t="shared" si="699"/>
        <v>138.125</v>
      </c>
      <c r="R316" s="419">
        <f t="shared" si="699"/>
        <v>0</v>
      </c>
      <c r="S316" s="420">
        <f t="shared" si="699"/>
        <v>138.33333333333334</v>
      </c>
      <c r="T316" s="417">
        <f t="shared" si="699"/>
        <v>172.32871910112362</v>
      </c>
      <c r="U316" s="418">
        <f t="shared" si="699"/>
        <v>199.39990990990989</v>
      </c>
      <c r="V316" s="419">
        <f t="shared" si="699"/>
        <v>174.4083908045977</v>
      </c>
      <c r="W316" s="419">
        <f t="shared" si="699"/>
        <v>174.76718349928876</v>
      </c>
      <c r="X316" s="419">
        <f t="shared" si="699"/>
        <v>151.27450980392157</v>
      </c>
      <c r="Y316" s="421">
        <f t="shared" si="699"/>
        <v>136.51639344262296</v>
      </c>
      <c r="AA316" s="291"/>
      <c r="AB316" s="412"/>
      <c r="AC316" s="422"/>
      <c r="AD316" s="423" t="s">
        <v>30</v>
      </c>
      <c r="AE316" s="417">
        <f t="shared" ref="AE316:AQ316" si="700">IFERROR(AE315/AE314,0)</f>
        <v>179.51127819548873</v>
      </c>
      <c r="AF316" s="418">
        <f t="shared" si="700"/>
        <v>191</v>
      </c>
      <c r="AG316" s="419">
        <f t="shared" si="700"/>
        <v>188.5</v>
      </c>
      <c r="AH316" s="419">
        <f t="shared" si="700"/>
        <v>0</v>
      </c>
      <c r="AI316" s="419">
        <f t="shared" si="700"/>
        <v>0</v>
      </c>
      <c r="AJ316" s="419">
        <f t="shared" si="700"/>
        <v>0</v>
      </c>
      <c r="AK316" s="419">
        <f t="shared" si="700"/>
        <v>185</v>
      </c>
      <c r="AL316" s="419">
        <f t="shared" si="700"/>
        <v>184.09090909090909</v>
      </c>
      <c r="AM316" s="419">
        <f t="shared" si="700"/>
        <v>0</v>
      </c>
      <c r="AN316" s="419">
        <f t="shared" si="700"/>
        <v>0</v>
      </c>
      <c r="AO316" s="419">
        <f t="shared" si="700"/>
        <v>0</v>
      </c>
      <c r="AP316" s="419">
        <f t="shared" si="700"/>
        <v>0</v>
      </c>
      <c r="AQ316" s="421">
        <f t="shared" si="700"/>
        <v>157.5</v>
      </c>
    </row>
    <row r="317" spans="2:43" ht="7.8" customHeight="1" x14ac:dyDescent="0.25">
      <c r="B317" s="282"/>
      <c r="C317" s="404"/>
      <c r="D317" s="424" t="s">
        <v>41</v>
      </c>
      <c r="E317" s="425" t="s">
        <v>32</v>
      </c>
      <c r="F317" s="426">
        <f t="shared" ref="F317:F318" si="701">SUM(G317,H317,N317,T317)</f>
        <v>2512</v>
      </c>
      <c r="G317" s="426">
        <v>311</v>
      </c>
      <c r="H317" s="426">
        <f t="shared" ref="H317:H318" si="702">SUM(I317:M317)</f>
        <v>45</v>
      </c>
      <c r="I317" s="427">
        <v>0</v>
      </c>
      <c r="J317" s="428">
        <v>12</v>
      </c>
      <c r="K317" s="428">
        <v>22</v>
      </c>
      <c r="L317" s="428">
        <v>0</v>
      </c>
      <c r="M317" s="429">
        <v>11</v>
      </c>
      <c r="N317" s="426">
        <f t="shared" ref="N317:N318" si="703">SUM(O317:S317)</f>
        <v>431</v>
      </c>
      <c r="O317" s="427">
        <v>296</v>
      </c>
      <c r="P317" s="428">
        <v>66</v>
      </c>
      <c r="Q317" s="428">
        <v>61</v>
      </c>
      <c r="R317" s="428">
        <v>0</v>
      </c>
      <c r="S317" s="429">
        <v>8</v>
      </c>
      <c r="T317" s="426">
        <f t="shared" ref="T317:T318" si="704">SUM(U317:Y317)</f>
        <v>1725</v>
      </c>
      <c r="U317" s="427">
        <v>127</v>
      </c>
      <c r="V317" s="428">
        <v>906</v>
      </c>
      <c r="W317" s="428">
        <v>597</v>
      </c>
      <c r="X317" s="428">
        <v>77</v>
      </c>
      <c r="Y317" s="430">
        <v>18</v>
      </c>
      <c r="AA317" s="291"/>
      <c r="AB317" s="412"/>
      <c r="AC317" s="431" t="s">
        <v>41</v>
      </c>
      <c r="AD317" s="432" t="s">
        <v>32</v>
      </c>
      <c r="AE317" s="426">
        <f t="shared" ref="AE317:AE318" si="705">SUM(AF317:AQ317)</f>
        <v>93</v>
      </c>
      <c r="AF317" s="427">
        <f>$K$101</f>
        <v>0</v>
      </c>
      <c r="AG317" s="428">
        <f>$K$155</f>
        <v>6</v>
      </c>
      <c r="AH317" s="428">
        <f>$K$209</f>
        <v>12</v>
      </c>
      <c r="AI317" s="428">
        <f>$K$263</f>
        <v>44</v>
      </c>
      <c r="AJ317" s="428">
        <f>$K$317</f>
        <v>22</v>
      </c>
      <c r="AK317" s="428">
        <f>$K$371</f>
        <v>9</v>
      </c>
      <c r="AL317" s="428">
        <f>$K$425</f>
        <v>0</v>
      </c>
      <c r="AM317" s="428">
        <f>$K$479</f>
        <v>0</v>
      </c>
      <c r="AN317" s="428">
        <f>$K$533</f>
        <v>0</v>
      </c>
      <c r="AO317" s="428">
        <f>$K$587</f>
        <v>0</v>
      </c>
      <c r="AP317" s="428">
        <f>$K$641</f>
        <v>0</v>
      </c>
      <c r="AQ317" s="430">
        <f>$K$695</f>
        <v>0</v>
      </c>
    </row>
    <row r="318" spans="2:43" s="41" customFormat="1" ht="7.8" customHeight="1" x14ac:dyDescent="0.25">
      <c r="B318" s="282"/>
      <c r="C318" s="404"/>
      <c r="D318" s="405"/>
      <c r="E318" s="406" t="s">
        <v>33</v>
      </c>
      <c r="F318" s="407">
        <f t="shared" si="701"/>
        <v>390870.32999999996</v>
      </c>
      <c r="G318" s="407">
        <v>48666</v>
      </c>
      <c r="H318" s="407">
        <f t="shared" si="702"/>
        <v>6887</v>
      </c>
      <c r="I318" s="408">
        <v>0</v>
      </c>
      <c r="J318" s="409">
        <v>1860</v>
      </c>
      <c r="K318" s="409">
        <v>3252</v>
      </c>
      <c r="L318" s="409">
        <v>0</v>
      </c>
      <c r="M318" s="410">
        <v>1775</v>
      </c>
      <c r="N318" s="407">
        <f t="shared" si="703"/>
        <v>65948</v>
      </c>
      <c r="O318" s="408">
        <v>45751</v>
      </c>
      <c r="P318" s="409">
        <v>9750</v>
      </c>
      <c r="Q318" s="409">
        <v>9090</v>
      </c>
      <c r="R318" s="409">
        <v>0</v>
      </c>
      <c r="S318" s="410">
        <v>1357</v>
      </c>
      <c r="T318" s="407">
        <f t="shared" si="704"/>
        <v>269369.32999999996</v>
      </c>
      <c r="U318" s="408">
        <v>25282.12</v>
      </c>
      <c r="V318" s="409">
        <v>131255.09999999998</v>
      </c>
      <c r="W318" s="409">
        <v>98491.109999999986</v>
      </c>
      <c r="X318" s="409">
        <v>11440</v>
      </c>
      <c r="Y318" s="411">
        <v>2901</v>
      </c>
      <c r="AA318" s="291"/>
      <c r="AB318" s="412"/>
      <c r="AC318" s="413"/>
      <c r="AD318" s="414" t="s">
        <v>33</v>
      </c>
      <c r="AE318" s="407">
        <f t="shared" si="705"/>
        <v>14017</v>
      </c>
      <c r="AF318" s="408">
        <f>$K$102</f>
        <v>0</v>
      </c>
      <c r="AG318" s="409">
        <f>$K$156</f>
        <v>954</v>
      </c>
      <c r="AH318" s="409">
        <f>$K$210</f>
        <v>1860</v>
      </c>
      <c r="AI318" s="409">
        <f>$K$264</f>
        <v>6556</v>
      </c>
      <c r="AJ318" s="409">
        <f>$K$318</f>
        <v>3252</v>
      </c>
      <c r="AK318" s="409">
        <f>$K$372</f>
        <v>1395</v>
      </c>
      <c r="AL318" s="409">
        <f>$K$426</f>
        <v>0</v>
      </c>
      <c r="AM318" s="409">
        <f>$K$480</f>
        <v>0</v>
      </c>
      <c r="AN318" s="409">
        <f>$K$534</f>
        <v>0</v>
      </c>
      <c r="AO318" s="409">
        <f>$K$588</f>
        <v>0</v>
      </c>
      <c r="AP318" s="409">
        <f>$K$642</f>
        <v>0</v>
      </c>
      <c r="AQ318" s="411">
        <f>$K$696</f>
        <v>0</v>
      </c>
    </row>
    <row r="319" spans="2:43" ht="7.8" customHeight="1" x14ac:dyDescent="0.25">
      <c r="B319" s="282"/>
      <c r="C319" s="404"/>
      <c r="D319" s="415"/>
      <c r="E319" s="416" t="s">
        <v>30</v>
      </c>
      <c r="F319" s="417">
        <f t="shared" ref="F319:Y373" si="706">IFERROR(F318/F317,0)</f>
        <v>155.60124601910826</v>
      </c>
      <c r="G319" s="417">
        <f t="shared" si="706"/>
        <v>156.48231511254019</v>
      </c>
      <c r="H319" s="417">
        <f t="shared" si="706"/>
        <v>153.04444444444445</v>
      </c>
      <c r="I319" s="418">
        <f t="shared" si="706"/>
        <v>0</v>
      </c>
      <c r="J319" s="419">
        <f t="shared" si="706"/>
        <v>155</v>
      </c>
      <c r="K319" s="419">
        <f t="shared" si="706"/>
        <v>147.81818181818181</v>
      </c>
      <c r="L319" s="419">
        <f t="shared" si="706"/>
        <v>0</v>
      </c>
      <c r="M319" s="420">
        <f t="shared" si="706"/>
        <v>161.36363636363637</v>
      </c>
      <c r="N319" s="417">
        <f t="shared" si="706"/>
        <v>153.01160092807424</v>
      </c>
      <c r="O319" s="418">
        <f t="shared" si="706"/>
        <v>154.56418918918919</v>
      </c>
      <c r="P319" s="419">
        <f t="shared" si="706"/>
        <v>147.72727272727272</v>
      </c>
      <c r="Q319" s="419">
        <f t="shared" si="706"/>
        <v>149.01639344262296</v>
      </c>
      <c r="R319" s="419">
        <f t="shared" si="706"/>
        <v>0</v>
      </c>
      <c r="S319" s="420">
        <f t="shared" si="706"/>
        <v>169.625</v>
      </c>
      <c r="T319" s="417">
        <f t="shared" si="706"/>
        <v>156.15613333333332</v>
      </c>
      <c r="U319" s="418">
        <f t="shared" si="706"/>
        <v>199.07181102362205</v>
      </c>
      <c r="V319" s="419">
        <f t="shared" si="706"/>
        <v>144.873178807947</v>
      </c>
      <c r="W319" s="419">
        <f t="shared" si="706"/>
        <v>164.97673366834169</v>
      </c>
      <c r="X319" s="419">
        <f t="shared" si="706"/>
        <v>148.57142857142858</v>
      </c>
      <c r="Y319" s="421">
        <f t="shared" si="706"/>
        <v>161.16666666666666</v>
      </c>
      <c r="AA319" s="291"/>
      <c r="AB319" s="412"/>
      <c r="AC319" s="422"/>
      <c r="AD319" s="423" t="s">
        <v>30</v>
      </c>
      <c r="AE319" s="417">
        <f t="shared" ref="AE319:AQ319" si="707">IFERROR(AE318/AE317,0)</f>
        <v>150.72043010752688</v>
      </c>
      <c r="AF319" s="418">
        <f t="shared" si="707"/>
        <v>0</v>
      </c>
      <c r="AG319" s="419">
        <f t="shared" si="707"/>
        <v>159</v>
      </c>
      <c r="AH319" s="419">
        <f t="shared" si="707"/>
        <v>155</v>
      </c>
      <c r="AI319" s="419">
        <f t="shared" si="707"/>
        <v>149</v>
      </c>
      <c r="AJ319" s="419">
        <f t="shared" si="707"/>
        <v>147.81818181818181</v>
      </c>
      <c r="AK319" s="419">
        <f t="shared" si="707"/>
        <v>155</v>
      </c>
      <c r="AL319" s="419">
        <f t="shared" si="707"/>
        <v>0</v>
      </c>
      <c r="AM319" s="419">
        <f t="shared" si="707"/>
        <v>0</v>
      </c>
      <c r="AN319" s="419">
        <f t="shared" si="707"/>
        <v>0</v>
      </c>
      <c r="AO319" s="419">
        <f t="shared" si="707"/>
        <v>0</v>
      </c>
      <c r="AP319" s="419">
        <f t="shared" si="707"/>
        <v>0</v>
      </c>
      <c r="AQ319" s="421">
        <f t="shared" si="707"/>
        <v>0</v>
      </c>
    </row>
    <row r="320" spans="2:43" ht="7.8" customHeight="1" x14ac:dyDescent="0.25">
      <c r="B320" s="282"/>
      <c r="C320" s="404"/>
      <c r="D320" s="433" t="s">
        <v>42</v>
      </c>
      <c r="E320" s="434" t="s">
        <v>32</v>
      </c>
      <c r="F320" s="435">
        <f t="shared" ref="F320:F321" si="708">SUM(G320,H320,N320,T320)</f>
        <v>2579</v>
      </c>
      <c r="G320" s="435">
        <v>0</v>
      </c>
      <c r="H320" s="435">
        <v>110</v>
      </c>
      <c r="I320" s="436">
        <v>50</v>
      </c>
      <c r="J320" s="437">
        <v>20</v>
      </c>
      <c r="K320" s="437">
        <v>20</v>
      </c>
      <c r="L320" s="437">
        <v>0</v>
      </c>
      <c r="M320" s="438">
        <v>20</v>
      </c>
      <c r="N320" s="435">
        <f t="shared" ref="N320:N321" si="709">SUM(O320:S320)</f>
        <v>440</v>
      </c>
      <c r="O320" s="436">
        <v>300</v>
      </c>
      <c r="P320" s="437">
        <v>100</v>
      </c>
      <c r="Q320" s="437">
        <v>40</v>
      </c>
      <c r="R320" s="437">
        <v>0</v>
      </c>
      <c r="S320" s="438">
        <v>0</v>
      </c>
      <c r="T320" s="435">
        <f t="shared" ref="T320:T321" si="710">SUM(U320:Y320)</f>
        <v>2029</v>
      </c>
      <c r="U320" s="436">
        <v>205</v>
      </c>
      <c r="V320" s="437">
        <v>692</v>
      </c>
      <c r="W320" s="437">
        <v>841</v>
      </c>
      <c r="X320" s="437">
        <v>34</v>
      </c>
      <c r="Y320" s="439">
        <v>257</v>
      </c>
      <c r="AA320" s="291"/>
      <c r="AB320" s="412"/>
      <c r="AC320" s="568" t="s">
        <v>42</v>
      </c>
      <c r="AD320" s="569" t="s">
        <v>32</v>
      </c>
      <c r="AE320" s="442">
        <f t="shared" ref="AE320:AE321" si="711">SUM(AF320:AQ320)</f>
        <v>160</v>
      </c>
      <c r="AF320" s="443">
        <f>$K$104</f>
        <v>0</v>
      </c>
      <c r="AG320" s="444">
        <f>$K$158</f>
        <v>20</v>
      </c>
      <c r="AH320" s="444">
        <f>$K$212</f>
        <v>15</v>
      </c>
      <c r="AI320" s="444">
        <f>$K$266</f>
        <v>30</v>
      </c>
      <c r="AJ320" s="444">
        <f>$K$320</f>
        <v>20</v>
      </c>
      <c r="AK320" s="444">
        <f>$K$374</f>
        <v>20</v>
      </c>
      <c r="AL320" s="444">
        <f>$K$428</f>
        <v>10</v>
      </c>
      <c r="AM320" s="444">
        <f>$K$482</f>
        <v>0</v>
      </c>
      <c r="AN320" s="444">
        <f>$K$536</f>
        <v>30</v>
      </c>
      <c r="AO320" s="444">
        <f>$K$590</f>
        <v>15</v>
      </c>
      <c r="AP320" s="444">
        <f>$K$644</f>
        <v>0</v>
      </c>
      <c r="AQ320" s="445">
        <f>$K$698</f>
        <v>0</v>
      </c>
    </row>
    <row r="321" spans="1:43" s="41" customFormat="1" ht="7.8" customHeight="1" x14ac:dyDescent="0.25">
      <c r="B321" s="282"/>
      <c r="C321" s="404"/>
      <c r="D321" s="446"/>
      <c r="E321" s="447" t="s">
        <v>33</v>
      </c>
      <c r="F321" s="448">
        <f t="shared" si="708"/>
        <v>417991</v>
      </c>
      <c r="G321" s="448">
        <v>0</v>
      </c>
      <c r="H321" s="448">
        <v>16450</v>
      </c>
      <c r="I321" s="449">
        <v>7250</v>
      </c>
      <c r="J321" s="450">
        <v>3100</v>
      </c>
      <c r="K321" s="450">
        <v>2900</v>
      </c>
      <c r="L321" s="450">
        <v>0</v>
      </c>
      <c r="M321" s="451">
        <v>3200</v>
      </c>
      <c r="N321" s="448">
        <f t="shared" si="709"/>
        <v>66700</v>
      </c>
      <c r="O321" s="449">
        <v>46500</v>
      </c>
      <c r="P321" s="450">
        <v>14200</v>
      </c>
      <c r="Q321" s="450">
        <v>6000</v>
      </c>
      <c r="R321" s="450">
        <v>0</v>
      </c>
      <c r="S321" s="451">
        <v>0</v>
      </c>
      <c r="T321" s="448">
        <f t="shared" si="710"/>
        <v>334841</v>
      </c>
      <c r="U321" s="449">
        <v>37925</v>
      </c>
      <c r="V321" s="450">
        <v>112623</v>
      </c>
      <c r="W321" s="450">
        <v>132000</v>
      </c>
      <c r="X321" s="450">
        <v>6290</v>
      </c>
      <c r="Y321" s="452">
        <v>46003</v>
      </c>
      <c r="AA321" s="291"/>
      <c r="AB321" s="412"/>
      <c r="AC321" s="564"/>
      <c r="AD321" s="565" t="s">
        <v>33</v>
      </c>
      <c r="AE321" s="455">
        <f t="shared" si="711"/>
        <v>24200</v>
      </c>
      <c r="AF321" s="456">
        <f>$K$105</f>
        <v>0</v>
      </c>
      <c r="AG321" s="457">
        <f>$K$159</f>
        <v>3300</v>
      </c>
      <c r="AH321" s="457">
        <f>$K$213</f>
        <v>2325</v>
      </c>
      <c r="AI321" s="457">
        <f>$K$267</f>
        <v>4350</v>
      </c>
      <c r="AJ321" s="457">
        <f>$K$321</f>
        <v>2900</v>
      </c>
      <c r="AK321" s="457">
        <f>$K$375</f>
        <v>3200</v>
      </c>
      <c r="AL321" s="457">
        <f>$K$429</f>
        <v>1750</v>
      </c>
      <c r="AM321" s="457">
        <f>$K$483</f>
        <v>0</v>
      </c>
      <c r="AN321" s="457">
        <f>$K$537</f>
        <v>4200</v>
      </c>
      <c r="AO321" s="457">
        <f>$K$591</f>
        <v>2175</v>
      </c>
      <c r="AP321" s="457">
        <f>$K$645</f>
        <v>0</v>
      </c>
      <c r="AQ321" s="458">
        <f>$K$699</f>
        <v>0</v>
      </c>
    </row>
    <row r="322" spans="1:43" ht="7.8" customHeight="1" x14ac:dyDescent="0.25">
      <c r="B322" s="282"/>
      <c r="C322" s="404"/>
      <c r="D322" s="459"/>
      <c r="E322" s="460" t="s">
        <v>30</v>
      </c>
      <c r="F322" s="461">
        <f t="shared" ref="F322:Y376" si="712">IFERROR(F321/F320,0)</f>
        <v>162.07483520744475</v>
      </c>
      <c r="G322" s="461">
        <f t="shared" si="712"/>
        <v>0</v>
      </c>
      <c r="H322" s="461">
        <f t="shared" si="712"/>
        <v>149.54545454545453</v>
      </c>
      <c r="I322" s="462">
        <f t="shared" si="712"/>
        <v>145</v>
      </c>
      <c r="J322" s="463">
        <f t="shared" si="712"/>
        <v>155</v>
      </c>
      <c r="K322" s="463">
        <f t="shared" si="712"/>
        <v>145</v>
      </c>
      <c r="L322" s="463">
        <f t="shared" si="712"/>
        <v>0</v>
      </c>
      <c r="M322" s="464">
        <f t="shared" si="712"/>
        <v>160</v>
      </c>
      <c r="N322" s="461">
        <f t="shared" si="712"/>
        <v>151.59090909090909</v>
      </c>
      <c r="O322" s="462">
        <f t="shared" si="712"/>
        <v>155</v>
      </c>
      <c r="P322" s="463">
        <f t="shared" si="712"/>
        <v>142</v>
      </c>
      <c r="Q322" s="463">
        <f t="shared" si="712"/>
        <v>150</v>
      </c>
      <c r="R322" s="463">
        <f t="shared" si="712"/>
        <v>0</v>
      </c>
      <c r="S322" s="464">
        <f t="shared" si="712"/>
        <v>0</v>
      </c>
      <c r="T322" s="461">
        <f t="shared" si="712"/>
        <v>165.02759980285856</v>
      </c>
      <c r="U322" s="462">
        <f t="shared" si="712"/>
        <v>185</v>
      </c>
      <c r="V322" s="463">
        <f t="shared" si="712"/>
        <v>162.75</v>
      </c>
      <c r="W322" s="463">
        <f t="shared" si="712"/>
        <v>156.95600475624258</v>
      </c>
      <c r="X322" s="463">
        <f t="shared" si="712"/>
        <v>185</v>
      </c>
      <c r="Y322" s="465">
        <f t="shared" si="712"/>
        <v>179</v>
      </c>
      <c r="AA322" s="291"/>
      <c r="AB322" s="412"/>
      <c r="AC322" s="566"/>
      <c r="AD322" s="567" t="s">
        <v>30</v>
      </c>
      <c r="AE322" s="468">
        <f t="shared" ref="AE322:AQ322" si="713">IFERROR(AE321/AE320,0)</f>
        <v>151.25</v>
      </c>
      <c r="AF322" s="469">
        <f t="shared" si="713"/>
        <v>0</v>
      </c>
      <c r="AG322" s="470">
        <f t="shared" si="713"/>
        <v>165</v>
      </c>
      <c r="AH322" s="470">
        <f t="shared" si="713"/>
        <v>155</v>
      </c>
      <c r="AI322" s="470">
        <f t="shared" si="713"/>
        <v>145</v>
      </c>
      <c r="AJ322" s="470">
        <f t="shared" si="713"/>
        <v>145</v>
      </c>
      <c r="AK322" s="470">
        <f t="shared" si="713"/>
        <v>160</v>
      </c>
      <c r="AL322" s="470">
        <f t="shared" si="713"/>
        <v>175</v>
      </c>
      <c r="AM322" s="470">
        <f t="shared" si="713"/>
        <v>0</v>
      </c>
      <c r="AN322" s="470">
        <f t="shared" si="713"/>
        <v>140</v>
      </c>
      <c r="AO322" s="470">
        <f t="shared" si="713"/>
        <v>145</v>
      </c>
      <c r="AP322" s="470">
        <f t="shared" si="713"/>
        <v>0</v>
      </c>
      <c r="AQ322" s="471">
        <f t="shared" si="713"/>
        <v>0</v>
      </c>
    </row>
    <row r="323" spans="1:43" ht="7.8" customHeight="1" x14ac:dyDescent="0.25">
      <c r="B323" s="282"/>
      <c r="C323" s="404"/>
      <c r="D323" s="472" t="s">
        <v>43</v>
      </c>
      <c r="E323" s="425" t="s">
        <v>32</v>
      </c>
      <c r="F323" s="426">
        <f t="shared" ref="F323:Y325" si="714">F320-F317</f>
        <v>67</v>
      </c>
      <c r="G323" s="426">
        <f t="shared" si="714"/>
        <v>-311</v>
      </c>
      <c r="H323" s="426">
        <f t="shared" si="714"/>
        <v>65</v>
      </c>
      <c r="I323" s="427">
        <f t="shared" si="714"/>
        <v>50</v>
      </c>
      <c r="J323" s="428">
        <f t="shared" si="714"/>
        <v>8</v>
      </c>
      <c r="K323" s="428">
        <f t="shared" si="714"/>
        <v>-2</v>
      </c>
      <c r="L323" s="428">
        <f t="shared" si="714"/>
        <v>0</v>
      </c>
      <c r="M323" s="429">
        <f t="shared" si="714"/>
        <v>9</v>
      </c>
      <c r="N323" s="426">
        <f t="shared" si="714"/>
        <v>9</v>
      </c>
      <c r="O323" s="427">
        <f t="shared" si="714"/>
        <v>4</v>
      </c>
      <c r="P323" s="428">
        <f t="shared" si="714"/>
        <v>34</v>
      </c>
      <c r="Q323" s="428">
        <f t="shared" si="714"/>
        <v>-21</v>
      </c>
      <c r="R323" s="428">
        <f t="shared" si="714"/>
        <v>0</v>
      </c>
      <c r="S323" s="429">
        <f t="shared" si="714"/>
        <v>-8</v>
      </c>
      <c r="T323" s="426">
        <f t="shared" si="714"/>
        <v>304</v>
      </c>
      <c r="U323" s="427">
        <f t="shared" si="714"/>
        <v>78</v>
      </c>
      <c r="V323" s="428">
        <f t="shared" si="714"/>
        <v>-214</v>
      </c>
      <c r="W323" s="428">
        <f t="shared" si="714"/>
        <v>244</v>
      </c>
      <c r="X323" s="428">
        <f t="shared" si="714"/>
        <v>-43</v>
      </c>
      <c r="Y323" s="430">
        <f t="shared" si="714"/>
        <v>239</v>
      </c>
      <c r="AA323" s="291"/>
      <c r="AB323" s="412"/>
      <c r="AC323" s="473" t="s">
        <v>43</v>
      </c>
      <c r="AD323" s="432" t="s">
        <v>32</v>
      </c>
      <c r="AE323" s="426">
        <f t="shared" ref="AE323:AQ325" si="715">AE320-AE317</f>
        <v>67</v>
      </c>
      <c r="AF323" s="427">
        <f t="shared" si="715"/>
        <v>0</v>
      </c>
      <c r="AG323" s="428">
        <f t="shared" si="715"/>
        <v>14</v>
      </c>
      <c r="AH323" s="428">
        <f t="shared" si="715"/>
        <v>3</v>
      </c>
      <c r="AI323" s="428">
        <f t="shared" si="715"/>
        <v>-14</v>
      </c>
      <c r="AJ323" s="428">
        <f t="shared" si="715"/>
        <v>-2</v>
      </c>
      <c r="AK323" s="428">
        <f t="shared" si="715"/>
        <v>11</v>
      </c>
      <c r="AL323" s="428">
        <f t="shared" si="715"/>
        <v>10</v>
      </c>
      <c r="AM323" s="428">
        <f t="shared" si="715"/>
        <v>0</v>
      </c>
      <c r="AN323" s="428">
        <f t="shared" si="715"/>
        <v>30</v>
      </c>
      <c r="AO323" s="428">
        <f t="shared" si="715"/>
        <v>15</v>
      </c>
      <c r="AP323" s="428">
        <f t="shared" si="715"/>
        <v>0</v>
      </c>
      <c r="AQ323" s="430">
        <f t="shared" si="715"/>
        <v>0</v>
      </c>
    </row>
    <row r="324" spans="1:43" s="366" customFormat="1" ht="7.8" customHeight="1" x14ac:dyDescent="0.25">
      <c r="B324" s="282"/>
      <c r="C324" s="404"/>
      <c r="D324" s="405"/>
      <c r="E324" s="474" t="s">
        <v>33</v>
      </c>
      <c r="F324" s="407">
        <f t="shared" si="714"/>
        <v>27120.670000000042</v>
      </c>
      <c r="G324" s="407">
        <f t="shared" si="714"/>
        <v>-48666</v>
      </c>
      <c r="H324" s="407">
        <f t="shared" si="714"/>
        <v>9563</v>
      </c>
      <c r="I324" s="408">
        <f t="shared" si="714"/>
        <v>7250</v>
      </c>
      <c r="J324" s="409">
        <f t="shared" si="714"/>
        <v>1240</v>
      </c>
      <c r="K324" s="409">
        <f t="shared" si="714"/>
        <v>-352</v>
      </c>
      <c r="L324" s="409">
        <f t="shared" si="714"/>
        <v>0</v>
      </c>
      <c r="M324" s="410">
        <f t="shared" si="714"/>
        <v>1425</v>
      </c>
      <c r="N324" s="407">
        <f t="shared" si="714"/>
        <v>752</v>
      </c>
      <c r="O324" s="408">
        <f t="shared" si="714"/>
        <v>749</v>
      </c>
      <c r="P324" s="409">
        <f t="shared" si="714"/>
        <v>4450</v>
      </c>
      <c r="Q324" s="409">
        <f t="shared" si="714"/>
        <v>-3090</v>
      </c>
      <c r="R324" s="409">
        <f t="shared" si="714"/>
        <v>0</v>
      </c>
      <c r="S324" s="410">
        <f t="shared" si="714"/>
        <v>-1357</v>
      </c>
      <c r="T324" s="407">
        <f t="shared" si="714"/>
        <v>65471.670000000042</v>
      </c>
      <c r="U324" s="408">
        <f t="shared" si="714"/>
        <v>12642.880000000001</v>
      </c>
      <c r="V324" s="409">
        <f t="shared" si="714"/>
        <v>-18632.099999999977</v>
      </c>
      <c r="W324" s="409">
        <f t="shared" si="714"/>
        <v>33508.890000000014</v>
      </c>
      <c r="X324" s="409">
        <f t="shared" si="714"/>
        <v>-5150</v>
      </c>
      <c r="Y324" s="411">
        <f t="shared" si="714"/>
        <v>43102</v>
      </c>
      <c r="AA324" s="291"/>
      <c r="AB324" s="412"/>
      <c r="AC324" s="475"/>
      <c r="AD324" s="476" t="s">
        <v>33</v>
      </c>
      <c r="AE324" s="407">
        <f t="shared" si="715"/>
        <v>10183</v>
      </c>
      <c r="AF324" s="408">
        <f t="shared" si="715"/>
        <v>0</v>
      </c>
      <c r="AG324" s="409">
        <f t="shared" si="715"/>
        <v>2346</v>
      </c>
      <c r="AH324" s="409">
        <f t="shared" si="715"/>
        <v>465</v>
      </c>
      <c r="AI324" s="409">
        <f t="shared" si="715"/>
        <v>-2206</v>
      </c>
      <c r="AJ324" s="409">
        <f t="shared" si="715"/>
        <v>-352</v>
      </c>
      <c r="AK324" s="409">
        <f t="shared" si="715"/>
        <v>1805</v>
      </c>
      <c r="AL324" s="409">
        <f t="shared" si="715"/>
        <v>1750</v>
      </c>
      <c r="AM324" s="409">
        <f t="shared" si="715"/>
        <v>0</v>
      </c>
      <c r="AN324" s="409">
        <f t="shared" si="715"/>
        <v>4200</v>
      </c>
      <c r="AO324" s="409">
        <f t="shared" si="715"/>
        <v>2175</v>
      </c>
      <c r="AP324" s="409">
        <f t="shared" si="715"/>
        <v>0</v>
      </c>
      <c r="AQ324" s="411">
        <f t="shared" si="715"/>
        <v>0</v>
      </c>
    </row>
    <row r="325" spans="1:43" ht="7.8" customHeight="1" x14ac:dyDescent="0.25">
      <c r="B325" s="282"/>
      <c r="C325" s="404"/>
      <c r="D325" s="415"/>
      <c r="E325" s="416" t="s">
        <v>30</v>
      </c>
      <c r="F325" s="417">
        <f t="shared" si="714"/>
        <v>6.47358918833649</v>
      </c>
      <c r="G325" s="417">
        <f t="shared" si="714"/>
        <v>-156.48231511254019</v>
      </c>
      <c r="H325" s="417">
        <f t="shared" si="714"/>
        <v>-3.4989898989899189</v>
      </c>
      <c r="I325" s="418">
        <f t="shared" si="714"/>
        <v>145</v>
      </c>
      <c r="J325" s="419">
        <f t="shared" si="714"/>
        <v>0</v>
      </c>
      <c r="K325" s="419">
        <f t="shared" si="714"/>
        <v>-2.818181818181813</v>
      </c>
      <c r="L325" s="419">
        <f t="shared" si="714"/>
        <v>0</v>
      </c>
      <c r="M325" s="420">
        <f t="shared" si="714"/>
        <v>-1.363636363636374</v>
      </c>
      <c r="N325" s="417">
        <f t="shared" si="714"/>
        <v>-1.4206918371651511</v>
      </c>
      <c r="O325" s="418">
        <f t="shared" si="714"/>
        <v>0.43581081081080697</v>
      </c>
      <c r="P325" s="419">
        <f t="shared" si="714"/>
        <v>-5.7272727272727195</v>
      </c>
      <c r="Q325" s="419">
        <f t="shared" si="714"/>
        <v>0.98360655737704406</v>
      </c>
      <c r="R325" s="419">
        <f t="shared" si="714"/>
        <v>0</v>
      </c>
      <c r="S325" s="420">
        <f t="shared" si="714"/>
        <v>-169.625</v>
      </c>
      <c r="T325" s="417">
        <f t="shared" si="714"/>
        <v>8.8714664695252452</v>
      </c>
      <c r="U325" s="418">
        <f t="shared" si="714"/>
        <v>-14.071811023622047</v>
      </c>
      <c r="V325" s="419">
        <f t="shared" si="714"/>
        <v>17.876821192053001</v>
      </c>
      <c r="W325" s="419">
        <f t="shared" si="714"/>
        <v>-8.0207289120991163</v>
      </c>
      <c r="X325" s="419">
        <f t="shared" si="714"/>
        <v>36.428571428571416</v>
      </c>
      <c r="Y325" s="421">
        <f t="shared" si="714"/>
        <v>17.833333333333343</v>
      </c>
      <c r="AA325" s="291"/>
      <c r="AB325" s="412"/>
      <c r="AC325" s="477"/>
      <c r="AD325" s="423" t="s">
        <v>30</v>
      </c>
      <c r="AE325" s="417">
        <f t="shared" si="715"/>
        <v>0.52956989247311981</v>
      </c>
      <c r="AF325" s="418">
        <f t="shared" si="715"/>
        <v>0</v>
      </c>
      <c r="AG325" s="419">
        <f t="shared" si="715"/>
        <v>6</v>
      </c>
      <c r="AH325" s="419">
        <f t="shared" si="715"/>
        <v>0</v>
      </c>
      <c r="AI325" s="419">
        <f t="shared" si="715"/>
        <v>-4</v>
      </c>
      <c r="AJ325" s="419">
        <f t="shared" si="715"/>
        <v>-2.818181818181813</v>
      </c>
      <c r="AK325" s="419">
        <f t="shared" si="715"/>
        <v>5</v>
      </c>
      <c r="AL325" s="419">
        <f t="shared" si="715"/>
        <v>175</v>
      </c>
      <c r="AM325" s="419">
        <f t="shared" si="715"/>
        <v>0</v>
      </c>
      <c r="AN325" s="419">
        <f t="shared" si="715"/>
        <v>140</v>
      </c>
      <c r="AO325" s="419">
        <f t="shared" si="715"/>
        <v>145</v>
      </c>
      <c r="AP325" s="419">
        <f t="shared" si="715"/>
        <v>0</v>
      </c>
      <c r="AQ325" s="421">
        <f t="shared" si="715"/>
        <v>0</v>
      </c>
    </row>
    <row r="326" spans="1:43" ht="7.8" customHeight="1" x14ac:dyDescent="0.25">
      <c r="B326" s="282"/>
      <c r="C326" s="404"/>
      <c r="D326" s="472" t="s">
        <v>44</v>
      </c>
      <c r="E326" s="425" t="s">
        <v>32</v>
      </c>
      <c r="F326" s="478">
        <f t="shared" ref="F326:Y328" si="716">IFERROR((F320-F317)/ABS(F317),"")</f>
        <v>2.6671974522292995E-2</v>
      </c>
      <c r="G326" s="478">
        <f t="shared" si="716"/>
        <v>-1</v>
      </c>
      <c r="H326" s="478">
        <f t="shared" si="716"/>
        <v>1.4444444444444444</v>
      </c>
      <c r="I326" s="479" t="str">
        <f t="shared" si="716"/>
        <v/>
      </c>
      <c r="J326" s="480">
        <f t="shared" si="716"/>
        <v>0.66666666666666663</v>
      </c>
      <c r="K326" s="480">
        <f t="shared" si="716"/>
        <v>-9.0909090909090912E-2</v>
      </c>
      <c r="L326" s="480" t="str">
        <f t="shared" si="716"/>
        <v/>
      </c>
      <c r="M326" s="481">
        <f t="shared" si="716"/>
        <v>0.81818181818181823</v>
      </c>
      <c r="N326" s="478">
        <f t="shared" si="716"/>
        <v>2.0881670533642691E-2</v>
      </c>
      <c r="O326" s="479">
        <f t="shared" si="716"/>
        <v>1.3513513513513514E-2</v>
      </c>
      <c r="P326" s="480">
        <f t="shared" si="716"/>
        <v>0.51515151515151514</v>
      </c>
      <c r="Q326" s="480">
        <f t="shared" si="716"/>
        <v>-0.34426229508196721</v>
      </c>
      <c r="R326" s="480" t="str">
        <f t="shared" si="716"/>
        <v/>
      </c>
      <c r="S326" s="481">
        <f t="shared" si="716"/>
        <v>-1</v>
      </c>
      <c r="T326" s="478">
        <f t="shared" si="716"/>
        <v>0.17623188405797102</v>
      </c>
      <c r="U326" s="479">
        <f t="shared" si="716"/>
        <v>0.61417322834645671</v>
      </c>
      <c r="V326" s="480">
        <f t="shared" si="716"/>
        <v>-0.23620309050772628</v>
      </c>
      <c r="W326" s="480">
        <f t="shared" si="716"/>
        <v>0.40871021775544386</v>
      </c>
      <c r="X326" s="480">
        <f t="shared" si="716"/>
        <v>-0.55844155844155841</v>
      </c>
      <c r="Y326" s="482">
        <f t="shared" si="716"/>
        <v>13.277777777777779</v>
      </c>
      <c r="AA326" s="291"/>
      <c r="AB326" s="412"/>
      <c r="AC326" s="473" t="s">
        <v>44</v>
      </c>
      <c r="AD326" s="432" t="s">
        <v>32</v>
      </c>
      <c r="AE326" s="478">
        <f t="shared" ref="AE326:AQ328" si="717">IFERROR((AE320-AE317)/ABS(AE317),"")</f>
        <v>0.72043010752688175</v>
      </c>
      <c r="AF326" s="479" t="str">
        <f t="shared" si="717"/>
        <v/>
      </c>
      <c r="AG326" s="480">
        <f t="shared" si="717"/>
        <v>2.3333333333333335</v>
      </c>
      <c r="AH326" s="480">
        <f t="shared" si="717"/>
        <v>0.25</v>
      </c>
      <c r="AI326" s="480">
        <f t="shared" si="717"/>
        <v>-0.31818181818181818</v>
      </c>
      <c r="AJ326" s="480">
        <f t="shared" si="717"/>
        <v>-9.0909090909090912E-2</v>
      </c>
      <c r="AK326" s="480">
        <f t="shared" si="717"/>
        <v>1.2222222222222223</v>
      </c>
      <c r="AL326" s="480" t="str">
        <f t="shared" si="717"/>
        <v/>
      </c>
      <c r="AM326" s="480" t="str">
        <f t="shared" si="717"/>
        <v/>
      </c>
      <c r="AN326" s="480" t="str">
        <f t="shared" si="717"/>
        <v/>
      </c>
      <c r="AO326" s="480" t="str">
        <f t="shared" si="717"/>
        <v/>
      </c>
      <c r="AP326" s="480" t="str">
        <f t="shared" si="717"/>
        <v/>
      </c>
      <c r="AQ326" s="482" t="str">
        <f t="shared" si="717"/>
        <v/>
      </c>
    </row>
    <row r="327" spans="1:43" ht="7.8" customHeight="1" x14ac:dyDescent="0.25">
      <c r="B327" s="282"/>
      <c r="C327" s="404"/>
      <c r="D327" s="405"/>
      <c r="E327" s="483" t="s">
        <v>33</v>
      </c>
      <c r="F327" s="484">
        <f t="shared" si="716"/>
        <v>6.9385338099210658E-2</v>
      </c>
      <c r="G327" s="484">
        <f t="shared" si="716"/>
        <v>-1</v>
      </c>
      <c r="H327" s="484">
        <f t="shared" si="716"/>
        <v>1.3885581530419631</v>
      </c>
      <c r="I327" s="485" t="str">
        <f t="shared" si="716"/>
        <v/>
      </c>
      <c r="J327" s="486">
        <f t="shared" si="716"/>
        <v>0.66666666666666663</v>
      </c>
      <c r="K327" s="486">
        <f t="shared" si="716"/>
        <v>-0.10824108241082411</v>
      </c>
      <c r="L327" s="486" t="str">
        <f t="shared" si="716"/>
        <v/>
      </c>
      <c r="M327" s="487">
        <f t="shared" si="716"/>
        <v>0.80281690140845074</v>
      </c>
      <c r="N327" s="484">
        <f t="shared" si="716"/>
        <v>1.1402923515497059E-2</v>
      </c>
      <c r="O327" s="485">
        <f t="shared" si="716"/>
        <v>1.6371226858429323E-2</v>
      </c>
      <c r="P327" s="486">
        <f t="shared" si="716"/>
        <v>0.4564102564102564</v>
      </c>
      <c r="Q327" s="486">
        <f t="shared" si="716"/>
        <v>-0.33993399339933994</v>
      </c>
      <c r="R327" s="486" t="str">
        <f t="shared" si="716"/>
        <v/>
      </c>
      <c r="S327" s="487">
        <f t="shared" si="716"/>
        <v>-1</v>
      </c>
      <c r="T327" s="484">
        <f t="shared" si="716"/>
        <v>0.24305539906863211</v>
      </c>
      <c r="U327" s="485">
        <f t="shared" si="716"/>
        <v>0.50007198763394844</v>
      </c>
      <c r="V327" s="486">
        <f t="shared" si="716"/>
        <v>-0.14195334124159731</v>
      </c>
      <c r="W327" s="486">
        <f t="shared" si="716"/>
        <v>0.34022248302410257</v>
      </c>
      <c r="X327" s="486">
        <f t="shared" si="716"/>
        <v>-0.45017482517482516</v>
      </c>
      <c r="Y327" s="488">
        <f t="shared" si="716"/>
        <v>14.857635298173044</v>
      </c>
      <c r="AA327" s="291"/>
      <c r="AB327" s="412"/>
      <c r="AC327" s="475"/>
      <c r="AD327" s="489" t="s">
        <v>33</v>
      </c>
      <c r="AE327" s="484">
        <f t="shared" si="717"/>
        <v>0.72647499464935439</v>
      </c>
      <c r="AF327" s="485" t="str">
        <f t="shared" si="717"/>
        <v/>
      </c>
      <c r="AG327" s="486">
        <f t="shared" si="717"/>
        <v>2.459119496855346</v>
      </c>
      <c r="AH327" s="486">
        <f t="shared" si="717"/>
        <v>0.25</v>
      </c>
      <c r="AI327" s="486">
        <f t="shared" si="717"/>
        <v>-0.33648566198901769</v>
      </c>
      <c r="AJ327" s="486">
        <f t="shared" si="717"/>
        <v>-0.10824108241082411</v>
      </c>
      <c r="AK327" s="486">
        <f t="shared" si="717"/>
        <v>1.2939068100358424</v>
      </c>
      <c r="AL327" s="486" t="str">
        <f t="shared" si="717"/>
        <v/>
      </c>
      <c r="AM327" s="486" t="str">
        <f t="shared" si="717"/>
        <v/>
      </c>
      <c r="AN327" s="486" t="str">
        <f t="shared" si="717"/>
        <v/>
      </c>
      <c r="AO327" s="486" t="str">
        <f t="shared" si="717"/>
        <v/>
      </c>
      <c r="AP327" s="486" t="str">
        <f t="shared" si="717"/>
        <v/>
      </c>
      <c r="AQ327" s="488" t="str">
        <f t="shared" si="717"/>
        <v/>
      </c>
    </row>
    <row r="328" spans="1:43" ht="7.8" customHeight="1" x14ac:dyDescent="0.25">
      <c r="B328" s="282"/>
      <c r="C328" s="502"/>
      <c r="D328" s="503"/>
      <c r="E328" s="504" t="s">
        <v>30</v>
      </c>
      <c r="F328" s="505">
        <f t="shared" si="716"/>
        <v>4.1603710471197097E-2</v>
      </c>
      <c r="G328" s="505">
        <f t="shared" si="716"/>
        <v>-1</v>
      </c>
      <c r="H328" s="505">
        <f t="shared" si="716"/>
        <v>-2.286257375556067E-2</v>
      </c>
      <c r="I328" s="506" t="str">
        <f t="shared" si="716"/>
        <v/>
      </c>
      <c r="J328" s="507">
        <f t="shared" si="716"/>
        <v>0</v>
      </c>
      <c r="K328" s="507">
        <f t="shared" si="716"/>
        <v>-1.9065190651906486E-2</v>
      </c>
      <c r="L328" s="507" t="str">
        <f t="shared" si="716"/>
        <v/>
      </c>
      <c r="M328" s="508">
        <f t="shared" si="716"/>
        <v>-8.450704225352176E-3</v>
      </c>
      <c r="N328" s="505">
        <f t="shared" si="716"/>
        <v>-9.2848635564108106E-3</v>
      </c>
      <c r="O328" s="506">
        <f t="shared" si="716"/>
        <v>2.8196105003169079E-3</v>
      </c>
      <c r="P328" s="507">
        <f t="shared" si="716"/>
        <v>-3.8769230769230716E-2</v>
      </c>
      <c r="Q328" s="507">
        <f t="shared" si="716"/>
        <v>6.600660066006566E-3</v>
      </c>
      <c r="R328" s="507" t="str">
        <f t="shared" si="716"/>
        <v/>
      </c>
      <c r="S328" s="508">
        <f t="shared" si="716"/>
        <v>-1</v>
      </c>
      <c r="T328" s="505">
        <f t="shared" si="716"/>
        <v>5.6811514733065747E-2</v>
      </c>
      <c r="U328" s="506">
        <f t="shared" si="716"/>
        <v>-7.0687110099944148E-2</v>
      </c>
      <c r="V328" s="507">
        <f t="shared" si="716"/>
        <v>0.12339634802761966</v>
      </c>
      <c r="W328" s="507">
        <f t="shared" si="716"/>
        <v>-4.8617333691570466E-2</v>
      </c>
      <c r="X328" s="507">
        <f t="shared" si="716"/>
        <v>0.2451923076923076</v>
      </c>
      <c r="Y328" s="509">
        <f t="shared" si="716"/>
        <v>0.11065149948293698</v>
      </c>
      <c r="AA328" s="291"/>
      <c r="AB328" s="510"/>
      <c r="AC328" s="511"/>
      <c r="AD328" s="512" t="s">
        <v>30</v>
      </c>
      <c r="AE328" s="505">
        <f t="shared" si="717"/>
        <v>3.5135906399372291E-3</v>
      </c>
      <c r="AF328" s="506" t="str">
        <f t="shared" si="717"/>
        <v/>
      </c>
      <c r="AG328" s="507">
        <f t="shared" si="717"/>
        <v>3.7735849056603772E-2</v>
      </c>
      <c r="AH328" s="507">
        <f t="shared" si="717"/>
        <v>0</v>
      </c>
      <c r="AI328" s="507">
        <f t="shared" si="717"/>
        <v>-2.6845637583892617E-2</v>
      </c>
      <c r="AJ328" s="507">
        <f t="shared" si="717"/>
        <v>-1.9065190651906486E-2</v>
      </c>
      <c r="AK328" s="507">
        <f t="shared" si="717"/>
        <v>3.2258064516129031E-2</v>
      </c>
      <c r="AL328" s="507" t="str">
        <f t="shared" si="717"/>
        <v/>
      </c>
      <c r="AM328" s="507" t="str">
        <f t="shared" si="717"/>
        <v/>
      </c>
      <c r="AN328" s="507" t="str">
        <f t="shared" si="717"/>
        <v/>
      </c>
      <c r="AO328" s="507" t="str">
        <f t="shared" si="717"/>
        <v/>
      </c>
      <c r="AP328" s="507" t="str">
        <f t="shared" si="717"/>
        <v/>
      </c>
      <c r="AQ328" s="509" t="str">
        <f t="shared" si="717"/>
        <v/>
      </c>
    </row>
    <row r="329" spans="1:43" ht="7.8" customHeight="1" x14ac:dyDescent="0.25">
      <c r="B329" s="282" t="s">
        <v>58</v>
      </c>
      <c r="C329" s="283" t="s">
        <v>9</v>
      </c>
      <c r="D329" s="284" t="s">
        <v>39</v>
      </c>
      <c r="E329" s="285" t="s">
        <v>32</v>
      </c>
      <c r="F329" s="286">
        <f t="shared" ref="F329:F330" si="718">SUM(G329,H329,N329,T329)</f>
        <v>0</v>
      </c>
      <c r="G329" s="286">
        <f t="shared" si="607"/>
        <v>0</v>
      </c>
      <c r="H329" s="286">
        <f t="shared" ref="H329:H330" si="719">SUM(I329:M329)</f>
        <v>0</v>
      </c>
      <c r="I329" s="287">
        <f t="shared" ref="I329:M330" si="720">SUM(I347,I365)</f>
        <v>0</v>
      </c>
      <c r="J329" s="288">
        <f t="shared" si="720"/>
        <v>0</v>
      </c>
      <c r="K329" s="288">
        <f t="shared" si="720"/>
        <v>0</v>
      </c>
      <c r="L329" s="288">
        <f t="shared" si="720"/>
        <v>0</v>
      </c>
      <c r="M329" s="289">
        <f t="shared" si="720"/>
        <v>0</v>
      </c>
      <c r="N329" s="286">
        <f t="shared" ref="N329:N330" si="721">SUM(O329:S329)</f>
        <v>0</v>
      </c>
      <c r="O329" s="287">
        <f t="shared" ref="O329:S330" si="722">SUM(O347,O365)</f>
        <v>0</v>
      </c>
      <c r="P329" s="288">
        <f t="shared" si="722"/>
        <v>0</v>
      </c>
      <c r="Q329" s="288">
        <f t="shared" si="722"/>
        <v>0</v>
      </c>
      <c r="R329" s="288">
        <f t="shared" si="722"/>
        <v>0</v>
      </c>
      <c r="S329" s="289">
        <f t="shared" si="722"/>
        <v>0</v>
      </c>
      <c r="T329" s="286">
        <f t="shared" ref="T329:T330" si="723">SUM(U329:Y329)</f>
        <v>0</v>
      </c>
      <c r="U329" s="287">
        <f t="shared" ref="U329:Y330" si="724">SUM(U347,U365)</f>
        <v>0</v>
      </c>
      <c r="V329" s="288">
        <f t="shared" si="724"/>
        <v>0</v>
      </c>
      <c r="W329" s="288">
        <f t="shared" si="724"/>
        <v>0</v>
      </c>
      <c r="X329" s="288">
        <f t="shared" si="724"/>
        <v>0</v>
      </c>
      <c r="Y329" s="290">
        <f t="shared" si="724"/>
        <v>0</v>
      </c>
      <c r="AA329" s="291" t="s">
        <v>59</v>
      </c>
      <c r="AB329" s="292" t="s">
        <v>9</v>
      </c>
      <c r="AC329" s="293" t="s">
        <v>39</v>
      </c>
      <c r="AD329" s="294" t="s">
        <v>32</v>
      </c>
      <c r="AE329" s="286">
        <f t="shared" ref="AE329:AE330" si="725">SUM(AF329:AQ329)</f>
        <v>0</v>
      </c>
      <c r="AF329" s="287">
        <f t="shared" ref="AF329:AQ330" si="726">SUM(AF347,AF365)</f>
        <v>0</v>
      </c>
      <c r="AG329" s="288">
        <f t="shared" si="726"/>
        <v>0</v>
      </c>
      <c r="AH329" s="288">
        <f t="shared" si="726"/>
        <v>0</v>
      </c>
      <c r="AI329" s="288">
        <f t="shared" si="726"/>
        <v>0</v>
      </c>
      <c r="AJ329" s="288">
        <f t="shared" si="726"/>
        <v>0</v>
      </c>
      <c r="AK329" s="288">
        <f t="shared" si="726"/>
        <v>0</v>
      </c>
      <c r="AL329" s="288">
        <f t="shared" si="726"/>
        <v>0</v>
      </c>
      <c r="AM329" s="288">
        <f t="shared" si="726"/>
        <v>0</v>
      </c>
      <c r="AN329" s="288">
        <f t="shared" si="726"/>
        <v>0</v>
      </c>
      <c r="AO329" s="288">
        <f t="shared" si="726"/>
        <v>0</v>
      </c>
      <c r="AP329" s="288">
        <f t="shared" si="726"/>
        <v>0</v>
      </c>
      <c r="AQ329" s="290">
        <f t="shared" si="726"/>
        <v>0</v>
      </c>
    </row>
    <row r="330" spans="1:43" s="41" customFormat="1" ht="7.8" customHeight="1" x14ac:dyDescent="0.25">
      <c r="B330" s="282"/>
      <c r="C330" s="295"/>
      <c r="D330" s="296"/>
      <c r="E330" s="297" t="s">
        <v>33</v>
      </c>
      <c r="F330" s="298">
        <f t="shared" si="718"/>
        <v>0</v>
      </c>
      <c r="G330" s="298">
        <f t="shared" si="607"/>
        <v>0</v>
      </c>
      <c r="H330" s="298">
        <f t="shared" si="719"/>
        <v>0</v>
      </c>
      <c r="I330" s="299">
        <f t="shared" si="720"/>
        <v>0</v>
      </c>
      <c r="J330" s="300">
        <f t="shared" si="720"/>
        <v>0</v>
      </c>
      <c r="K330" s="300">
        <f t="shared" si="720"/>
        <v>0</v>
      </c>
      <c r="L330" s="300">
        <f t="shared" si="720"/>
        <v>0</v>
      </c>
      <c r="M330" s="301">
        <f t="shared" si="720"/>
        <v>0</v>
      </c>
      <c r="N330" s="298">
        <f t="shared" si="721"/>
        <v>0</v>
      </c>
      <c r="O330" s="299">
        <f t="shared" si="722"/>
        <v>0</v>
      </c>
      <c r="P330" s="300">
        <f t="shared" si="722"/>
        <v>0</v>
      </c>
      <c r="Q330" s="300">
        <f t="shared" si="722"/>
        <v>0</v>
      </c>
      <c r="R330" s="300">
        <f t="shared" si="722"/>
        <v>0</v>
      </c>
      <c r="S330" s="301">
        <f t="shared" si="722"/>
        <v>0</v>
      </c>
      <c r="T330" s="298">
        <f t="shared" si="723"/>
        <v>0</v>
      </c>
      <c r="U330" s="299">
        <f t="shared" si="724"/>
        <v>0</v>
      </c>
      <c r="V330" s="300">
        <f t="shared" si="724"/>
        <v>0</v>
      </c>
      <c r="W330" s="300">
        <f t="shared" si="724"/>
        <v>0</v>
      </c>
      <c r="X330" s="300">
        <f t="shared" si="724"/>
        <v>0</v>
      </c>
      <c r="Y330" s="302">
        <f t="shared" si="724"/>
        <v>0</v>
      </c>
      <c r="AA330" s="291"/>
      <c r="AB330" s="303"/>
      <c r="AC330" s="304"/>
      <c r="AD330" s="305" t="s">
        <v>33</v>
      </c>
      <c r="AE330" s="298">
        <f t="shared" si="725"/>
        <v>0</v>
      </c>
      <c r="AF330" s="299">
        <f t="shared" si="726"/>
        <v>0</v>
      </c>
      <c r="AG330" s="300">
        <f t="shared" si="726"/>
        <v>0</v>
      </c>
      <c r="AH330" s="300">
        <f t="shared" si="726"/>
        <v>0</v>
      </c>
      <c r="AI330" s="300">
        <f t="shared" si="726"/>
        <v>0</v>
      </c>
      <c r="AJ330" s="300">
        <f t="shared" si="726"/>
        <v>0</v>
      </c>
      <c r="AK330" s="300">
        <f t="shared" si="726"/>
        <v>0</v>
      </c>
      <c r="AL330" s="300">
        <f t="shared" si="726"/>
        <v>0</v>
      </c>
      <c r="AM330" s="300">
        <f t="shared" si="726"/>
        <v>0</v>
      </c>
      <c r="AN330" s="300">
        <f t="shared" si="726"/>
        <v>0</v>
      </c>
      <c r="AO330" s="300">
        <f t="shared" si="726"/>
        <v>0</v>
      </c>
      <c r="AP330" s="300">
        <f t="shared" si="726"/>
        <v>0</v>
      </c>
      <c r="AQ330" s="302">
        <f t="shared" si="726"/>
        <v>0</v>
      </c>
    </row>
    <row r="331" spans="1:43" ht="7.8" customHeight="1" x14ac:dyDescent="0.25">
      <c r="B331" s="282"/>
      <c r="C331" s="295"/>
      <c r="D331" s="306"/>
      <c r="E331" s="307" t="s">
        <v>30</v>
      </c>
      <c r="F331" s="308">
        <f t="shared" si="616"/>
        <v>0</v>
      </c>
      <c r="G331" s="308">
        <f t="shared" si="616"/>
        <v>0</v>
      </c>
      <c r="H331" s="308">
        <f t="shared" si="616"/>
        <v>0</v>
      </c>
      <c r="I331" s="309">
        <f t="shared" si="616"/>
        <v>0</v>
      </c>
      <c r="J331" s="310">
        <f t="shared" si="616"/>
        <v>0</v>
      </c>
      <c r="K331" s="310">
        <f t="shared" si="616"/>
        <v>0</v>
      </c>
      <c r="L331" s="310">
        <f t="shared" si="616"/>
        <v>0</v>
      </c>
      <c r="M331" s="311">
        <f t="shared" si="616"/>
        <v>0</v>
      </c>
      <c r="N331" s="308">
        <f t="shared" si="616"/>
        <v>0</v>
      </c>
      <c r="O331" s="309">
        <f t="shared" si="616"/>
        <v>0</v>
      </c>
      <c r="P331" s="310">
        <f t="shared" si="616"/>
        <v>0</v>
      </c>
      <c r="Q331" s="310">
        <f t="shared" si="616"/>
        <v>0</v>
      </c>
      <c r="R331" s="310">
        <f t="shared" si="616"/>
        <v>0</v>
      </c>
      <c r="S331" s="311">
        <f t="shared" si="616"/>
        <v>0</v>
      </c>
      <c r="T331" s="308">
        <f t="shared" si="616"/>
        <v>0</v>
      </c>
      <c r="U331" s="309">
        <f t="shared" si="616"/>
        <v>0</v>
      </c>
      <c r="V331" s="310">
        <f t="shared" si="616"/>
        <v>0</v>
      </c>
      <c r="W331" s="310">
        <f t="shared" si="616"/>
        <v>0</v>
      </c>
      <c r="X331" s="310">
        <f t="shared" si="616"/>
        <v>0</v>
      </c>
      <c r="Y331" s="312">
        <f t="shared" si="616"/>
        <v>0</v>
      </c>
      <c r="AA331" s="291"/>
      <c r="AB331" s="303"/>
      <c r="AC331" s="313"/>
      <c r="AD331" s="314" t="s">
        <v>30</v>
      </c>
      <c r="AE331" s="308">
        <f t="shared" ref="AE331:AQ331" si="727">IFERROR(AE330/AE329,0)</f>
        <v>0</v>
      </c>
      <c r="AF331" s="309">
        <f t="shared" si="727"/>
        <v>0</v>
      </c>
      <c r="AG331" s="310">
        <f t="shared" si="727"/>
        <v>0</v>
      </c>
      <c r="AH331" s="310">
        <f t="shared" si="727"/>
        <v>0</v>
      </c>
      <c r="AI331" s="310">
        <f t="shared" si="727"/>
        <v>0</v>
      </c>
      <c r="AJ331" s="310">
        <f t="shared" si="727"/>
        <v>0</v>
      </c>
      <c r="AK331" s="310">
        <f t="shared" si="727"/>
        <v>0</v>
      </c>
      <c r="AL331" s="310">
        <f t="shared" si="727"/>
        <v>0</v>
      </c>
      <c r="AM331" s="310">
        <f t="shared" si="727"/>
        <v>0</v>
      </c>
      <c r="AN331" s="310">
        <f t="shared" si="727"/>
        <v>0</v>
      </c>
      <c r="AO331" s="310">
        <f t="shared" si="727"/>
        <v>0</v>
      </c>
      <c r="AP331" s="310">
        <f t="shared" si="727"/>
        <v>0</v>
      </c>
      <c r="AQ331" s="312">
        <f t="shared" si="727"/>
        <v>0</v>
      </c>
    </row>
    <row r="332" spans="1:43" ht="7.8" customHeight="1" x14ac:dyDescent="0.25">
      <c r="A332" s="526"/>
      <c r="B332" s="282"/>
      <c r="C332" s="295"/>
      <c r="D332" s="315" t="s">
        <v>40</v>
      </c>
      <c r="E332" s="316" t="s">
        <v>32</v>
      </c>
      <c r="F332" s="317">
        <f t="shared" ref="F332:F333" si="728">SUM(G332,H332,N332,T332)</f>
        <v>7623</v>
      </c>
      <c r="G332" s="317">
        <f t="shared" ref="G332:G387" si="729">SUM(G350,G368)</f>
        <v>1022</v>
      </c>
      <c r="H332" s="317">
        <f t="shared" ref="H332:H333" si="730">SUM(I332:M332)</f>
        <v>497</v>
      </c>
      <c r="I332" s="318">
        <f t="shared" ref="I332:M333" si="731">SUM(I350,I368)</f>
        <v>0</v>
      </c>
      <c r="J332" s="319">
        <f t="shared" si="731"/>
        <v>104</v>
      </c>
      <c r="K332" s="319">
        <f t="shared" si="731"/>
        <v>51</v>
      </c>
      <c r="L332" s="319">
        <f t="shared" si="731"/>
        <v>0</v>
      </c>
      <c r="M332" s="320">
        <f t="shared" si="731"/>
        <v>342</v>
      </c>
      <c r="N332" s="317">
        <f t="shared" ref="N332:N333" si="732">SUM(O332:S332)</f>
        <v>1270</v>
      </c>
      <c r="O332" s="318">
        <f t="shared" ref="O332:S333" si="733">SUM(O350,O368)</f>
        <v>432</v>
      </c>
      <c r="P332" s="319">
        <f t="shared" si="733"/>
        <v>726</v>
      </c>
      <c r="Q332" s="319">
        <f t="shared" si="733"/>
        <v>107</v>
      </c>
      <c r="R332" s="319">
        <f t="shared" si="733"/>
        <v>0</v>
      </c>
      <c r="S332" s="320">
        <f t="shared" si="733"/>
        <v>5</v>
      </c>
      <c r="T332" s="317">
        <f t="shared" ref="T332:T333" si="734">SUM(U332:Y332)</f>
        <v>4834</v>
      </c>
      <c r="U332" s="318">
        <f t="shared" ref="U332:Y333" si="735">SUM(U350,U368)</f>
        <v>445</v>
      </c>
      <c r="V332" s="319">
        <f t="shared" si="735"/>
        <v>1811</v>
      </c>
      <c r="W332" s="319">
        <f t="shared" si="735"/>
        <v>2149</v>
      </c>
      <c r="X332" s="319">
        <f t="shared" si="735"/>
        <v>151</v>
      </c>
      <c r="Y332" s="321">
        <f t="shared" si="735"/>
        <v>278</v>
      </c>
      <c r="Z332" s="526"/>
      <c r="AA332" s="291"/>
      <c r="AB332" s="303"/>
      <c r="AC332" s="322" t="s">
        <v>40</v>
      </c>
      <c r="AD332" s="323" t="s">
        <v>32</v>
      </c>
      <c r="AE332" s="317">
        <f t="shared" ref="AE332:AE333" si="736">SUM(AF332:AQ332)</f>
        <v>0</v>
      </c>
      <c r="AF332" s="318">
        <f t="shared" ref="AF332:AQ333" si="737">SUM(AF350,AF368)</f>
        <v>0</v>
      </c>
      <c r="AG332" s="319">
        <f t="shared" si="737"/>
        <v>0</v>
      </c>
      <c r="AH332" s="319">
        <f t="shared" si="737"/>
        <v>0</v>
      </c>
      <c r="AI332" s="319">
        <f t="shared" si="737"/>
        <v>0</v>
      </c>
      <c r="AJ332" s="319">
        <f t="shared" si="737"/>
        <v>0</v>
      </c>
      <c r="AK332" s="319">
        <f t="shared" si="737"/>
        <v>0</v>
      </c>
      <c r="AL332" s="319">
        <f t="shared" si="737"/>
        <v>0</v>
      </c>
      <c r="AM332" s="319">
        <f t="shared" si="737"/>
        <v>0</v>
      </c>
      <c r="AN332" s="319">
        <f t="shared" si="737"/>
        <v>0</v>
      </c>
      <c r="AO332" s="319">
        <f t="shared" si="737"/>
        <v>0</v>
      </c>
      <c r="AP332" s="319">
        <f t="shared" si="737"/>
        <v>0</v>
      </c>
      <c r="AQ332" s="321">
        <f t="shared" si="737"/>
        <v>0</v>
      </c>
    </row>
    <row r="333" spans="1:43" s="41" customFormat="1" ht="7.8" customHeight="1" x14ac:dyDescent="0.25">
      <c r="A333" s="529"/>
      <c r="B333" s="282"/>
      <c r="C333" s="295"/>
      <c r="D333" s="296"/>
      <c r="E333" s="297" t="s">
        <v>33</v>
      </c>
      <c r="F333" s="298">
        <f t="shared" si="728"/>
        <v>1280376</v>
      </c>
      <c r="G333" s="298">
        <f t="shared" si="729"/>
        <v>159432</v>
      </c>
      <c r="H333" s="298">
        <f t="shared" si="730"/>
        <v>83767</v>
      </c>
      <c r="I333" s="299">
        <f t="shared" si="731"/>
        <v>0</v>
      </c>
      <c r="J333" s="300">
        <f t="shared" si="731"/>
        <v>17007</v>
      </c>
      <c r="K333" s="300">
        <f t="shared" si="731"/>
        <v>9435</v>
      </c>
      <c r="L333" s="300">
        <f t="shared" si="731"/>
        <v>0</v>
      </c>
      <c r="M333" s="301">
        <f t="shared" si="731"/>
        <v>57325</v>
      </c>
      <c r="N333" s="298">
        <f t="shared" si="732"/>
        <v>199888</v>
      </c>
      <c r="O333" s="299">
        <f t="shared" si="733"/>
        <v>70514</v>
      </c>
      <c r="P333" s="300">
        <f t="shared" si="733"/>
        <v>111265</v>
      </c>
      <c r="Q333" s="300">
        <f t="shared" si="733"/>
        <v>17434</v>
      </c>
      <c r="R333" s="300">
        <f t="shared" si="733"/>
        <v>0</v>
      </c>
      <c r="S333" s="301">
        <f t="shared" si="733"/>
        <v>675</v>
      </c>
      <c r="T333" s="298">
        <f t="shared" si="734"/>
        <v>837289</v>
      </c>
      <c r="U333" s="299">
        <f t="shared" si="735"/>
        <v>88704.749999999985</v>
      </c>
      <c r="V333" s="300">
        <f t="shared" si="735"/>
        <v>308811.44000000006</v>
      </c>
      <c r="W333" s="300">
        <f t="shared" si="735"/>
        <v>378449.54999999993</v>
      </c>
      <c r="X333" s="300">
        <f t="shared" si="735"/>
        <v>24070</v>
      </c>
      <c r="Y333" s="302">
        <f t="shared" si="735"/>
        <v>37253.259999999995</v>
      </c>
      <c r="Z333" s="529"/>
      <c r="AA333" s="291"/>
      <c r="AB333" s="303"/>
      <c r="AC333" s="304"/>
      <c r="AD333" s="305" t="s">
        <v>33</v>
      </c>
      <c r="AE333" s="298">
        <f t="shared" si="736"/>
        <v>0</v>
      </c>
      <c r="AF333" s="299">
        <f t="shared" si="737"/>
        <v>0</v>
      </c>
      <c r="AG333" s="300">
        <f t="shared" si="737"/>
        <v>0</v>
      </c>
      <c r="AH333" s="300">
        <f t="shared" si="737"/>
        <v>0</v>
      </c>
      <c r="AI333" s="300">
        <f t="shared" si="737"/>
        <v>0</v>
      </c>
      <c r="AJ333" s="300">
        <f t="shared" si="737"/>
        <v>0</v>
      </c>
      <c r="AK333" s="300">
        <f t="shared" si="737"/>
        <v>0</v>
      </c>
      <c r="AL333" s="300">
        <f t="shared" si="737"/>
        <v>0</v>
      </c>
      <c r="AM333" s="300">
        <f t="shared" si="737"/>
        <v>0</v>
      </c>
      <c r="AN333" s="300">
        <f t="shared" si="737"/>
        <v>0</v>
      </c>
      <c r="AO333" s="300">
        <f t="shared" si="737"/>
        <v>0</v>
      </c>
      <c r="AP333" s="300">
        <f t="shared" si="737"/>
        <v>0</v>
      </c>
      <c r="AQ333" s="302">
        <f t="shared" si="737"/>
        <v>0</v>
      </c>
    </row>
    <row r="334" spans="1:43" ht="7.8" customHeight="1" x14ac:dyDescent="0.25">
      <c r="A334" s="526"/>
      <c r="B334" s="282"/>
      <c r="C334" s="295"/>
      <c r="D334" s="306"/>
      <c r="E334" s="307" t="s">
        <v>30</v>
      </c>
      <c r="F334" s="308">
        <f t="shared" si="627"/>
        <v>167.96221959858323</v>
      </c>
      <c r="G334" s="308">
        <f t="shared" si="627"/>
        <v>156</v>
      </c>
      <c r="H334" s="308">
        <f t="shared" si="627"/>
        <v>168.54527162977868</v>
      </c>
      <c r="I334" s="309">
        <f t="shared" si="627"/>
        <v>0</v>
      </c>
      <c r="J334" s="310">
        <f t="shared" si="627"/>
        <v>163.52884615384616</v>
      </c>
      <c r="K334" s="310">
        <f t="shared" si="627"/>
        <v>185</v>
      </c>
      <c r="L334" s="310">
        <f t="shared" si="627"/>
        <v>0</v>
      </c>
      <c r="M334" s="311">
        <f t="shared" si="627"/>
        <v>167.61695906432749</v>
      </c>
      <c r="N334" s="308">
        <f t="shared" si="627"/>
        <v>157.39212598425198</v>
      </c>
      <c r="O334" s="309">
        <f t="shared" si="627"/>
        <v>163.22685185185185</v>
      </c>
      <c r="P334" s="310">
        <f t="shared" si="627"/>
        <v>153.25757575757575</v>
      </c>
      <c r="Q334" s="310">
        <f t="shared" si="627"/>
        <v>162.93457943925233</v>
      </c>
      <c r="R334" s="310">
        <f t="shared" si="627"/>
        <v>0</v>
      </c>
      <c r="S334" s="311">
        <f t="shared" si="627"/>
        <v>135</v>
      </c>
      <c r="T334" s="308">
        <f t="shared" si="627"/>
        <v>173.20831609433182</v>
      </c>
      <c r="U334" s="309">
        <f t="shared" si="627"/>
        <v>199.33651685393255</v>
      </c>
      <c r="V334" s="310">
        <f t="shared" si="627"/>
        <v>170.51984538928772</v>
      </c>
      <c r="W334" s="310">
        <f t="shared" si="627"/>
        <v>176.10495579339224</v>
      </c>
      <c r="X334" s="310">
        <f t="shared" si="627"/>
        <v>159.40397350993376</v>
      </c>
      <c r="Y334" s="312">
        <f t="shared" si="627"/>
        <v>134.00453237410071</v>
      </c>
      <c r="Z334" s="526"/>
      <c r="AA334" s="291"/>
      <c r="AB334" s="303"/>
      <c r="AC334" s="313"/>
      <c r="AD334" s="314" t="s">
        <v>30</v>
      </c>
      <c r="AE334" s="308">
        <f t="shared" ref="AE334:AQ334" si="738">IFERROR(AE333/AE332,0)</f>
        <v>0</v>
      </c>
      <c r="AF334" s="309">
        <f t="shared" si="738"/>
        <v>0</v>
      </c>
      <c r="AG334" s="310">
        <f t="shared" si="738"/>
        <v>0</v>
      </c>
      <c r="AH334" s="310">
        <f t="shared" si="738"/>
        <v>0</v>
      </c>
      <c r="AI334" s="310">
        <f t="shared" si="738"/>
        <v>0</v>
      </c>
      <c r="AJ334" s="310">
        <f t="shared" si="738"/>
        <v>0</v>
      </c>
      <c r="AK334" s="310">
        <f t="shared" si="738"/>
        <v>0</v>
      </c>
      <c r="AL334" s="310">
        <f t="shared" si="738"/>
        <v>0</v>
      </c>
      <c r="AM334" s="310">
        <f t="shared" si="738"/>
        <v>0</v>
      </c>
      <c r="AN334" s="310">
        <f t="shared" si="738"/>
        <v>0</v>
      </c>
      <c r="AO334" s="310">
        <f t="shared" si="738"/>
        <v>0</v>
      </c>
      <c r="AP334" s="310">
        <f t="shared" si="738"/>
        <v>0</v>
      </c>
      <c r="AQ334" s="312">
        <f t="shared" si="738"/>
        <v>0</v>
      </c>
    </row>
    <row r="335" spans="1:43" ht="7.8" customHeight="1" x14ac:dyDescent="0.25">
      <c r="B335" s="282"/>
      <c r="C335" s="295"/>
      <c r="D335" s="315" t="s">
        <v>41</v>
      </c>
      <c r="E335" s="316" t="s">
        <v>32</v>
      </c>
      <c r="F335" s="317">
        <f t="shared" ref="F335:F336" si="739">SUM(G335,H335,N335,T335)</f>
        <v>7510</v>
      </c>
      <c r="G335" s="317">
        <f t="shared" ref="G335:G390" si="740">SUM(G353,G371)</f>
        <v>911</v>
      </c>
      <c r="H335" s="317">
        <f t="shared" ref="H335:H336" si="741">SUM(I335:M335)</f>
        <v>569</v>
      </c>
      <c r="I335" s="318">
        <f t="shared" ref="I335:M336" si="742">SUM(I353,I371)</f>
        <v>101</v>
      </c>
      <c r="J335" s="319">
        <f t="shared" si="742"/>
        <v>111</v>
      </c>
      <c r="K335" s="319">
        <f t="shared" si="742"/>
        <v>50</v>
      </c>
      <c r="L335" s="319">
        <f t="shared" si="742"/>
        <v>307</v>
      </c>
      <c r="M335" s="320">
        <f t="shared" si="742"/>
        <v>0</v>
      </c>
      <c r="N335" s="317">
        <f t="shared" ref="N335:N336" si="743">SUM(O335:S335)</f>
        <v>800</v>
      </c>
      <c r="O335" s="318">
        <f t="shared" ref="O335:S336" si="744">SUM(O353,O371)</f>
        <v>394</v>
      </c>
      <c r="P335" s="319">
        <f t="shared" si="744"/>
        <v>242</v>
      </c>
      <c r="Q335" s="319">
        <f t="shared" si="744"/>
        <v>155</v>
      </c>
      <c r="R335" s="319">
        <f t="shared" si="744"/>
        <v>0</v>
      </c>
      <c r="S335" s="320">
        <f t="shared" si="744"/>
        <v>9</v>
      </c>
      <c r="T335" s="317">
        <f t="shared" ref="T335:T336" si="745">SUM(U335:Y335)</f>
        <v>5230</v>
      </c>
      <c r="U335" s="318">
        <f t="shared" ref="U335:Y336" si="746">SUM(U353,U371)</f>
        <v>540</v>
      </c>
      <c r="V335" s="319">
        <f t="shared" si="746"/>
        <v>3284</v>
      </c>
      <c r="W335" s="319">
        <f t="shared" si="746"/>
        <v>1197</v>
      </c>
      <c r="X335" s="319">
        <f t="shared" si="746"/>
        <v>147</v>
      </c>
      <c r="Y335" s="321">
        <f t="shared" si="746"/>
        <v>62</v>
      </c>
      <c r="AA335" s="291"/>
      <c r="AB335" s="303"/>
      <c r="AC335" s="322" t="s">
        <v>41</v>
      </c>
      <c r="AD335" s="323" t="s">
        <v>32</v>
      </c>
      <c r="AE335" s="317">
        <f t="shared" ref="AE335:AE336" si="747">SUM(AF335:AQ335)</f>
        <v>392</v>
      </c>
      <c r="AF335" s="318">
        <f t="shared" ref="AF335:AQ336" si="748">SUM(AF353,AF371)</f>
        <v>0</v>
      </c>
      <c r="AG335" s="319">
        <f t="shared" si="748"/>
        <v>0</v>
      </c>
      <c r="AH335" s="319">
        <f t="shared" si="748"/>
        <v>0</v>
      </c>
      <c r="AI335" s="319">
        <f t="shared" si="748"/>
        <v>0</v>
      </c>
      <c r="AJ335" s="319">
        <f t="shared" si="748"/>
        <v>0</v>
      </c>
      <c r="AK335" s="319">
        <f t="shared" si="748"/>
        <v>307</v>
      </c>
      <c r="AL335" s="319">
        <f t="shared" si="748"/>
        <v>0</v>
      </c>
      <c r="AM335" s="319">
        <f t="shared" si="748"/>
        <v>85</v>
      </c>
      <c r="AN335" s="319">
        <f t="shared" si="748"/>
        <v>0</v>
      </c>
      <c r="AO335" s="319">
        <f t="shared" si="748"/>
        <v>0</v>
      </c>
      <c r="AP335" s="319">
        <f t="shared" si="748"/>
        <v>0</v>
      </c>
      <c r="AQ335" s="321">
        <f t="shared" si="748"/>
        <v>0</v>
      </c>
    </row>
    <row r="336" spans="1:43" s="41" customFormat="1" ht="7.8" customHeight="1" x14ac:dyDescent="0.25">
      <c r="B336" s="282"/>
      <c r="C336" s="295"/>
      <c r="D336" s="296"/>
      <c r="E336" s="297" t="s">
        <v>33</v>
      </c>
      <c r="F336" s="298">
        <f t="shared" si="739"/>
        <v>1204735.42</v>
      </c>
      <c r="G336" s="298">
        <f t="shared" si="740"/>
        <v>142116</v>
      </c>
      <c r="H336" s="298">
        <f t="shared" si="741"/>
        <v>92467</v>
      </c>
      <c r="I336" s="299">
        <f t="shared" si="742"/>
        <v>17180</v>
      </c>
      <c r="J336" s="300">
        <f t="shared" si="742"/>
        <v>17955</v>
      </c>
      <c r="K336" s="300">
        <f t="shared" si="742"/>
        <v>7750</v>
      </c>
      <c r="L336" s="300">
        <f t="shared" si="742"/>
        <v>49582</v>
      </c>
      <c r="M336" s="301">
        <f t="shared" si="742"/>
        <v>0</v>
      </c>
      <c r="N336" s="298">
        <f t="shared" si="743"/>
        <v>129205</v>
      </c>
      <c r="O336" s="299">
        <f t="shared" si="744"/>
        <v>64745</v>
      </c>
      <c r="P336" s="300">
        <f t="shared" si="744"/>
        <v>38160</v>
      </c>
      <c r="Q336" s="300">
        <f t="shared" si="744"/>
        <v>24640</v>
      </c>
      <c r="R336" s="300">
        <f t="shared" si="744"/>
        <v>0</v>
      </c>
      <c r="S336" s="301">
        <f t="shared" si="744"/>
        <v>1660</v>
      </c>
      <c r="T336" s="298">
        <f t="shared" si="745"/>
        <v>840947.42</v>
      </c>
      <c r="U336" s="299">
        <f t="shared" si="746"/>
        <v>112911.91999999995</v>
      </c>
      <c r="V336" s="300">
        <f t="shared" si="746"/>
        <v>488904.84</v>
      </c>
      <c r="W336" s="300">
        <f t="shared" si="746"/>
        <v>205775.86</v>
      </c>
      <c r="X336" s="300">
        <f t="shared" si="746"/>
        <v>23353</v>
      </c>
      <c r="Y336" s="302">
        <f t="shared" si="746"/>
        <v>10001.799999999999</v>
      </c>
      <c r="AA336" s="291"/>
      <c r="AB336" s="303"/>
      <c r="AC336" s="304"/>
      <c r="AD336" s="305" t="s">
        <v>33</v>
      </c>
      <c r="AE336" s="298">
        <f t="shared" si="747"/>
        <v>64232</v>
      </c>
      <c r="AF336" s="299">
        <f t="shared" si="748"/>
        <v>0</v>
      </c>
      <c r="AG336" s="300">
        <f t="shared" si="748"/>
        <v>0</v>
      </c>
      <c r="AH336" s="300">
        <f t="shared" si="748"/>
        <v>0</v>
      </c>
      <c r="AI336" s="300">
        <f t="shared" si="748"/>
        <v>0</v>
      </c>
      <c r="AJ336" s="300">
        <f t="shared" si="748"/>
        <v>0</v>
      </c>
      <c r="AK336" s="300">
        <f t="shared" si="748"/>
        <v>49582</v>
      </c>
      <c r="AL336" s="300">
        <f t="shared" si="748"/>
        <v>0</v>
      </c>
      <c r="AM336" s="300">
        <f t="shared" si="748"/>
        <v>14650</v>
      </c>
      <c r="AN336" s="300">
        <f t="shared" si="748"/>
        <v>0</v>
      </c>
      <c r="AO336" s="300">
        <f t="shared" si="748"/>
        <v>0</v>
      </c>
      <c r="AP336" s="300">
        <f t="shared" si="748"/>
        <v>0</v>
      </c>
      <c r="AQ336" s="302">
        <f t="shared" si="748"/>
        <v>0</v>
      </c>
    </row>
    <row r="337" spans="2:43" ht="7.8" customHeight="1" x14ac:dyDescent="0.25">
      <c r="B337" s="282"/>
      <c r="C337" s="295"/>
      <c r="D337" s="306"/>
      <c r="E337" s="307" t="s">
        <v>30</v>
      </c>
      <c r="F337" s="308">
        <f t="shared" si="638"/>
        <v>160.41749933422102</v>
      </c>
      <c r="G337" s="308">
        <f t="shared" si="638"/>
        <v>156</v>
      </c>
      <c r="H337" s="308">
        <f t="shared" si="638"/>
        <v>162.50790861159931</v>
      </c>
      <c r="I337" s="309">
        <f t="shared" si="638"/>
        <v>170.0990099009901</v>
      </c>
      <c r="J337" s="310">
        <f t="shared" si="638"/>
        <v>161.75675675675674</v>
      </c>
      <c r="K337" s="310">
        <f t="shared" si="638"/>
        <v>155</v>
      </c>
      <c r="L337" s="310">
        <f t="shared" si="638"/>
        <v>161.50488599348535</v>
      </c>
      <c r="M337" s="311">
        <f t="shared" si="638"/>
        <v>0</v>
      </c>
      <c r="N337" s="308">
        <f t="shared" si="638"/>
        <v>161.50624999999999</v>
      </c>
      <c r="O337" s="309">
        <f t="shared" si="638"/>
        <v>164.32741116751268</v>
      </c>
      <c r="P337" s="310">
        <f t="shared" si="638"/>
        <v>157.68595041322314</v>
      </c>
      <c r="Q337" s="310">
        <f t="shared" si="638"/>
        <v>158.96774193548387</v>
      </c>
      <c r="R337" s="310">
        <f t="shared" si="638"/>
        <v>0</v>
      </c>
      <c r="S337" s="311">
        <f t="shared" si="638"/>
        <v>184.44444444444446</v>
      </c>
      <c r="T337" s="308">
        <f t="shared" si="638"/>
        <v>160.79300573613767</v>
      </c>
      <c r="U337" s="309">
        <f t="shared" si="638"/>
        <v>209.09614814814807</v>
      </c>
      <c r="V337" s="310">
        <f t="shared" si="638"/>
        <v>148.87479902557857</v>
      </c>
      <c r="W337" s="310">
        <f t="shared" si="638"/>
        <v>171.90965747702589</v>
      </c>
      <c r="X337" s="310">
        <f t="shared" si="638"/>
        <v>158.8639455782313</v>
      </c>
      <c r="Y337" s="312">
        <f t="shared" si="638"/>
        <v>161.31935483870967</v>
      </c>
      <c r="AA337" s="291"/>
      <c r="AB337" s="303"/>
      <c r="AC337" s="313"/>
      <c r="AD337" s="314" t="s">
        <v>30</v>
      </c>
      <c r="AE337" s="308">
        <f t="shared" ref="AE337:AQ337" si="749">IFERROR(AE336/AE335,0)</f>
        <v>163.85714285714286</v>
      </c>
      <c r="AF337" s="309">
        <f t="shared" si="749"/>
        <v>0</v>
      </c>
      <c r="AG337" s="310">
        <f t="shared" si="749"/>
        <v>0</v>
      </c>
      <c r="AH337" s="310">
        <f t="shared" si="749"/>
        <v>0</v>
      </c>
      <c r="AI337" s="310">
        <f t="shared" si="749"/>
        <v>0</v>
      </c>
      <c r="AJ337" s="310">
        <f t="shared" si="749"/>
        <v>0</v>
      </c>
      <c r="AK337" s="310">
        <f t="shared" si="749"/>
        <v>161.50488599348535</v>
      </c>
      <c r="AL337" s="310">
        <f t="shared" si="749"/>
        <v>0</v>
      </c>
      <c r="AM337" s="310">
        <f t="shared" si="749"/>
        <v>172.35294117647058</v>
      </c>
      <c r="AN337" s="310">
        <f t="shared" si="749"/>
        <v>0</v>
      </c>
      <c r="AO337" s="310">
        <f t="shared" si="749"/>
        <v>0</v>
      </c>
      <c r="AP337" s="310">
        <f t="shared" si="749"/>
        <v>0</v>
      </c>
      <c r="AQ337" s="312">
        <f t="shared" si="749"/>
        <v>0</v>
      </c>
    </row>
    <row r="338" spans="2:43" ht="7.8" customHeight="1" x14ac:dyDescent="0.25">
      <c r="B338" s="282"/>
      <c r="C338" s="295"/>
      <c r="D338" s="324" t="s">
        <v>42</v>
      </c>
      <c r="E338" s="325" t="s">
        <v>32</v>
      </c>
      <c r="F338" s="326">
        <f t="shared" ref="F338:F339" si="750">SUM(G338,H338,N338,T338)</f>
        <v>7575</v>
      </c>
      <c r="G338" s="326">
        <f t="shared" ref="G338:G393" si="751">SUM(G356,G374)</f>
        <v>0</v>
      </c>
      <c r="H338" s="326">
        <f t="shared" ref="H338:H339" si="752">SUM(I338:M338)</f>
        <v>630</v>
      </c>
      <c r="I338" s="327">
        <f t="shared" ref="I338:M339" si="753">SUM(I356,I374)</f>
        <v>70</v>
      </c>
      <c r="J338" s="328">
        <f t="shared" si="753"/>
        <v>150</v>
      </c>
      <c r="K338" s="328">
        <f t="shared" si="753"/>
        <v>50</v>
      </c>
      <c r="L338" s="328">
        <f t="shared" si="753"/>
        <v>360</v>
      </c>
      <c r="M338" s="329">
        <f t="shared" si="753"/>
        <v>0</v>
      </c>
      <c r="N338" s="326">
        <f t="shared" ref="N338:N339" si="754">SUM(O338:S338)</f>
        <v>1045</v>
      </c>
      <c r="O338" s="327">
        <f t="shared" ref="O338:S339" si="755">SUM(O356,O374)</f>
        <v>435</v>
      </c>
      <c r="P338" s="328">
        <f t="shared" si="755"/>
        <v>500</v>
      </c>
      <c r="Q338" s="328">
        <f t="shared" si="755"/>
        <v>110</v>
      </c>
      <c r="R338" s="328">
        <f t="shared" si="755"/>
        <v>0</v>
      </c>
      <c r="S338" s="329">
        <f t="shared" si="755"/>
        <v>0</v>
      </c>
      <c r="T338" s="326">
        <f t="shared" ref="T338:T339" si="756">SUM(U338:Y338)</f>
        <v>5900</v>
      </c>
      <c r="U338" s="327">
        <f t="shared" ref="U338:Y339" si="757">SUM(U356,U374)</f>
        <v>650</v>
      </c>
      <c r="V338" s="328">
        <f t="shared" si="757"/>
        <v>2600</v>
      </c>
      <c r="W338" s="328">
        <f t="shared" si="757"/>
        <v>2000</v>
      </c>
      <c r="X338" s="328">
        <f t="shared" si="757"/>
        <v>100</v>
      </c>
      <c r="Y338" s="330">
        <f t="shared" si="757"/>
        <v>550</v>
      </c>
      <c r="AA338" s="291"/>
      <c r="AB338" s="303"/>
      <c r="AC338" s="331" t="s">
        <v>42</v>
      </c>
      <c r="AD338" s="332" t="s">
        <v>32</v>
      </c>
      <c r="AE338" s="333">
        <f t="shared" ref="AE338:AE339" si="758">SUM(AF338:AQ338)</f>
        <v>835</v>
      </c>
      <c r="AF338" s="334">
        <f t="shared" ref="AF338:AQ339" si="759">SUM(AF356,AF374)</f>
        <v>130</v>
      </c>
      <c r="AG338" s="335">
        <f t="shared" si="759"/>
        <v>0</v>
      </c>
      <c r="AH338" s="335">
        <f t="shared" si="759"/>
        <v>65</v>
      </c>
      <c r="AI338" s="335">
        <f t="shared" si="759"/>
        <v>0</v>
      </c>
      <c r="AJ338" s="335">
        <f t="shared" si="759"/>
        <v>0</v>
      </c>
      <c r="AK338" s="335">
        <f t="shared" si="759"/>
        <v>360</v>
      </c>
      <c r="AL338" s="335">
        <f t="shared" si="759"/>
        <v>0</v>
      </c>
      <c r="AM338" s="335">
        <f t="shared" si="759"/>
        <v>55</v>
      </c>
      <c r="AN338" s="335">
        <f t="shared" si="759"/>
        <v>90</v>
      </c>
      <c r="AO338" s="335">
        <f t="shared" si="759"/>
        <v>70</v>
      </c>
      <c r="AP338" s="335">
        <f t="shared" si="759"/>
        <v>0</v>
      </c>
      <c r="AQ338" s="336">
        <f t="shared" si="759"/>
        <v>65</v>
      </c>
    </row>
    <row r="339" spans="2:43" s="41" customFormat="1" ht="7.8" customHeight="1" x14ac:dyDescent="0.25">
      <c r="B339" s="282"/>
      <c r="C339" s="295"/>
      <c r="D339" s="337"/>
      <c r="E339" s="338" t="s">
        <v>33</v>
      </c>
      <c r="F339" s="339">
        <f t="shared" si="750"/>
        <v>1285355</v>
      </c>
      <c r="G339" s="339">
        <f t="shared" si="751"/>
        <v>0</v>
      </c>
      <c r="H339" s="339">
        <f t="shared" si="752"/>
        <v>102480</v>
      </c>
      <c r="I339" s="340">
        <f t="shared" si="753"/>
        <v>11860</v>
      </c>
      <c r="J339" s="341">
        <f t="shared" si="753"/>
        <v>24300</v>
      </c>
      <c r="K339" s="341">
        <f t="shared" si="753"/>
        <v>8000</v>
      </c>
      <c r="L339" s="341">
        <f t="shared" si="753"/>
        <v>58320</v>
      </c>
      <c r="M339" s="342">
        <f t="shared" si="753"/>
        <v>0</v>
      </c>
      <c r="N339" s="339">
        <f t="shared" si="754"/>
        <v>165875</v>
      </c>
      <c r="O339" s="340">
        <f t="shared" si="755"/>
        <v>71775</v>
      </c>
      <c r="P339" s="341">
        <f t="shared" si="755"/>
        <v>76500</v>
      </c>
      <c r="Q339" s="341">
        <f t="shared" si="755"/>
        <v>17600</v>
      </c>
      <c r="R339" s="341">
        <f t="shared" si="755"/>
        <v>0</v>
      </c>
      <c r="S339" s="342">
        <f t="shared" si="755"/>
        <v>0</v>
      </c>
      <c r="T339" s="339">
        <f t="shared" si="756"/>
        <v>1017000</v>
      </c>
      <c r="U339" s="340">
        <f t="shared" si="757"/>
        <v>120250</v>
      </c>
      <c r="V339" s="341">
        <f t="shared" si="757"/>
        <v>449800</v>
      </c>
      <c r="W339" s="341">
        <f t="shared" si="757"/>
        <v>330000</v>
      </c>
      <c r="X339" s="341">
        <f t="shared" si="757"/>
        <v>18500</v>
      </c>
      <c r="Y339" s="343">
        <f t="shared" si="757"/>
        <v>98450</v>
      </c>
      <c r="AA339" s="291"/>
      <c r="AB339" s="303"/>
      <c r="AC339" s="344"/>
      <c r="AD339" s="345" t="s">
        <v>33</v>
      </c>
      <c r="AE339" s="346">
        <f t="shared" si="758"/>
        <v>134010</v>
      </c>
      <c r="AF339" s="347">
        <f t="shared" si="759"/>
        <v>22750</v>
      </c>
      <c r="AG339" s="348">
        <f t="shared" si="759"/>
        <v>0</v>
      </c>
      <c r="AH339" s="348">
        <f t="shared" si="759"/>
        <v>10400</v>
      </c>
      <c r="AI339" s="348">
        <f t="shared" si="759"/>
        <v>0</v>
      </c>
      <c r="AJ339" s="348">
        <f t="shared" si="759"/>
        <v>0</v>
      </c>
      <c r="AK339" s="348">
        <f t="shared" si="759"/>
        <v>58320</v>
      </c>
      <c r="AL339" s="348">
        <f t="shared" si="759"/>
        <v>0</v>
      </c>
      <c r="AM339" s="348">
        <f t="shared" si="759"/>
        <v>9350</v>
      </c>
      <c r="AN339" s="348">
        <f t="shared" si="759"/>
        <v>13500</v>
      </c>
      <c r="AO339" s="348">
        <f t="shared" si="759"/>
        <v>9940</v>
      </c>
      <c r="AP339" s="348">
        <f t="shared" si="759"/>
        <v>0</v>
      </c>
      <c r="AQ339" s="349">
        <f t="shared" si="759"/>
        <v>9750</v>
      </c>
    </row>
    <row r="340" spans="2:43" ht="7.8" customHeight="1" x14ac:dyDescent="0.25">
      <c r="B340" s="282"/>
      <c r="C340" s="295"/>
      <c r="D340" s="350"/>
      <c r="E340" s="351" t="s">
        <v>30</v>
      </c>
      <c r="F340" s="352">
        <f t="shared" si="649"/>
        <v>169.68382838283827</v>
      </c>
      <c r="G340" s="352">
        <f t="shared" si="649"/>
        <v>0</v>
      </c>
      <c r="H340" s="352">
        <f t="shared" si="649"/>
        <v>162.66666666666666</v>
      </c>
      <c r="I340" s="353">
        <f t="shared" si="649"/>
        <v>169.42857142857142</v>
      </c>
      <c r="J340" s="354">
        <f t="shared" si="649"/>
        <v>162</v>
      </c>
      <c r="K340" s="354">
        <f t="shared" si="649"/>
        <v>160</v>
      </c>
      <c r="L340" s="354">
        <f t="shared" si="649"/>
        <v>162</v>
      </c>
      <c r="M340" s="355">
        <f t="shared" si="649"/>
        <v>0</v>
      </c>
      <c r="N340" s="352">
        <f t="shared" si="649"/>
        <v>158.73205741626793</v>
      </c>
      <c r="O340" s="353">
        <f t="shared" si="649"/>
        <v>165</v>
      </c>
      <c r="P340" s="354">
        <f t="shared" si="649"/>
        <v>153</v>
      </c>
      <c r="Q340" s="354">
        <f t="shared" si="649"/>
        <v>160</v>
      </c>
      <c r="R340" s="354">
        <f t="shared" si="649"/>
        <v>0</v>
      </c>
      <c r="S340" s="355">
        <f t="shared" si="649"/>
        <v>0</v>
      </c>
      <c r="T340" s="352">
        <f t="shared" si="649"/>
        <v>172.37288135593221</v>
      </c>
      <c r="U340" s="353">
        <f t="shared" si="649"/>
        <v>185</v>
      </c>
      <c r="V340" s="354">
        <f t="shared" si="649"/>
        <v>173</v>
      </c>
      <c r="W340" s="354">
        <f t="shared" si="649"/>
        <v>165</v>
      </c>
      <c r="X340" s="354">
        <f t="shared" si="649"/>
        <v>185</v>
      </c>
      <c r="Y340" s="356">
        <f t="shared" si="649"/>
        <v>179</v>
      </c>
      <c r="AA340" s="291"/>
      <c r="AB340" s="303"/>
      <c r="AC340" s="357"/>
      <c r="AD340" s="358" t="s">
        <v>30</v>
      </c>
      <c r="AE340" s="359">
        <f t="shared" ref="AE340:AQ340" si="760">IFERROR(AE339/AE338,0)</f>
        <v>160.49101796407186</v>
      </c>
      <c r="AF340" s="360">
        <f t="shared" si="760"/>
        <v>175</v>
      </c>
      <c r="AG340" s="361">
        <f t="shared" si="760"/>
        <v>0</v>
      </c>
      <c r="AH340" s="361">
        <f t="shared" si="760"/>
        <v>160</v>
      </c>
      <c r="AI340" s="361">
        <f t="shared" si="760"/>
        <v>0</v>
      </c>
      <c r="AJ340" s="361">
        <f t="shared" si="760"/>
        <v>0</v>
      </c>
      <c r="AK340" s="361">
        <f t="shared" si="760"/>
        <v>162</v>
      </c>
      <c r="AL340" s="361">
        <f t="shared" si="760"/>
        <v>0</v>
      </c>
      <c r="AM340" s="361">
        <f t="shared" si="760"/>
        <v>170</v>
      </c>
      <c r="AN340" s="361">
        <f t="shared" si="760"/>
        <v>150</v>
      </c>
      <c r="AO340" s="361">
        <f t="shared" si="760"/>
        <v>142</v>
      </c>
      <c r="AP340" s="361">
        <f t="shared" si="760"/>
        <v>0</v>
      </c>
      <c r="AQ340" s="362">
        <f t="shared" si="760"/>
        <v>150</v>
      </c>
    </row>
    <row r="341" spans="2:43" ht="7.8" customHeight="1" x14ac:dyDescent="0.25">
      <c r="B341" s="282"/>
      <c r="C341" s="295"/>
      <c r="D341" s="363" t="s">
        <v>43</v>
      </c>
      <c r="E341" s="316" t="s">
        <v>32</v>
      </c>
      <c r="F341" s="317">
        <f t="shared" ref="F341:Y343" si="761">F338-F335</f>
        <v>65</v>
      </c>
      <c r="G341" s="317">
        <f t="shared" si="761"/>
        <v>-911</v>
      </c>
      <c r="H341" s="317">
        <f t="shared" si="761"/>
        <v>61</v>
      </c>
      <c r="I341" s="318">
        <f t="shared" si="761"/>
        <v>-31</v>
      </c>
      <c r="J341" s="319">
        <f t="shared" si="761"/>
        <v>39</v>
      </c>
      <c r="K341" s="319">
        <f t="shared" si="761"/>
        <v>0</v>
      </c>
      <c r="L341" s="319">
        <f t="shared" si="761"/>
        <v>53</v>
      </c>
      <c r="M341" s="320">
        <f t="shared" si="761"/>
        <v>0</v>
      </c>
      <c r="N341" s="317">
        <f t="shared" si="761"/>
        <v>245</v>
      </c>
      <c r="O341" s="318">
        <f t="shared" si="761"/>
        <v>41</v>
      </c>
      <c r="P341" s="319">
        <f t="shared" si="761"/>
        <v>258</v>
      </c>
      <c r="Q341" s="319">
        <f t="shared" si="761"/>
        <v>-45</v>
      </c>
      <c r="R341" s="319">
        <f t="shared" si="761"/>
        <v>0</v>
      </c>
      <c r="S341" s="320">
        <f t="shared" si="761"/>
        <v>-9</v>
      </c>
      <c r="T341" s="317">
        <f t="shared" si="761"/>
        <v>670</v>
      </c>
      <c r="U341" s="318">
        <f t="shared" si="761"/>
        <v>110</v>
      </c>
      <c r="V341" s="319">
        <f t="shared" si="761"/>
        <v>-684</v>
      </c>
      <c r="W341" s="319">
        <f t="shared" si="761"/>
        <v>803</v>
      </c>
      <c r="X341" s="319">
        <f t="shared" si="761"/>
        <v>-47</v>
      </c>
      <c r="Y341" s="321">
        <f t="shared" si="761"/>
        <v>488</v>
      </c>
      <c r="AA341" s="291"/>
      <c r="AB341" s="303"/>
      <c r="AC341" s="364" t="s">
        <v>43</v>
      </c>
      <c r="AD341" s="323" t="s">
        <v>32</v>
      </c>
      <c r="AE341" s="317">
        <f t="shared" ref="AE341:AQ343" si="762">AE338-AE335</f>
        <v>443</v>
      </c>
      <c r="AF341" s="318">
        <f t="shared" si="762"/>
        <v>130</v>
      </c>
      <c r="AG341" s="319">
        <f t="shared" si="762"/>
        <v>0</v>
      </c>
      <c r="AH341" s="319">
        <f t="shared" si="762"/>
        <v>65</v>
      </c>
      <c r="AI341" s="319">
        <f t="shared" si="762"/>
        <v>0</v>
      </c>
      <c r="AJ341" s="319">
        <f t="shared" si="762"/>
        <v>0</v>
      </c>
      <c r="AK341" s="319">
        <f t="shared" si="762"/>
        <v>53</v>
      </c>
      <c r="AL341" s="319">
        <f t="shared" si="762"/>
        <v>0</v>
      </c>
      <c r="AM341" s="319">
        <f t="shared" si="762"/>
        <v>-30</v>
      </c>
      <c r="AN341" s="319">
        <f t="shared" si="762"/>
        <v>90</v>
      </c>
      <c r="AO341" s="319">
        <f t="shared" si="762"/>
        <v>70</v>
      </c>
      <c r="AP341" s="319">
        <f t="shared" si="762"/>
        <v>0</v>
      </c>
      <c r="AQ341" s="321">
        <f t="shared" si="762"/>
        <v>65</v>
      </c>
    </row>
    <row r="342" spans="2:43" s="366" customFormat="1" ht="7.8" customHeight="1" x14ac:dyDescent="0.25">
      <c r="B342" s="282"/>
      <c r="C342" s="295"/>
      <c r="D342" s="296"/>
      <c r="E342" s="365" t="s">
        <v>33</v>
      </c>
      <c r="F342" s="298">
        <f t="shared" si="761"/>
        <v>80619.580000000075</v>
      </c>
      <c r="G342" s="298">
        <f t="shared" si="761"/>
        <v>-142116</v>
      </c>
      <c r="H342" s="298">
        <f t="shared" si="761"/>
        <v>10013</v>
      </c>
      <c r="I342" s="299">
        <f t="shared" si="761"/>
        <v>-5320</v>
      </c>
      <c r="J342" s="300">
        <f t="shared" si="761"/>
        <v>6345</v>
      </c>
      <c r="K342" s="300">
        <f t="shared" si="761"/>
        <v>250</v>
      </c>
      <c r="L342" s="300">
        <f t="shared" si="761"/>
        <v>8738</v>
      </c>
      <c r="M342" s="301">
        <f t="shared" si="761"/>
        <v>0</v>
      </c>
      <c r="N342" s="298">
        <f t="shared" si="761"/>
        <v>36670</v>
      </c>
      <c r="O342" s="299">
        <f t="shared" si="761"/>
        <v>7030</v>
      </c>
      <c r="P342" s="300">
        <f t="shared" si="761"/>
        <v>38340</v>
      </c>
      <c r="Q342" s="300">
        <f t="shared" si="761"/>
        <v>-7040</v>
      </c>
      <c r="R342" s="300">
        <f t="shared" si="761"/>
        <v>0</v>
      </c>
      <c r="S342" s="301">
        <f t="shared" si="761"/>
        <v>-1660</v>
      </c>
      <c r="T342" s="298">
        <f t="shared" si="761"/>
        <v>176052.57999999996</v>
      </c>
      <c r="U342" s="299">
        <f t="shared" si="761"/>
        <v>7338.0800000000454</v>
      </c>
      <c r="V342" s="300">
        <f t="shared" si="761"/>
        <v>-39104.840000000026</v>
      </c>
      <c r="W342" s="300">
        <f t="shared" si="761"/>
        <v>124224.14000000001</v>
      </c>
      <c r="X342" s="300">
        <f t="shared" si="761"/>
        <v>-4853</v>
      </c>
      <c r="Y342" s="302">
        <f t="shared" si="761"/>
        <v>88448.2</v>
      </c>
      <c r="AA342" s="291"/>
      <c r="AB342" s="303"/>
      <c r="AC342" s="367"/>
      <c r="AD342" s="368" t="s">
        <v>33</v>
      </c>
      <c r="AE342" s="298">
        <f t="shared" si="762"/>
        <v>69778</v>
      </c>
      <c r="AF342" s="299">
        <f t="shared" si="762"/>
        <v>22750</v>
      </c>
      <c r="AG342" s="300">
        <f t="shared" si="762"/>
        <v>0</v>
      </c>
      <c r="AH342" s="300">
        <f t="shared" si="762"/>
        <v>10400</v>
      </c>
      <c r="AI342" s="300">
        <f t="shared" si="762"/>
        <v>0</v>
      </c>
      <c r="AJ342" s="300">
        <f t="shared" si="762"/>
        <v>0</v>
      </c>
      <c r="AK342" s="300">
        <f t="shared" si="762"/>
        <v>8738</v>
      </c>
      <c r="AL342" s="300">
        <f t="shared" si="762"/>
        <v>0</v>
      </c>
      <c r="AM342" s="300">
        <f t="shared" si="762"/>
        <v>-5300</v>
      </c>
      <c r="AN342" s="300">
        <f t="shared" si="762"/>
        <v>13500</v>
      </c>
      <c r="AO342" s="300">
        <f t="shared" si="762"/>
        <v>9940</v>
      </c>
      <c r="AP342" s="300">
        <f t="shared" si="762"/>
        <v>0</v>
      </c>
      <c r="AQ342" s="302">
        <f t="shared" si="762"/>
        <v>9750</v>
      </c>
    </row>
    <row r="343" spans="2:43" ht="7.8" customHeight="1" x14ac:dyDescent="0.25">
      <c r="B343" s="282"/>
      <c r="C343" s="295"/>
      <c r="D343" s="306"/>
      <c r="E343" s="307" t="s">
        <v>30</v>
      </c>
      <c r="F343" s="308">
        <f t="shared" si="761"/>
        <v>9.2663290486172514</v>
      </c>
      <c r="G343" s="308">
        <f t="shared" si="761"/>
        <v>-156</v>
      </c>
      <c r="H343" s="308">
        <f t="shared" si="761"/>
        <v>0.15875805506735219</v>
      </c>
      <c r="I343" s="309">
        <f t="shared" si="761"/>
        <v>-0.67043847241868093</v>
      </c>
      <c r="J343" s="310">
        <f t="shared" si="761"/>
        <v>0.2432432432432563</v>
      </c>
      <c r="K343" s="310">
        <f t="shared" si="761"/>
        <v>5</v>
      </c>
      <c r="L343" s="310">
        <f t="shared" si="761"/>
        <v>0.49511400651465465</v>
      </c>
      <c r="M343" s="311">
        <f t="shared" si="761"/>
        <v>0</v>
      </c>
      <c r="N343" s="308">
        <f t="shared" si="761"/>
        <v>-2.7741925837320593</v>
      </c>
      <c r="O343" s="309">
        <f t="shared" si="761"/>
        <v>0.67258883248732104</v>
      </c>
      <c r="P343" s="310">
        <f t="shared" si="761"/>
        <v>-4.6859504132231393</v>
      </c>
      <c r="Q343" s="310">
        <f t="shared" si="761"/>
        <v>1.0322580645161281</v>
      </c>
      <c r="R343" s="310">
        <f t="shared" si="761"/>
        <v>0</v>
      </c>
      <c r="S343" s="311">
        <f t="shared" si="761"/>
        <v>-184.44444444444446</v>
      </c>
      <c r="T343" s="308">
        <f t="shared" si="761"/>
        <v>11.579875619794535</v>
      </c>
      <c r="U343" s="309">
        <f t="shared" si="761"/>
        <v>-24.096148148148075</v>
      </c>
      <c r="V343" s="310">
        <f t="shared" si="761"/>
        <v>24.125200974421432</v>
      </c>
      <c r="W343" s="310">
        <f t="shared" si="761"/>
        <v>-6.9096574770258883</v>
      </c>
      <c r="X343" s="310">
        <f t="shared" si="761"/>
        <v>26.136054421768705</v>
      </c>
      <c r="Y343" s="312">
        <f t="shared" si="761"/>
        <v>17.680645161290329</v>
      </c>
      <c r="AA343" s="291"/>
      <c r="AB343" s="303"/>
      <c r="AC343" s="369"/>
      <c r="AD343" s="314" t="s">
        <v>30</v>
      </c>
      <c r="AE343" s="308">
        <f t="shared" si="762"/>
        <v>-3.366124893071003</v>
      </c>
      <c r="AF343" s="309">
        <f t="shared" si="762"/>
        <v>175</v>
      </c>
      <c r="AG343" s="310">
        <f t="shared" si="762"/>
        <v>0</v>
      </c>
      <c r="AH343" s="310">
        <f t="shared" si="762"/>
        <v>160</v>
      </c>
      <c r="AI343" s="310">
        <f t="shared" si="762"/>
        <v>0</v>
      </c>
      <c r="AJ343" s="310">
        <f t="shared" si="762"/>
        <v>0</v>
      </c>
      <c r="AK343" s="310">
        <f t="shared" si="762"/>
        <v>0.49511400651465465</v>
      </c>
      <c r="AL343" s="310">
        <f t="shared" si="762"/>
        <v>0</v>
      </c>
      <c r="AM343" s="310">
        <f t="shared" si="762"/>
        <v>-2.3529411764705799</v>
      </c>
      <c r="AN343" s="310">
        <f t="shared" si="762"/>
        <v>150</v>
      </c>
      <c r="AO343" s="310">
        <f t="shared" si="762"/>
        <v>142</v>
      </c>
      <c r="AP343" s="310">
        <f t="shared" si="762"/>
        <v>0</v>
      </c>
      <c r="AQ343" s="312">
        <f t="shared" si="762"/>
        <v>150</v>
      </c>
    </row>
    <row r="344" spans="2:43" ht="7.8" customHeight="1" x14ac:dyDescent="0.25">
      <c r="B344" s="282"/>
      <c r="C344" s="295"/>
      <c r="D344" s="363" t="s">
        <v>44</v>
      </c>
      <c r="E344" s="316" t="s">
        <v>32</v>
      </c>
      <c r="F344" s="370">
        <f t="shared" ref="F344:Y346" si="763">IFERROR((F338-F335)/ABS(F335),"")</f>
        <v>8.6551264980026625E-3</v>
      </c>
      <c r="G344" s="370">
        <f t="shared" si="763"/>
        <v>-1</v>
      </c>
      <c r="H344" s="370">
        <f t="shared" si="763"/>
        <v>0.10720562390158173</v>
      </c>
      <c r="I344" s="371">
        <f t="shared" si="763"/>
        <v>-0.30693069306930693</v>
      </c>
      <c r="J344" s="372">
        <f t="shared" si="763"/>
        <v>0.35135135135135137</v>
      </c>
      <c r="K344" s="372">
        <f t="shared" si="763"/>
        <v>0</v>
      </c>
      <c r="L344" s="372">
        <f t="shared" si="763"/>
        <v>0.17263843648208468</v>
      </c>
      <c r="M344" s="373" t="str">
        <f t="shared" si="763"/>
        <v/>
      </c>
      <c r="N344" s="370">
        <f t="shared" si="763"/>
        <v>0.30625000000000002</v>
      </c>
      <c r="O344" s="371">
        <f t="shared" si="763"/>
        <v>0.10406091370558376</v>
      </c>
      <c r="P344" s="372">
        <f t="shared" si="763"/>
        <v>1.0661157024793388</v>
      </c>
      <c r="Q344" s="372">
        <f t="shared" si="763"/>
        <v>-0.29032258064516131</v>
      </c>
      <c r="R344" s="372" t="str">
        <f t="shared" si="763"/>
        <v/>
      </c>
      <c r="S344" s="373">
        <f t="shared" si="763"/>
        <v>-1</v>
      </c>
      <c r="T344" s="370">
        <f t="shared" si="763"/>
        <v>0.12810707456978968</v>
      </c>
      <c r="U344" s="371">
        <f t="shared" si="763"/>
        <v>0.20370370370370369</v>
      </c>
      <c r="V344" s="372">
        <f t="shared" si="763"/>
        <v>-0.20828258221680876</v>
      </c>
      <c r="W344" s="372">
        <f t="shared" si="763"/>
        <v>0.67084377610693402</v>
      </c>
      <c r="X344" s="372">
        <f t="shared" si="763"/>
        <v>-0.31972789115646261</v>
      </c>
      <c r="Y344" s="374">
        <f t="shared" si="763"/>
        <v>7.870967741935484</v>
      </c>
      <c r="AA344" s="291"/>
      <c r="AB344" s="303"/>
      <c r="AC344" s="364" t="s">
        <v>44</v>
      </c>
      <c r="AD344" s="323" t="s">
        <v>32</v>
      </c>
      <c r="AE344" s="370">
        <f t="shared" ref="AE344:AQ346" si="764">IFERROR((AE338-AE335)/ABS(AE335),"")</f>
        <v>1.1301020408163265</v>
      </c>
      <c r="AF344" s="371" t="str">
        <f t="shared" si="764"/>
        <v/>
      </c>
      <c r="AG344" s="372" t="str">
        <f t="shared" si="764"/>
        <v/>
      </c>
      <c r="AH344" s="372" t="str">
        <f t="shared" si="764"/>
        <v/>
      </c>
      <c r="AI344" s="372" t="str">
        <f t="shared" si="764"/>
        <v/>
      </c>
      <c r="AJ344" s="372" t="str">
        <f t="shared" si="764"/>
        <v/>
      </c>
      <c r="AK344" s="372">
        <f t="shared" si="764"/>
        <v>0.17263843648208468</v>
      </c>
      <c r="AL344" s="372" t="str">
        <f t="shared" si="764"/>
        <v/>
      </c>
      <c r="AM344" s="372">
        <f t="shared" si="764"/>
        <v>-0.35294117647058826</v>
      </c>
      <c r="AN344" s="372" t="str">
        <f t="shared" si="764"/>
        <v/>
      </c>
      <c r="AO344" s="372" t="str">
        <f t="shared" si="764"/>
        <v/>
      </c>
      <c r="AP344" s="372" t="str">
        <f t="shared" si="764"/>
        <v/>
      </c>
      <c r="AQ344" s="374" t="str">
        <f t="shared" si="764"/>
        <v/>
      </c>
    </row>
    <row r="345" spans="2:43" ht="7.8" customHeight="1" x14ac:dyDescent="0.25">
      <c r="B345" s="282"/>
      <c r="C345" s="295"/>
      <c r="D345" s="296"/>
      <c r="E345" s="375" t="s">
        <v>33</v>
      </c>
      <c r="F345" s="376">
        <f t="shared" si="763"/>
        <v>6.6918909049756406E-2</v>
      </c>
      <c r="G345" s="376">
        <f t="shared" si="763"/>
        <v>-1</v>
      </c>
      <c r="H345" s="376">
        <f t="shared" si="763"/>
        <v>0.10828728086776904</v>
      </c>
      <c r="I345" s="377">
        <f t="shared" si="763"/>
        <v>-0.30966239813736901</v>
      </c>
      <c r="J345" s="378">
        <f t="shared" si="763"/>
        <v>0.35338345864661652</v>
      </c>
      <c r="K345" s="378">
        <f t="shared" si="763"/>
        <v>3.2258064516129031E-2</v>
      </c>
      <c r="L345" s="378">
        <f t="shared" si="763"/>
        <v>0.17623331047557581</v>
      </c>
      <c r="M345" s="379" t="str">
        <f t="shared" si="763"/>
        <v/>
      </c>
      <c r="N345" s="376">
        <f t="shared" si="763"/>
        <v>0.28381254595410393</v>
      </c>
      <c r="O345" s="377">
        <f t="shared" si="763"/>
        <v>0.10857981311298169</v>
      </c>
      <c r="P345" s="378">
        <f t="shared" si="763"/>
        <v>1.0047169811320755</v>
      </c>
      <c r="Q345" s="378">
        <f t="shared" si="763"/>
        <v>-0.2857142857142857</v>
      </c>
      <c r="R345" s="378" t="str">
        <f t="shared" si="763"/>
        <v/>
      </c>
      <c r="S345" s="379">
        <f t="shared" si="763"/>
        <v>-1</v>
      </c>
      <c r="T345" s="376">
        <f t="shared" si="763"/>
        <v>0.20935028256582314</v>
      </c>
      <c r="U345" s="377">
        <f t="shared" si="763"/>
        <v>6.4989418300566038E-2</v>
      </c>
      <c r="V345" s="378">
        <f t="shared" si="763"/>
        <v>-7.9984563049120203E-2</v>
      </c>
      <c r="W345" s="378">
        <f t="shared" si="763"/>
        <v>0.60368665206890659</v>
      </c>
      <c r="X345" s="378">
        <f t="shared" si="763"/>
        <v>-0.20781055967113432</v>
      </c>
      <c r="Y345" s="380">
        <f t="shared" si="763"/>
        <v>8.8432282189205953</v>
      </c>
      <c r="AA345" s="291"/>
      <c r="AB345" s="303"/>
      <c r="AC345" s="367"/>
      <c r="AD345" s="381" t="s">
        <v>33</v>
      </c>
      <c r="AE345" s="376">
        <f t="shared" si="764"/>
        <v>1.0863432556980943</v>
      </c>
      <c r="AF345" s="377" t="str">
        <f t="shared" si="764"/>
        <v/>
      </c>
      <c r="AG345" s="378" t="str">
        <f t="shared" si="764"/>
        <v/>
      </c>
      <c r="AH345" s="378" t="str">
        <f t="shared" si="764"/>
        <v/>
      </c>
      <c r="AI345" s="378" t="str">
        <f t="shared" si="764"/>
        <v/>
      </c>
      <c r="AJ345" s="378" t="str">
        <f t="shared" si="764"/>
        <v/>
      </c>
      <c r="AK345" s="378">
        <f t="shared" si="764"/>
        <v>0.17623331047557581</v>
      </c>
      <c r="AL345" s="378" t="str">
        <f t="shared" si="764"/>
        <v/>
      </c>
      <c r="AM345" s="378">
        <f t="shared" si="764"/>
        <v>-0.36177474402730375</v>
      </c>
      <c r="AN345" s="378" t="str">
        <f t="shared" si="764"/>
        <v/>
      </c>
      <c r="AO345" s="378" t="str">
        <f t="shared" si="764"/>
        <v/>
      </c>
      <c r="AP345" s="378" t="str">
        <f t="shared" si="764"/>
        <v/>
      </c>
      <c r="AQ345" s="380" t="str">
        <f t="shared" si="764"/>
        <v/>
      </c>
    </row>
    <row r="346" spans="2:43" ht="7.8" customHeight="1" x14ac:dyDescent="0.25">
      <c r="B346" s="282"/>
      <c r="C346" s="382"/>
      <c r="D346" s="383"/>
      <c r="E346" s="384" t="s">
        <v>30</v>
      </c>
      <c r="F346" s="385">
        <f t="shared" si="763"/>
        <v>5.7763829302134709E-2</v>
      </c>
      <c r="G346" s="385">
        <f t="shared" si="763"/>
        <v>-1</v>
      </c>
      <c r="H346" s="385">
        <f t="shared" si="763"/>
        <v>9.7692510120717005E-4</v>
      </c>
      <c r="I346" s="386">
        <f t="shared" si="763"/>
        <v>-3.941460169632525E-3</v>
      </c>
      <c r="J346" s="387">
        <f t="shared" si="763"/>
        <v>1.5037593984963214E-3</v>
      </c>
      <c r="K346" s="387">
        <f t="shared" si="763"/>
        <v>3.2258064516129031E-2</v>
      </c>
      <c r="L346" s="387">
        <f t="shared" si="763"/>
        <v>3.0656286555604648E-3</v>
      </c>
      <c r="M346" s="388" t="str">
        <f t="shared" si="763"/>
        <v/>
      </c>
      <c r="N346" s="385">
        <f t="shared" si="763"/>
        <v>-1.7176998312647712E-2</v>
      </c>
      <c r="O346" s="386">
        <f t="shared" si="763"/>
        <v>4.0929801529076297E-3</v>
      </c>
      <c r="P346" s="387">
        <f t="shared" si="763"/>
        <v>-2.9716981132075465E-2</v>
      </c>
      <c r="Q346" s="387">
        <f t="shared" si="763"/>
        <v>6.4935064935064879E-3</v>
      </c>
      <c r="R346" s="387" t="str">
        <f t="shared" si="763"/>
        <v/>
      </c>
      <c r="S346" s="388">
        <f t="shared" si="763"/>
        <v>-1</v>
      </c>
      <c r="T346" s="385">
        <f t="shared" si="763"/>
        <v>7.2017284376144963E-2</v>
      </c>
      <c r="U346" s="386">
        <f t="shared" si="763"/>
        <v>-0.11523956018106826</v>
      </c>
      <c r="V346" s="387">
        <f t="shared" si="763"/>
        <v>0.16205026728718819</v>
      </c>
      <c r="W346" s="387">
        <f t="shared" si="763"/>
        <v>-4.0193538736759446E-2</v>
      </c>
      <c r="X346" s="387">
        <f t="shared" si="763"/>
        <v>0.16451847728343252</v>
      </c>
      <c r="Y346" s="389">
        <f t="shared" si="763"/>
        <v>0.10960027195104885</v>
      </c>
      <c r="AA346" s="291"/>
      <c r="AB346" s="390"/>
      <c r="AC346" s="391"/>
      <c r="AD346" s="392" t="s">
        <v>30</v>
      </c>
      <c r="AE346" s="385">
        <f t="shared" si="764"/>
        <v>-2.0543046426762877E-2</v>
      </c>
      <c r="AF346" s="386" t="str">
        <f t="shared" si="764"/>
        <v/>
      </c>
      <c r="AG346" s="387" t="str">
        <f t="shared" si="764"/>
        <v/>
      </c>
      <c r="AH346" s="387" t="str">
        <f t="shared" si="764"/>
        <v/>
      </c>
      <c r="AI346" s="387" t="str">
        <f t="shared" si="764"/>
        <v/>
      </c>
      <c r="AJ346" s="387" t="str">
        <f t="shared" si="764"/>
        <v/>
      </c>
      <c r="AK346" s="387">
        <f t="shared" si="764"/>
        <v>3.0656286555604648E-3</v>
      </c>
      <c r="AL346" s="387" t="str">
        <f t="shared" si="764"/>
        <v/>
      </c>
      <c r="AM346" s="387">
        <f t="shared" si="764"/>
        <v>-1.3651877133105754E-2</v>
      </c>
      <c r="AN346" s="387" t="str">
        <f t="shared" si="764"/>
        <v/>
      </c>
      <c r="AO346" s="387" t="str">
        <f t="shared" si="764"/>
        <v/>
      </c>
      <c r="AP346" s="387" t="str">
        <f t="shared" si="764"/>
        <v/>
      </c>
      <c r="AQ346" s="389" t="str">
        <f t="shared" si="764"/>
        <v/>
      </c>
    </row>
    <row r="347" spans="2:43" ht="7.8" customHeight="1" x14ac:dyDescent="0.25">
      <c r="B347" s="282"/>
      <c r="C347" s="393" t="s">
        <v>48</v>
      </c>
      <c r="D347" s="394" t="s">
        <v>39</v>
      </c>
      <c r="E347" s="395" t="s">
        <v>32</v>
      </c>
      <c r="F347" s="396">
        <f t="shared" ref="F347:F348" si="765">SUM(G347,H347,N347,T347)</f>
        <v>0</v>
      </c>
      <c r="G347" s="396"/>
      <c r="H347" s="396">
        <f t="shared" ref="H347:H348" si="766">SUM(I347:M347)</f>
        <v>0</v>
      </c>
      <c r="I347" s="397"/>
      <c r="J347" s="398"/>
      <c r="K347" s="398"/>
      <c r="L347" s="398"/>
      <c r="M347" s="399"/>
      <c r="N347" s="396">
        <f t="shared" ref="N347:N348" si="767">SUM(O347:S347)</f>
        <v>0</v>
      </c>
      <c r="O347" s="397"/>
      <c r="P347" s="398"/>
      <c r="Q347" s="398"/>
      <c r="R347" s="398"/>
      <c r="S347" s="399"/>
      <c r="T347" s="396">
        <f t="shared" ref="T347:T348" si="768">SUM(U347:Y347)</f>
        <v>0</v>
      </c>
      <c r="U347" s="397"/>
      <c r="V347" s="398"/>
      <c r="W347" s="398"/>
      <c r="X347" s="398"/>
      <c r="Y347" s="400"/>
      <c r="AA347" s="291"/>
      <c r="AB347" s="401" t="s">
        <v>48</v>
      </c>
      <c r="AC347" s="402" t="s">
        <v>39</v>
      </c>
      <c r="AD347" s="403" t="s">
        <v>32</v>
      </c>
      <c r="AE347" s="396">
        <f t="shared" ref="AE347:AE348" si="769">SUM(AF347:AQ347)</f>
        <v>0</v>
      </c>
      <c r="AF347" s="397">
        <f>$L$77</f>
        <v>0</v>
      </c>
      <c r="AG347" s="398">
        <f>$L$131</f>
        <v>0</v>
      </c>
      <c r="AH347" s="398">
        <f>$L$185</f>
        <v>0</v>
      </c>
      <c r="AI347" s="398">
        <f>$L$239</f>
        <v>0</v>
      </c>
      <c r="AJ347" s="398">
        <f>$L$293</f>
        <v>0</v>
      </c>
      <c r="AK347" s="398">
        <f>$L$347</f>
        <v>0</v>
      </c>
      <c r="AL347" s="398">
        <f>$L$401</f>
        <v>0</v>
      </c>
      <c r="AM347" s="398">
        <f>$L$455</f>
        <v>0</v>
      </c>
      <c r="AN347" s="398">
        <f>$L$509</f>
        <v>0</v>
      </c>
      <c r="AO347" s="398">
        <f>$L$563</f>
        <v>0</v>
      </c>
      <c r="AP347" s="398">
        <f>$L$617</f>
        <v>0</v>
      </c>
      <c r="AQ347" s="400">
        <f>$L$671</f>
        <v>0</v>
      </c>
    </row>
    <row r="348" spans="2:43" s="41" customFormat="1" ht="7.8" customHeight="1" x14ac:dyDescent="0.25">
      <c r="B348" s="282"/>
      <c r="C348" s="404"/>
      <c r="D348" s="405"/>
      <c r="E348" s="406" t="s">
        <v>33</v>
      </c>
      <c r="F348" s="407">
        <f t="shared" si="765"/>
        <v>0</v>
      </c>
      <c r="G348" s="407"/>
      <c r="H348" s="407">
        <f t="shared" si="766"/>
        <v>0</v>
      </c>
      <c r="I348" s="408"/>
      <c r="J348" s="409"/>
      <c r="K348" s="409"/>
      <c r="L348" s="409"/>
      <c r="M348" s="410"/>
      <c r="N348" s="407">
        <f t="shared" si="767"/>
        <v>0</v>
      </c>
      <c r="O348" s="408"/>
      <c r="P348" s="409"/>
      <c r="Q348" s="409"/>
      <c r="R348" s="409"/>
      <c r="S348" s="410"/>
      <c r="T348" s="407">
        <f t="shared" si="768"/>
        <v>0</v>
      </c>
      <c r="U348" s="408"/>
      <c r="V348" s="409"/>
      <c r="W348" s="409"/>
      <c r="X348" s="409"/>
      <c r="Y348" s="411"/>
      <c r="AA348" s="291"/>
      <c r="AB348" s="412"/>
      <c r="AC348" s="413"/>
      <c r="AD348" s="414" t="s">
        <v>33</v>
      </c>
      <c r="AE348" s="407">
        <f t="shared" si="769"/>
        <v>0</v>
      </c>
      <c r="AF348" s="408">
        <f>$L$78</f>
        <v>0</v>
      </c>
      <c r="AG348" s="409">
        <f>$L$132</f>
        <v>0</v>
      </c>
      <c r="AH348" s="409">
        <f>$L$186</f>
        <v>0</v>
      </c>
      <c r="AI348" s="409">
        <f>$L$240</f>
        <v>0</v>
      </c>
      <c r="AJ348" s="409">
        <f>$L$294</f>
        <v>0</v>
      </c>
      <c r="AK348" s="409">
        <f>$L$348</f>
        <v>0</v>
      </c>
      <c r="AL348" s="409">
        <f>$L$402</f>
        <v>0</v>
      </c>
      <c r="AM348" s="409">
        <f>$L$456</f>
        <v>0</v>
      </c>
      <c r="AN348" s="409">
        <f>$L$510</f>
        <v>0</v>
      </c>
      <c r="AO348" s="409">
        <f>$L$564</f>
        <v>0</v>
      </c>
      <c r="AP348" s="409">
        <f>$L$618</f>
        <v>0</v>
      </c>
      <c r="AQ348" s="411">
        <f>$L$672</f>
        <v>0</v>
      </c>
    </row>
    <row r="349" spans="2:43" ht="7.8" customHeight="1" x14ac:dyDescent="0.25">
      <c r="B349" s="282"/>
      <c r="C349" s="404"/>
      <c r="D349" s="415"/>
      <c r="E349" s="416" t="s">
        <v>30</v>
      </c>
      <c r="F349" s="417">
        <f t="shared" si="660"/>
        <v>0</v>
      </c>
      <c r="G349" s="417">
        <f t="shared" si="660"/>
        <v>0</v>
      </c>
      <c r="H349" s="417">
        <f t="shared" si="660"/>
        <v>0</v>
      </c>
      <c r="I349" s="418">
        <f t="shared" si="660"/>
        <v>0</v>
      </c>
      <c r="J349" s="419">
        <f t="shared" si="660"/>
        <v>0</v>
      </c>
      <c r="K349" s="419">
        <f t="shared" si="660"/>
        <v>0</v>
      </c>
      <c r="L349" s="419">
        <f t="shared" si="660"/>
        <v>0</v>
      </c>
      <c r="M349" s="420">
        <f t="shared" si="660"/>
        <v>0</v>
      </c>
      <c r="N349" s="417">
        <f t="shared" si="660"/>
        <v>0</v>
      </c>
      <c r="O349" s="418">
        <f t="shared" si="660"/>
        <v>0</v>
      </c>
      <c r="P349" s="419">
        <f t="shared" si="660"/>
        <v>0</v>
      </c>
      <c r="Q349" s="419">
        <f t="shared" si="660"/>
        <v>0</v>
      </c>
      <c r="R349" s="419">
        <f t="shared" si="660"/>
        <v>0</v>
      </c>
      <c r="S349" s="420">
        <f t="shared" si="660"/>
        <v>0</v>
      </c>
      <c r="T349" s="417">
        <f t="shared" si="660"/>
        <v>0</v>
      </c>
      <c r="U349" s="418">
        <f t="shared" si="660"/>
        <v>0</v>
      </c>
      <c r="V349" s="419">
        <f t="shared" si="660"/>
        <v>0</v>
      </c>
      <c r="W349" s="419">
        <f t="shared" si="660"/>
        <v>0</v>
      </c>
      <c r="X349" s="419">
        <f t="shared" si="660"/>
        <v>0</v>
      </c>
      <c r="Y349" s="421">
        <f t="shared" si="660"/>
        <v>0</v>
      </c>
      <c r="AA349" s="291"/>
      <c r="AB349" s="412"/>
      <c r="AC349" s="422"/>
      <c r="AD349" s="423" t="s">
        <v>30</v>
      </c>
      <c r="AE349" s="417">
        <f t="shared" ref="AE349:AQ349" si="770">IFERROR(AE348/AE347,0)</f>
        <v>0</v>
      </c>
      <c r="AF349" s="418">
        <f t="shared" si="770"/>
        <v>0</v>
      </c>
      <c r="AG349" s="419">
        <f t="shared" si="770"/>
        <v>0</v>
      </c>
      <c r="AH349" s="419">
        <f t="shared" si="770"/>
        <v>0</v>
      </c>
      <c r="AI349" s="419">
        <f t="shared" si="770"/>
        <v>0</v>
      </c>
      <c r="AJ349" s="419">
        <f t="shared" si="770"/>
        <v>0</v>
      </c>
      <c r="AK349" s="419">
        <f t="shared" si="770"/>
        <v>0</v>
      </c>
      <c r="AL349" s="419">
        <f t="shared" si="770"/>
        <v>0</v>
      </c>
      <c r="AM349" s="419">
        <f t="shared" si="770"/>
        <v>0</v>
      </c>
      <c r="AN349" s="419">
        <f t="shared" si="770"/>
        <v>0</v>
      </c>
      <c r="AO349" s="419">
        <f t="shared" si="770"/>
        <v>0</v>
      </c>
      <c r="AP349" s="419">
        <f t="shared" si="770"/>
        <v>0</v>
      </c>
      <c r="AQ349" s="421">
        <f t="shared" si="770"/>
        <v>0</v>
      </c>
    </row>
    <row r="350" spans="2:43" ht="7.8" customHeight="1" x14ac:dyDescent="0.25">
      <c r="B350" s="282"/>
      <c r="C350" s="404"/>
      <c r="D350" s="424" t="s">
        <v>40</v>
      </c>
      <c r="E350" s="425" t="s">
        <v>32</v>
      </c>
      <c r="F350" s="426">
        <f t="shared" ref="F350:F351" si="771">SUM(G350,H350,N350,T350)</f>
        <v>5309</v>
      </c>
      <c r="G350" s="426">
        <v>717</v>
      </c>
      <c r="H350" s="426">
        <f t="shared" ref="H350:H351" si="772">SUM(I350:M350)</f>
        <v>318</v>
      </c>
      <c r="I350" s="427">
        <v>0</v>
      </c>
      <c r="J350" s="428">
        <v>52</v>
      </c>
      <c r="K350" s="428">
        <v>34</v>
      </c>
      <c r="L350" s="428">
        <v>0</v>
      </c>
      <c r="M350" s="429">
        <v>232</v>
      </c>
      <c r="N350" s="426">
        <f t="shared" ref="N350:N351" si="773">SUM(O350:S350)</f>
        <v>849</v>
      </c>
      <c r="O350" s="427">
        <v>289</v>
      </c>
      <c r="P350" s="428">
        <v>490</v>
      </c>
      <c r="Q350" s="428">
        <v>65</v>
      </c>
      <c r="R350" s="428">
        <v>0</v>
      </c>
      <c r="S350" s="429">
        <v>5</v>
      </c>
      <c r="T350" s="426">
        <f t="shared" ref="T350:T351" si="774">SUM(U350:Y350)</f>
        <v>3425</v>
      </c>
      <c r="U350" s="427">
        <v>296</v>
      </c>
      <c r="V350" s="428">
        <v>1300</v>
      </c>
      <c r="W350" s="428">
        <v>1526</v>
      </c>
      <c r="X350" s="428">
        <v>112</v>
      </c>
      <c r="Y350" s="430">
        <v>191</v>
      </c>
      <c r="AA350" s="291"/>
      <c r="AB350" s="412"/>
      <c r="AC350" s="431" t="s">
        <v>40</v>
      </c>
      <c r="AD350" s="432" t="s">
        <v>32</v>
      </c>
      <c r="AE350" s="426">
        <f t="shared" ref="AE350:AE351" si="775">SUM(AF350:AQ350)</f>
        <v>0</v>
      </c>
      <c r="AF350" s="427">
        <f>$L$80</f>
        <v>0</v>
      </c>
      <c r="AG350" s="428">
        <f>$L$134</f>
        <v>0</v>
      </c>
      <c r="AH350" s="428">
        <f>$L$188</f>
        <v>0</v>
      </c>
      <c r="AI350" s="428">
        <f>$L$242</f>
        <v>0</v>
      </c>
      <c r="AJ350" s="428">
        <f>$L$296</f>
        <v>0</v>
      </c>
      <c r="AK350" s="428">
        <f>$L$350</f>
        <v>0</v>
      </c>
      <c r="AL350" s="428">
        <f>$L$404</f>
        <v>0</v>
      </c>
      <c r="AM350" s="428">
        <f>$L$458</f>
        <v>0</v>
      </c>
      <c r="AN350" s="428">
        <f>$L$512</f>
        <v>0</v>
      </c>
      <c r="AO350" s="428">
        <f>$L$566</f>
        <v>0</v>
      </c>
      <c r="AP350" s="428">
        <f>$L$620</f>
        <v>0</v>
      </c>
      <c r="AQ350" s="430">
        <f>$L$674</f>
        <v>0</v>
      </c>
    </row>
    <row r="351" spans="2:43" s="41" customFormat="1" ht="7.8" customHeight="1" x14ac:dyDescent="0.25">
      <c r="B351" s="282"/>
      <c r="C351" s="404"/>
      <c r="D351" s="405"/>
      <c r="E351" s="406" t="s">
        <v>33</v>
      </c>
      <c r="F351" s="407">
        <f t="shared" si="771"/>
        <v>871410.44</v>
      </c>
      <c r="G351" s="407">
        <v>111762</v>
      </c>
      <c r="H351" s="407">
        <f t="shared" si="772"/>
        <v>53704</v>
      </c>
      <c r="I351" s="408">
        <v>0</v>
      </c>
      <c r="J351" s="409">
        <v>8529</v>
      </c>
      <c r="K351" s="409">
        <v>6290</v>
      </c>
      <c r="L351" s="409">
        <v>0</v>
      </c>
      <c r="M351" s="410">
        <v>38885</v>
      </c>
      <c r="N351" s="407">
        <f t="shared" si="773"/>
        <v>134274</v>
      </c>
      <c r="O351" s="408">
        <v>47120</v>
      </c>
      <c r="P351" s="409">
        <v>75735</v>
      </c>
      <c r="Q351" s="409">
        <v>10744</v>
      </c>
      <c r="R351" s="409">
        <v>0</v>
      </c>
      <c r="S351" s="410">
        <v>675</v>
      </c>
      <c r="T351" s="407">
        <f t="shared" si="774"/>
        <v>571670.43999999994</v>
      </c>
      <c r="U351" s="408">
        <v>57114.549999999988</v>
      </c>
      <c r="V351" s="409">
        <v>217349.86000000004</v>
      </c>
      <c r="W351" s="409">
        <v>254102.7699999999</v>
      </c>
      <c r="X351" s="409">
        <v>17828</v>
      </c>
      <c r="Y351" s="411">
        <v>25275.259999999995</v>
      </c>
      <c r="AA351" s="291"/>
      <c r="AB351" s="412"/>
      <c r="AC351" s="413"/>
      <c r="AD351" s="414" t="s">
        <v>33</v>
      </c>
      <c r="AE351" s="407">
        <f t="shared" si="775"/>
        <v>0</v>
      </c>
      <c r="AF351" s="408">
        <f>$L$81</f>
        <v>0</v>
      </c>
      <c r="AG351" s="409">
        <f>$L$135</f>
        <v>0</v>
      </c>
      <c r="AH351" s="409">
        <f>$L$189</f>
        <v>0</v>
      </c>
      <c r="AI351" s="409">
        <f>$L$243</f>
        <v>0</v>
      </c>
      <c r="AJ351" s="409">
        <f>$L$297</f>
        <v>0</v>
      </c>
      <c r="AK351" s="409">
        <f>$L$351</f>
        <v>0</v>
      </c>
      <c r="AL351" s="409">
        <f>$L$405</f>
        <v>0</v>
      </c>
      <c r="AM351" s="409">
        <f>$L$459</f>
        <v>0</v>
      </c>
      <c r="AN351" s="409">
        <f>$L$513</f>
        <v>0</v>
      </c>
      <c r="AO351" s="409">
        <f>$L$567</f>
        <v>0</v>
      </c>
      <c r="AP351" s="409">
        <f>$L$621</f>
        <v>0</v>
      </c>
      <c r="AQ351" s="411">
        <f>$L$675</f>
        <v>0</v>
      </c>
    </row>
    <row r="352" spans="2:43" ht="7.8" customHeight="1" x14ac:dyDescent="0.25">
      <c r="B352" s="282"/>
      <c r="C352" s="404"/>
      <c r="D352" s="415"/>
      <c r="E352" s="416" t="s">
        <v>30</v>
      </c>
      <c r="F352" s="417">
        <f t="shared" si="667"/>
        <v>164.13833867018269</v>
      </c>
      <c r="G352" s="417">
        <f t="shared" si="667"/>
        <v>155.87447698744771</v>
      </c>
      <c r="H352" s="417">
        <f t="shared" si="667"/>
        <v>168.88050314465409</v>
      </c>
      <c r="I352" s="418">
        <f t="shared" si="667"/>
        <v>0</v>
      </c>
      <c r="J352" s="419">
        <f t="shared" si="667"/>
        <v>164.01923076923077</v>
      </c>
      <c r="K352" s="419">
        <f t="shared" si="667"/>
        <v>185</v>
      </c>
      <c r="L352" s="419">
        <f t="shared" si="667"/>
        <v>0</v>
      </c>
      <c r="M352" s="420">
        <f t="shared" si="667"/>
        <v>167.60775862068965</v>
      </c>
      <c r="N352" s="417">
        <f t="shared" si="667"/>
        <v>158.15547703180212</v>
      </c>
      <c r="O352" s="418">
        <f t="shared" si="667"/>
        <v>163.04498269896195</v>
      </c>
      <c r="P352" s="419">
        <f t="shared" si="667"/>
        <v>154.5612244897959</v>
      </c>
      <c r="Q352" s="419">
        <f t="shared" si="667"/>
        <v>165.2923076923077</v>
      </c>
      <c r="R352" s="419">
        <f t="shared" si="667"/>
        <v>0</v>
      </c>
      <c r="S352" s="420">
        <f t="shared" si="667"/>
        <v>135</v>
      </c>
      <c r="T352" s="417">
        <f t="shared" si="667"/>
        <v>166.91107737226275</v>
      </c>
      <c r="U352" s="418">
        <f t="shared" si="667"/>
        <v>192.95456081081076</v>
      </c>
      <c r="V352" s="419">
        <f t="shared" si="667"/>
        <v>167.19220000000004</v>
      </c>
      <c r="W352" s="419">
        <f t="shared" si="667"/>
        <v>166.51557667103532</v>
      </c>
      <c r="X352" s="419">
        <f t="shared" si="667"/>
        <v>159.17857142857142</v>
      </c>
      <c r="Y352" s="421">
        <f t="shared" si="667"/>
        <v>132.33120418848165</v>
      </c>
      <c r="AA352" s="291"/>
      <c r="AB352" s="412"/>
      <c r="AC352" s="422"/>
      <c r="AD352" s="423" t="s">
        <v>30</v>
      </c>
      <c r="AE352" s="417">
        <f t="shared" ref="AE352:AQ352" si="776">IFERROR(AE351/AE350,0)</f>
        <v>0</v>
      </c>
      <c r="AF352" s="418">
        <f t="shared" si="776"/>
        <v>0</v>
      </c>
      <c r="AG352" s="419">
        <f t="shared" si="776"/>
        <v>0</v>
      </c>
      <c r="AH352" s="419">
        <f t="shared" si="776"/>
        <v>0</v>
      </c>
      <c r="AI352" s="419">
        <f t="shared" si="776"/>
        <v>0</v>
      </c>
      <c r="AJ352" s="419">
        <f t="shared" si="776"/>
        <v>0</v>
      </c>
      <c r="AK352" s="419">
        <f t="shared" si="776"/>
        <v>0</v>
      </c>
      <c r="AL352" s="419">
        <f t="shared" si="776"/>
        <v>0</v>
      </c>
      <c r="AM352" s="419">
        <f t="shared" si="776"/>
        <v>0</v>
      </c>
      <c r="AN352" s="419">
        <f t="shared" si="776"/>
        <v>0</v>
      </c>
      <c r="AO352" s="419">
        <f t="shared" si="776"/>
        <v>0</v>
      </c>
      <c r="AP352" s="419">
        <f t="shared" si="776"/>
        <v>0</v>
      </c>
      <c r="AQ352" s="421">
        <f t="shared" si="776"/>
        <v>0</v>
      </c>
    </row>
    <row r="353" spans="2:43" ht="7.8" customHeight="1" x14ac:dyDescent="0.25">
      <c r="B353" s="282"/>
      <c r="C353" s="404"/>
      <c r="D353" s="424" t="s">
        <v>41</v>
      </c>
      <c r="E353" s="425" t="s">
        <v>32</v>
      </c>
      <c r="F353" s="426">
        <f t="shared" ref="F353:F354" si="777">SUM(G353,H353,N353,T353)</f>
        <v>5447</v>
      </c>
      <c r="G353" s="426">
        <v>666</v>
      </c>
      <c r="H353" s="426">
        <f t="shared" ref="H353:H354" si="778">SUM(I353:M353)</f>
        <v>398</v>
      </c>
      <c r="I353" s="427">
        <v>71</v>
      </c>
      <c r="J353" s="428">
        <v>81</v>
      </c>
      <c r="K353" s="428">
        <v>41</v>
      </c>
      <c r="L353" s="428">
        <v>205</v>
      </c>
      <c r="M353" s="429">
        <v>0</v>
      </c>
      <c r="N353" s="426">
        <f t="shared" ref="N353:N354" si="779">SUM(O353:S353)</f>
        <v>575</v>
      </c>
      <c r="O353" s="427">
        <v>291</v>
      </c>
      <c r="P353" s="428">
        <v>163</v>
      </c>
      <c r="Q353" s="428">
        <v>115</v>
      </c>
      <c r="R353" s="428">
        <v>0</v>
      </c>
      <c r="S353" s="429">
        <v>6</v>
      </c>
      <c r="T353" s="426">
        <f t="shared" ref="T353:T354" si="780">SUM(U353:Y353)</f>
        <v>3808</v>
      </c>
      <c r="U353" s="427">
        <v>393</v>
      </c>
      <c r="V353" s="428">
        <v>2374</v>
      </c>
      <c r="W353" s="428">
        <v>887</v>
      </c>
      <c r="X353" s="428">
        <v>112</v>
      </c>
      <c r="Y353" s="430">
        <v>42</v>
      </c>
      <c r="AA353" s="291"/>
      <c r="AB353" s="412"/>
      <c r="AC353" s="431" t="s">
        <v>41</v>
      </c>
      <c r="AD353" s="432" t="s">
        <v>32</v>
      </c>
      <c r="AE353" s="426">
        <f t="shared" ref="AE353:AE354" si="781">SUM(AF353:AQ353)</f>
        <v>245</v>
      </c>
      <c r="AF353" s="427">
        <f>$L$83</f>
        <v>0</v>
      </c>
      <c r="AG353" s="428">
        <f>$L$137</f>
        <v>0</v>
      </c>
      <c r="AH353" s="428">
        <f>$L$191</f>
        <v>0</v>
      </c>
      <c r="AI353" s="428">
        <f>$L$245</f>
        <v>0</v>
      </c>
      <c r="AJ353" s="428">
        <f>$L$299</f>
        <v>0</v>
      </c>
      <c r="AK353" s="428">
        <f>$L$353</f>
        <v>205</v>
      </c>
      <c r="AL353" s="428">
        <f>$L$407</f>
        <v>0</v>
      </c>
      <c r="AM353" s="428">
        <f>$L$461</f>
        <v>40</v>
      </c>
      <c r="AN353" s="428">
        <f>$L$515</f>
        <v>0</v>
      </c>
      <c r="AO353" s="428">
        <f>$L$569</f>
        <v>0</v>
      </c>
      <c r="AP353" s="428">
        <f>$L$623</f>
        <v>0</v>
      </c>
      <c r="AQ353" s="430">
        <f>$L$677</f>
        <v>0</v>
      </c>
    </row>
    <row r="354" spans="2:43" s="41" customFormat="1" ht="7.8" customHeight="1" x14ac:dyDescent="0.25">
      <c r="B354" s="282"/>
      <c r="C354" s="404"/>
      <c r="D354" s="405"/>
      <c r="E354" s="406" t="s">
        <v>33</v>
      </c>
      <c r="F354" s="407">
        <f t="shared" si="777"/>
        <v>866305.61999999988</v>
      </c>
      <c r="G354" s="407">
        <v>103671</v>
      </c>
      <c r="H354" s="407">
        <f t="shared" si="778"/>
        <v>64561</v>
      </c>
      <c r="I354" s="408">
        <v>12177</v>
      </c>
      <c r="J354" s="409">
        <v>12975</v>
      </c>
      <c r="K354" s="409">
        <v>6355</v>
      </c>
      <c r="L354" s="409">
        <v>33054</v>
      </c>
      <c r="M354" s="410">
        <v>0</v>
      </c>
      <c r="N354" s="407">
        <f t="shared" si="779"/>
        <v>92940</v>
      </c>
      <c r="O354" s="408">
        <v>47740</v>
      </c>
      <c r="P354" s="409">
        <v>25690</v>
      </c>
      <c r="Q354" s="409">
        <v>18430</v>
      </c>
      <c r="R354" s="409">
        <v>0</v>
      </c>
      <c r="S354" s="410">
        <v>1080</v>
      </c>
      <c r="T354" s="407">
        <f t="shared" si="780"/>
        <v>605133.61999999988</v>
      </c>
      <c r="U354" s="408">
        <v>81700.559999999954</v>
      </c>
      <c r="V354" s="409">
        <v>349976.38</v>
      </c>
      <c r="W354" s="409">
        <v>148951.57999999999</v>
      </c>
      <c r="X354" s="409">
        <v>17753</v>
      </c>
      <c r="Y354" s="411">
        <v>6752.0999999999995</v>
      </c>
      <c r="AA354" s="291"/>
      <c r="AB354" s="412"/>
      <c r="AC354" s="413"/>
      <c r="AD354" s="414" t="s">
        <v>33</v>
      </c>
      <c r="AE354" s="407">
        <f t="shared" si="781"/>
        <v>39844</v>
      </c>
      <c r="AF354" s="408">
        <f>$L$84</f>
        <v>0</v>
      </c>
      <c r="AG354" s="409">
        <f>$L$138</f>
        <v>0</v>
      </c>
      <c r="AH354" s="409">
        <f>$L$192</f>
        <v>0</v>
      </c>
      <c r="AI354" s="409">
        <f>$L$246</f>
        <v>0</v>
      </c>
      <c r="AJ354" s="409">
        <f>$L$300</f>
        <v>0</v>
      </c>
      <c r="AK354" s="409">
        <f>$L$354</f>
        <v>33054</v>
      </c>
      <c r="AL354" s="409">
        <f>$L$408</f>
        <v>0</v>
      </c>
      <c r="AM354" s="409">
        <f>$L$462</f>
        <v>6790</v>
      </c>
      <c r="AN354" s="409">
        <f>$L$516</f>
        <v>0</v>
      </c>
      <c r="AO354" s="409">
        <f>$L$570</f>
        <v>0</v>
      </c>
      <c r="AP354" s="409">
        <f>$L$624</f>
        <v>0</v>
      </c>
      <c r="AQ354" s="411">
        <f>$L$678</f>
        <v>0</v>
      </c>
    </row>
    <row r="355" spans="2:43" ht="7.8" customHeight="1" x14ac:dyDescent="0.25">
      <c r="B355" s="282"/>
      <c r="C355" s="404"/>
      <c r="D355" s="415"/>
      <c r="E355" s="416" t="s">
        <v>30</v>
      </c>
      <c r="F355" s="417">
        <f t="shared" si="674"/>
        <v>159.04270607673948</v>
      </c>
      <c r="G355" s="417">
        <f t="shared" si="674"/>
        <v>155.66216216216216</v>
      </c>
      <c r="H355" s="417">
        <f t="shared" si="674"/>
        <v>162.21356783919597</v>
      </c>
      <c r="I355" s="418">
        <f t="shared" si="674"/>
        <v>171.50704225352112</v>
      </c>
      <c r="J355" s="419">
        <f t="shared" si="674"/>
        <v>160.18518518518519</v>
      </c>
      <c r="K355" s="419">
        <f t="shared" si="674"/>
        <v>155</v>
      </c>
      <c r="L355" s="419">
        <f t="shared" si="674"/>
        <v>161.23902439024391</v>
      </c>
      <c r="M355" s="420">
        <f t="shared" si="674"/>
        <v>0</v>
      </c>
      <c r="N355" s="417">
        <f t="shared" si="674"/>
        <v>161.63478260869564</v>
      </c>
      <c r="O355" s="418">
        <f t="shared" si="674"/>
        <v>164.05498281786942</v>
      </c>
      <c r="P355" s="419">
        <f t="shared" si="674"/>
        <v>157.60736196319019</v>
      </c>
      <c r="Q355" s="419">
        <f t="shared" si="674"/>
        <v>160.2608695652174</v>
      </c>
      <c r="R355" s="419">
        <f t="shared" si="674"/>
        <v>0</v>
      </c>
      <c r="S355" s="420">
        <f t="shared" si="674"/>
        <v>180</v>
      </c>
      <c r="T355" s="417">
        <f t="shared" si="674"/>
        <v>158.91113970588233</v>
      </c>
      <c r="U355" s="418">
        <f t="shared" si="674"/>
        <v>207.88946564885484</v>
      </c>
      <c r="V355" s="419">
        <f t="shared" si="674"/>
        <v>147.42054759898906</v>
      </c>
      <c r="W355" s="419">
        <f t="shared" si="674"/>
        <v>167.92737316798195</v>
      </c>
      <c r="X355" s="419">
        <f t="shared" si="674"/>
        <v>158.50892857142858</v>
      </c>
      <c r="Y355" s="421">
        <f t="shared" si="674"/>
        <v>160.76428571428571</v>
      </c>
      <c r="AA355" s="291"/>
      <c r="AB355" s="412"/>
      <c r="AC355" s="422"/>
      <c r="AD355" s="423" t="s">
        <v>30</v>
      </c>
      <c r="AE355" s="417">
        <f t="shared" ref="AE355:AQ355" si="782">IFERROR(AE354/AE353,0)</f>
        <v>162.62857142857143</v>
      </c>
      <c r="AF355" s="418">
        <f t="shared" si="782"/>
        <v>0</v>
      </c>
      <c r="AG355" s="419">
        <f t="shared" si="782"/>
        <v>0</v>
      </c>
      <c r="AH355" s="419">
        <f t="shared" si="782"/>
        <v>0</v>
      </c>
      <c r="AI355" s="419">
        <f t="shared" si="782"/>
        <v>0</v>
      </c>
      <c r="AJ355" s="419">
        <f t="shared" si="782"/>
        <v>0</v>
      </c>
      <c r="AK355" s="419">
        <f t="shared" si="782"/>
        <v>161.23902439024391</v>
      </c>
      <c r="AL355" s="419">
        <f t="shared" si="782"/>
        <v>0</v>
      </c>
      <c r="AM355" s="419">
        <f t="shared" si="782"/>
        <v>169.75</v>
      </c>
      <c r="AN355" s="419">
        <f t="shared" si="782"/>
        <v>0</v>
      </c>
      <c r="AO355" s="419">
        <f t="shared" si="782"/>
        <v>0</v>
      </c>
      <c r="AP355" s="419">
        <f t="shared" si="782"/>
        <v>0</v>
      </c>
      <c r="AQ355" s="421">
        <f t="shared" si="782"/>
        <v>0</v>
      </c>
    </row>
    <row r="356" spans="2:43" ht="7.8" customHeight="1" x14ac:dyDescent="0.25">
      <c r="B356" s="282"/>
      <c r="C356" s="404"/>
      <c r="D356" s="433" t="s">
        <v>42</v>
      </c>
      <c r="E356" s="434" t="s">
        <v>32</v>
      </c>
      <c r="F356" s="435">
        <f t="shared" ref="F356:F357" si="783">SUM(G356,H356,N356,T356)</f>
        <v>5416</v>
      </c>
      <c r="G356" s="435">
        <v>0</v>
      </c>
      <c r="H356" s="435">
        <v>380</v>
      </c>
      <c r="I356" s="436">
        <v>50</v>
      </c>
      <c r="J356" s="437">
        <v>60</v>
      </c>
      <c r="K356" s="437">
        <v>30</v>
      </c>
      <c r="L356" s="437">
        <v>240</v>
      </c>
      <c r="M356" s="438">
        <v>0</v>
      </c>
      <c r="N356" s="435">
        <f t="shared" ref="N356:N357" si="784">SUM(O356:S356)</f>
        <v>650</v>
      </c>
      <c r="O356" s="436">
        <v>290</v>
      </c>
      <c r="P356" s="437">
        <v>300</v>
      </c>
      <c r="Q356" s="437">
        <v>60</v>
      </c>
      <c r="R356" s="437">
        <v>0</v>
      </c>
      <c r="S356" s="438">
        <v>0</v>
      </c>
      <c r="T356" s="435">
        <f t="shared" ref="T356:T357" si="785">SUM(U356:Y356)</f>
        <v>4386</v>
      </c>
      <c r="U356" s="436">
        <v>482</v>
      </c>
      <c r="V356" s="437">
        <v>2291</v>
      </c>
      <c r="W356" s="437">
        <v>1330</v>
      </c>
      <c r="X356" s="437">
        <v>59</v>
      </c>
      <c r="Y356" s="439">
        <v>224</v>
      </c>
      <c r="AA356" s="291"/>
      <c r="AB356" s="412"/>
      <c r="AC356" s="440" t="s">
        <v>42</v>
      </c>
      <c r="AD356" s="441" t="s">
        <v>32</v>
      </c>
      <c r="AE356" s="442">
        <f t="shared" ref="AE356:AE357" si="786">SUM(AF356:AQ356)</f>
        <v>570</v>
      </c>
      <c r="AF356" s="443">
        <f>$L$86</f>
        <v>80</v>
      </c>
      <c r="AG356" s="444">
        <f>$L$140</f>
        <v>0</v>
      </c>
      <c r="AH356" s="444">
        <f>$L$194</f>
        <v>50</v>
      </c>
      <c r="AI356" s="444">
        <f>$L$248</f>
        <v>0</v>
      </c>
      <c r="AJ356" s="444">
        <f>$L$302</f>
        <v>0</v>
      </c>
      <c r="AK356" s="444">
        <f>$L$356</f>
        <v>240</v>
      </c>
      <c r="AL356" s="444">
        <f>$L$410</f>
        <v>0</v>
      </c>
      <c r="AM356" s="444">
        <f>$L$464</f>
        <v>40</v>
      </c>
      <c r="AN356" s="444">
        <f>$L$518</f>
        <v>50</v>
      </c>
      <c r="AO356" s="444">
        <f>$L$572</f>
        <v>60</v>
      </c>
      <c r="AP356" s="444">
        <f>$L$626</f>
        <v>0</v>
      </c>
      <c r="AQ356" s="445">
        <f>$L$680</f>
        <v>50</v>
      </c>
    </row>
    <row r="357" spans="2:43" s="41" customFormat="1" ht="7.8" customHeight="1" x14ac:dyDescent="0.25">
      <c r="B357" s="282"/>
      <c r="C357" s="404"/>
      <c r="D357" s="446"/>
      <c r="E357" s="447" t="s">
        <v>33</v>
      </c>
      <c r="F357" s="448">
        <f t="shared" si="783"/>
        <v>921824</v>
      </c>
      <c r="G357" s="448">
        <v>0</v>
      </c>
      <c r="H357" s="448">
        <v>61900</v>
      </c>
      <c r="I357" s="449">
        <v>8500</v>
      </c>
      <c r="J357" s="450">
        <v>9720</v>
      </c>
      <c r="K357" s="450">
        <v>4800</v>
      </c>
      <c r="L357" s="450">
        <v>38880</v>
      </c>
      <c r="M357" s="451">
        <v>0</v>
      </c>
      <c r="N357" s="448">
        <f t="shared" si="784"/>
        <v>103950</v>
      </c>
      <c r="O357" s="449">
        <v>47850</v>
      </c>
      <c r="P357" s="450">
        <v>46500</v>
      </c>
      <c r="Q357" s="450">
        <v>9600</v>
      </c>
      <c r="R357" s="450">
        <v>0</v>
      </c>
      <c r="S357" s="451">
        <v>0</v>
      </c>
      <c r="T357" s="448">
        <f t="shared" si="785"/>
        <v>755974</v>
      </c>
      <c r="U357" s="449">
        <v>89170</v>
      </c>
      <c r="V357" s="450">
        <v>396343</v>
      </c>
      <c r="W357" s="450">
        <v>219450</v>
      </c>
      <c r="X357" s="450">
        <v>10915</v>
      </c>
      <c r="Y357" s="452">
        <v>40096</v>
      </c>
      <c r="AA357" s="291"/>
      <c r="AB357" s="412"/>
      <c r="AC357" s="453"/>
      <c r="AD357" s="454" t="s">
        <v>33</v>
      </c>
      <c r="AE357" s="455">
        <f t="shared" si="786"/>
        <v>91200</v>
      </c>
      <c r="AF357" s="456">
        <f>$L$87</f>
        <v>14000</v>
      </c>
      <c r="AG357" s="457">
        <f>$L$141</f>
        <v>0</v>
      </c>
      <c r="AH357" s="457">
        <f>$L$195</f>
        <v>8000</v>
      </c>
      <c r="AI357" s="457">
        <f>$L$249</f>
        <v>0</v>
      </c>
      <c r="AJ357" s="457">
        <f>$L$303</f>
        <v>0</v>
      </c>
      <c r="AK357" s="457">
        <f>$L$357</f>
        <v>38880</v>
      </c>
      <c r="AL357" s="457">
        <f>$L$411</f>
        <v>0</v>
      </c>
      <c r="AM357" s="457">
        <f>$L$465</f>
        <v>6800</v>
      </c>
      <c r="AN357" s="457">
        <f>$L$519</f>
        <v>7500</v>
      </c>
      <c r="AO357" s="457">
        <f>$L$573</f>
        <v>8520</v>
      </c>
      <c r="AP357" s="457">
        <f>$L$627</f>
        <v>0</v>
      </c>
      <c r="AQ357" s="458">
        <f>$L$681</f>
        <v>7500</v>
      </c>
    </row>
    <row r="358" spans="2:43" ht="7.8" customHeight="1" x14ac:dyDescent="0.25">
      <c r="B358" s="282"/>
      <c r="C358" s="404"/>
      <c r="D358" s="459"/>
      <c r="E358" s="460" t="s">
        <v>30</v>
      </c>
      <c r="F358" s="461">
        <f t="shared" si="680"/>
        <v>170.20384047267356</v>
      </c>
      <c r="G358" s="461">
        <f t="shared" si="680"/>
        <v>0</v>
      </c>
      <c r="H358" s="461">
        <f t="shared" si="680"/>
        <v>162.89473684210526</v>
      </c>
      <c r="I358" s="462">
        <f t="shared" si="680"/>
        <v>170</v>
      </c>
      <c r="J358" s="463">
        <f t="shared" si="680"/>
        <v>162</v>
      </c>
      <c r="K358" s="463">
        <f t="shared" si="680"/>
        <v>160</v>
      </c>
      <c r="L358" s="463">
        <f t="shared" si="680"/>
        <v>162</v>
      </c>
      <c r="M358" s="464"/>
      <c r="N358" s="461">
        <f t="shared" si="681"/>
        <v>159.92307692307693</v>
      </c>
      <c r="O358" s="462">
        <f t="shared" si="681"/>
        <v>165</v>
      </c>
      <c r="P358" s="463">
        <f t="shared" si="681"/>
        <v>155</v>
      </c>
      <c r="Q358" s="463">
        <f t="shared" si="681"/>
        <v>160</v>
      </c>
      <c r="R358" s="463">
        <f t="shared" si="681"/>
        <v>0</v>
      </c>
      <c r="S358" s="464">
        <f t="shared" si="681"/>
        <v>0</v>
      </c>
      <c r="T358" s="461">
        <f t="shared" si="681"/>
        <v>172.36069311445507</v>
      </c>
      <c r="U358" s="462">
        <f t="shared" si="681"/>
        <v>185</v>
      </c>
      <c r="V358" s="463">
        <f t="shared" si="681"/>
        <v>173</v>
      </c>
      <c r="W358" s="463">
        <f t="shared" si="681"/>
        <v>165</v>
      </c>
      <c r="X358" s="463">
        <f t="shared" si="681"/>
        <v>185</v>
      </c>
      <c r="Y358" s="465">
        <f t="shared" si="681"/>
        <v>179</v>
      </c>
      <c r="AA358" s="291"/>
      <c r="AB358" s="412"/>
      <c r="AC358" s="466"/>
      <c r="AD358" s="467" t="s">
        <v>30</v>
      </c>
      <c r="AE358" s="468">
        <f t="shared" ref="AE358:AQ358" si="787">IFERROR(AE357/AE356,0)</f>
        <v>160</v>
      </c>
      <c r="AF358" s="469">
        <f t="shared" si="787"/>
        <v>175</v>
      </c>
      <c r="AG358" s="470">
        <f t="shared" si="787"/>
        <v>0</v>
      </c>
      <c r="AH358" s="470">
        <f t="shared" si="787"/>
        <v>160</v>
      </c>
      <c r="AI358" s="470">
        <f t="shared" si="787"/>
        <v>0</v>
      </c>
      <c r="AJ358" s="470">
        <f t="shared" si="787"/>
        <v>0</v>
      </c>
      <c r="AK358" s="470">
        <f t="shared" si="787"/>
        <v>162</v>
      </c>
      <c r="AL358" s="470">
        <f t="shared" si="787"/>
        <v>0</v>
      </c>
      <c r="AM358" s="470">
        <f t="shared" si="787"/>
        <v>170</v>
      </c>
      <c r="AN358" s="470">
        <f t="shared" si="787"/>
        <v>150</v>
      </c>
      <c r="AO358" s="470">
        <f t="shared" si="787"/>
        <v>142</v>
      </c>
      <c r="AP358" s="470">
        <f t="shared" si="787"/>
        <v>0</v>
      </c>
      <c r="AQ358" s="471">
        <f t="shared" si="787"/>
        <v>150</v>
      </c>
    </row>
    <row r="359" spans="2:43" ht="7.8" customHeight="1" x14ac:dyDescent="0.25">
      <c r="B359" s="282"/>
      <c r="C359" s="404"/>
      <c r="D359" s="472" t="s">
        <v>43</v>
      </c>
      <c r="E359" s="425" t="s">
        <v>32</v>
      </c>
      <c r="F359" s="426">
        <f t="shared" ref="F359:Y361" si="788">F356-F353</f>
        <v>-31</v>
      </c>
      <c r="G359" s="426">
        <f t="shared" si="788"/>
        <v>-666</v>
      </c>
      <c r="H359" s="426">
        <f t="shared" si="788"/>
        <v>-18</v>
      </c>
      <c r="I359" s="427">
        <f t="shared" si="788"/>
        <v>-21</v>
      </c>
      <c r="J359" s="428">
        <f t="shared" si="788"/>
        <v>-21</v>
      </c>
      <c r="K359" s="428">
        <f t="shared" si="788"/>
        <v>-11</v>
      </c>
      <c r="L359" s="428">
        <f t="shared" si="788"/>
        <v>35</v>
      </c>
      <c r="M359" s="429">
        <f t="shared" si="788"/>
        <v>0</v>
      </c>
      <c r="N359" s="426">
        <f t="shared" si="788"/>
        <v>75</v>
      </c>
      <c r="O359" s="427">
        <f t="shared" si="788"/>
        <v>-1</v>
      </c>
      <c r="P359" s="428">
        <f t="shared" si="788"/>
        <v>137</v>
      </c>
      <c r="Q359" s="428">
        <f t="shared" si="788"/>
        <v>-55</v>
      </c>
      <c r="R359" s="428">
        <f t="shared" si="788"/>
        <v>0</v>
      </c>
      <c r="S359" s="429">
        <f t="shared" si="788"/>
        <v>-6</v>
      </c>
      <c r="T359" s="426">
        <f t="shared" si="788"/>
        <v>578</v>
      </c>
      <c r="U359" s="427">
        <f t="shared" si="788"/>
        <v>89</v>
      </c>
      <c r="V359" s="428">
        <f t="shared" si="788"/>
        <v>-83</v>
      </c>
      <c r="W359" s="428">
        <f t="shared" si="788"/>
        <v>443</v>
      </c>
      <c r="X359" s="428">
        <f t="shared" si="788"/>
        <v>-53</v>
      </c>
      <c r="Y359" s="430">
        <f t="shared" si="788"/>
        <v>182</v>
      </c>
      <c r="AA359" s="291"/>
      <c r="AB359" s="412"/>
      <c r="AC359" s="473" t="s">
        <v>43</v>
      </c>
      <c r="AD359" s="432" t="s">
        <v>32</v>
      </c>
      <c r="AE359" s="426">
        <f t="shared" ref="AE359:AQ361" si="789">AE356-AE353</f>
        <v>325</v>
      </c>
      <c r="AF359" s="427">
        <f t="shared" si="789"/>
        <v>80</v>
      </c>
      <c r="AG359" s="428">
        <f t="shared" si="789"/>
        <v>0</v>
      </c>
      <c r="AH359" s="428">
        <f t="shared" si="789"/>
        <v>50</v>
      </c>
      <c r="AI359" s="428">
        <f t="shared" si="789"/>
        <v>0</v>
      </c>
      <c r="AJ359" s="428">
        <f t="shared" si="789"/>
        <v>0</v>
      </c>
      <c r="AK359" s="428">
        <f t="shared" si="789"/>
        <v>35</v>
      </c>
      <c r="AL359" s="428">
        <f t="shared" si="789"/>
        <v>0</v>
      </c>
      <c r="AM359" s="428">
        <f t="shared" si="789"/>
        <v>0</v>
      </c>
      <c r="AN359" s="428">
        <f t="shared" si="789"/>
        <v>50</v>
      </c>
      <c r="AO359" s="428">
        <f t="shared" si="789"/>
        <v>60</v>
      </c>
      <c r="AP359" s="428">
        <f t="shared" si="789"/>
        <v>0</v>
      </c>
      <c r="AQ359" s="430">
        <f t="shared" si="789"/>
        <v>50</v>
      </c>
    </row>
    <row r="360" spans="2:43" s="366" customFormat="1" ht="7.8" customHeight="1" x14ac:dyDescent="0.25">
      <c r="B360" s="282"/>
      <c r="C360" s="404"/>
      <c r="D360" s="405"/>
      <c r="E360" s="474" t="s">
        <v>33</v>
      </c>
      <c r="F360" s="407">
        <f t="shared" si="788"/>
        <v>55518.380000000121</v>
      </c>
      <c r="G360" s="407">
        <f t="shared" si="788"/>
        <v>-103671</v>
      </c>
      <c r="H360" s="407">
        <f t="shared" si="788"/>
        <v>-2661</v>
      </c>
      <c r="I360" s="408">
        <f t="shared" si="788"/>
        <v>-3677</v>
      </c>
      <c r="J360" s="409">
        <f t="shared" si="788"/>
        <v>-3255</v>
      </c>
      <c r="K360" s="409">
        <f t="shared" si="788"/>
        <v>-1555</v>
      </c>
      <c r="L360" s="409">
        <f t="shared" si="788"/>
        <v>5826</v>
      </c>
      <c r="M360" s="410">
        <f t="shared" si="788"/>
        <v>0</v>
      </c>
      <c r="N360" s="407">
        <f t="shared" si="788"/>
        <v>11010</v>
      </c>
      <c r="O360" s="408">
        <f t="shared" si="788"/>
        <v>110</v>
      </c>
      <c r="P360" s="409">
        <f t="shared" si="788"/>
        <v>20810</v>
      </c>
      <c r="Q360" s="409">
        <f t="shared" si="788"/>
        <v>-8830</v>
      </c>
      <c r="R360" s="409">
        <f t="shared" si="788"/>
        <v>0</v>
      </c>
      <c r="S360" s="410">
        <f t="shared" si="788"/>
        <v>-1080</v>
      </c>
      <c r="T360" s="407">
        <f t="shared" si="788"/>
        <v>150840.38000000012</v>
      </c>
      <c r="U360" s="408">
        <f t="shared" si="788"/>
        <v>7469.440000000046</v>
      </c>
      <c r="V360" s="409">
        <f t="shared" si="788"/>
        <v>46366.619999999995</v>
      </c>
      <c r="W360" s="409">
        <f t="shared" si="788"/>
        <v>70498.420000000013</v>
      </c>
      <c r="X360" s="409">
        <f t="shared" si="788"/>
        <v>-6838</v>
      </c>
      <c r="Y360" s="411">
        <f t="shared" si="788"/>
        <v>33343.9</v>
      </c>
      <c r="AA360" s="291"/>
      <c r="AB360" s="412"/>
      <c r="AC360" s="475"/>
      <c r="AD360" s="476" t="s">
        <v>33</v>
      </c>
      <c r="AE360" s="407">
        <f t="shared" si="789"/>
        <v>51356</v>
      </c>
      <c r="AF360" s="408">
        <f t="shared" si="789"/>
        <v>14000</v>
      </c>
      <c r="AG360" s="409">
        <f t="shared" si="789"/>
        <v>0</v>
      </c>
      <c r="AH360" s="409">
        <f t="shared" si="789"/>
        <v>8000</v>
      </c>
      <c r="AI360" s="409">
        <f t="shared" si="789"/>
        <v>0</v>
      </c>
      <c r="AJ360" s="409">
        <f t="shared" si="789"/>
        <v>0</v>
      </c>
      <c r="AK360" s="409">
        <f t="shared" si="789"/>
        <v>5826</v>
      </c>
      <c r="AL360" s="409">
        <f t="shared" si="789"/>
        <v>0</v>
      </c>
      <c r="AM360" s="409">
        <f t="shared" si="789"/>
        <v>10</v>
      </c>
      <c r="AN360" s="409">
        <f t="shared" si="789"/>
        <v>7500</v>
      </c>
      <c r="AO360" s="409">
        <f t="shared" si="789"/>
        <v>8520</v>
      </c>
      <c r="AP360" s="409">
        <f t="shared" si="789"/>
        <v>0</v>
      </c>
      <c r="AQ360" s="411">
        <f t="shared" si="789"/>
        <v>7500</v>
      </c>
    </row>
    <row r="361" spans="2:43" ht="7.8" customHeight="1" x14ac:dyDescent="0.25">
      <c r="B361" s="282"/>
      <c r="C361" s="404"/>
      <c r="D361" s="415"/>
      <c r="E361" s="416" t="s">
        <v>30</v>
      </c>
      <c r="F361" s="417">
        <f t="shared" si="788"/>
        <v>11.161134395934084</v>
      </c>
      <c r="G361" s="417">
        <f t="shared" si="788"/>
        <v>-155.66216216216216</v>
      </c>
      <c r="H361" s="417">
        <f t="shared" si="788"/>
        <v>0.68116900290928584</v>
      </c>
      <c r="I361" s="418">
        <f t="shared" si="788"/>
        <v>-1.5070422535211208</v>
      </c>
      <c r="J361" s="419">
        <f t="shared" si="788"/>
        <v>1.8148148148148096</v>
      </c>
      <c r="K361" s="419">
        <f t="shared" si="788"/>
        <v>5</v>
      </c>
      <c r="L361" s="419">
        <f t="shared" si="788"/>
        <v>0.76097560975608758</v>
      </c>
      <c r="M361" s="420">
        <f t="shared" si="788"/>
        <v>0</v>
      </c>
      <c r="N361" s="417">
        <f t="shared" si="788"/>
        <v>-1.7117056856187105</v>
      </c>
      <c r="O361" s="418">
        <f t="shared" si="788"/>
        <v>0.94501718213058439</v>
      </c>
      <c r="P361" s="419">
        <f t="shared" si="788"/>
        <v>-2.6073619631901863</v>
      </c>
      <c r="Q361" s="419">
        <f t="shared" si="788"/>
        <v>-0.2608695652174049</v>
      </c>
      <c r="R361" s="419">
        <f t="shared" si="788"/>
        <v>0</v>
      </c>
      <c r="S361" s="420">
        <f t="shared" si="788"/>
        <v>-180</v>
      </c>
      <c r="T361" s="417">
        <f t="shared" si="788"/>
        <v>13.44955340857274</v>
      </c>
      <c r="U361" s="418">
        <f t="shared" si="788"/>
        <v>-22.889465648854838</v>
      </c>
      <c r="V361" s="419">
        <f t="shared" si="788"/>
        <v>25.57945240101094</v>
      </c>
      <c r="W361" s="419">
        <f t="shared" si="788"/>
        <v>-2.9273731679819548</v>
      </c>
      <c r="X361" s="419">
        <f t="shared" si="788"/>
        <v>26.491071428571416</v>
      </c>
      <c r="Y361" s="421">
        <f t="shared" si="788"/>
        <v>18.235714285714295</v>
      </c>
      <c r="AA361" s="291"/>
      <c r="AB361" s="412"/>
      <c r="AC361" s="477"/>
      <c r="AD361" s="423" t="s">
        <v>30</v>
      </c>
      <c r="AE361" s="417">
        <f t="shared" si="789"/>
        <v>-2.6285714285714334</v>
      </c>
      <c r="AF361" s="418">
        <f t="shared" si="789"/>
        <v>175</v>
      </c>
      <c r="AG361" s="419">
        <f t="shared" si="789"/>
        <v>0</v>
      </c>
      <c r="AH361" s="419">
        <f t="shared" si="789"/>
        <v>160</v>
      </c>
      <c r="AI361" s="419">
        <f t="shared" si="789"/>
        <v>0</v>
      </c>
      <c r="AJ361" s="419">
        <f t="shared" si="789"/>
        <v>0</v>
      </c>
      <c r="AK361" s="419">
        <f t="shared" si="789"/>
        <v>0.76097560975608758</v>
      </c>
      <c r="AL361" s="419">
        <f t="shared" si="789"/>
        <v>0</v>
      </c>
      <c r="AM361" s="419">
        <f t="shared" si="789"/>
        <v>0.25</v>
      </c>
      <c r="AN361" s="419">
        <f t="shared" si="789"/>
        <v>150</v>
      </c>
      <c r="AO361" s="419">
        <f t="shared" si="789"/>
        <v>142</v>
      </c>
      <c r="AP361" s="419">
        <f t="shared" si="789"/>
        <v>0</v>
      </c>
      <c r="AQ361" s="421">
        <f t="shared" si="789"/>
        <v>150</v>
      </c>
    </row>
    <row r="362" spans="2:43" ht="7.8" customHeight="1" x14ac:dyDescent="0.25">
      <c r="B362" s="282"/>
      <c r="C362" s="404"/>
      <c r="D362" s="472" t="s">
        <v>44</v>
      </c>
      <c r="E362" s="425" t="s">
        <v>32</v>
      </c>
      <c r="F362" s="478">
        <f t="shared" ref="F362:Y364" si="790">IFERROR((F356-F353)/ABS(F353),"")</f>
        <v>-5.6912061685331378E-3</v>
      </c>
      <c r="G362" s="478">
        <f t="shared" si="790"/>
        <v>-1</v>
      </c>
      <c r="H362" s="478">
        <f t="shared" si="790"/>
        <v>-4.5226130653266333E-2</v>
      </c>
      <c r="I362" s="479">
        <f t="shared" si="790"/>
        <v>-0.29577464788732394</v>
      </c>
      <c r="J362" s="480">
        <f t="shared" si="790"/>
        <v>-0.25925925925925924</v>
      </c>
      <c r="K362" s="480">
        <f t="shared" si="790"/>
        <v>-0.26829268292682928</v>
      </c>
      <c r="L362" s="480">
        <f t="shared" si="790"/>
        <v>0.17073170731707318</v>
      </c>
      <c r="M362" s="481" t="str">
        <f t="shared" si="790"/>
        <v/>
      </c>
      <c r="N362" s="478">
        <f t="shared" si="790"/>
        <v>0.13043478260869565</v>
      </c>
      <c r="O362" s="479">
        <f t="shared" si="790"/>
        <v>-3.4364261168384879E-3</v>
      </c>
      <c r="P362" s="480">
        <f t="shared" si="790"/>
        <v>0.8404907975460123</v>
      </c>
      <c r="Q362" s="480">
        <f t="shared" si="790"/>
        <v>-0.47826086956521741</v>
      </c>
      <c r="R362" s="480" t="str">
        <f t="shared" si="790"/>
        <v/>
      </c>
      <c r="S362" s="481">
        <f t="shared" si="790"/>
        <v>-1</v>
      </c>
      <c r="T362" s="478">
        <f t="shared" si="790"/>
        <v>0.15178571428571427</v>
      </c>
      <c r="U362" s="479">
        <f t="shared" si="790"/>
        <v>0.22646310432569974</v>
      </c>
      <c r="V362" s="480">
        <f t="shared" si="790"/>
        <v>-3.4962089300758212E-2</v>
      </c>
      <c r="W362" s="480">
        <f t="shared" si="790"/>
        <v>0.49943630214205187</v>
      </c>
      <c r="X362" s="480">
        <f t="shared" si="790"/>
        <v>-0.4732142857142857</v>
      </c>
      <c r="Y362" s="482">
        <f t="shared" si="790"/>
        <v>4.333333333333333</v>
      </c>
      <c r="AA362" s="291"/>
      <c r="AB362" s="412"/>
      <c r="AC362" s="473" t="s">
        <v>44</v>
      </c>
      <c r="AD362" s="432" t="s">
        <v>32</v>
      </c>
      <c r="AE362" s="478">
        <f t="shared" ref="AE362:AQ364" si="791">IFERROR((AE356-AE353)/ABS(AE353),"")</f>
        <v>1.3265306122448979</v>
      </c>
      <c r="AF362" s="479" t="str">
        <f t="shared" si="791"/>
        <v/>
      </c>
      <c r="AG362" s="480" t="str">
        <f t="shared" si="791"/>
        <v/>
      </c>
      <c r="AH362" s="480" t="str">
        <f t="shared" si="791"/>
        <v/>
      </c>
      <c r="AI362" s="480" t="str">
        <f t="shared" si="791"/>
        <v/>
      </c>
      <c r="AJ362" s="480" t="str">
        <f t="shared" si="791"/>
        <v/>
      </c>
      <c r="AK362" s="480">
        <f t="shared" si="791"/>
        <v>0.17073170731707318</v>
      </c>
      <c r="AL362" s="480" t="str">
        <f t="shared" si="791"/>
        <v/>
      </c>
      <c r="AM362" s="480">
        <f t="shared" si="791"/>
        <v>0</v>
      </c>
      <c r="AN362" s="480" t="str">
        <f t="shared" si="791"/>
        <v/>
      </c>
      <c r="AO362" s="480" t="str">
        <f t="shared" si="791"/>
        <v/>
      </c>
      <c r="AP362" s="480" t="str">
        <f t="shared" si="791"/>
        <v/>
      </c>
      <c r="AQ362" s="482" t="str">
        <f t="shared" si="791"/>
        <v/>
      </c>
    </row>
    <row r="363" spans="2:43" ht="7.8" customHeight="1" x14ac:dyDescent="0.25">
      <c r="B363" s="282"/>
      <c r="C363" s="404"/>
      <c r="D363" s="405"/>
      <c r="E363" s="483" t="s">
        <v>33</v>
      </c>
      <c r="F363" s="484">
        <f t="shared" si="790"/>
        <v>6.408636711833883E-2</v>
      </c>
      <c r="G363" s="484">
        <f t="shared" si="790"/>
        <v>-1</v>
      </c>
      <c r="H363" s="484">
        <f t="shared" si="790"/>
        <v>-4.1216833692167096E-2</v>
      </c>
      <c r="I363" s="485">
        <f t="shared" si="790"/>
        <v>-0.30196271659686291</v>
      </c>
      <c r="J363" s="486">
        <f t="shared" si="790"/>
        <v>-0.25086705202312137</v>
      </c>
      <c r="K363" s="486">
        <f t="shared" si="790"/>
        <v>-0.24468922108575925</v>
      </c>
      <c r="L363" s="486">
        <f t="shared" si="790"/>
        <v>0.17625703394445452</v>
      </c>
      <c r="M363" s="487" t="str">
        <f t="shared" si="790"/>
        <v/>
      </c>
      <c r="N363" s="484">
        <f t="shared" si="790"/>
        <v>0.118463524854745</v>
      </c>
      <c r="O363" s="485">
        <f t="shared" si="790"/>
        <v>2.304147465437788E-3</v>
      </c>
      <c r="P363" s="486">
        <f t="shared" si="790"/>
        <v>0.81004281821720514</v>
      </c>
      <c r="Q363" s="486">
        <f t="shared" si="790"/>
        <v>-0.47911014650027128</v>
      </c>
      <c r="R363" s="486" t="str">
        <f t="shared" si="790"/>
        <v/>
      </c>
      <c r="S363" s="487">
        <f t="shared" si="790"/>
        <v>-1</v>
      </c>
      <c r="T363" s="484">
        <f t="shared" si="790"/>
        <v>0.24926788896640736</v>
      </c>
      <c r="U363" s="485">
        <f t="shared" si="790"/>
        <v>9.1424587542607419E-2</v>
      </c>
      <c r="V363" s="486">
        <f t="shared" si="790"/>
        <v>0.13248499798757846</v>
      </c>
      <c r="W363" s="486">
        <f t="shared" si="790"/>
        <v>0.47329756421516322</v>
      </c>
      <c r="X363" s="486">
        <f t="shared" si="790"/>
        <v>-0.38517433673182</v>
      </c>
      <c r="Y363" s="488">
        <f t="shared" si="790"/>
        <v>4.9383006768264694</v>
      </c>
      <c r="AA363" s="291"/>
      <c r="AB363" s="412"/>
      <c r="AC363" s="475"/>
      <c r="AD363" s="489" t="s">
        <v>33</v>
      </c>
      <c r="AE363" s="484">
        <f t="shared" si="791"/>
        <v>1.2889268145768498</v>
      </c>
      <c r="AF363" s="485" t="str">
        <f t="shared" si="791"/>
        <v/>
      </c>
      <c r="AG363" s="486" t="str">
        <f t="shared" si="791"/>
        <v/>
      </c>
      <c r="AH363" s="486" t="str">
        <f t="shared" si="791"/>
        <v/>
      </c>
      <c r="AI363" s="486" t="str">
        <f t="shared" si="791"/>
        <v/>
      </c>
      <c r="AJ363" s="486" t="str">
        <f t="shared" si="791"/>
        <v/>
      </c>
      <c r="AK363" s="486">
        <f t="shared" si="791"/>
        <v>0.17625703394445452</v>
      </c>
      <c r="AL363" s="486" t="str">
        <f t="shared" si="791"/>
        <v/>
      </c>
      <c r="AM363" s="486">
        <f t="shared" si="791"/>
        <v>1.4727540500736377E-3</v>
      </c>
      <c r="AN363" s="486" t="str">
        <f t="shared" si="791"/>
        <v/>
      </c>
      <c r="AO363" s="486" t="str">
        <f t="shared" si="791"/>
        <v/>
      </c>
      <c r="AP363" s="486" t="str">
        <f t="shared" si="791"/>
        <v/>
      </c>
      <c r="AQ363" s="488" t="str">
        <f t="shared" si="791"/>
        <v/>
      </c>
    </row>
    <row r="364" spans="2:43" ht="7.8" customHeight="1" x14ac:dyDescent="0.25">
      <c r="B364" s="282"/>
      <c r="C364" s="490"/>
      <c r="D364" s="405"/>
      <c r="E364" s="483" t="s">
        <v>30</v>
      </c>
      <c r="F364" s="484">
        <f t="shared" si="790"/>
        <v>7.0176964862184499E-2</v>
      </c>
      <c r="G364" s="484">
        <f t="shared" si="790"/>
        <v>-1</v>
      </c>
      <c r="H364" s="484">
        <f t="shared" si="790"/>
        <v>4.1992110276776349E-3</v>
      </c>
      <c r="I364" s="485">
        <f t="shared" si="790"/>
        <v>-8.787057567545338E-3</v>
      </c>
      <c r="J364" s="486">
        <f t="shared" si="790"/>
        <v>1.1329479768786094E-2</v>
      </c>
      <c r="K364" s="486">
        <f t="shared" si="790"/>
        <v>3.2258064516129031E-2</v>
      </c>
      <c r="L364" s="486">
        <f t="shared" si="790"/>
        <v>4.7195498275548475E-3</v>
      </c>
      <c r="M364" s="487" t="str">
        <f t="shared" si="790"/>
        <v/>
      </c>
      <c r="N364" s="484">
        <f t="shared" si="790"/>
        <v>-1.058995878234085E-2</v>
      </c>
      <c r="O364" s="485">
        <f t="shared" si="790"/>
        <v>5.7603686635944711E-3</v>
      </c>
      <c r="P364" s="486">
        <f t="shared" si="790"/>
        <v>-1.6543402101985221E-2</v>
      </c>
      <c r="Q364" s="486">
        <f t="shared" si="790"/>
        <v>-1.6277807921867369E-3</v>
      </c>
      <c r="R364" s="486" t="str">
        <f t="shared" si="790"/>
        <v/>
      </c>
      <c r="S364" s="487">
        <f t="shared" si="790"/>
        <v>-1</v>
      </c>
      <c r="T364" s="484">
        <f t="shared" si="790"/>
        <v>8.4635686544477562E-2</v>
      </c>
      <c r="U364" s="485">
        <f t="shared" si="790"/>
        <v>-0.11010401887086155</v>
      </c>
      <c r="V364" s="486">
        <f t="shared" si="790"/>
        <v>0.17351348110978224</v>
      </c>
      <c r="W364" s="486">
        <f t="shared" si="790"/>
        <v>-1.7432376346729547E-2</v>
      </c>
      <c r="X364" s="486">
        <f t="shared" si="790"/>
        <v>0.16712668281417217</v>
      </c>
      <c r="Y364" s="488">
        <f t="shared" si="790"/>
        <v>0.11343137690496297</v>
      </c>
      <c r="AA364" s="291"/>
      <c r="AB364" s="412"/>
      <c r="AC364" s="475"/>
      <c r="AD364" s="489" t="s">
        <v>30</v>
      </c>
      <c r="AE364" s="484">
        <f t="shared" si="791"/>
        <v>-1.6163035839775151E-2</v>
      </c>
      <c r="AF364" s="485" t="str">
        <f t="shared" si="791"/>
        <v/>
      </c>
      <c r="AG364" s="486" t="str">
        <f t="shared" si="791"/>
        <v/>
      </c>
      <c r="AH364" s="486" t="str">
        <f t="shared" si="791"/>
        <v/>
      </c>
      <c r="AI364" s="486" t="str">
        <f t="shared" si="791"/>
        <v/>
      </c>
      <c r="AJ364" s="486" t="str">
        <f t="shared" si="791"/>
        <v/>
      </c>
      <c r="AK364" s="486">
        <f t="shared" si="791"/>
        <v>4.7195498275548475E-3</v>
      </c>
      <c r="AL364" s="486" t="str">
        <f t="shared" si="791"/>
        <v/>
      </c>
      <c r="AM364" s="486">
        <f t="shared" si="791"/>
        <v>1.4727540500736377E-3</v>
      </c>
      <c r="AN364" s="486" t="str">
        <f t="shared" si="791"/>
        <v/>
      </c>
      <c r="AO364" s="486" t="str">
        <f t="shared" si="791"/>
        <v/>
      </c>
      <c r="AP364" s="486" t="str">
        <f t="shared" si="791"/>
        <v/>
      </c>
      <c r="AQ364" s="488" t="str">
        <f t="shared" si="791"/>
        <v/>
      </c>
    </row>
    <row r="365" spans="2:43" ht="7.8" customHeight="1" x14ac:dyDescent="0.25">
      <c r="B365" s="282"/>
      <c r="C365" s="491" t="s">
        <v>49</v>
      </c>
      <c r="D365" s="492" t="s">
        <v>39</v>
      </c>
      <c r="E365" s="493" t="s">
        <v>32</v>
      </c>
      <c r="F365" s="494">
        <f t="shared" ref="F365:F366" si="792">SUM(G365,H365,N365,T365)</f>
        <v>0</v>
      </c>
      <c r="G365" s="494"/>
      <c r="H365" s="494">
        <f t="shared" ref="H365:H366" si="793">SUM(I365:M365)</f>
        <v>0</v>
      </c>
      <c r="I365" s="495"/>
      <c r="J365" s="496"/>
      <c r="K365" s="496"/>
      <c r="L365" s="496"/>
      <c r="M365" s="497"/>
      <c r="N365" s="494">
        <f t="shared" ref="N365:N366" si="794">SUM(O365:S365)</f>
        <v>0</v>
      </c>
      <c r="O365" s="495"/>
      <c r="P365" s="496"/>
      <c r="Q365" s="496"/>
      <c r="R365" s="496"/>
      <c r="S365" s="497"/>
      <c r="T365" s="494">
        <f t="shared" ref="T365:T366" si="795">SUM(U365:Y365)</f>
        <v>0</v>
      </c>
      <c r="U365" s="495"/>
      <c r="V365" s="496"/>
      <c r="W365" s="496"/>
      <c r="X365" s="496"/>
      <c r="Y365" s="498"/>
      <c r="AA365" s="291"/>
      <c r="AB365" s="499" t="s">
        <v>49</v>
      </c>
      <c r="AC365" s="500" t="s">
        <v>39</v>
      </c>
      <c r="AD365" s="501" t="s">
        <v>32</v>
      </c>
      <c r="AE365" s="494">
        <f t="shared" ref="AE365:AE366" si="796">SUM(AF365:AQ365)</f>
        <v>0</v>
      </c>
      <c r="AF365" s="495">
        <f>$L$95</f>
        <v>0</v>
      </c>
      <c r="AG365" s="496">
        <f>$L$149</f>
        <v>0</v>
      </c>
      <c r="AH365" s="496">
        <f>$L$203</f>
        <v>0</v>
      </c>
      <c r="AI365" s="496">
        <f>$L$257</f>
        <v>0</v>
      </c>
      <c r="AJ365" s="496">
        <f>$L$311</f>
        <v>0</v>
      </c>
      <c r="AK365" s="496">
        <f>$L$365</f>
        <v>0</v>
      </c>
      <c r="AL365" s="496">
        <f>$L$419</f>
        <v>0</v>
      </c>
      <c r="AM365" s="496">
        <f>$L$473</f>
        <v>0</v>
      </c>
      <c r="AN365" s="496">
        <f>$L$527</f>
        <v>0</v>
      </c>
      <c r="AO365" s="496">
        <f>$L$581</f>
        <v>0</v>
      </c>
      <c r="AP365" s="496">
        <f>$L$635</f>
        <v>0</v>
      </c>
      <c r="AQ365" s="498">
        <f>$L$689</f>
        <v>0</v>
      </c>
    </row>
    <row r="366" spans="2:43" s="41" customFormat="1" ht="7.8" customHeight="1" x14ac:dyDescent="0.25">
      <c r="B366" s="282"/>
      <c r="C366" s="404"/>
      <c r="D366" s="405"/>
      <c r="E366" s="406" t="s">
        <v>33</v>
      </c>
      <c r="F366" s="407">
        <f t="shared" si="792"/>
        <v>0</v>
      </c>
      <c r="G366" s="407"/>
      <c r="H366" s="407">
        <f t="shared" si="793"/>
        <v>0</v>
      </c>
      <c r="I366" s="408"/>
      <c r="J366" s="409"/>
      <c r="K366" s="409"/>
      <c r="L366" s="409"/>
      <c r="M366" s="410"/>
      <c r="N366" s="407">
        <f t="shared" si="794"/>
        <v>0</v>
      </c>
      <c r="O366" s="408"/>
      <c r="P366" s="409"/>
      <c r="Q366" s="409"/>
      <c r="R366" s="409"/>
      <c r="S366" s="410"/>
      <c r="T366" s="407">
        <f t="shared" si="795"/>
        <v>0</v>
      </c>
      <c r="U366" s="408"/>
      <c r="V366" s="409"/>
      <c r="W366" s="409"/>
      <c r="X366" s="409"/>
      <c r="Y366" s="411"/>
      <c r="AA366" s="291"/>
      <c r="AB366" s="412"/>
      <c r="AC366" s="413"/>
      <c r="AD366" s="414" t="s">
        <v>33</v>
      </c>
      <c r="AE366" s="407">
        <f t="shared" si="796"/>
        <v>0</v>
      </c>
      <c r="AF366" s="408">
        <f>$L$96</f>
        <v>0</v>
      </c>
      <c r="AG366" s="409">
        <f>$L$150</f>
        <v>0</v>
      </c>
      <c r="AH366" s="409">
        <f>$L$204</f>
        <v>0</v>
      </c>
      <c r="AI366" s="409">
        <f>$L$258</f>
        <v>0</v>
      </c>
      <c r="AJ366" s="409">
        <f>$L$312</f>
        <v>0</v>
      </c>
      <c r="AK366" s="409">
        <f>$L$366</f>
        <v>0</v>
      </c>
      <c r="AL366" s="409">
        <f>$L$420</f>
        <v>0</v>
      </c>
      <c r="AM366" s="409">
        <f>$L$474</f>
        <v>0</v>
      </c>
      <c r="AN366" s="409">
        <f>$L$528</f>
        <v>0</v>
      </c>
      <c r="AO366" s="409">
        <f>$L$582</f>
        <v>0</v>
      </c>
      <c r="AP366" s="409">
        <f>$L$636</f>
        <v>0</v>
      </c>
      <c r="AQ366" s="411">
        <f>$L$690</f>
        <v>0</v>
      </c>
    </row>
    <row r="367" spans="2:43" ht="7.8" customHeight="1" x14ac:dyDescent="0.25">
      <c r="B367" s="282"/>
      <c r="C367" s="404"/>
      <c r="D367" s="415"/>
      <c r="E367" s="416" t="s">
        <v>30</v>
      </c>
      <c r="F367" s="417">
        <f t="shared" si="692"/>
        <v>0</v>
      </c>
      <c r="G367" s="417">
        <f t="shared" si="692"/>
        <v>0</v>
      </c>
      <c r="H367" s="417">
        <f t="shared" si="692"/>
        <v>0</v>
      </c>
      <c r="I367" s="418">
        <f t="shared" si="692"/>
        <v>0</v>
      </c>
      <c r="J367" s="419">
        <f t="shared" si="692"/>
        <v>0</v>
      </c>
      <c r="K367" s="419">
        <f t="shared" si="692"/>
        <v>0</v>
      </c>
      <c r="L367" s="419">
        <f t="shared" si="692"/>
        <v>0</v>
      </c>
      <c r="M367" s="420">
        <f t="shared" si="692"/>
        <v>0</v>
      </c>
      <c r="N367" s="417">
        <f t="shared" si="692"/>
        <v>0</v>
      </c>
      <c r="O367" s="418">
        <f t="shared" si="692"/>
        <v>0</v>
      </c>
      <c r="P367" s="419">
        <f t="shared" si="692"/>
        <v>0</v>
      </c>
      <c r="Q367" s="419">
        <f t="shared" si="692"/>
        <v>0</v>
      </c>
      <c r="R367" s="419">
        <f t="shared" si="692"/>
        <v>0</v>
      </c>
      <c r="S367" s="420">
        <f t="shared" si="692"/>
        <v>0</v>
      </c>
      <c r="T367" s="417">
        <f t="shared" si="692"/>
        <v>0</v>
      </c>
      <c r="U367" s="418">
        <f t="shared" si="692"/>
        <v>0</v>
      </c>
      <c r="V367" s="419">
        <f t="shared" si="692"/>
        <v>0</v>
      </c>
      <c r="W367" s="419">
        <f t="shared" si="692"/>
        <v>0</v>
      </c>
      <c r="X367" s="419">
        <f t="shared" si="692"/>
        <v>0</v>
      </c>
      <c r="Y367" s="421">
        <f t="shared" si="692"/>
        <v>0</v>
      </c>
      <c r="AA367" s="291"/>
      <c r="AB367" s="412"/>
      <c r="AC367" s="422"/>
      <c r="AD367" s="423" t="s">
        <v>30</v>
      </c>
      <c r="AE367" s="417">
        <f t="shared" ref="AE367:AQ367" si="797">IFERROR(AE366/AE365,0)</f>
        <v>0</v>
      </c>
      <c r="AF367" s="418">
        <f t="shared" si="797"/>
        <v>0</v>
      </c>
      <c r="AG367" s="419">
        <f t="shared" si="797"/>
        <v>0</v>
      </c>
      <c r="AH367" s="419">
        <f t="shared" si="797"/>
        <v>0</v>
      </c>
      <c r="AI367" s="419">
        <f t="shared" si="797"/>
        <v>0</v>
      </c>
      <c r="AJ367" s="419">
        <f t="shared" si="797"/>
        <v>0</v>
      </c>
      <c r="AK367" s="419">
        <f t="shared" si="797"/>
        <v>0</v>
      </c>
      <c r="AL367" s="419">
        <f t="shared" si="797"/>
        <v>0</v>
      </c>
      <c r="AM367" s="419">
        <f t="shared" si="797"/>
        <v>0</v>
      </c>
      <c r="AN367" s="419">
        <f t="shared" si="797"/>
        <v>0</v>
      </c>
      <c r="AO367" s="419">
        <f t="shared" si="797"/>
        <v>0</v>
      </c>
      <c r="AP367" s="419">
        <f t="shared" si="797"/>
        <v>0</v>
      </c>
      <c r="AQ367" s="421">
        <f t="shared" si="797"/>
        <v>0</v>
      </c>
    </row>
    <row r="368" spans="2:43" ht="7.8" customHeight="1" x14ac:dyDescent="0.25">
      <c r="B368" s="282"/>
      <c r="C368" s="404"/>
      <c r="D368" s="424" t="s">
        <v>40</v>
      </c>
      <c r="E368" s="425" t="s">
        <v>32</v>
      </c>
      <c r="F368" s="426">
        <f t="shared" ref="F368:F369" si="798">SUM(G368,H368,N368,T368)</f>
        <v>2314</v>
      </c>
      <c r="G368" s="426">
        <v>305</v>
      </c>
      <c r="H368" s="426">
        <f t="shared" ref="H368:H369" si="799">SUM(I368:M368)</f>
        <v>179</v>
      </c>
      <c r="I368" s="427">
        <v>0</v>
      </c>
      <c r="J368" s="428">
        <v>52</v>
      </c>
      <c r="K368" s="428">
        <v>17</v>
      </c>
      <c r="L368" s="428">
        <v>0</v>
      </c>
      <c r="M368" s="429">
        <v>110</v>
      </c>
      <c r="N368" s="426">
        <f t="shared" ref="N368:N369" si="800">SUM(O368:S368)</f>
        <v>421</v>
      </c>
      <c r="O368" s="427">
        <v>143</v>
      </c>
      <c r="P368" s="428">
        <v>236</v>
      </c>
      <c r="Q368" s="428">
        <v>42</v>
      </c>
      <c r="R368" s="428">
        <v>0</v>
      </c>
      <c r="S368" s="429">
        <v>0</v>
      </c>
      <c r="T368" s="426">
        <f t="shared" ref="T368:T369" si="801">SUM(U368:Y368)</f>
        <v>1409</v>
      </c>
      <c r="U368" s="427">
        <v>149</v>
      </c>
      <c r="V368" s="428">
        <v>511</v>
      </c>
      <c r="W368" s="428">
        <v>623</v>
      </c>
      <c r="X368" s="428">
        <v>39</v>
      </c>
      <c r="Y368" s="430">
        <v>87</v>
      </c>
      <c r="AA368" s="291"/>
      <c r="AB368" s="412"/>
      <c r="AC368" s="431" t="s">
        <v>40</v>
      </c>
      <c r="AD368" s="432" t="s">
        <v>32</v>
      </c>
      <c r="AE368" s="426">
        <f t="shared" ref="AE368:AE369" si="802">SUM(AF368:AQ368)</f>
        <v>0</v>
      </c>
      <c r="AF368" s="427">
        <f>$L$98</f>
        <v>0</v>
      </c>
      <c r="AG368" s="428">
        <f>$L$152</f>
        <v>0</v>
      </c>
      <c r="AH368" s="428">
        <f>$L$206</f>
        <v>0</v>
      </c>
      <c r="AI368" s="428">
        <f>$L$260</f>
        <v>0</v>
      </c>
      <c r="AJ368" s="428">
        <f>$L$314</f>
        <v>0</v>
      </c>
      <c r="AK368" s="428">
        <f>$L$368</f>
        <v>0</v>
      </c>
      <c r="AL368" s="428">
        <f>$L$422</f>
        <v>0</v>
      </c>
      <c r="AM368" s="428">
        <f>$L$476</f>
        <v>0</v>
      </c>
      <c r="AN368" s="428">
        <f>$L$530</f>
        <v>0</v>
      </c>
      <c r="AO368" s="428">
        <f>$L$584</f>
        <v>0</v>
      </c>
      <c r="AP368" s="428">
        <f>$L$638</f>
        <v>0</v>
      </c>
      <c r="AQ368" s="430">
        <f>$L$692</f>
        <v>0</v>
      </c>
    </row>
    <row r="369" spans="2:43" s="41" customFormat="1" ht="7.8" customHeight="1" x14ac:dyDescent="0.25">
      <c r="B369" s="282"/>
      <c r="C369" s="404"/>
      <c r="D369" s="405"/>
      <c r="E369" s="406" t="s">
        <v>33</v>
      </c>
      <c r="F369" s="407">
        <f t="shared" si="798"/>
        <v>408965.56</v>
      </c>
      <c r="G369" s="407">
        <v>47670</v>
      </c>
      <c r="H369" s="407">
        <f t="shared" si="799"/>
        <v>30063</v>
      </c>
      <c r="I369" s="408">
        <v>0</v>
      </c>
      <c r="J369" s="409">
        <v>8478</v>
      </c>
      <c r="K369" s="409">
        <v>3145</v>
      </c>
      <c r="L369" s="409">
        <v>0</v>
      </c>
      <c r="M369" s="410">
        <v>18440</v>
      </c>
      <c r="N369" s="407">
        <f t="shared" si="800"/>
        <v>65614</v>
      </c>
      <c r="O369" s="408">
        <v>23394</v>
      </c>
      <c r="P369" s="409">
        <v>35530</v>
      </c>
      <c r="Q369" s="409">
        <v>6690</v>
      </c>
      <c r="R369" s="409">
        <v>0</v>
      </c>
      <c r="S369" s="410">
        <v>0</v>
      </c>
      <c r="T369" s="407">
        <f t="shared" si="801"/>
        <v>265618.56</v>
      </c>
      <c r="U369" s="408">
        <v>31590.199999999997</v>
      </c>
      <c r="V369" s="409">
        <v>91461.58</v>
      </c>
      <c r="W369" s="409">
        <v>124346.78</v>
      </c>
      <c r="X369" s="409">
        <v>6242</v>
      </c>
      <c r="Y369" s="411">
        <v>11978</v>
      </c>
      <c r="AA369" s="291"/>
      <c r="AB369" s="412"/>
      <c r="AC369" s="413"/>
      <c r="AD369" s="414" t="s">
        <v>33</v>
      </c>
      <c r="AE369" s="407">
        <f t="shared" si="802"/>
        <v>0</v>
      </c>
      <c r="AF369" s="408">
        <f>$L$99</f>
        <v>0</v>
      </c>
      <c r="AG369" s="409">
        <f>$L$153</f>
        <v>0</v>
      </c>
      <c r="AH369" s="409">
        <f>$L$207</f>
        <v>0</v>
      </c>
      <c r="AI369" s="409">
        <f>$L$261</f>
        <v>0</v>
      </c>
      <c r="AJ369" s="409">
        <f>$L$315</f>
        <v>0</v>
      </c>
      <c r="AK369" s="409">
        <f>$L$369</f>
        <v>0</v>
      </c>
      <c r="AL369" s="409">
        <f>$L$423</f>
        <v>0</v>
      </c>
      <c r="AM369" s="409">
        <f>$L$477</f>
        <v>0</v>
      </c>
      <c r="AN369" s="409">
        <f>$L$531</f>
        <v>0</v>
      </c>
      <c r="AO369" s="409">
        <f>$L$585</f>
        <v>0</v>
      </c>
      <c r="AP369" s="409">
        <f>$L$639</f>
        <v>0</v>
      </c>
      <c r="AQ369" s="411">
        <f>$L$693</f>
        <v>0</v>
      </c>
    </row>
    <row r="370" spans="2:43" ht="7.8" customHeight="1" x14ac:dyDescent="0.25">
      <c r="B370" s="282"/>
      <c r="C370" s="404"/>
      <c r="D370" s="415"/>
      <c r="E370" s="416" t="s">
        <v>30</v>
      </c>
      <c r="F370" s="417">
        <f t="shared" si="699"/>
        <v>176.73533275713052</v>
      </c>
      <c r="G370" s="417">
        <f t="shared" si="699"/>
        <v>156.29508196721312</v>
      </c>
      <c r="H370" s="417">
        <f t="shared" si="699"/>
        <v>167.94972067039106</v>
      </c>
      <c r="I370" s="418">
        <f t="shared" si="699"/>
        <v>0</v>
      </c>
      <c r="J370" s="419">
        <f t="shared" si="699"/>
        <v>163.03846153846155</v>
      </c>
      <c r="K370" s="419">
        <f t="shared" si="699"/>
        <v>185</v>
      </c>
      <c r="L370" s="419">
        <f t="shared" si="699"/>
        <v>0</v>
      </c>
      <c r="M370" s="420">
        <f t="shared" si="699"/>
        <v>167.63636363636363</v>
      </c>
      <c r="N370" s="417">
        <f t="shared" si="699"/>
        <v>155.85273159144893</v>
      </c>
      <c r="O370" s="418">
        <f t="shared" si="699"/>
        <v>163.5944055944056</v>
      </c>
      <c r="P370" s="419">
        <f t="shared" si="699"/>
        <v>150.55084745762713</v>
      </c>
      <c r="Q370" s="419">
        <f t="shared" si="699"/>
        <v>159.28571428571428</v>
      </c>
      <c r="R370" s="419">
        <f t="shared" si="699"/>
        <v>0</v>
      </c>
      <c r="S370" s="420">
        <f t="shared" si="699"/>
        <v>0</v>
      </c>
      <c r="T370" s="417">
        <f t="shared" si="699"/>
        <v>188.51565649396736</v>
      </c>
      <c r="U370" s="418">
        <f t="shared" si="699"/>
        <v>212.01476510067113</v>
      </c>
      <c r="V370" s="419">
        <f t="shared" si="699"/>
        <v>178.98547945205479</v>
      </c>
      <c r="W370" s="419">
        <f t="shared" si="699"/>
        <v>199.59354735152488</v>
      </c>
      <c r="X370" s="419">
        <f t="shared" si="699"/>
        <v>160.05128205128204</v>
      </c>
      <c r="Y370" s="421">
        <f t="shared" si="699"/>
        <v>137.67816091954023</v>
      </c>
      <c r="AA370" s="291"/>
      <c r="AB370" s="412"/>
      <c r="AC370" s="422"/>
      <c r="AD370" s="423" t="s">
        <v>30</v>
      </c>
      <c r="AE370" s="417">
        <f t="shared" ref="AE370:AQ370" si="803">IFERROR(AE369/AE368,0)</f>
        <v>0</v>
      </c>
      <c r="AF370" s="418">
        <f t="shared" si="803"/>
        <v>0</v>
      </c>
      <c r="AG370" s="419">
        <f t="shared" si="803"/>
        <v>0</v>
      </c>
      <c r="AH370" s="419">
        <f t="shared" si="803"/>
        <v>0</v>
      </c>
      <c r="AI370" s="419">
        <f t="shared" si="803"/>
        <v>0</v>
      </c>
      <c r="AJ370" s="419">
        <f t="shared" si="803"/>
        <v>0</v>
      </c>
      <c r="AK370" s="419">
        <f t="shared" si="803"/>
        <v>0</v>
      </c>
      <c r="AL370" s="419">
        <f t="shared" si="803"/>
        <v>0</v>
      </c>
      <c r="AM370" s="419">
        <f t="shared" si="803"/>
        <v>0</v>
      </c>
      <c r="AN370" s="419">
        <f t="shared" si="803"/>
        <v>0</v>
      </c>
      <c r="AO370" s="419">
        <f t="shared" si="803"/>
        <v>0</v>
      </c>
      <c r="AP370" s="419">
        <f t="shared" si="803"/>
        <v>0</v>
      </c>
      <c r="AQ370" s="421">
        <f t="shared" si="803"/>
        <v>0</v>
      </c>
    </row>
    <row r="371" spans="2:43" ht="7.8" customHeight="1" x14ac:dyDescent="0.25">
      <c r="B371" s="282"/>
      <c r="C371" s="404"/>
      <c r="D371" s="424" t="s">
        <v>41</v>
      </c>
      <c r="E371" s="425" t="s">
        <v>32</v>
      </c>
      <c r="F371" s="426">
        <f t="shared" ref="F371:F372" si="804">SUM(G371,H371,N371,T371)</f>
        <v>2063</v>
      </c>
      <c r="G371" s="426">
        <v>245</v>
      </c>
      <c r="H371" s="426">
        <f t="shared" ref="H371:H372" si="805">SUM(I371:M371)</f>
        <v>171</v>
      </c>
      <c r="I371" s="427">
        <v>30</v>
      </c>
      <c r="J371" s="428">
        <v>30</v>
      </c>
      <c r="K371" s="428">
        <v>9</v>
      </c>
      <c r="L371" s="428">
        <v>102</v>
      </c>
      <c r="M371" s="429">
        <v>0</v>
      </c>
      <c r="N371" s="426">
        <f t="shared" ref="N371:N372" si="806">SUM(O371:S371)</f>
        <v>225</v>
      </c>
      <c r="O371" s="427">
        <v>103</v>
      </c>
      <c r="P371" s="428">
        <v>79</v>
      </c>
      <c r="Q371" s="428">
        <v>40</v>
      </c>
      <c r="R371" s="428">
        <v>0</v>
      </c>
      <c r="S371" s="429">
        <v>3</v>
      </c>
      <c r="T371" s="426">
        <f t="shared" ref="T371:T372" si="807">SUM(U371:Y371)</f>
        <v>1422</v>
      </c>
      <c r="U371" s="427">
        <v>147</v>
      </c>
      <c r="V371" s="428">
        <v>910</v>
      </c>
      <c r="W371" s="428">
        <v>310</v>
      </c>
      <c r="X371" s="428">
        <v>35</v>
      </c>
      <c r="Y371" s="430">
        <v>20</v>
      </c>
      <c r="AA371" s="291"/>
      <c r="AB371" s="412"/>
      <c r="AC371" s="431" t="s">
        <v>41</v>
      </c>
      <c r="AD371" s="432" t="s">
        <v>32</v>
      </c>
      <c r="AE371" s="426">
        <f t="shared" ref="AE371:AE372" si="808">SUM(AF371:AQ371)</f>
        <v>147</v>
      </c>
      <c r="AF371" s="427">
        <f>$L$101</f>
        <v>0</v>
      </c>
      <c r="AG371" s="428">
        <f>$L$155</f>
        <v>0</v>
      </c>
      <c r="AH371" s="428">
        <f>$L$209</f>
        <v>0</v>
      </c>
      <c r="AI371" s="428">
        <f>$L$263</f>
        <v>0</v>
      </c>
      <c r="AJ371" s="428">
        <f>$L$317</f>
        <v>0</v>
      </c>
      <c r="AK371" s="428">
        <f>$L$371</f>
        <v>102</v>
      </c>
      <c r="AL371" s="428">
        <f>$L$425</f>
        <v>0</v>
      </c>
      <c r="AM371" s="428">
        <f>$L$479</f>
        <v>45</v>
      </c>
      <c r="AN371" s="428">
        <f>$L$533</f>
        <v>0</v>
      </c>
      <c r="AO371" s="428">
        <f>$L$587</f>
        <v>0</v>
      </c>
      <c r="AP371" s="428">
        <f>$L$641</f>
        <v>0</v>
      </c>
      <c r="AQ371" s="430">
        <f>$L$695</f>
        <v>0</v>
      </c>
    </row>
    <row r="372" spans="2:43" s="41" customFormat="1" ht="7.8" customHeight="1" x14ac:dyDescent="0.25">
      <c r="B372" s="282"/>
      <c r="C372" s="404"/>
      <c r="D372" s="405"/>
      <c r="E372" s="406" t="s">
        <v>33</v>
      </c>
      <c r="F372" s="407">
        <f t="shared" si="804"/>
        <v>338429.80000000005</v>
      </c>
      <c r="G372" s="407">
        <v>38445</v>
      </c>
      <c r="H372" s="407">
        <f t="shared" si="805"/>
        <v>27906</v>
      </c>
      <c r="I372" s="408">
        <v>5003</v>
      </c>
      <c r="J372" s="409">
        <v>4980</v>
      </c>
      <c r="K372" s="409">
        <v>1395</v>
      </c>
      <c r="L372" s="409">
        <v>16528</v>
      </c>
      <c r="M372" s="410">
        <v>0</v>
      </c>
      <c r="N372" s="407">
        <f t="shared" si="806"/>
        <v>36265</v>
      </c>
      <c r="O372" s="408">
        <v>17005</v>
      </c>
      <c r="P372" s="409">
        <v>12470</v>
      </c>
      <c r="Q372" s="409">
        <v>6210</v>
      </c>
      <c r="R372" s="409">
        <v>0</v>
      </c>
      <c r="S372" s="410">
        <v>580</v>
      </c>
      <c r="T372" s="407">
        <f t="shared" si="807"/>
        <v>235813.80000000002</v>
      </c>
      <c r="U372" s="408">
        <v>31211.360000000001</v>
      </c>
      <c r="V372" s="409">
        <v>138928.46000000002</v>
      </c>
      <c r="W372" s="409">
        <v>56824.28</v>
      </c>
      <c r="X372" s="409">
        <v>5600</v>
      </c>
      <c r="Y372" s="411">
        <v>3249.7</v>
      </c>
      <c r="AA372" s="291"/>
      <c r="AB372" s="412"/>
      <c r="AC372" s="413"/>
      <c r="AD372" s="414" t="s">
        <v>33</v>
      </c>
      <c r="AE372" s="407">
        <f t="shared" si="808"/>
        <v>24388</v>
      </c>
      <c r="AF372" s="408">
        <f>$L$102</f>
        <v>0</v>
      </c>
      <c r="AG372" s="409">
        <f>$L$156</f>
        <v>0</v>
      </c>
      <c r="AH372" s="409">
        <f>$L$210</f>
        <v>0</v>
      </c>
      <c r="AI372" s="409">
        <f>$L$264</f>
        <v>0</v>
      </c>
      <c r="AJ372" s="409">
        <f>$L$318</f>
        <v>0</v>
      </c>
      <c r="AK372" s="409">
        <f>$L$372</f>
        <v>16528</v>
      </c>
      <c r="AL372" s="409">
        <f>$L$426</f>
        <v>0</v>
      </c>
      <c r="AM372" s="409">
        <f>$L$480</f>
        <v>7860</v>
      </c>
      <c r="AN372" s="409">
        <f>$L$534</f>
        <v>0</v>
      </c>
      <c r="AO372" s="409">
        <f>$L$588</f>
        <v>0</v>
      </c>
      <c r="AP372" s="409">
        <f>$L$642</f>
        <v>0</v>
      </c>
      <c r="AQ372" s="411">
        <f>$L$696</f>
        <v>0</v>
      </c>
    </row>
    <row r="373" spans="2:43" ht="7.8" customHeight="1" x14ac:dyDescent="0.25">
      <c r="B373" s="282"/>
      <c r="C373" s="404"/>
      <c r="D373" s="415"/>
      <c r="E373" s="416" t="s">
        <v>30</v>
      </c>
      <c r="F373" s="417">
        <f t="shared" si="706"/>
        <v>164.04740668928747</v>
      </c>
      <c r="G373" s="417">
        <f t="shared" si="706"/>
        <v>156.91836734693877</v>
      </c>
      <c r="H373" s="417">
        <f t="shared" si="706"/>
        <v>163.19298245614036</v>
      </c>
      <c r="I373" s="418">
        <f t="shared" si="706"/>
        <v>166.76666666666668</v>
      </c>
      <c r="J373" s="419">
        <f t="shared" si="706"/>
        <v>166</v>
      </c>
      <c r="K373" s="419">
        <f t="shared" si="706"/>
        <v>155</v>
      </c>
      <c r="L373" s="419">
        <f t="shared" si="706"/>
        <v>162.0392156862745</v>
      </c>
      <c r="M373" s="420">
        <f t="shared" si="706"/>
        <v>0</v>
      </c>
      <c r="N373" s="417">
        <f t="shared" si="706"/>
        <v>161.17777777777778</v>
      </c>
      <c r="O373" s="418">
        <f t="shared" si="706"/>
        <v>165.09708737864077</v>
      </c>
      <c r="P373" s="419">
        <f t="shared" si="706"/>
        <v>157.84810126582278</v>
      </c>
      <c r="Q373" s="419">
        <f t="shared" si="706"/>
        <v>155.25</v>
      </c>
      <c r="R373" s="419">
        <f t="shared" si="706"/>
        <v>0</v>
      </c>
      <c r="S373" s="420">
        <f t="shared" si="706"/>
        <v>193.33333333333334</v>
      </c>
      <c r="T373" s="417">
        <f t="shared" si="706"/>
        <v>165.83248945147682</v>
      </c>
      <c r="U373" s="418">
        <f t="shared" si="706"/>
        <v>212.32217687074831</v>
      </c>
      <c r="V373" s="419">
        <f t="shared" si="706"/>
        <v>152.66863736263738</v>
      </c>
      <c r="W373" s="419">
        <f t="shared" si="706"/>
        <v>183.30412903225806</v>
      </c>
      <c r="X373" s="419">
        <f t="shared" si="706"/>
        <v>160</v>
      </c>
      <c r="Y373" s="421">
        <f t="shared" si="706"/>
        <v>162.48499999999999</v>
      </c>
      <c r="AA373" s="291"/>
      <c r="AB373" s="412"/>
      <c r="AC373" s="422"/>
      <c r="AD373" s="423" t="s">
        <v>30</v>
      </c>
      <c r="AE373" s="417">
        <f t="shared" ref="AE373:AQ373" si="809">IFERROR(AE372/AE371,0)</f>
        <v>165.9047619047619</v>
      </c>
      <c r="AF373" s="418">
        <f t="shared" si="809"/>
        <v>0</v>
      </c>
      <c r="AG373" s="419">
        <f t="shared" si="809"/>
        <v>0</v>
      </c>
      <c r="AH373" s="419">
        <f t="shared" si="809"/>
        <v>0</v>
      </c>
      <c r="AI373" s="419">
        <f t="shared" si="809"/>
        <v>0</v>
      </c>
      <c r="AJ373" s="419">
        <f t="shared" si="809"/>
        <v>0</v>
      </c>
      <c r="AK373" s="419">
        <f t="shared" si="809"/>
        <v>162.0392156862745</v>
      </c>
      <c r="AL373" s="419">
        <f t="shared" si="809"/>
        <v>0</v>
      </c>
      <c r="AM373" s="419">
        <f t="shared" si="809"/>
        <v>174.66666666666666</v>
      </c>
      <c r="AN373" s="419">
        <f t="shared" si="809"/>
        <v>0</v>
      </c>
      <c r="AO373" s="419">
        <f t="shared" si="809"/>
        <v>0</v>
      </c>
      <c r="AP373" s="419">
        <f t="shared" si="809"/>
        <v>0</v>
      </c>
      <c r="AQ373" s="421">
        <f t="shared" si="809"/>
        <v>0</v>
      </c>
    </row>
    <row r="374" spans="2:43" ht="7.8" customHeight="1" x14ac:dyDescent="0.25">
      <c r="B374" s="282"/>
      <c r="C374" s="404"/>
      <c r="D374" s="433" t="s">
        <v>42</v>
      </c>
      <c r="E374" s="434" t="s">
        <v>32</v>
      </c>
      <c r="F374" s="435">
        <f t="shared" ref="F374:F375" si="810">SUM(G374,H374,N374,T374)</f>
        <v>2159</v>
      </c>
      <c r="G374" s="435">
        <v>0</v>
      </c>
      <c r="H374" s="435">
        <v>250</v>
      </c>
      <c r="I374" s="436">
        <v>20</v>
      </c>
      <c r="J374" s="437">
        <v>90</v>
      </c>
      <c r="K374" s="437">
        <v>20</v>
      </c>
      <c r="L374" s="437">
        <v>120</v>
      </c>
      <c r="M374" s="438">
        <v>0</v>
      </c>
      <c r="N374" s="435">
        <f t="shared" ref="N374:N375" si="811">SUM(O374:S374)</f>
        <v>395</v>
      </c>
      <c r="O374" s="436">
        <v>145</v>
      </c>
      <c r="P374" s="437">
        <v>200</v>
      </c>
      <c r="Q374" s="437">
        <v>50</v>
      </c>
      <c r="R374" s="437">
        <v>0</v>
      </c>
      <c r="S374" s="438">
        <v>0</v>
      </c>
      <c r="T374" s="435">
        <f t="shared" ref="T374:T375" si="812">SUM(U374:Y374)</f>
        <v>1514</v>
      </c>
      <c r="U374" s="436">
        <v>168</v>
      </c>
      <c r="V374" s="437">
        <v>309</v>
      </c>
      <c r="W374" s="437">
        <v>670</v>
      </c>
      <c r="X374" s="437">
        <v>41</v>
      </c>
      <c r="Y374" s="439">
        <v>326</v>
      </c>
      <c r="AA374" s="291"/>
      <c r="AB374" s="412"/>
      <c r="AC374" s="440" t="s">
        <v>42</v>
      </c>
      <c r="AD374" s="441" t="s">
        <v>32</v>
      </c>
      <c r="AE374" s="442">
        <f t="shared" ref="AE374:AE375" si="813">SUM(AF374:AQ374)</f>
        <v>265</v>
      </c>
      <c r="AF374" s="443">
        <f>$L$104</f>
        <v>50</v>
      </c>
      <c r="AG374" s="444">
        <f>$L$158</f>
        <v>0</v>
      </c>
      <c r="AH374" s="444">
        <f>$L$212</f>
        <v>15</v>
      </c>
      <c r="AI374" s="444">
        <f>$L$266</f>
        <v>0</v>
      </c>
      <c r="AJ374" s="444">
        <f>$L$320</f>
        <v>0</v>
      </c>
      <c r="AK374" s="444">
        <f>$L$374</f>
        <v>120</v>
      </c>
      <c r="AL374" s="444">
        <f>$L$428</f>
        <v>0</v>
      </c>
      <c r="AM374" s="444">
        <f>$L$482</f>
        <v>15</v>
      </c>
      <c r="AN374" s="444">
        <f>$L$536</f>
        <v>40</v>
      </c>
      <c r="AO374" s="444">
        <f>$L$590</f>
        <v>10</v>
      </c>
      <c r="AP374" s="444">
        <f>$L$644</f>
        <v>0</v>
      </c>
      <c r="AQ374" s="445">
        <f>$L$698</f>
        <v>15</v>
      </c>
    </row>
    <row r="375" spans="2:43" s="41" customFormat="1" ht="7.8" customHeight="1" x14ac:dyDescent="0.25">
      <c r="B375" s="282"/>
      <c r="C375" s="404"/>
      <c r="D375" s="446"/>
      <c r="E375" s="447" t="s">
        <v>33</v>
      </c>
      <c r="F375" s="448">
        <f t="shared" si="810"/>
        <v>363531</v>
      </c>
      <c r="G375" s="448">
        <v>0</v>
      </c>
      <c r="H375" s="448">
        <v>40580</v>
      </c>
      <c r="I375" s="449">
        <v>3360</v>
      </c>
      <c r="J375" s="450">
        <v>14580</v>
      </c>
      <c r="K375" s="450">
        <v>3200</v>
      </c>
      <c r="L375" s="450">
        <v>19440</v>
      </c>
      <c r="M375" s="451">
        <v>0</v>
      </c>
      <c r="N375" s="448">
        <f t="shared" si="811"/>
        <v>61925</v>
      </c>
      <c r="O375" s="449">
        <v>23925</v>
      </c>
      <c r="P375" s="450">
        <v>30000</v>
      </c>
      <c r="Q375" s="450">
        <v>8000</v>
      </c>
      <c r="R375" s="450">
        <v>0</v>
      </c>
      <c r="S375" s="451">
        <v>0</v>
      </c>
      <c r="T375" s="448">
        <f t="shared" si="812"/>
        <v>261026</v>
      </c>
      <c r="U375" s="449">
        <v>31080</v>
      </c>
      <c r="V375" s="450">
        <v>53457</v>
      </c>
      <c r="W375" s="450">
        <v>110550</v>
      </c>
      <c r="X375" s="450">
        <v>7585</v>
      </c>
      <c r="Y375" s="452">
        <v>58354</v>
      </c>
      <c r="AA375" s="291"/>
      <c r="AB375" s="412"/>
      <c r="AC375" s="453"/>
      <c r="AD375" s="454" t="s">
        <v>33</v>
      </c>
      <c r="AE375" s="455">
        <f t="shared" si="813"/>
        <v>42810</v>
      </c>
      <c r="AF375" s="456">
        <f>$L$105</f>
        <v>8750</v>
      </c>
      <c r="AG375" s="457">
        <f>$L$159</f>
        <v>0</v>
      </c>
      <c r="AH375" s="457">
        <f>$L$213</f>
        <v>2400</v>
      </c>
      <c r="AI375" s="457">
        <f>$L$267</f>
        <v>0</v>
      </c>
      <c r="AJ375" s="457">
        <f>$L$321</f>
        <v>0</v>
      </c>
      <c r="AK375" s="457">
        <f>$L$375</f>
        <v>19440</v>
      </c>
      <c r="AL375" s="457">
        <f>$L$429</f>
        <v>0</v>
      </c>
      <c r="AM375" s="457">
        <f>$L$483</f>
        <v>2550</v>
      </c>
      <c r="AN375" s="457">
        <f>$L$537</f>
        <v>6000</v>
      </c>
      <c r="AO375" s="457">
        <f>$L$591</f>
        <v>1420</v>
      </c>
      <c r="AP375" s="457">
        <f>$L$645</f>
        <v>0</v>
      </c>
      <c r="AQ375" s="458">
        <f>$L$699</f>
        <v>2250</v>
      </c>
    </row>
    <row r="376" spans="2:43" ht="7.8" customHeight="1" x14ac:dyDescent="0.25">
      <c r="B376" s="282"/>
      <c r="C376" s="404"/>
      <c r="D376" s="459"/>
      <c r="E376" s="460" t="s">
        <v>30</v>
      </c>
      <c r="F376" s="461">
        <f t="shared" si="712"/>
        <v>168.37934228809635</v>
      </c>
      <c r="G376" s="461">
        <f t="shared" si="712"/>
        <v>0</v>
      </c>
      <c r="H376" s="461">
        <f t="shared" si="712"/>
        <v>162.32</v>
      </c>
      <c r="I376" s="462">
        <f t="shared" si="712"/>
        <v>168</v>
      </c>
      <c r="J376" s="463">
        <f t="shared" si="712"/>
        <v>162</v>
      </c>
      <c r="K376" s="463">
        <f t="shared" si="712"/>
        <v>160</v>
      </c>
      <c r="L376" s="463">
        <f t="shared" si="712"/>
        <v>162</v>
      </c>
      <c r="M376" s="464">
        <f t="shared" si="712"/>
        <v>0</v>
      </c>
      <c r="N376" s="461">
        <f t="shared" si="712"/>
        <v>156.77215189873417</v>
      </c>
      <c r="O376" s="462">
        <f t="shared" si="712"/>
        <v>165</v>
      </c>
      <c r="P376" s="463">
        <f t="shared" si="712"/>
        <v>150</v>
      </c>
      <c r="Q376" s="463">
        <f t="shared" si="712"/>
        <v>160</v>
      </c>
      <c r="R376" s="463">
        <f t="shared" si="712"/>
        <v>0</v>
      </c>
      <c r="S376" s="464">
        <f t="shared" si="712"/>
        <v>0</v>
      </c>
      <c r="T376" s="461">
        <f t="shared" si="712"/>
        <v>172.40819022457066</v>
      </c>
      <c r="U376" s="462">
        <f t="shared" si="712"/>
        <v>185</v>
      </c>
      <c r="V376" s="463">
        <f t="shared" si="712"/>
        <v>173</v>
      </c>
      <c r="W376" s="463">
        <f t="shared" si="712"/>
        <v>165</v>
      </c>
      <c r="X376" s="463">
        <f t="shared" si="712"/>
        <v>185</v>
      </c>
      <c r="Y376" s="465">
        <f t="shared" si="712"/>
        <v>179</v>
      </c>
      <c r="AA376" s="291"/>
      <c r="AB376" s="412"/>
      <c r="AC376" s="466"/>
      <c r="AD376" s="467" t="s">
        <v>30</v>
      </c>
      <c r="AE376" s="468">
        <f t="shared" ref="AE376:AQ376" si="814">IFERROR(AE375/AE374,0)</f>
        <v>161.54716981132074</v>
      </c>
      <c r="AF376" s="469">
        <f t="shared" si="814"/>
        <v>175</v>
      </c>
      <c r="AG376" s="470">
        <f t="shared" si="814"/>
        <v>0</v>
      </c>
      <c r="AH376" s="470">
        <f t="shared" si="814"/>
        <v>160</v>
      </c>
      <c r="AI376" s="470">
        <f t="shared" si="814"/>
        <v>0</v>
      </c>
      <c r="AJ376" s="470">
        <f t="shared" si="814"/>
        <v>0</v>
      </c>
      <c r="AK376" s="470">
        <f t="shared" si="814"/>
        <v>162</v>
      </c>
      <c r="AL376" s="470">
        <f t="shared" si="814"/>
        <v>0</v>
      </c>
      <c r="AM376" s="470">
        <f t="shared" si="814"/>
        <v>170</v>
      </c>
      <c r="AN376" s="470">
        <f t="shared" si="814"/>
        <v>150</v>
      </c>
      <c r="AO376" s="470">
        <f t="shared" si="814"/>
        <v>142</v>
      </c>
      <c r="AP376" s="470">
        <f t="shared" si="814"/>
        <v>0</v>
      </c>
      <c r="AQ376" s="471">
        <f t="shared" si="814"/>
        <v>150</v>
      </c>
    </row>
    <row r="377" spans="2:43" ht="7.8" customHeight="1" x14ac:dyDescent="0.25">
      <c r="B377" s="282"/>
      <c r="C377" s="404"/>
      <c r="D377" s="472" t="s">
        <v>43</v>
      </c>
      <c r="E377" s="425" t="s">
        <v>32</v>
      </c>
      <c r="F377" s="426">
        <f t="shared" ref="F377:Y379" si="815">F374-F371</f>
        <v>96</v>
      </c>
      <c r="G377" s="426">
        <f t="shared" si="815"/>
        <v>-245</v>
      </c>
      <c r="H377" s="426">
        <f t="shared" si="815"/>
        <v>79</v>
      </c>
      <c r="I377" s="427">
        <f t="shared" si="815"/>
        <v>-10</v>
      </c>
      <c r="J377" s="428">
        <f t="shared" si="815"/>
        <v>60</v>
      </c>
      <c r="K377" s="428">
        <f t="shared" si="815"/>
        <v>11</v>
      </c>
      <c r="L377" s="428">
        <f t="shared" si="815"/>
        <v>18</v>
      </c>
      <c r="M377" s="429">
        <f t="shared" si="815"/>
        <v>0</v>
      </c>
      <c r="N377" s="426">
        <f t="shared" si="815"/>
        <v>170</v>
      </c>
      <c r="O377" s="427">
        <f t="shared" si="815"/>
        <v>42</v>
      </c>
      <c r="P377" s="428">
        <f t="shared" si="815"/>
        <v>121</v>
      </c>
      <c r="Q377" s="428">
        <f t="shared" si="815"/>
        <v>10</v>
      </c>
      <c r="R377" s="428">
        <f t="shared" si="815"/>
        <v>0</v>
      </c>
      <c r="S377" s="429">
        <f t="shared" si="815"/>
        <v>-3</v>
      </c>
      <c r="T377" s="426">
        <f t="shared" si="815"/>
        <v>92</v>
      </c>
      <c r="U377" s="427">
        <f t="shared" si="815"/>
        <v>21</v>
      </c>
      <c r="V377" s="428">
        <f t="shared" si="815"/>
        <v>-601</v>
      </c>
      <c r="W377" s="428">
        <f t="shared" si="815"/>
        <v>360</v>
      </c>
      <c r="X377" s="428">
        <f t="shared" si="815"/>
        <v>6</v>
      </c>
      <c r="Y377" s="430">
        <f t="shared" si="815"/>
        <v>306</v>
      </c>
      <c r="AA377" s="291"/>
      <c r="AB377" s="412"/>
      <c r="AC377" s="473" t="s">
        <v>43</v>
      </c>
      <c r="AD377" s="432" t="s">
        <v>32</v>
      </c>
      <c r="AE377" s="426">
        <f t="shared" ref="AE377:AQ379" si="816">AE374-AE371</f>
        <v>118</v>
      </c>
      <c r="AF377" s="427">
        <f t="shared" si="816"/>
        <v>50</v>
      </c>
      <c r="AG377" s="428">
        <f t="shared" si="816"/>
        <v>0</v>
      </c>
      <c r="AH377" s="428">
        <f t="shared" si="816"/>
        <v>15</v>
      </c>
      <c r="AI377" s="428">
        <f t="shared" si="816"/>
        <v>0</v>
      </c>
      <c r="AJ377" s="428">
        <f t="shared" si="816"/>
        <v>0</v>
      </c>
      <c r="AK377" s="428">
        <f t="shared" si="816"/>
        <v>18</v>
      </c>
      <c r="AL377" s="428">
        <f t="shared" si="816"/>
        <v>0</v>
      </c>
      <c r="AM377" s="428">
        <f t="shared" si="816"/>
        <v>-30</v>
      </c>
      <c r="AN377" s="428">
        <f t="shared" si="816"/>
        <v>40</v>
      </c>
      <c r="AO377" s="428">
        <f t="shared" si="816"/>
        <v>10</v>
      </c>
      <c r="AP377" s="428">
        <f t="shared" si="816"/>
        <v>0</v>
      </c>
      <c r="AQ377" s="430">
        <f t="shared" si="816"/>
        <v>15</v>
      </c>
    </row>
    <row r="378" spans="2:43" s="366" customFormat="1" ht="7.8" customHeight="1" x14ac:dyDescent="0.25">
      <c r="B378" s="282"/>
      <c r="C378" s="404"/>
      <c r="D378" s="405"/>
      <c r="E378" s="474" t="s">
        <v>33</v>
      </c>
      <c r="F378" s="407">
        <f t="shared" si="815"/>
        <v>25101.199999999953</v>
      </c>
      <c r="G378" s="407">
        <f t="shared" si="815"/>
        <v>-38445</v>
      </c>
      <c r="H378" s="407">
        <f t="shared" si="815"/>
        <v>12674</v>
      </c>
      <c r="I378" s="408">
        <f t="shared" si="815"/>
        <v>-1643</v>
      </c>
      <c r="J378" s="409">
        <f t="shared" si="815"/>
        <v>9600</v>
      </c>
      <c r="K378" s="409">
        <f t="shared" si="815"/>
        <v>1805</v>
      </c>
      <c r="L378" s="409">
        <f t="shared" si="815"/>
        <v>2912</v>
      </c>
      <c r="M378" s="410">
        <f t="shared" si="815"/>
        <v>0</v>
      </c>
      <c r="N378" s="407">
        <f t="shared" si="815"/>
        <v>25660</v>
      </c>
      <c r="O378" s="408">
        <f t="shared" si="815"/>
        <v>6920</v>
      </c>
      <c r="P378" s="409">
        <f t="shared" si="815"/>
        <v>17530</v>
      </c>
      <c r="Q378" s="409">
        <f t="shared" si="815"/>
        <v>1790</v>
      </c>
      <c r="R378" s="409">
        <f t="shared" si="815"/>
        <v>0</v>
      </c>
      <c r="S378" s="410">
        <f t="shared" si="815"/>
        <v>-580</v>
      </c>
      <c r="T378" s="407">
        <f t="shared" si="815"/>
        <v>25212.199999999983</v>
      </c>
      <c r="U378" s="408">
        <f t="shared" si="815"/>
        <v>-131.36000000000058</v>
      </c>
      <c r="V378" s="409">
        <f t="shared" si="815"/>
        <v>-85471.460000000021</v>
      </c>
      <c r="W378" s="409">
        <f t="shared" si="815"/>
        <v>53725.72</v>
      </c>
      <c r="X378" s="409">
        <f t="shared" si="815"/>
        <v>1985</v>
      </c>
      <c r="Y378" s="411">
        <f t="shared" si="815"/>
        <v>55104.3</v>
      </c>
      <c r="AA378" s="291"/>
      <c r="AB378" s="412"/>
      <c r="AC378" s="475"/>
      <c r="AD378" s="476" t="s">
        <v>33</v>
      </c>
      <c r="AE378" s="407">
        <f t="shared" si="816"/>
        <v>18422</v>
      </c>
      <c r="AF378" s="408">
        <f t="shared" si="816"/>
        <v>8750</v>
      </c>
      <c r="AG378" s="409">
        <f t="shared" si="816"/>
        <v>0</v>
      </c>
      <c r="AH378" s="409">
        <f t="shared" si="816"/>
        <v>2400</v>
      </c>
      <c r="AI378" s="409">
        <f t="shared" si="816"/>
        <v>0</v>
      </c>
      <c r="AJ378" s="409">
        <f t="shared" si="816"/>
        <v>0</v>
      </c>
      <c r="AK378" s="409">
        <f t="shared" si="816"/>
        <v>2912</v>
      </c>
      <c r="AL378" s="409">
        <f t="shared" si="816"/>
        <v>0</v>
      </c>
      <c r="AM378" s="409">
        <f t="shared" si="816"/>
        <v>-5310</v>
      </c>
      <c r="AN378" s="409">
        <f t="shared" si="816"/>
        <v>6000</v>
      </c>
      <c r="AO378" s="409">
        <f t="shared" si="816"/>
        <v>1420</v>
      </c>
      <c r="AP378" s="409">
        <f t="shared" si="816"/>
        <v>0</v>
      </c>
      <c r="AQ378" s="411">
        <f t="shared" si="816"/>
        <v>2250</v>
      </c>
    </row>
    <row r="379" spans="2:43" ht="7.8" customHeight="1" x14ac:dyDescent="0.25">
      <c r="B379" s="282"/>
      <c r="C379" s="404"/>
      <c r="D379" s="415"/>
      <c r="E379" s="416" t="s">
        <v>30</v>
      </c>
      <c r="F379" s="417">
        <f t="shared" si="815"/>
        <v>4.331935598808883</v>
      </c>
      <c r="G379" s="417">
        <f t="shared" si="815"/>
        <v>-156.91836734693877</v>
      </c>
      <c r="H379" s="417">
        <f t="shared" si="815"/>
        <v>-0.87298245614036318</v>
      </c>
      <c r="I379" s="418">
        <f t="shared" si="815"/>
        <v>1.2333333333333201</v>
      </c>
      <c r="J379" s="419">
        <f t="shared" si="815"/>
        <v>-4</v>
      </c>
      <c r="K379" s="419">
        <f t="shared" si="815"/>
        <v>5</v>
      </c>
      <c r="L379" s="419">
        <f t="shared" si="815"/>
        <v>-3.9215686274502559E-2</v>
      </c>
      <c r="M379" s="420">
        <f t="shared" si="815"/>
        <v>0</v>
      </c>
      <c r="N379" s="417">
        <f t="shared" si="815"/>
        <v>-4.4056258790436118</v>
      </c>
      <c r="O379" s="418">
        <f t="shared" si="815"/>
        <v>-9.708737864076511E-2</v>
      </c>
      <c r="P379" s="419">
        <f t="shared" si="815"/>
        <v>-7.8481012658227769</v>
      </c>
      <c r="Q379" s="419">
        <f t="shared" si="815"/>
        <v>4.75</v>
      </c>
      <c r="R379" s="419">
        <f t="shared" si="815"/>
        <v>0</v>
      </c>
      <c r="S379" s="420">
        <f t="shared" si="815"/>
        <v>-193.33333333333334</v>
      </c>
      <c r="T379" s="417">
        <f t="shared" si="815"/>
        <v>6.5757007730938426</v>
      </c>
      <c r="U379" s="418">
        <f t="shared" si="815"/>
        <v>-27.322176870748308</v>
      </c>
      <c r="V379" s="419">
        <f t="shared" si="815"/>
        <v>20.331362637362616</v>
      </c>
      <c r="W379" s="419">
        <f t="shared" si="815"/>
        <v>-18.304129032258061</v>
      </c>
      <c r="X379" s="419">
        <f t="shared" si="815"/>
        <v>25</v>
      </c>
      <c r="Y379" s="421">
        <f t="shared" si="815"/>
        <v>16.515000000000015</v>
      </c>
      <c r="AA379" s="291"/>
      <c r="AB379" s="412"/>
      <c r="AC379" s="477"/>
      <c r="AD379" s="423" t="s">
        <v>30</v>
      </c>
      <c r="AE379" s="417">
        <f t="shared" si="816"/>
        <v>-4.3575920934411556</v>
      </c>
      <c r="AF379" s="418">
        <f t="shared" si="816"/>
        <v>175</v>
      </c>
      <c r="AG379" s="419">
        <f t="shared" si="816"/>
        <v>0</v>
      </c>
      <c r="AH379" s="419">
        <f t="shared" si="816"/>
        <v>160</v>
      </c>
      <c r="AI379" s="419">
        <f t="shared" si="816"/>
        <v>0</v>
      </c>
      <c r="AJ379" s="419">
        <f t="shared" si="816"/>
        <v>0</v>
      </c>
      <c r="AK379" s="419">
        <f t="shared" si="816"/>
        <v>-3.9215686274502559E-2</v>
      </c>
      <c r="AL379" s="419">
        <f t="shared" si="816"/>
        <v>0</v>
      </c>
      <c r="AM379" s="419">
        <f t="shared" si="816"/>
        <v>-4.6666666666666572</v>
      </c>
      <c r="AN379" s="419">
        <f t="shared" si="816"/>
        <v>150</v>
      </c>
      <c r="AO379" s="419">
        <f t="shared" si="816"/>
        <v>142</v>
      </c>
      <c r="AP379" s="419">
        <f t="shared" si="816"/>
        <v>0</v>
      </c>
      <c r="AQ379" s="421">
        <f t="shared" si="816"/>
        <v>150</v>
      </c>
    </row>
    <row r="380" spans="2:43" ht="7.8" customHeight="1" x14ac:dyDescent="0.25">
      <c r="B380" s="282"/>
      <c r="C380" s="404"/>
      <c r="D380" s="472" t="s">
        <v>44</v>
      </c>
      <c r="E380" s="425" t="s">
        <v>32</v>
      </c>
      <c r="F380" s="478">
        <f t="shared" ref="F380:Y382" si="817">IFERROR((F374-F371)/ABS(F371),"")</f>
        <v>4.65341735336888E-2</v>
      </c>
      <c r="G380" s="478">
        <f t="shared" si="817"/>
        <v>-1</v>
      </c>
      <c r="H380" s="478">
        <f t="shared" si="817"/>
        <v>0.46198830409356723</v>
      </c>
      <c r="I380" s="479">
        <f t="shared" si="817"/>
        <v>-0.33333333333333331</v>
      </c>
      <c r="J380" s="480">
        <f t="shared" si="817"/>
        <v>2</v>
      </c>
      <c r="K380" s="480">
        <f t="shared" si="817"/>
        <v>1.2222222222222223</v>
      </c>
      <c r="L380" s="480">
        <f t="shared" si="817"/>
        <v>0.17647058823529413</v>
      </c>
      <c r="M380" s="481" t="str">
        <f t="shared" si="817"/>
        <v/>
      </c>
      <c r="N380" s="478">
        <f t="shared" si="817"/>
        <v>0.75555555555555554</v>
      </c>
      <c r="O380" s="479">
        <f t="shared" si="817"/>
        <v>0.40776699029126212</v>
      </c>
      <c r="P380" s="480">
        <f t="shared" si="817"/>
        <v>1.5316455696202531</v>
      </c>
      <c r="Q380" s="480">
        <f t="shared" si="817"/>
        <v>0.25</v>
      </c>
      <c r="R380" s="480" t="str">
        <f t="shared" si="817"/>
        <v/>
      </c>
      <c r="S380" s="481">
        <f t="shared" si="817"/>
        <v>-1</v>
      </c>
      <c r="T380" s="478">
        <f t="shared" si="817"/>
        <v>6.4697609001406475E-2</v>
      </c>
      <c r="U380" s="479">
        <f t="shared" si="817"/>
        <v>0.14285714285714285</v>
      </c>
      <c r="V380" s="480">
        <f t="shared" si="817"/>
        <v>-0.66043956043956042</v>
      </c>
      <c r="W380" s="480">
        <f t="shared" si="817"/>
        <v>1.1612903225806452</v>
      </c>
      <c r="X380" s="480">
        <f t="shared" si="817"/>
        <v>0.17142857142857143</v>
      </c>
      <c r="Y380" s="482">
        <f t="shared" si="817"/>
        <v>15.3</v>
      </c>
      <c r="AA380" s="291"/>
      <c r="AB380" s="412"/>
      <c r="AC380" s="473" t="s">
        <v>44</v>
      </c>
      <c r="AD380" s="432" t="s">
        <v>32</v>
      </c>
      <c r="AE380" s="478">
        <f t="shared" ref="AE380:AQ382" si="818">IFERROR((AE374-AE371)/ABS(AE371),"")</f>
        <v>0.80272108843537415</v>
      </c>
      <c r="AF380" s="479" t="str">
        <f t="shared" si="818"/>
        <v/>
      </c>
      <c r="AG380" s="480" t="str">
        <f t="shared" si="818"/>
        <v/>
      </c>
      <c r="AH380" s="480" t="str">
        <f t="shared" si="818"/>
        <v/>
      </c>
      <c r="AI380" s="480" t="str">
        <f t="shared" si="818"/>
        <v/>
      </c>
      <c r="AJ380" s="480" t="str">
        <f t="shared" si="818"/>
        <v/>
      </c>
      <c r="AK380" s="480">
        <f t="shared" si="818"/>
        <v>0.17647058823529413</v>
      </c>
      <c r="AL380" s="480" t="str">
        <f t="shared" si="818"/>
        <v/>
      </c>
      <c r="AM380" s="480">
        <f t="shared" si="818"/>
        <v>-0.66666666666666663</v>
      </c>
      <c r="AN380" s="480" t="str">
        <f t="shared" si="818"/>
        <v/>
      </c>
      <c r="AO380" s="480" t="str">
        <f t="shared" si="818"/>
        <v/>
      </c>
      <c r="AP380" s="480" t="str">
        <f t="shared" si="818"/>
        <v/>
      </c>
      <c r="AQ380" s="482" t="str">
        <f t="shared" si="818"/>
        <v/>
      </c>
    </row>
    <row r="381" spans="2:43" ht="7.8" customHeight="1" x14ac:dyDescent="0.25">
      <c r="B381" s="282"/>
      <c r="C381" s="404"/>
      <c r="D381" s="405"/>
      <c r="E381" s="483" t="s">
        <v>33</v>
      </c>
      <c r="F381" s="484">
        <f t="shared" si="817"/>
        <v>7.4169591448507044E-2</v>
      </c>
      <c r="G381" s="484">
        <f t="shared" si="817"/>
        <v>-1</v>
      </c>
      <c r="H381" s="484">
        <f t="shared" si="817"/>
        <v>0.45416756253135526</v>
      </c>
      <c r="I381" s="485">
        <f t="shared" si="817"/>
        <v>-0.32840295822506493</v>
      </c>
      <c r="J381" s="486">
        <f t="shared" si="817"/>
        <v>1.927710843373494</v>
      </c>
      <c r="K381" s="486">
        <f t="shared" si="817"/>
        <v>1.2939068100358424</v>
      </c>
      <c r="L381" s="486">
        <f t="shared" si="817"/>
        <v>0.17618586640851888</v>
      </c>
      <c r="M381" s="487" t="str">
        <f t="shared" si="817"/>
        <v/>
      </c>
      <c r="N381" s="484">
        <f t="shared" si="817"/>
        <v>0.70756928167654765</v>
      </c>
      <c r="O381" s="485">
        <f t="shared" si="817"/>
        <v>0.40693913554836814</v>
      </c>
      <c r="P381" s="486">
        <f t="shared" si="817"/>
        <v>1.4057738572574179</v>
      </c>
      <c r="Q381" s="486">
        <f t="shared" si="817"/>
        <v>0.28824476650563607</v>
      </c>
      <c r="R381" s="486" t="str">
        <f t="shared" si="817"/>
        <v/>
      </c>
      <c r="S381" s="487">
        <f t="shared" si="817"/>
        <v>-1</v>
      </c>
      <c r="T381" s="484">
        <f t="shared" si="817"/>
        <v>0.10691571061574845</v>
      </c>
      <c r="U381" s="485">
        <f t="shared" si="817"/>
        <v>-4.208724003055316E-3</v>
      </c>
      <c r="V381" s="486">
        <f t="shared" si="817"/>
        <v>-0.61521922865912437</v>
      </c>
      <c r="W381" s="486">
        <f t="shared" si="817"/>
        <v>0.94547119646742561</v>
      </c>
      <c r="X381" s="486">
        <f t="shared" si="817"/>
        <v>0.35446428571428573</v>
      </c>
      <c r="Y381" s="488">
        <f t="shared" si="817"/>
        <v>16.95673446779703</v>
      </c>
      <c r="AA381" s="291"/>
      <c r="AB381" s="412"/>
      <c r="AC381" s="475"/>
      <c r="AD381" s="489" t="s">
        <v>33</v>
      </c>
      <c r="AE381" s="484">
        <f t="shared" si="818"/>
        <v>0.7553714941774643</v>
      </c>
      <c r="AF381" s="485" t="str">
        <f t="shared" si="818"/>
        <v/>
      </c>
      <c r="AG381" s="486" t="str">
        <f t="shared" si="818"/>
        <v/>
      </c>
      <c r="AH381" s="486" t="str">
        <f t="shared" si="818"/>
        <v/>
      </c>
      <c r="AI381" s="486" t="str">
        <f t="shared" si="818"/>
        <v/>
      </c>
      <c r="AJ381" s="486" t="str">
        <f t="shared" si="818"/>
        <v/>
      </c>
      <c r="AK381" s="486">
        <f t="shared" si="818"/>
        <v>0.17618586640851888</v>
      </c>
      <c r="AL381" s="486" t="str">
        <f t="shared" si="818"/>
        <v/>
      </c>
      <c r="AM381" s="486">
        <f t="shared" si="818"/>
        <v>-0.67557251908396942</v>
      </c>
      <c r="AN381" s="486" t="str">
        <f t="shared" si="818"/>
        <v/>
      </c>
      <c r="AO381" s="486" t="str">
        <f t="shared" si="818"/>
        <v/>
      </c>
      <c r="AP381" s="486" t="str">
        <f t="shared" si="818"/>
        <v/>
      </c>
      <c r="AQ381" s="488" t="str">
        <f t="shared" si="818"/>
        <v/>
      </c>
    </row>
    <row r="382" spans="2:43" ht="7.8" customHeight="1" x14ac:dyDescent="0.25">
      <c r="B382" s="282"/>
      <c r="C382" s="502"/>
      <c r="D382" s="503"/>
      <c r="E382" s="504" t="s">
        <v>30</v>
      </c>
      <c r="F382" s="505">
        <f t="shared" si="817"/>
        <v>2.6406608225229351E-2</v>
      </c>
      <c r="G382" s="505">
        <f t="shared" si="817"/>
        <v>-1</v>
      </c>
      <c r="H382" s="505">
        <f t="shared" si="817"/>
        <v>-5.3493872285530746E-3</v>
      </c>
      <c r="I382" s="506">
        <f t="shared" si="817"/>
        <v>7.395562662402478E-3</v>
      </c>
      <c r="J382" s="507">
        <f t="shared" si="817"/>
        <v>-2.4096385542168676E-2</v>
      </c>
      <c r="K382" s="507">
        <f t="shared" si="817"/>
        <v>3.2258064516129031E-2</v>
      </c>
      <c r="L382" s="507">
        <f t="shared" si="817"/>
        <v>-2.4201355275890981E-4</v>
      </c>
      <c r="M382" s="508" t="str">
        <f t="shared" si="817"/>
        <v/>
      </c>
      <c r="N382" s="505">
        <f t="shared" si="817"/>
        <v>-2.7333953475384327E-2</v>
      </c>
      <c r="O382" s="506">
        <f t="shared" si="817"/>
        <v>-5.8806233460739819E-4</v>
      </c>
      <c r="P382" s="507">
        <f t="shared" si="817"/>
        <v>-4.9719326383319919E-2</v>
      </c>
      <c r="Q382" s="507">
        <f t="shared" si="817"/>
        <v>3.0595813204508857E-2</v>
      </c>
      <c r="R382" s="507" t="str">
        <f t="shared" si="817"/>
        <v/>
      </c>
      <c r="S382" s="508">
        <f t="shared" si="817"/>
        <v>-1</v>
      </c>
      <c r="T382" s="505">
        <f t="shared" si="817"/>
        <v>3.9652668755346135E-2</v>
      </c>
      <c r="U382" s="506">
        <f t="shared" si="817"/>
        <v>-0.12868263350267342</v>
      </c>
      <c r="V382" s="507">
        <f t="shared" si="817"/>
        <v>0.13317314537280539</v>
      </c>
      <c r="W382" s="507">
        <f t="shared" si="817"/>
        <v>-9.9856610589698608E-2</v>
      </c>
      <c r="X382" s="507">
        <f t="shared" si="817"/>
        <v>0.15625</v>
      </c>
      <c r="Y382" s="509">
        <f t="shared" si="817"/>
        <v>0.10164015139859074</v>
      </c>
      <c r="AA382" s="291"/>
      <c r="AB382" s="510"/>
      <c r="AC382" s="511"/>
      <c r="AD382" s="512" t="s">
        <v>30</v>
      </c>
      <c r="AE382" s="505">
        <f t="shared" si="818"/>
        <v>-2.6265623984576426E-2</v>
      </c>
      <c r="AF382" s="506" t="str">
        <f t="shared" si="818"/>
        <v/>
      </c>
      <c r="AG382" s="507" t="str">
        <f t="shared" si="818"/>
        <v/>
      </c>
      <c r="AH382" s="507" t="str">
        <f t="shared" si="818"/>
        <v/>
      </c>
      <c r="AI382" s="507" t="str">
        <f t="shared" si="818"/>
        <v/>
      </c>
      <c r="AJ382" s="507" t="str">
        <f t="shared" si="818"/>
        <v/>
      </c>
      <c r="AK382" s="507">
        <f t="shared" si="818"/>
        <v>-2.4201355275890981E-4</v>
      </c>
      <c r="AL382" s="507" t="str">
        <f t="shared" si="818"/>
        <v/>
      </c>
      <c r="AM382" s="507">
        <f t="shared" si="818"/>
        <v>-2.6717557251908344E-2</v>
      </c>
      <c r="AN382" s="507" t="str">
        <f t="shared" si="818"/>
        <v/>
      </c>
      <c r="AO382" s="507" t="str">
        <f t="shared" si="818"/>
        <v/>
      </c>
      <c r="AP382" s="507" t="str">
        <f t="shared" si="818"/>
        <v/>
      </c>
      <c r="AQ382" s="509" t="str">
        <f t="shared" si="818"/>
        <v/>
      </c>
    </row>
    <row r="383" spans="2:43" ht="7.8" customHeight="1" x14ac:dyDescent="0.25">
      <c r="B383" s="282" t="s">
        <v>60</v>
      </c>
      <c r="C383" s="283" t="s">
        <v>9</v>
      </c>
      <c r="D383" s="284" t="s">
        <v>39</v>
      </c>
      <c r="E383" s="285" t="s">
        <v>32</v>
      </c>
      <c r="F383" s="286">
        <f t="shared" ref="F383:F384" si="819">SUM(G383,H383,N383,T383)</f>
        <v>0</v>
      </c>
      <c r="G383" s="286">
        <f t="shared" ref="G383:G438" si="820">SUM(G401,G419)</f>
        <v>0</v>
      </c>
      <c r="H383" s="286">
        <f t="shared" ref="H383:H384" si="821">SUM(I383:M383)</f>
        <v>0</v>
      </c>
      <c r="I383" s="287">
        <f t="shared" ref="I383:M384" si="822">SUM(I401,I419)</f>
        <v>0</v>
      </c>
      <c r="J383" s="288">
        <f t="shared" si="822"/>
        <v>0</v>
      </c>
      <c r="K383" s="288">
        <f t="shared" si="822"/>
        <v>0</v>
      </c>
      <c r="L383" s="288">
        <f t="shared" si="822"/>
        <v>0</v>
      </c>
      <c r="M383" s="289">
        <f t="shared" si="822"/>
        <v>0</v>
      </c>
      <c r="N383" s="286">
        <f t="shared" ref="N383:N384" si="823">SUM(O383:S383)</f>
        <v>0</v>
      </c>
      <c r="O383" s="287">
        <f t="shared" ref="O383:S384" si="824">SUM(O401,O419)</f>
        <v>0</v>
      </c>
      <c r="P383" s="288">
        <f t="shared" si="824"/>
        <v>0</v>
      </c>
      <c r="Q383" s="288">
        <f t="shared" si="824"/>
        <v>0</v>
      </c>
      <c r="R383" s="288">
        <f t="shared" si="824"/>
        <v>0</v>
      </c>
      <c r="S383" s="289">
        <f t="shared" si="824"/>
        <v>0</v>
      </c>
      <c r="T383" s="286">
        <f t="shared" ref="T383:T384" si="825">SUM(U383:Y383)</f>
        <v>0</v>
      </c>
      <c r="U383" s="287">
        <f t="shared" ref="U383:Y384" si="826">SUM(U401,U419)</f>
        <v>0</v>
      </c>
      <c r="V383" s="288">
        <f t="shared" si="826"/>
        <v>0</v>
      </c>
      <c r="W383" s="288">
        <f t="shared" si="826"/>
        <v>0</v>
      </c>
      <c r="X383" s="288">
        <f t="shared" si="826"/>
        <v>0</v>
      </c>
      <c r="Y383" s="290">
        <f t="shared" si="826"/>
        <v>0</v>
      </c>
      <c r="AA383" s="291" t="s">
        <v>61</v>
      </c>
      <c r="AB383" s="292" t="s">
        <v>9</v>
      </c>
      <c r="AC383" s="293" t="s">
        <v>39</v>
      </c>
      <c r="AD383" s="294" t="s">
        <v>32</v>
      </c>
      <c r="AE383" s="286">
        <f t="shared" ref="AE383:AE384" si="827">SUM(AF383:AQ383)</f>
        <v>0</v>
      </c>
      <c r="AF383" s="287">
        <f t="shared" ref="AF383:AQ384" si="828">SUM(AF401,AF419)</f>
        <v>0</v>
      </c>
      <c r="AG383" s="288">
        <f t="shared" si="828"/>
        <v>0</v>
      </c>
      <c r="AH383" s="288">
        <f t="shared" si="828"/>
        <v>0</v>
      </c>
      <c r="AI383" s="288">
        <f t="shared" si="828"/>
        <v>0</v>
      </c>
      <c r="AJ383" s="288">
        <f t="shared" si="828"/>
        <v>0</v>
      </c>
      <c r="AK383" s="288">
        <f t="shared" si="828"/>
        <v>0</v>
      </c>
      <c r="AL383" s="288">
        <f t="shared" si="828"/>
        <v>0</v>
      </c>
      <c r="AM383" s="288">
        <f t="shared" si="828"/>
        <v>0</v>
      </c>
      <c r="AN383" s="288">
        <f t="shared" si="828"/>
        <v>0</v>
      </c>
      <c r="AO383" s="288">
        <f t="shared" si="828"/>
        <v>0</v>
      </c>
      <c r="AP383" s="288">
        <f t="shared" si="828"/>
        <v>0</v>
      </c>
      <c r="AQ383" s="290">
        <f t="shared" si="828"/>
        <v>0</v>
      </c>
    </row>
    <row r="384" spans="2:43" s="41" customFormat="1" ht="7.8" customHeight="1" x14ac:dyDescent="0.25">
      <c r="B384" s="282"/>
      <c r="C384" s="295"/>
      <c r="D384" s="296"/>
      <c r="E384" s="297" t="s">
        <v>33</v>
      </c>
      <c r="F384" s="298">
        <f t="shared" si="819"/>
        <v>0</v>
      </c>
      <c r="G384" s="298">
        <f t="shared" si="820"/>
        <v>0</v>
      </c>
      <c r="H384" s="298">
        <f t="shared" si="821"/>
        <v>0</v>
      </c>
      <c r="I384" s="299">
        <f t="shared" si="822"/>
        <v>0</v>
      </c>
      <c r="J384" s="300">
        <f t="shared" si="822"/>
        <v>0</v>
      </c>
      <c r="K384" s="300">
        <f t="shared" si="822"/>
        <v>0</v>
      </c>
      <c r="L384" s="300">
        <f t="shared" si="822"/>
        <v>0</v>
      </c>
      <c r="M384" s="301">
        <f t="shared" si="822"/>
        <v>0</v>
      </c>
      <c r="N384" s="298">
        <f t="shared" si="823"/>
        <v>0</v>
      </c>
      <c r="O384" s="299">
        <f t="shared" si="824"/>
        <v>0</v>
      </c>
      <c r="P384" s="300">
        <f t="shared" si="824"/>
        <v>0</v>
      </c>
      <c r="Q384" s="300">
        <f t="shared" si="824"/>
        <v>0</v>
      </c>
      <c r="R384" s="300">
        <f t="shared" si="824"/>
        <v>0</v>
      </c>
      <c r="S384" s="301">
        <f t="shared" si="824"/>
        <v>0</v>
      </c>
      <c r="T384" s="298">
        <f t="shared" si="825"/>
        <v>0</v>
      </c>
      <c r="U384" s="299">
        <f t="shared" si="826"/>
        <v>0</v>
      </c>
      <c r="V384" s="300">
        <f t="shared" si="826"/>
        <v>0</v>
      </c>
      <c r="W384" s="300">
        <f t="shared" si="826"/>
        <v>0</v>
      </c>
      <c r="X384" s="300">
        <f t="shared" si="826"/>
        <v>0</v>
      </c>
      <c r="Y384" s="302">
        <f t="shared" si="826"/>
        <v>0</v>
      </c>
      <c r="AA384" s="291"/>
      <c r="AB384" s="303"/>
      <c r="AC384" s="304"/>
      <c r="AD384" s="305" t="s">
        <v>33</v>
      </c>
      <c r="AE384" s="298">
        <f t="shared" si="827"/>
        <v>0</v>
      </c>
      <c r="AF384" s="299">
        <f t="shared" si="828"/>
        <v>0</v>
      </c>
      <c r="AG384" s="300">
        <f t="shared" si="828"/>
        <v>0</v>
      </c>
      <c r="AH384" s="300">
        <f t="shared" si="828"/>
        <v>0</v>
      </c>
      <c r="AI384" s="300">
        <f t="shared" si="828"/>
        <v>0</v>
      </c>
      <c r="AJ384" s="300">
        <f t="shared" si="828"/>
        <v>0</v>
      </c>
      <c r="AK384" s="300">
        <f t="shared" si="828"/>
        <v>0</v>
      </c>
      <c r="AL384" s="300">
        <f t="shared" si="828"/>
        <v>0</v>
      </c>
      <c r="AM384" s="300">
        <f t="shared" si="828"/>
        <v>0</v>
      </c>
      <c r="AN384" s="300">
        <f t="shared" si="828"/>
        <v>0</v>
      </c>
      <c r="AO384" s="300">
        <f t="shared" si="828"/>
        <v>0</v>
      </c>
      <c r="AP384" s="300">
        <f t="shared" si="828"/>
        <v>0</v>
      </c>
      <c r="AQ384" s="302">
        <f t="shared" si="828"/>
        <v>0</v>
      </c>
    </row>
    <row r="385" spans="2:43" ht="7.8" customHeight="1" x14ac:dyDescent="0.25">
      <c r="B385" s="282"/>
      <c r="C385" s="295"/>
      <c r="D385" s="306"/>
      <c r="E385" s="307" t="s">
        <v>30</v>
      </c>
      <c r="F385" s="308">
        <f t="shared" ref="F385:Y439" si="829">IFERROR(F384/F383,0)</f>
        <v>0</v>
      </c>
      <c r="G385" s="308">
        <f t="shared" si="829"/>
        <v>0</v>
      </c>
      <c r="H385" s="308">
        <f t="shared" si="829"/>
        <v>0</v>
      </c>
      <c r="I385" s="309">
        <f t="shared" si="829"/>
        <v>0</v>
      </c>
      <c r="J385" s="310">
        <f t="shared" si="829"/>
        <v>0</v>
      </c>
      <c r="K385" s="310">
        <f t="shared" si="829"/>
        <v>0</v>
      </c>
      <c r="L385" s="310">
        <f t="shared" si="829"/>
        <v>0</v>
      </c>
      <c r="M385" s="311">
        <f t="shared" si="829"/>
        <v>0</v>
      </c>
      <c r="N385" s="308">
        <f t="shared" si="829"/>
        <v>0</v>
      </c>
      <c r="O385" s="309">
        <f t="shared" si="829"/>
        <v>0</v>
      </c>
      <c r="P385" s="310">
        <f t="shared" si="829"/>
        <v>0</v>
      </c>
      <c r="Q385" s="310">
        <f t="shared" si="829"/>
        <v>0</v>
      </c>
      <c r="R385" s="310">
        <f t="shared" si="829"/>
        <v>0</v>
      </c>
      <c r="S385" s="311">
        <f t="shared" si="829"/>
        <v>0</v>
      </c>
      <c r="T385" s="308">
        <f t="shared" si="829"/>
        <v>0</v>
      </c>
      <c r="U385" s="309">
        <f t="shared" si="829"/>
        <v>0</v>
      </c>
      <c r="V385" s="310">
        <f t="shared" si="829"/>
        <v>0</v>
      </c>
      <c r="W385" s="310">
        <f t="shared" si="829"/>
        <v>0</v>
      </c>
      <c r="X385" s="310">
        <f t="shared" si="829"/>
        <v>0</v>
      </c>
      <c r="Y385" s="312">
        <f t="shared" si="829"/>
        <v>0</v>
      </c>
      <c r="AA385" s="291"/>
      <c r="AB385" s="303"/>
      <c r="AC385" s="313"/>
      <c r="AD385" s="314" t="s">
        <v>30</v>
      </c>
      <c r="AE385" s="308">
        <f t="shared" ref="AE385:AQ385" si="830">IFERROR(AE384/AE383,0)</f>
        <v>0</v>
      </c>
      <c r="AF385" s="309">
        <f t="shared" si="830"/>
        <v>0</v>
      </c>
      <c r="AG385" s="310">
        <f t="shared" si="830"/>
        <v>0</v>
      </c>
      <c r="AH385" s="310">
        <f t="shared" si="830"/>
        <v>0</v>
      </c>
      <c r="AI385" s="310">
        <f t="shared" si="830"/>
        <v>0</v>
      </c>
      <c r="AJ385" s="310">
        <f t="shared" si="830"/>
        <v>0</v>
      </c>
      <c r="AK385" s="310">
        <f t="shared" si="830"/>
        <v>0</v>
      </c>
      <c r="AL385" s="310">
        <f t="shared" si="830"/>
        <v>0</v>
      </c>
      <c r="AM385" s="310">
        <f t="shared" si="830"/>
        <v>0</v>
      </c>
      <c r="AN385" s="310">
        <f t="shared" si="830"/>
        <v>0</v>
      </c>
      <c r="AO385" s="310">
        <f t="shared" si="830"/>
        <v>0</v>
      </c>
      <c r="AP385" s="310">
        <f t="shared" si="830"/>
        <v>0</v>
      </c>
      <c r="AQ385" s="312">
        <f t="shared" si="830"/>
        <v>0</v>
      </c>
    </row>
    <row r="386" spans="2:43" ht="7.8" customHeight="1" x14ac:dyDescent="0.25">
      <c r="B386" s="282"/>
      <c r="C386" s="295"/>
      <c r="D386" s="315" t="s">
        <v>40</v>
      </c>
      <c r="E386" s="316" t="s">
        <v>32</v>
      </c>
      <c r="F386" s="317">
        <f t="shared" ref="F386:F387" si="831">SUM(G386,H386,N386,T386)</f>
        <v>7703</v>
      </c>
      <c r="G386" s="317">
        <f t="shared" si="729"/>
        <v>1064</v>
      </c>
      <c r="H386" s="317">
        <f t="shared" ref="H386:H387" si="832">SUM(I386:M386)</f>
        <v>416</v>
      </c>
      <c r="I386" s="318">
        <f t="shared" ref="I386:M387" si="833">SUM(I404,I422)</f>
        <v>83</v>
      </c>
      <c r="J386" s="319">
        <f t="shared" si="833"/>
        <v>24</v>
      </c>
      <c r="K386" s="319">
        <f t="shared" si="833"/>
        <v>309</v>
      </c>
      <c r="L386" s="319">
        <f t="shared" si="833"/>
        <v>0</v>
      </c>
      <c r="M386" s="320">
        <f t="shared" si="833"/>
        <v>0</v>
      </c>
      <c r="N386" s="317">
        <f t="shared" ref="N386:N387" si="834">SUM(O386:S386)</f>
        <v>1044</v>
      </c>
      <c r="O386" s="318">
        <f t="shared" ref="O386:S387" si="835">SUM(O404,O422)</f>
        <v>456</v>
      </c>
      <c r="P386" s="319">
        <f t="shared" si="835"/>
        <v>404</v>
      </c>
      <c r="Q386" s="319">
        <f t="shared" si="835"/>
        <v>177</v>
      </c>
      <c r="R386" s="319">
        <f t="shared" si="835"/>
        <v>0</v>
      </c>
      <c r="S386" s="320">
        <f t="shared" si="835"/>
        <v>7</v>
      </c>
      <c r="T386" s="317">
        <f t="shared" ref="T386:T387" si="836">SUM(U386:Y386)</f>
        <v>5179</v>
      </c>
      <c r="U386" s="318">
        <f t="shared" ref="U386:Y387" si="837">SUM(U404,U422)</f>
        <v>496</v>
      </c>
      <c r="V386" s="319">
        <f t="shared" si="837"/>
        <v>1561</v>
      </c>
      <c r="W386" s="319">
        <f t="shared" si="837"/>
        <v>2575</v>
      </c>
      <c r="X386" s="319">
        <f t="shared" si="837"/>
        <v>214</v>
      </c>
      <c r="Y386" s="321">
        <f t="shared" si="837"/>
        <v>333</v>
      </c>
      <c r="AA386" s="291"/>
      <c r="AB386" s="303"/>
      <c r="AC386" s="322" t="s">
        <v>40</v>
      </c>
      <c r="AD386" s="323" t="s">
        <v>32</v>
      </c>
      <c r="AE386" s="317">
        <f t="shared" ref="AE386:AE387" si="838">SUM(AF386:AQ386)</f>
        <v>1243</v>
      </c>
      <c r="AF386" s="318">
        <f t="shared" ref="AF386:AQ387" si="839">SUM(AF404,AF422)</f>
        <v>111</v>
      </c>
      <c r="AG386" s="319">
        <f t="shared" si="839"/>
        <v>154</v>
      </c>
      <c r="AH386" s="319">
        <f t="shared" si="839"/>
        <v>351</v>
      </c>
      <c r="AI386" s="319">
        <f t="shared" si="839"/>
        <v>32</v>
      </c>
      <c r="AJ386" s="319">
        <f t="shared" si="839"/>
        <v>41</v>
      </c>
      <c r="AK386" s="319">
        <f t="shared" si="839"/>
        <v>342</v>
      </c>
      <c r="AL386" s="319">
        <f t="shared" si="839"/>
        <v>0</v>
      </c>
      <c r="AM386" s="319">
        <f t="shared" si="839"/>
        <v>28</v>
      </c>
      <c r="AN386" s="319">
        <f t="shared" si="839"/>
        <v>88</v>
      </c>
      <c r="AO386" s="319">
        <f t="shared" si="839"/>
        <v>0</v>
      </c>
      <c r="AP386" s="319">
        <f t="shared" si="839"/>
        <v>96</v>
      </c>
      <c r="AQ386" s="321">
        <f t="shared" si="839"/>
        <v>0</v>
      </c>
    </row>
    <row r="387" spans="2:43" s="41" customFormat="1" ht="7.8" customHeight="1" x14ac:dyDescent="0.25">
      <c r="B387" s="282"/>
      <c r="C387" s="295"/>
      <c r="D387" s="296"/>
      <c r="E387" s="297" t="s">
        <v>33</v>
      </c>
      <c r="F387" s="298">
        <f t="shared" si="831"/>
        <v>1414966</v>
      </c>
      <c r="G387" s="298">
        <f t="shared" si="729"/>
        <v>165984</v>
      </c>
      <c r="H387" s="298">
        <f t="shared" si="832"/>
        <v>77060</v>
      </c>
      <c r="I387" s="299">
        <f t="shared" si="833"/>
        <v>15071</v>
      </c>
      <c r="J387" s="300">
        <f t="shared" si="833"/>
        <v>4320</v>
      </c>
      <c r="K387" s="300">
        <f t="shared" si="833"/>
        <v>57669</v>
      </c>
      <c r="L387" s="300">
        <f t="shared" si="833"/>
        <v>0</v>
      </c>
      <c r="M387" s="301">
        <f t="shared" si="833"/>
        <v>0</v>
      </c>
      <c r="N387" s="298">
        <f t="shared" si="834"/>
        <v>191936</v>
      </c>
      <c r="O387" s="299">
        <f t="shared" si="835"/>
        <v>84933</v>
      </c>
      <c r="P387" s="300">
        <f t="shared" si="835"/>
        <v>72920</v>
      </c>
      <c r="Q387" s="300">
        <f t="shared" si="835"/>
        <v>32823</v>
      </c>
      <c r="R387" s="300">
        <f t="shared" si="835"/>
        <v>0</v>
      </c>
      <c r="S387" s="301">
        <f t="shared" si="835"/>
        <v>1260</v>
      </c>
      <c r="T387" s="298">
        <f t="shared" si="836"/>
        <v>979986</v>
      </c>
      <c r="U387" s="299">
        <f t="shared" si="837"/>
        <v>115958.80000000002</v>
      </c>
      <c r="V387" s="300">
        <f t="shared" si="837"/>
        <v>304241.58</v>
      </c>
      <c r="W387" s="300">
        <f t="shared" si="837"/>
        <v>470966.62</v>
      </c>
      <c r="X387" s="300">
        <f t="shared" si="837"/>
        <v>40697</v>
      </c>
      <c r="Y387" s="302">
        <f t="shared" si="837"/>
        <v>48122</v>
      </c>
      <c r="AA387" s="291"/>
      <c r="AB387" s="303"/>
      <c r="AC387" s="304"/>
      <c r="AD387" s="305" t="s">
        <v>33</v>
      </c>
      <c r="AE387" s="298">
        <f t="shared" si="838"/>
        <v>215515</v>
      </c>
      <c r="AF387" s="299">
        <f t="shared" si="839"/>
        <v>22065</v>
      </c>
      <c r="AG387" s="300">
        <f t="shared" si="839"/>
        <v>29495</v>
      </c>
      <c r="AH387" s="300">
        <f t="shared" si="839"/>
        <v>59875</v>
      </c>
      <c r="AI387" s="300">
        <f t="shared" si="839"/>
        <v>4288</v>
      </c>
      <c r="AJ387" s="300">
        <f t="shared" si="839"/>
        <v>6355</v>
      </c>
      <c r="AK387" s="300">
        <f t="shared" si="839"/>
        <v>57325</v>
      </c>
      <c r="AL387" s="300">
        <f t="shared" si="839"/>
        <v>0</v>
      </c>
      <c r="AM387" s="300">
        <f t="shared" si="839"/>
        <v>6660</v>
      </c>
      <c r="AN387" s="300">
        <f t="shared" si="839"/>
        <v>13552</v>
      </c>
      <c r="AO387" s="300">
        <f t="shared" si="839"/>
        <v>0</v>
      </c>
      <c r="AP387" s="300">
        <f t="shared" si="839"/>
        <v>15900</v>
      </c>
      <c r="AQ387" s="302">
        <f t="shared" si="839"/>
        <v>0</v>
      </c>
    </row>
    <row r="388" spans="2:43" ht="7.8" customHeight="1" x14ac:dyDescent="0.25">
      <c r="B388" s="282"/>
      <c r="C388" s="295"/>
      <c r="D388" s="306"/>
      <c r="E388" s="307" t="s">
        <v>30</v>
      </c>
      <c r="F388" s="308">
        <f t="shared" ref="F388:Y442" si="840">IFERROR(F387/F386,0)</f>
        <v>183.6902505517331</v>
      </c>
      <c r="G388" s="308">
        <f t="shared" si="840"/>
        <v>156</v>
      </c>
      <c r="H388" s="308">
        <f t="shared" si="840"/>
        <v>185.24038461538461</v>
      </c>
      <c r="I388" s="309">
        <f t="shared" si="840"/>
        <v>181.57831325301206</v>
      </c>
      <c r="J388" s="310">
        <f t="shared" si="840"/>
        <v>180</v>
      </c>
      <c r="K388" s="310">
        <f t="shared" si="840"/>
        <v>186.63106796116506</v>
      </c>
      <c r="L388" s="310">
        <f t="shared" si="840"/>
        <v>0</v>
      </c>
      <c r="M388" s="311">
        <f t="shared" si="840"/>
        <v>0</v>
      </c>
      <c r="N388" s="308">
        <f t="shared" si="840"/>
        <v>183.84674329501917</v>
      </c>
      <c r="O388" s="309">
        <f t="shared" si="840"/>
        <v>186.25657894736841</v>
      </c>
      <c r="P388" s="310">
        <f t="shared" si="840"/>
        <v>180.49504950495049</v>
      </c>
      <c r="Q388" s="310">
        <f t="shared" si="840"/>
        <v>185.4406779661017</v>
      </c>
      <c r="R388" s="310">
        <f t="shared" si="840"/>
        <v>0</v>
      </c>
      <c r="S388" s="311">
        <f t="shared" si="840"/>
        <v>180</v>
      </c>
      <c r="T388" s="308">
        <f t="shared" si="840"/>
        <v>189.2230160262599</v>
      </c>
      <c r="U388" s="309">
        <f t="shared" si="840"/>
        <v>233.78790322580647</v>
      </c>
      <c r="V388" s="310">
        <f t="shared" si="840"/>
        <v>194.90171684817426</v>
      </c>
      <c r="W388" s="310">
        <f t="shared" si="840"/>
        <v>182.89965825242717</v>
      </c>
      <c r="X388" s="310">
        <f t="shared" si="840"/>
        <v>190.17289719626169</v>
      </c>
      <c r="Y388" s="312">
        <f t="shared" si="840"/>
        <v>144.5105105105105</v>
      </c>
      <c r="AA388" s="291"/>
      <c r="AB388" s="303"/>
      <c r="AC388" s="313"/>
      <c r="AD388" s="314" t="s">
        <v>30</v>
      </c>
      <c r="AE388" s="308">
        <f t="shared" ref="AE388:AQ388" si="841">IFERROR(AE387/AE386,0)</f>
        <v>173.38294448913919</v>
      </c>
      <c r="AF388" s="309">
        <f t="shared" si="841"/>
        <v>198.78378378378378</v>
      </c>
      <c r="AG388" s="310">
        <f t="shared" si="841"/>
        <v>191.52597402597402</v>
      </c>
      <c r="AH388" s="310">
        <f t="shared" si="841"/>
        <v>170.58404558404558</v>
      </c>
      <c r="AI388" s="310">
        <f t="shared" si="841"/>
        <v>134</v>
      </c>
      <c r="AJ388" s="310">
        <f t="shared" si="841"/>
        <v>155</v>
      </c>
      <c r="AK388" s="310">
        <f t="shared" si="841"/>
        <v>167.61695906432749</v>
      </c>
      <c r="AL388" s="310">
        <f t="shared" si="841"/>
        <v>0</v>
      </c>
      <c r="AM388" s="310">
        <f t="shared" si="841"/>
        <v>237.85714285714286</v>
      </c>
      <c r="AN388" s="310">
        <f t="shared" si="841"/>
        <v>154</v>
      </c>
      <c r="AO388" s="310">
        <f t="shared" si="841"/>
        <v>0</v>
      </c>
      <c r="AP388" s="310">
        <f t="shared" si="841"/>
        <v>165.625</v>
      </c>
      <c r="AQ388" s="312">
        <f t="shared" si="841"/>
        <v>0</v>
      </c>
    </row>
    <row r="389" spans="2:43" ht="7.8" customHeight="1" x14ac:dyDescent="0.25">
      <c r="B389" s="282"/>
      <c r="C389" s="295"/>
      <c r="D389" s="315" t="s">
        <v>41</v>
      </c>
      <c r="E389" s="316" t="s">
        <v>32</v>
      </c>
      <c r="F389" s="317">
        <f t="shared" ref="F389:F390" si="842">SUM(G389,H389,N389,T389)</f>
        <v>7746</v>
      </c>
      <c r="G389" s="317">
        <f t="shared" si="740"/>
        <v>960</v>
      </c>
      <c r="H389" s="317">
        <f t="shared" ref="H389:H390" si="843">SUM(I389:M389)</f>
        <v>237</v>
      </c>
      <c r="I389" s="318">
        <f t="shared" ref="I389:M390" si="844">SUM(I407,I425)</f>
        <v>67</v>
      </c>
      <c r="J389" s="319">
        <f t="shared" si="844"/>
        <v>158</v>
      </c>
      <c r="K389" s="319">
        <f t="shared" si="844"/>
        <v>0</v>
      </c>
      <c r="L389" s="319">
        <f t="shared" si="844"/>
        <v>0</v>
      </c>
      <c r="M389" s="320">
        <f t="shared" si="844"/>
        <v>12</v>
      </c>
      <c r="N389" s="317">
        <f t="shared" ref="N389:N390" si="845">SUM(O389:S389)</f>
        <v>762</v>
      </c>
      <c r="O389" s="318">
        <f t="shared" ref="O389:S390" si="846">SUM(O407,O425)</f>
        <v>498</v>
      </c>
      <c r="P389" s="319">
        <f t="shared" si="846"/>
        <v>194</v>
      </c>
      <c r="Q389" s="319">
        <f t="shared" si="846"/>
        <v>60</v>
      </c>
      <c r="R389" s="319">
        <f t="shared" si="846"/>
        <v>0</v>
      </c>
      <c r="S389" s="320">
        <f t="shared" si="846"/>
        <v>10</v>
      </c>
      <c r="T389" s="317">
        <f t="shared" ref="T389:T390" si="847">SUM(U389:Y389)</f>
        <v>5787</v>
      </c>
      <c r="U389" s="318">
        <f t="shared" ref="U389:Y390" si="848">SUM(U407,U425)</f>
        <v>385</v>
      </c>
      <c r="V389" s="319">
        <f t="shared" si="848"/>
        <v>4108</v>
      </c>
      <c r="W389" s="319">
        <f t="shared" si="848"/>
        <v>1099</v>
      </c>
      <c r="X389" s="319">
        <f t="shared" si="848"/>
        <v>125</v>
      </c>
      <c r="Y389" s="321">
        <f t="shared" si="848"/>
        <v>70</v>
      </c>
      <c r="AA389" s="291"/>
      <c r="AB389" s="303"/>
      <c r="AC389" s="322" t="s">
        <v>41</v>
      </c>
      <c r="AD389" s="323" t="s">
        <v>32</v>
      </c>
      <c r="AE389" s="317">
        <f t="shared" ref="AE389:AE390" si="849">SUM(AF389:AQ389)</f>
        <v>643</v>
      </c>
      <c r="AF389" s="318">
        <f t="shared" ref="AF389:AQ390" si="850">SUM(AF407,AF425)</f>
        <v>45</v>
      </c>
      <c r="AG389" s="319">
        <f t="shared" si="850"/>
        <v>0</v>
      </c>
      <c r="AH389" s="319">
        <f t="shared" si="850"/>
        <v>476</v>
      </c>
      <c r="AI389" s="319">
        <f t="shared" si="850"/>
        <v>77</v>
      </c>
      <c r="AJ389" s="319">
        <f t="shared" si="850"/>
        <v>33</v>
      </c>
      <c r="AK389" s="319">
        <f t="shared" si="850"/>
        <v>0</v>
      </c>
      <c r="AL389" s="319">
        <f t="shared" si="850"/>
        <v>12</v>
      </c>
      <c r="AM389" s="319">
        <f t="shared" si="850"/>
        <v>0</v>
      </c>
      <c r="AN389" s="319">
        <f t="shared" si="850"/>
        <v>0</v>
      </c>
      <c r="AO389" s="319">
        <f t="shared" si="850"/>
        <v>0</v>
      </c>
      <c r="AP389" s="319">
        <f t="shared" si="850"/>
        <v>0</v>
      </c>
      <c r="AQ389" s="321">
        <f t="shared" si="850"/>
        <v>0</v>
      </c>
    </row>
    <row r="390" spans="2:43" s="41" customFormat="1" ht="7.8" customHeight="1" x14ac:dyDescent="0.25">
      <c r="B390" s="282"/>
      <c r="C390" s="295"/>
      <c r="D390" s="296"/>
      <c r="E390" s="297" t="s">
        <v>33</v>
      </c>
      <c r="F390" s="298">
        <f t="shared" si="842"/>
        <v>1329330.8500000001</v>
      </c>
      <c r="G390" s="298">
        <f t="shared" si="740"/>
        <v>149694</v>
      </c>
      <c r="H390" s="298">
        <f t="shared" si="843"/>
        <v>41955</v>
      </c>
      <c r="I390" s="299">
        <f t="shared" si="844"/>
        <v>11470</v>
      </c>
      <c r="J390" s="300">
        <f t="shared" si="844"/>
        <v>28025</v>
      </c>
      <c r="K390" s="300">
        <f t="shared" si="844"/>
        <v>0</v>
      </c>
      <c r="L390" s="300">
        <f t="shared" si="844"/>
        <v>0</v>
      </c>
      <c r="M390" s="301">
        <f t="shared" si="844"/>
        <v>2460</v>
      </c>
      <c r="N390" s="298">
        <f t="shared" si="845"/>
        <v>134791</v>
      </c>
      <c r="O390" s="299">
        <f t="shared" si="846"/>
        <v>90239</v>
      </c>
      <c r="P390" s="300">
        <f t="shared" si="846"/>
        <v>32552</v>
      </c>
      <c r="Q390" s="300">
        <f t="shared" si="846"/>
        <v>10290</v>
      </c>
      <c r="R390" s="300">
        <f t="shared" si="846"/>
        <v>0</v>
      </c>
      <c r="S390" s="301">
        <f t="shared" si="846"/>
        <v>1710</v>
      </c>
      <c r="T390" s="298">
        <f t="shared" si="847"/>
        <v>1002890.85</v>
      </c>
      <c r="U390" s="299">
        <f t="shared" si="848"/>
        <v>86619.120000000039</v>
      </c>
      <c r="V390" s="300">
        <f t="shared" si="848"/>
        <v>675249.02</v>
      </c>
      <c r="W390" s="300">
        <f t="shared" si="848"/>
        <v>207301.15999999992</v>
      </c>
      <c r="X390" s="300">
        <f t="shared" si="848"/>
        <v>23718</v>
      </c>
      <c r="Y390" s="302">
        <f t="shared" si="848"/>
        <v>10003.550000000001</v>
      </c>
      <c r="AA390" s="291"/>
      <c r="AB390" s="303"/>
      <c r="AC390" s="304"/>
      <c r="AD390" s="305" t="s">
        <v>33</v>
      </c>
      <c r="AE390" s="298">
        <f t="shared" si="849"/>
        <v>112687</v>
      </c>
      <c r="AF390" s="299">
        <f t="shared" si="850"/>
        <v>9330</v>
      </c>
      <c r="AG390" s="300">
        <f t="shared" si="850"/>
        <v>0</v>
      </c>
      <c r="AH390" s="300">
        <f t="shared" si="850"/>
        <v>83515</v>
      </c>
      <c r="AI390" s="300">
        <f t="shared" si="850"/>
        <v>12057</v>
      </c>
      <c r="AJ390" s="300">
        <f t="shared" si="850"/>
        <v>5325</v>
      </c>
      <c r="AK390" s="300">
        <f t="shared" si="850"/>
        <v>0</v>
      </c>
      <c r="AL390" s="300">
        <f t="shared" si="850"/>
        <v>2460</v>
      </c>
      <c r="AM390" s="300">
        <f t="shared" si="850"/>
        <v>0</v>
      </c>
      <c r="AN390" s="300">
        <f t="shared" si="850"/>
        <v>0</v>
      </c>
      <c r="AO390" s="300">
        <f t="shared" si="850"/>
        <v>0</v>
      </c>
      <c r="AP390" s="300">
        <f t="shared" si="850"/>
        <v>0</v>
      </c>
      <c r="AQ390" s="302">
        <f t="shared" si="850"/>
        <v>0</v>
      </c>
    </row>
    <row r="391" spans="2:43" ht="7.8" customHeight="1" x14ac:dyDescent="0.25">
      <c r="B391" s="282"/>
      <c r="C391" s="295"/>
      <c r="D391" s="306"/>
      <c r="E391" s="307" t="s">
        <v>30</v>
      </c>
      <c r="F391" s="308">
        <f t="shared" ref="F391:Y445" si="851">IFERROR(F390/F389,0)</f>
        <v>171.61513684482316</v>
      </c>
      <c r="G391" s="308">
        <f t="shared" si="851"/>
        <v>155.93125000000001</v>
      </c>
      <c r="H391" s="308">
        <f t="shared" si="851"/>
        <v>177.02531645569621</v>
      </c>
      <c r="I391" s="309">
        <f t="shared" si="851"/>
        <v>171.19402985074626</v>
      </c>
      <c r="J391" s="310">
        <f t="shared" si="851"/>
        <v>177.37341772151899</v>
      </c>
      <c r="K391" s="310">
        <f t="shared" si="851"/>
        <v>0</v>
      </c>
      <c r="L391" s="310">
        <f t="shared" si="851"/>
        <v>0</v>
      </c>
      <c r="M391" s="311">
        <f t="shared" si="851"/>
        <v>205</v>
      </c>
      <c r="N391" s="308">
        <f t="shared" si="851"/>
        <v>176.89107611548556</v>
      </c>
      <c r="O391" s="309">
        <f t="shared" si="851"/>
        <v>181.20281124497993</v>
      </c>
      <c r="P391" s="310">
        <f t="shared" si="851"/>
        <v>167.79381443298968</v>
      </c>
      <c r="Q391" s="310">
        <f t="shared" si="851"/>
        <v>171.5</v>
      </c>
      <c r="R391" s="310">
        <f t="shared" si="851"/>
        <v>0</v>
      </c>
      <c r="S391" s="311">
        <f t="shared" si="851"/>
        <v>171</v>
      </c>
      <c r="T391" s="308">
        <f t="shared" si="851"/>
        <v>173.30064800414723</v>
      </c>
      <c r="U391" s="309">
        <f t="shared" si="851"/>
        <v>224.98472727272738</v>
      </c>
      <c r="V391" s="310">
        <f t="shared" si="851"/>
        <v>164.37415287244403</v>
      </c>
      <c r="W391" s="310">
        <f t="shared" si="851"/>
        <v>188.62707916287528</v>
      </c>
      <c r="X391" s="310">
        <f t="shared" si="851"/>
        <v>189.744</v>
      </c>
      <c r="Y391" s="312">
        <f t="shared" si="851"/>
        <v>142.90785714285715</v>
      </c>
      <c r="AA391" s="291"/>
      <c r="AB391" s="303"/>
      <c r="AC391" s="313"/>
      <c r="AD391" s="314" t="s">
        <v>30</v>
      </c>
      <c r="AE391" s="308">
        <f t="shared" ref="AE391:AQ391" si="852">IFERROR(AE390/AE389,0)</f>
        <v>175.25194401244167</v>
      </c>
      <c r="AF391" s="309">
        <f t="shared" si="852"/>
        <v>207.33333333333334</v>
      </c>
      <c r="AG391" s="310">
        <f t="shared" si="852"/>
        <v>0</v>
      </c>
      <c r="AH391" s="310">
        <f t="shared" si="852"/>
        <v>175.45168067226891</v>
      </c>
      <c r="AI391" s="310">
        <f t="shared" si="852"/>
        <v>156.58441558441558</v>
      </c>
      <c r="AJ391" s="310">
        <f t="shared" si="852"/>
        <v>161.36363636363637</v>
      </c>
      <c r="AK391" s="310">
        <f t="shared" si="852"/>
        <v>0</v>
      </c>
      <c r="AL391" s="310">
        <f t="shared" si="852"/>
        <v>205</v>
      </c>
      <c r="AM391" s="310">
        <f t="shared" si="852"/>
        <v>0</v>
      </c>
      <c r="AN391" s="310">
        <f t="shared" si="852"/>
        <v>0</v>
      </c>
      <c r="AO391" s="310">
        <f t="shared" si="852"/>
        <v>0</v>
      </c>
      <c r="AP391" s="310">
        <f t="shared" si="852"/>
        <v>0</v>
      </c>
      <c r="AQ391" s="312">
        <f t="shared" si="852"/>
        <v>0</v>
      </c>
    </row>
    <row r="392" spans="2:43" ht="7.8" customHeight="1" x14ac:dyDescent="0.25">
      <c r="B392" s="282"/>
      <c r="C392" s="295"/>
      <c r="D392" s="324" t="s">
        <v>42</v>
      </c>
      <c r="E392" s="325" t="s">
        <v>32</v>
      </c>
      <c r="F392" s="326">
        <f t="shared" ref="F392:F393" si="853">SUM(G392,H392,N392,T392)</f>
        <v>7375</v>
      </c>
      <c r="G392" s="326">
        <f t="shared" si="751"/>
        <v>0</v>
      </c>
      <c r="H392" s="326">
        <f t="shared" ref="H392:H393" si="854">SUM(I392:M392)</f>
        <v>255</v>
      </c>
      <c r="I392" s="327">
        <f t="shared" ref="I392:M393" si="855">SUM(I410,I428)</f>
        <v>150</v>
      </c>
      <c r="J392" s="328">
        <f t="shared" si="855"/>
        <v>45</v>
      </c>
      <c r="K392" s="328">
        <f t="shared" si="855"/>
        <v>60</v>
      </c>
      <c r="L392" s="328">
        <f t="shared" si="855"/>
        <v>0</v>
      </c>
      <c r="M392" s="329">
        <f t="shared" si="855"/>
        <v>0</v>
      </c>
      <c r="N392" s="326">
        <f t="shared" ref="N392:N393" si="856">SUM(O392:S392)</f>
        <v>820</v>
      </c>
      <c r="O392" s="327">
        <f t="shared" ref="O392:S393" si="857">SUM(O410,O428)</f>
        <v>400</v>
      </c>
      <c r="P392" s="328">
        <f t="shared" si="857"/>
        <v>355</v>
      </c>
      <c r="Q392" s="328">
        <f t="shared" si="857"/>
        <v>65</v>
      </c>
      <c r="R392" s="328">
        <f t="shared" si="857"/>
        <v>0</v>
      </c>
      <c r="S392" s="329">
        <f t="shared" si="857"/>
        <v>0</v>
      </c>
      <c r="T392" s="326">
        <f t="shared" ref="T392:T393" si="858">SUM(U392:Y392)</f>
        <v>6300</v>
      </c>
      <c r="U392" s="327">
        <f t="shared" ref="U392:Y393" si="859">SUM(U410,U428)</f>
        <v>800</v>
      </c>
      <c r="V392" s="328">
        <f t="shared" si="859"/>
        <v>3100</v>
      </c>
      <c r="W392" s="328">
        <f t="shared" si="859"/>
        <v>1600</v>
      </c>
      <c r="X392" s="328">
        <f t="shared" si="859"/>
        <v>100</v>
      </c>
      <c r="Y392" s="330">
        <f t="shared" si="859"/>
        <v>700</v>
      </c>
      <c r="AA392" s="291"/>
      <c r="AB392" s="303"/>
      <c r="AC392" s="331" t="s">
        <v>42</v>
      </c>
      <c r="AD392" s="332" t="s">
        <v>32</v>
      </c>
      <c r="AE392" s="333">
        <f t="shared" ref="AE392:AE393" si="860">SUM(AF392:AQ392)</f>
        <v>240</v>
      </c>
      <c r="AF392" s="334">
        <f t="shared" ref="AF392:AQ393" si="861">SUM(AF410,AF428)</f>
        <v>0</v>
      </c>
      <c r="AG392" s="335">
        <f t="shared" si="861"/>
        <v>0</v>
      </c>
      <c r="AH392" s="335">
        <f t="shared" si="861"/>
        <v>0</v>
      </c>
      <c r="AI392" s="335">
        <f t="shared" si="861"/>
        <v>70</v>
      </c>
      <c r="AJ392" s="335">
        <f t="shared" si="861"/>
        <v>70</v>
      </c>
      <c r="AK392" s="335">
        <f t="shared" si="861"/>
        <v>0</v>
      </c>
      <c r="AL392" s="335">
        <f t="shared" si="861"/>
        <v>0</v>
      </c>
      <c r="AM392" s="335">
        <f t="shared" si="861"/>
        <v>0</v>
      </c>
      <c r="AN392" s="335">
        <f t="shared" si="861"/>
        <v>0</v>
      </c>
      <c r="AO392" s="335">
        <f t="shared" si="861"/>
        <v>0</v>
      </c>
      <c r="AP392" s="335">
        <f t="shared" si="861"/>
        <v>100</v>
      </c>
      <c r="AQ392" s="336">
        <f t="shared" si="861"/>
        <v>0</v>
      </c>
    </row>
    <row r="393" spans="2:43" s="41" customFormat="1" ht="7.8" customHeight="1" x14ac:dyDescent="0.25">
      <c r="B393" s="282"/>
      <c r="C393" s="295"/>
      <c r="D393" s="337"/>
      <c r="E393" s="338" t="s">
        <v>33</v>
      </c>
      <c r="F393" s="339">
        <f t="shared" si="853"/>
        <v>1372310</v>
      </c>
      <c r="G393" s="339">
        <f t="shared" si="751"/>
        <v>0</v>
      </c>
      <c r="H393" s="339">
        <f t="shared" si="854"/>
        <v>44625</v>
      </c>
      <c r="I393" s="340">
        <f t="shared" si="855"/>
        <v>26250</v>
      </c>
      <c r="J393" s="341">
        <f t="shared" si="855"/>
        <v>7875</v>
      </c>
      <c r="K393" s="341">
        <f t="shared" si="855"/>
        <v>10500</v>
      </c>
      <c r="L393" s="341">
        <f t="shared" si="855"/>
        <v>0</v>
      </c>
      <c r="M393" s="342">
        <f t="shared" si="855"/>
        <v>0</v>
      </c>
      <c r="N393" s="339">
        <f t="shared" si="856"/>
        <v>143585</v>
      </c>
      <c r="O393" s="340">
        <f t="shared" si="857"/>
        <v>72000</v>
      </c>
      <c r="P393" s="341">
        <f t="shared" si="857"/>
        <v>60350</v>
      </c>
      <c r="Q393" s="341">
        <f t="shared" si="857"/>
        <v>11235</v>
      </c>
      <c r="R393" s="341">
        <f t="shared" si="857"/>
        <v>0</v>
      </c>
      <c r="S393" s="342">
        <f t="shared" si="857"/>
        <v>0</v>
      </c>
      <c r="T393" s="339">
        <f t="shared" si="858"/>
        <v>1184100</v>
      </c>
      <c r="U393" s="340">
        <f t="shared" si="859"/>
        <v>164000</v>
      </c>
      <c r="V393" s="341">
        <f t="shared" si="859"/>
        <v>567300</v>
      </c>
      <c r="W393" s="341">
        <f t="shared" si="859"/>
        <v>288000</v>
      </c>
      <c r="X393" s="341">
        <f t="shared" si="859"/>
        <v>18500</v>
      </c>
      <c r="Y393" s="343">
        <f t="shared" si="859"/>
        <v>146300</v>
      </c>
      <c r="AA393" s="291"/>
      <c r="AB393" s="303"/>
      <c r="AC393" s="344"/>
      <c r="AD393" s="345" t="s">
        <v>33</v>
      </c>
      <c r="AE393" s="346">
        <f t="shared" si="860"/>
        <v>36550</v>
      </c>
      <c r="AF393" s="347">
        <f t="shared" si="861"/>
        <v>0</v>
      </c>
      <c r="AG393" s="348">
        <f t="shared" si="861"/>
        <v>0</v>
      </c>
      <c r="AH393" s="348">
        <f t="shared" si="861"/>
        <v>0</v>
      </c>
      <c r="AI393" s="348">
        <f t="shared" si="861"/>
        <v>10600</v>
      </c>
      <c r="AJ393" s="348">
        <f t="shared" si="861"/>
        <v>10950</v>
      </c>
      <c r="AK393" s="348">
        <f t="shared" si="861"/>
        <v>0</v>
      </c>
      <c r="AL393" s="348">
        <f t="shared" si="861"/>
        <v>0</v>
      </c>
      <c r="AM393" s="348">
        <f t="shared" si="861"/>
        <v>0</v>
      </c>
      <c r="AN393" s="348">
        <f t="shared" si="861"/>
        <v>0</v>
      </c>
      <c r="AO393" s="348">
        <f t="shared" si="861"/>
        <v>0</v>
      </c>
      <c r="AP393" s="348">
        <f t="shared" si="861"/>
        <v>15000</v>
      </c>
      <c r="AQ393" s="349">
        <f t="shared" si="861"/>
        <v>0</v>
      </c>
    </row>
    <row r="394" spans="2:43" ht="7.8" customHeight="1" x14ac:dyDescent="0.25">
      <c r="B394" s="282"/>
      <c r="C394" s="295"/>
      <c r="D394" s="350"/>
      <c r="E394" s="351" t="s">
        <v>30</v>
      </c>
      <c r="F394" s="352">
        <f t="shared" ref="F394:Y448" si="862">IFERROR(F393/F392,0)</f>
        <v>186.07593220338984</v>
      </c>
      <c r="G394" s="352">
        <f t="shared" si="862"/>
        <v>0</v>
      </c>
      <c r="H394" s="352">
        <f t="shared" si="862"/>
        <v>175</v>
      </c>
      <c r="I394" s="353">
        <f t="shared" si="862"/>
        <v>175</v>
      </c>
      <c r="J394" s="354">
        <f t="shared" si="862"/>
        <v>175</v>
      </c>
      <c r="K394" s="354">
        <f t="shared" si="862"/>
        <v>175</v>
      </c>
      <c r="L394" s="354">
        <f t="shared" si="862"/>
        <v>0</v>
      </c>
      <c r="M394" s="355">
        <f t="shared" si="862"/>
        <v>0</v>
      </c>
      <c r="N394" s="352">
        <f t="shared" si="862"/>
        <v>175.10365853658536</v>
      </c>
      <c r="O394" s="353">
        <f t="shared" si="862"/>
        <v>180</v>
      </c>
      <c r="P394" s="354">
        <f t="shared" si="862"/>
        <v>170</v>
      </c>
      <c r="Q394" s="354">
        <f t="shared" si="862"/>
        <v>172.84615384615384</v>
      </c>
      <c r="R394" s="354">
        <f t="shared" si="862"/>
        <v>0</v>
      </c>
      <c r="S394" s="355">
        <f t="shared" si="862"/>
        <v>0</v>
      </c>
      <c r="T394" s="352">
        <f t="shared" si="862"/>
        <v>187.95238095238096</v>
      </c>
      <c r="U394" s="353">
        <f t="shared" si="862"/>
        <v>205</v>
      </c>
      <c r="V394" s="354">
        <f t="shared" si="862"/>
        <v>183</v>
      </c>
      <c r="W394" s="354">
        <f t="shared" si="862"/>
        <v>180</v>
      </c>
      <c r="X394" s="354">
        <f t="shared" si="862"/>
        <v>185</v>
      </c>
      <c r="Y394" s="356">
        <f t="shared" si="862"/>
        <v>209</v>
      </c>
      <c r="AA394" s="291"/>
      <c r="AB394" s="303"/>
      <c r="AC394" s="357"/>
      <c r="AD394" s="358" t="s">
        <v>30</v>
      </c>
      <c r="AE394" s="359">
        <f t="shared" ref="AE394:AQ394" si="863">IFERROR(AE393/AE392,0)</f>
        <v>152.29166666666666</v>
      </c>
      <c r="AF394" s="360">
        <f t="shared" si="863"/>
        <v>0</v>
      </c>
      <c r="AG394" s="361">
        <f t="shared" si="863"/>
        <v>0</v>
      </c>
      <c r="AH394" s="361">
        <f t="shared" si="863"/>
        <v>0</v>
      </c>
      <c r="AI394" s="361">
        <f t="shared" si="863"/>
        <v>151.42857142857142</v>
      </c>
      <c r="AJ394" s="361">
        <f t="shared" si="863"/>
        <v>156.42857142857142</v>
      </c>
      <c r="AK394" s="361">
        <f t="shared" si="863"/>
        <v>0</v>
      </c>
      <c r="AL394" s="361">
        <f t="shared" si="863"/>
        <v>0</v>
      </c>
      <c r="AM394" s="361">
        <f t="shared" si="863"/>
        <v>0</v>
      </c>
      <c r="AN394" s="361">
        <f t="shared" si="863"/>
        <v>0</v>
      </c>
      <c r="AO394" s="361">
        <f t="shared" si="863"/>
        <v>0</v>
      </c>
      <c r="AP394" s="361">
        <f t="shared" si="863"/>
        <v>150</v>
      </c>
      <c r="AQ394" s="362">
        <f t="shared" si="863"/>
        <v>0</v>
      </c>
    </row>
    <row r="395" spans="2:43" ht="7.8" customHeight="1" x14ac:dyDescent="0.25">
      <c r="B395" s="282"/>
      <c r="C395" s="295"/>
      <c r="D395" s="363" t="s">
        <v>43</v>
      </c>
      <c r="E395" s="316" t="s">
        <v>32</v>
      </c>
      <c r="F395" s="317">
        <f t="shared" ref="F395:Y397" si="864">F392-F389</f>
        <v>-371</v>
      </c>
      <c r="G395" s="317">
        <f t="shared" si="864"/>
        <v>-960</v>
      </c>
      <c r="H395" s="317">
        <f t="shared" si="864"/>
        <v>18</v>
      </c>
      <c r="I395" s="318">
        <f t="shared" si="864"/>
        <v>83</v>
      </c>
      <c r="J395" s="319">
        <f t="shared" si="864"/>
        <v>-113</v>
      </c>
      <c r="K395" s="319">
        <f t="shared" si="864"/>
        <v>60</v>
      </c>
      <c r="L395" s="319">
        <f t="shared" si="864"/>
        <v>0</v>
      </c>
      <c r="M395" s="320">
        <f t="shared" si="864"/>
        <v>-12</v>
      </c>
      <c r="N395" s="317">
        <f t="shared" si="864"/>
        <v>58</v>
      </c>
      <c r="O395" s="318">
        <f t="shared" si="864"/>
        <v>-98</v>
      </c>
      <c r="P395" s="319">
        <f t="shared" si="864"/>
        <v>161</v>
      </c>
      <c r="Q395" s="319">
        <f t="shared" si="864"/>
        <v>5</v>
      </c>
      <c r="R395" s="319">
        <f t="shared" si="864"/>
        <v>0</v>
      </c>
      <c r="S395" s="320">
        <f t="shared" si="864"/>
        <v>-10</v>
      </c>
      <c r="T395" s="317">
        <f t="shared" si="864"/>
        <v>513</v>
      </c>
      <c r="U395" s="318">
        <f t="shared" si="864"/>
        <v>415</v>
      </c>
      <c r="V395" s="319">
        <f t="shared" si="864"/>
        <v>-1008</v>
      </c>
      <c r="W395" s="319">
        <f t="shared" si="864"/>
        <v>501</v>
      </c>
      <c r="X395" s="319">
        <f t="shared" si="864"/>
        <v>-25</v>
      </c>
      <c r="Y395" s="321">
        <f t="shared" si="864"/>
        <v>630</v>
      </c>
      <c r="AA395" s="291"/>
      <c r="AB395" s="303"/>
      <c r="AC395" s="364" t="s">
        <v>43</v>
      </c>
      <c r="AD395" s="323" t="s">
        <v>32</v>
      </c>
      <c r="AE395" s="317">
        <f t="shared" ref="AE395:AQ397" si="865">AE392-AE389</f>
        <v>-403</v>
      </c>
      <c r="AF395" s="318">
        <f t="shared" si="865"/>
        <v>-45</v>
      </c>
      <c r="AG395" s="319">
        <f t="shared" si="865"/>
        <v>0</v>
      </c>
      <c r="AH395" s="319">
        <f t="shared" si="865"/>
        <v>-476</v>
      </c>
      <c r="AI395" s="319">
        <f t="shared" si="865"/>
        <v>-7</v>
      </c>
      <c r="AJ395" s="319">
        <f t="shared" si="865"/>
        <v>37</v>
      </c>
      <c r="AK395" s="319">
        <f t="shared" si="865"/>
        <v>0</v>
      </c>
      <c r="AL395" s="319">
        <f t="shared" si="865"/>
        <v>-12</v>
      </c>
      <c r="AM395" s="319">
        <f t="shared" si="865"/>
        <v>0</v>
      </c>
      <c r="AN395" s="319">
        <f t="shared" si="865"/>
        <v>0</v>
      </c>
      <c r="AO395" s="319">
        <f t="shared" si="865"/>
        <v>0</v>
      </c>
      <c r="AP395" s="319">
        <f t="shared" si="865"/>
        <v>100</v>
      </c>
      <c r="AQ395" s="321">
        <f t="shared" si="865"/>
        <v>0</v>
      </c>
    </row>
    <row r="396" spans="2:43" s="366" customFormat="1" ht="7.8" customHeight="1" x14ac:dyDescent="0.25">
      <c r="B396" s="282"/>
      <c r="C396" s="295"/>
      <c r="D396" s="296"/>
      <c r="E396" s="365" t="s">
        <v>33</v>
      </c>
      <c r="F396" s="298">
        <f t="shared" si="864"/>
        <v>42979.149999999907</v>
      </c>
      <c r="G396" s="298">
        <f t="shared" si="864"/>
        <v>-149694</v>
      </c>
      <c r="H396" s="298">
        <f t="shared" si="864"/>
        <v>2670</v>
      </c>
      <c r="I396" s="299">
        <f t="shared" si="864"/>
        <v>14780</v>
      </c>
      <c r="J396" s="300">
        <f t="shared" si="864"/>
        <v>-20150</v>
      </c>
      <c r="K396" s="300">
        <f t="shared" si="864"/>
        <v>10500</v>
      </c>
      <c r="L396" s="300">
        <f t="shared" si="864"/>
        <v>0</v>
      </c>
      <c r="M396" s="301">
        <f t="shared" si="864"/>
        <v>-2460</v>
      </c>
      <c r="N396" s="298">
        <f t="shared" si="864"/>
        <v>8794</v>
      </c>
      <c r="O396" s="299">
        <f t="shared" si="864"/>
        <v>-18239</v>
      </c>
      <c r="P396" s="300">
        <f t="shared" si="864"/>
        <v>27798</v>
      </c>
      <c r="Q396" s="300">
        <f t="shared" si="864"/>
        <v>945</v>
      </c>
      <c r="R396" s="300">
        <f t="shared" si="864"/>
        <v>0</v>
      </c>
      <c r="S396" s="301">
        <f t="shared" si="864"/>
        <v>-1710</v>
      </c>
      <c r="T396" s="298">
        <f t="shared" si="864"/>
        <v>181209.15000000002</v>
      </c>
      <c r="U396" s="299">
        <f t="shared" si="864"/>
        <v>77380.879999999961</v>
      </c>
      <c r="V396" s="300">
        <f t="shared" si="864"/>
        <v>-107949.02000000002</v>
      </c>
      <c r="W396" s="300">
        <f t="shared" si="864"/>
        <v>80698.840000000084</v>
      </c>
      <c r="X396" s="300">
        <f t="shared" si="864"/>
        <v>-5218</v>
      </c>
      <c r="Y396" s="302">
        <f t="shared" si="864"/>
        <v>136296.45000000001</v>
      </c>
      <c r="AA396" s="291"/>
      <c r="AB396" s="303"/>
      <c r="AC396" s="367"/>
      <c r="AD396" s="368" t="s">
        <v>33</v>
      </c>
      <c r="AE396" s="298">
        <f t="shared" si="865"/>
        <v>-76137</v>
      </c>
      <c r="AF396" s="299">
        <f t="shared" si="865"/>
        <v>-9330</v>
      </c>
      <c r="AG396" s="300">
        <f t="shared" si="865"/>
        <v>0</v>
      </c>
      <c r="AH396" s="300">
        <f t="shared" si="865"/>
        <v>-83515</v>
      </c>
      <c r="AI396" s="300">
        <f t="shared" si="865"/>
        <v>-1457</v>
      </c>
      <c r="AJ396" s="300">
        <f t="shared" si="865"/>
        <v>5625</v>
      </c>
      <c r="AK396" s="300">
        <f t="shared" si="865"/>
        <v>0</v>
      </c>
      <c r="AL396" s="300">
        <f t="shared" si="865"/>
        <v>-2460</v>
      </c>
      <c r="AM396" s="300">
        <f t="shared" si="865"/>
        <v>0</v>
      </c>
      <c r="AN396" s="300">
        <f t="shared" si="865"/>
        <v>0</v>
      </c>
      <c r="AO396" s="300">
        <f t="shared" si="865"/>
        <v>0</v>
      </c>
      <c r="AP396" s="300">
        <f t="shared" si="865"/>
        <v>15000</v>
      </c>
      <c r="AQ396" s="302">
        <f t="shared" si="865"/>
        <v>0</v>
      </c>
    </row>
    <row r="397" spans="2:43" ht="7.8" customHeight="1" x14ac:dyDescent="0.25">
      <c r="B397" s="282"/>
      <c r="C397" s="295"/>
      <c r="D397" s="306"/>
      <c r="E397" s="307" t="s">
        <v>30</v>
      </c>
      <c r="F397" s="308">
        <f t="shared" si="864"/>
        <v>14.460795358566685</v>
      </c>
      <c r="G397" s="308">
        <f t="shared" si="864"/>
        <v>-155.93125000000001</v>
      </c>
      <c r="H397" s="308">
        <f t="shared" si="864"/>
        <v>-2.0253164556962133</v>
      </c>
      <c r="I397" s="309">
        <f t="shared" si="864"/>
        <v>3.8059701492537386</v>
      </c>
      <c r="J397" s="310">
        <f t="shared" si="864"/>
        <v>-2.3734177215189902</v>
      </c>
      <c r="K397" s="310">
        <f t="shared" si="864"/>
        <v>175</v>
      </c>
      <c r="L397" s="310">
        <f t="shared" si="864"/>
        <v>0</v>
      </c>
      <c r="M397" s="311">
        <f t="shared" si="864"/>
        <v>-205</v>
      </c>
      <c r="N397" s="308">
        <f t="shared" si="864"/>
        <v>-1.7874175789002038</v>
      </c>
      <c r="O397" s="309">
        <f t="shared" si="864"/>
        <v>-1.2028112449799266</v>
      </c>
      <c r="P397" s="310">
        <f t="shared" si="864"/>
        <v>2.2061855670103228</v>
      </c>
      <c r="Q397" s="310">
        <f t="shared" si="864"/>
        <v>1.3461538461538396</v>
      </c>
      <c r="R397" s="310">
        <f t="shared" si="864"/>
        <v>0</v>
      </c>
      <c r="S397" s="311">
        <f t="shared" si="864"/>
        <v>-171</v>
      </c>
      <c r="T397" s="308">
        <f t="shared" si="864"/>
        <v>14.651732948233729</v>
      </c>
      <c r="U397" s="309">
        <f t="shared" si="864"/>
        <v>-19.984727272727383</v>
      </c>
      <c r="V397" s="310">
        <f t="shared" si="864"/>
        <v>18.625847127555971</v>
      </c>
      <c r="W397" s="310">
        <f t="shared" si="864"/>
        <v>-8.6270791628752761</v>
      </c>
      <c r="X397" s="310">
        <f t="shared" si="864"/>
        <v>-4.7439999999999998</v>
      </c>
      <c r="Y397" s="312">
        <f t="shared" si="864"/>
        <v>66.092142857142846</v>
      </c>
      <c r="AA397" s="291"/>
      <c r="AB397" s="303"/>
      <c r="AC397" s="369"/>
      <c r="AD397" s="314" t="s">
        <v>30</v>
      </c>
      <c r="AE397" s="308">
        <f t="shared" si="865"/>
        <v>-22.960277345775012</v>
      </c>
      <c r="AF397" s="309">
        <f t="shared" si="865"/>
        <v>-207.33333333333334</v>
      </c>
      <c r="AG397" s="310">
        <f t="shared" si="865"/>
        <v>0</v>
      </c>
      <c r="AH397" s="310">
        <f t="shared" si="865"/>
        <v>-175.45168067226891</v>
      </c>
      <c r="AI397" s="310">
        <f t="shared" si="865"/>
        <v>-5.1558441558441643</v>
      </c>
      <c r="AJ397" s="310">
        <f t="shared" si="865"/>
        <v>-4.9350649350649576</v>
      </c>
      <c r="AK397" s="310">
        <f t="shared" si="865"/>
        <v>0</v>
      </c>
      <c r="AL397" s="310">
        <f t="shared" si="865"/>
        <v>-205</v>
      </c>
      <c r="AM397" s="310">
        <f t="shared" si="865"/>
        <v>0</v>
      </c>
      <c r="AN397" s="310">
        <f t="shared" si="865"/>
        <v>0</v>
      </c>
      <c r="AO397" s="310">
        <f t="shared" si="865"/>
        <v>0</v>
      </c>
      <c r="AP397" s="310">
        <f t="shared" si="865"/>
        <v>150</v>
      </c>
      <c r="AQ397" s="312">
        <f t="shared" si="865"/>
        <v>0</v>
      </c>
    </row>
    <row r="398" spans="2:43" ht="7.8" customHeight="1" x14ac:dyDescent="0.25">
      <c r="B398" s="282"/>
      <c r="C398" s="295"/>
      <c r="D398" s="363" t="s">
        <v>44</v>
      </c>
      <c r="E398" s="316" t="s">
        <v>32</v>
      </c>
      <c r="F398" s="370">
        <f t="shared" ref="F398:Y400" si="866">IFERROR((F392-F389)/ABS(F389),"")</f>
        <v>-4.7895688097082362E-2</v>
      </c>
      <c r="G398" s="370">
        <f t="shared" si="866"/>
        <v>-1</v>
      </c>
      <c r="H398" s="370">
        <f t="shared" si="866"/>
        <v>7.5949367088607597E-2</v>
      </c>
      <c r="I398" s="371">
        <f t="shared" si="866"/>
        <v>1.2388059701492538</v>
      </c>
      <c r="J398" s="372">
        <f t="shared" si="866"/>
        <v>-0.71518987341772156</v>
      </c>
      <c r="K398" s="372" t="str">
        <f t="shared" si="866"/>
        <v/>
      </c>
      <c r="L398" s="372" t="str">
        <f t="shared" si="866"/>
        <v/>
      </c>
      <c r="M398" s="373">
        <f t="shared" si="866"/>
        <v>-1</v>
      </c>
      <c r="N398" s="370">
        <f t="shared" si="866"/>
        <v>7.6115485564304461E-2</v>
      </c>
      <c r="O398" s="371">
        <f t="shared" si="866"/>
        <v>-0.19678714859437751</v>
      </c>
      <c r="P398" s="372">
        <f t="shared" si="866"/>
        <v>0.82989690721649489</v>
      </c>
      <c r="Q398" s="372">
        <f t="shared" si="866"/>
        <v>8.3333333333333329E-2</v>
      </c>
      <c r="R398" s="372" t="str">
        <f t="shared" si="866"/>
        <v/>
      </c>
      <c r="S398" s="373">
        <f t="shared" si="866"/>
        <v>-1</v>
      </c>
      <c r="T398" s="370">
        <f t="shared" si="866"/>
        <v>8.8646967340590979E-2</v>
      </c>
      <c r="U398" s="371">
        <f t="shared" si="866"/>
        <v>1.0779220779220779</v>
      </c>
      <c r="V398" s="372">
        <f t="shared" si="866"/>
        <v>-0.24537487828627069</v>
      </c>
      <c r="W398" s="372">
        <f t="shared" si="866"/>
        <v>0.45586897179253866</v>
      </c>
      <c r="X398" s="372">
        <f t="shared" si="866"/>
        <v>-0.2</v>
      </c>
      <c r="Y398" s="374">
        <f t="shared" si="866"/>
        <v>9</v>
      </c>
      <c r="AA398" s="291"/>
      <c r="AB398" s="303"/>
      <c r="AC398" s="364" t="s">
        <v>44</v>
      </c>
      <c r="AD398" s="323" t="s">
        <v>32</v>
      </c>
      <c r="AE398" s="370">
        <f t="shared" ref="AE398:AQ400" si="867">IFERROR((AE392-AE389)/ABS(AE389),"")</f>
        <v>-0.62674961119751171</v>
      </c>
      <c r="AF398" s="371">
        <f t="shared" si="867"/>
        <v>-1</v>
      </c>
      <c r="AG398" s="372" t="str">
        <f t="shared" si="867"/>
        <v/>
      </c>
      <c r="AH398" s="372">
        <f t="shared" si="867"/>
        <v>-1</v>
      </c>
      <c r="AI398" s="372">
        <f t="shared" si="867"/>
        <v>-9.0909090909090912E-2</v>
      </c>
      <c r="AJ398" s="372">
        <f t="shared" si="867"/>
        <v>1.1212121212121211</v>
      </c>
      <c r="AK398" s="372" t="str">
        <f t="shared" si="867"/>
        <v/>
      </c>
      <c r="AL398" s="372">
        <f t="shared" si="867"/>
        <v>-1</v>
      </c>
      <c r="AM398" s="372" t="str">
        <f t="shared" si="867"/>
        <v/>
      </c>
      <c r="AN398" s="372" t="str">
        <f t="shared" si="867"/>
        <v/>
      </c>
      <c r="AO398" s="372" t="str">
        <f t="shared" si="867"/>
        <v/>
      </c>
      <c r="AP398" s="372" t="str">
        <f t="shared" si="867"/>
        <v/>
      </c>
      <c r="AQ398" s="374" t="str">
        <f t="shared" si="867"/>
        <v/>
      </c>
    </row>
    <row r="399" spans="2:43" ht="7.8" customHeight="1" x14ac:dyDescent="0.25">
      <c r="B399" s="282"/>
      <c r="C399" s="295"/>
      <c r="D399" s="296"/>
      <c r="E399" s="375" t="s">
        <v>33</v>
      </c>
      <c r="F399" s="376">
        <f t="shared" si="866"/>
        <v>3.233141696816854E-2</v>
      </c>
      <c r="G399" s="376">
        <f t="shared" si="866"/>
        <v>-1</v>
      </c>
      <c r="H399" s="376">
        <f t="shared" si="866"/>
        <v>6.3639613872005715E-2</v>
      </c>
      <c r="I399" s="377">
        <f t="shared" si="866"/>
        <v>1.2885789014821274</v>
      </c>
      <c r="J399" s="378">
        <f t="shared" si="866"/>
        <v>-0.71900089206066009</v>
      </c>
      <c r="K399" s="378" t="str">
        <f t="shared" si="866"/>
        <v/>
      </c>
      <c r="L399" s="378" t="str">
        <f t="shared" si="866"/>
        <v/>
      </c>
      <c r="M399" s="379">
        <f t="shared" si="866"/>
        <v>-1</v>
      </c>
      <c r="N399" s="376">
        <f t="shared" si="866"/>
        <v>6.5241744626866785E-2</v>
      </c>
      <c r="O399" s="377">
        <f t="shared" si="866"/>
        <v>-0.20211881780604837</v>
      </c>
      <c r="P399" s="378">
        <f t="shared" si="866"/>
        <v>0.85395674612927008</v>
      </c>
      <c r="Q399" s="378">
        <f t="shared" si="866"/>
        <v>9.1836734693877556E-2</v>
      </c>
      <c r="R399" s="378" t="str">
        <f t="shared" si="866"/>
        <v/>
      </c>
      <c r="S399" s="379">
        <f t="shared" si="866"/>
        <v>-1</v>
      </c>
      <c r="T399" s="376">
        <f t="shared" si="866"/>
        <v>0.18068681153088598</v>
      </c>
      <c r="U399" s="377">
        <f t="shared" si="866"/>
        <v>0.8933464112773245</v>
      </c>
      <c r="V399" s="378">
        <f t="shared" si="866"/>
        <v>-0.15986549673185754</v>
      </c>
      <c r="W399" s="378">
        <f t="shared" si="866"/>
        <v>0.38928310869075755</v>
      </c>
      <c r="X399" s="378">
        <f t="shared" si="866"/>
        <v>-0.22000168648284005</v>
      </c>
      <c r="Y399" s="380">
        <f t="shared" si="866"/>
        <v>13.624808193091452</v>
      </c>
      <c r="AA399" s="291"/>
      <c r="AB399" s="303"/>
      <c r="AC399" s="367"/>
      <c r="AD399" s="381" t="s">
        <v>33</v>
      </c>
      <c r="AE399" s="376">
        <f t="shared" si="867"/>
        <v>-0.67565025246922894</v>
      </c>
      <c r="AF399" s="377">
        <f t="shared" si="867"/>
        <v>-1</v>
      </c>
      <c r="AG399" s="378" t="str">
        <f t="shared" si="867"/>
        <v/>
      </c>
      <c r="AH399" s="378">
        <f t="shared" si="867"/>
        <v>-1</v>
      </c>
      <c r="AI399" s="378">
        <f t="shared" si="867"/>
        <v>-0.12084266401260678</v>
      </c>
      <c r="AJ399" s="378">
        <f t="shared" si="867"/>
        <v>1.056338028169014</v>
      </c>
      <c r="AK399" s="378" t="str">
        <f t="shared" si="867"/>
        <v/>
      </c>
      <c r="AL399" s="378">
        <f t="shared" si="867"/>
        <v>-1</v>
      </c>
      <c r="AM399" s="378" t="str">
        <f t="shared" si="867"/>
        <v/>
      </c>
      <c r="AN399" s="378" t="str">
        <f t="shared" si="867"/>
        <v/>
      </c>
      <c r="AO399" s="378" t="str">
        <f t="shared" si="867"/>
        <v/>
      </c>
      <c r="AP399" s="378" t="str">
        <f t="shared" si="867"/>
        <v/>
      </c>
      <c r="AQ399" s="380" t="str">
        <f t="shared" si="867"/>
        <v/>
      </c>
    </row>
    <row r="400" spans="2:43" ht="7.8" customHeight="1" x14ac:dyDescent="0.25">
      <c r="B400" s="282"/>
      <c r="C400" s="382"/>
      <c r="D400" s="383"/>
      <c r="E400" s="384" t="s">
        <v>30</v>
      </c>
      <c r="F400" s="385">
        <f t="shared" si="866"/>
        <v>8.4262936384465553E-2</v>
      </c>
      <c r="G400" s="385">
        <f t="shared" si="866"/>
        <v>-1</v>
      </c>
      <c r="H400" s="385">
        <f t="shared" si="866"/>
        <v>-1.144082946013592E-2</v>
      </c>
      <c r="I400" s="386">
        <f t="shared" si="866"/>
        <v>2.2231909328683564E-2</v>
      </c>
      <c r="J400" s="387">
        <f t="shared" si="866"/>
        <v>-1.3380909901873343E-2</v>
      </c>
      <c r="K400" s="387" t="str">
        <f t="shared" si="866"/>
        <v/>
      </c>
      <c r="L400" s="387" t="str">
        <f t="shared" si="866"/>
        <v/>
      </c>
      <c r="M400" s="388">
        <f t="shared" si="866"/>
        <v>-1</v>
      </c>
      <c r="N400" s="385">
        <f t="shared" si="866"/>
        <v>-1.0104622676009194E-2</v>
      </c>
      <c r="O400" s="386">
        <f t="shared" si="866"/>
        <v>-6.6379281685302743E-3</v>
      </c>
      <c r="P400" s="387">
        <f t="shared" si="866"/>
        <v>1.314819365937585E-2</v>
      </c>
      <c r="Q400" s="387">
        <f t="shared" si="866"/>
        <v>7.8492935635792391E-3</v>
      </c>
      <c r="R400" s="387" t="str">
        <f t="shared" si="866"/>
        <v/>
      </c>
      <c r="S400" s="388">
        <f t="shared" si="866"/>
        <v>-1</v>
      </c>
      <c r="T400" s="385">
        <f t="shared" si="866"/>
        <v>8.4545171163370958E-2</v>
      </c>
      <c r="U400" s="386">
        <f t="shared" si="866"/>
        <v>-8.8827039572787606E-2</v>
      </c>
      <c r="V400" s="387">
        <f t="shared" si="866"/>
        <v>0.11331372239533191</v>
      </c>
      <c r="W400" s="387">
        <f t="shared" si="866"/>
        <v>-4.5736164718035981E-2</v>
      </c>
      <c r="X400" s="387">
        <f t="shared" si="866"/>
        <v>-2.5002108103550046E-2</v>
      </c>
      <c r="Y400" s="389">
        <f t="shared" si="866"/>
        <v>0.46248081930914514</v>
      </c>
      <c r="AA400" s="291"/>
      <c r="AB400" s="390"/>
      <c r="AC400" s="391"/>
      <c r="AD400" s="392" t="s">
        <v>30</v>
      </c>
      <c r="AE400" s="385">
        <f t="shared" si="867"/>
        <v>-0.13101296807380916</v>
      </c>
      <c r="AF400" s="386">
        <f t="shared" si="867"/>
        <v>-1</v>
      </c>
      <c r="AG400" s="387" t="str">
        <f t="shared" si="867"/>
        <v/>
      </c>
      <c r="AH400" s="387">
        <f t="shared" si="867"/>
        <v>-1</v>
      </c>
      <c r="AI400" s="387">
        <f t="shared" si="867"/>
        <v>-3.2926930413867517E-2</v>
      </c>
      <c r="AJ400" s="387">
        <f t="shared" si="867"/>
        <v>-3.0583501006036354E-2</v>
      </c>
      <c r="AK400" s="387" t="str">
        <f t="shared" si="867"/>
        <v/>
      </c>
      <c r="AL400" s="387">
        <f t="shared" si="867"/>
        <v>-1</v>
      </c>
      <c r="AM400" s="387" t="str">
        <f t="shared" si="867"/>
        <v/>
      </c>
      <c r="AN400" s="387" t="str">
        <f t="shared" si="867"/>
        <v/>
      </c>
      <c r="AO400" s="387" t="str">
        <f t="shared" si="867"/>
        <v/>
      </c>
      <c r="AP400" s="387" t="str">
        <f t="shared" si="867"/>
        <v/>
      </c>
      <c r="AQ400" s="389" t="str">
        <f t="shared" si="867"/>
        <v/>
      </c>
    </row>
    <row r="401" spans="2:43" ht="7.8" customHeight="1" x14ac:dyDescent="0.25">
      <c r="B401" s="282"/>
      <c r="C401" s="393" t="s">
        <v>48</v>
      </c>
      <c r="D401" s="394" t="s">
        <v>39</v>
      </c>
      <c r="E401" s="395" t="s">
        <v>32</v>
      </c>
      <c r="F401" s="396">
        <f t="shared" ref="F401:F402" si="868">SUM(G401,H401,N401,T401)</f>
        <v>0</v>
      </c>
      <c r="G401" s="396"/>
      <c r="H401" s="396">
        <f t="shared" ref="H401:H402" si="869">SUM(I401:M401)</f>
        <v>0</v>
      </c>
      <c r="I401" s="397"/>
      <c r="J401" s="398"/>
      <c r="K401" s="398"/>
      <c r="L401" s="398"/>
      <c r="M401" s="399"/>
      <c r="N401" s="396">
        <f t="shared" ref="N401:N402" si="870">SUM(O401:S401)</f>
        <v>0</v>
      </c>
      <c r="O401" s="397"/>
      <c r="P401" s="398"/>
      <c r="Q401" s="398"/>
      <c r="R401" s="398"/>
      <c r="S401" s="399"/>
      <c r="T401" s="396">
        <f t="shared" ref="T401:T402" si="871">SUM(U401:Y401)</f>
        <v>0</v>
      </c>
      <c r="U401" s="397"/>
      <c r="V401" s="398"/>
      <c r="W401" s="398"/>
      <c r="X401" s="398"/>
      <c r="Y401" s="400"/>
      <c r="AA401" s="291"/>
      <c r="AB401" s="401" t="s">
        <v>48</v>
      </c>
      <c r="AC401" s="402" t="s">
        <v>39</v>
      </c>
      <c r="AD401" s="403" t="s">
        <v>32</v>
      </c>
      <c r="AE401" s="396">
        <f t="shared" ref="AE401:AE402" si="872">SUM(AF401:AQ401)</f>
        <v>0</v>
      </c>
      <c r="AF401" s="397">
        <f>$M$77</f>
        <v>0</v>
      </c>
      <c r="AG401" s="398">
        <f>$M$131</f>
        <v>0</v>
      </c>
      <c r="AH401" s="398">
        <f>$M$185</f>
        <v>0</v>
      </c>
      <c r="AI401" s="398">
        <f>$M$239</f>
        <v>0</v>
      </c>
      <c r="AJ401" s="398">
        <f>$M$293</f>
        <v>0</v>
      </c>
      <c r="AK401" s="398">
        <f>$M$347</f>
        <v>0</v>
      </c>
      <c r="AL401" s="398">
        <f>$M$401</f>
        <v>0</v>
      </c>
      <c r="AM401" s="398">
        <f>$M$455</f>
        <v>0</v>
      </c>
      <c r="AN401" s="398">
        <f>$M$509</f>
        <v>0</v>
      </c>
      <c r="AO401" s="398">
        <f>$M$563</f>
        <v>0</v>
      </c>
      <c r="AP401" s="398">
        <f>$M$617</f>
        <v>0</v>
      </c>
      <c r="AQ401" s="400">
        <f>$M$671</f>
        <v>0</v>
      </c>
    </row>
    <row r="402" spans="2:43" s="41" customFormat="1" ht="7.8" customHeight="1" x14ac:dyDescent="0.25">
      <c r="B402" s="282"/>
      <c r="C402" s="404"/>
      <c r="D402" s="405"/>
      <c r="E402" s="406" t="s">
        <v>33</v>
      </c>
      <c r="F402" s="407">
        <f t="shared" si="868"/>
        <v>0</v>
      </c>
      <c r="G402" s="407"/>
      <c r="H402" s="407">
        <f t="shared" si="869"/>
        <v>0</v>
      </c>
      <c r="I402" s="408"/>
      <c r="J402" s="409"/>
      <c r="K402" s="409"/>
      <c r="L402" s="409"/>
      <c r="M402" s="410"/>
      <c r="N402" s="407">
        <f t="shared" si="870"/>
        <v>0</v>
      </c>
      <c r="O402" s="408"/>
      <c r="P402" s="409"/>
      <c r="Q402" s="409"/>
      <c r="R402" s="409"/>
      <c r="S402" s="410"/>
      <c r="T402" s="407">
        <f t="shared" si="871"/>
        <v>0</v>
      </c>
      <c r="U402" s="408"/>
      <c r="V402" s="409"/>
      <c r="W402" s="409"/>
      <c r="X402" s="409"/>
      <c r="Y402" s="411"/>
      <c r="AA402" s="291"/>
      <c r="AB402" s="412"/>
      <c r="AC402" s="413"/>
      <c r="AD402" s="414" t="s">
        <v>33</v>
      </c>
      <c r="AE402" s="407">
        <f t="shared" si="872"/>
        <v>0</v>
      </c>
      <c r="AF402" s="408">
        <f>$M$78</f>
        <v>0</v>
      </c>
      <c r="AG402" s="409">
        <f>$M$132</f>
        <v>0</v>
      </c>
      <c r="AH402" s="409">
        <f>$M$186</f>
        <v>0</v>
      </c>
      <c r="AI402" s="409">
        <f>$M$240</f>
        <v>0</v>
      </c>
      <c r="AJ402" s="409">
        <f>$M$294</f>
        <v>0</v>
      </c>
      <c r="AK402" s="409">
        <f>$M$348</f>
        <v>0</v>
      </c>
      <c r="AL402" s="409">
        <f>$M$402</f>
        <v>0</v>
      </c>
      <c r="AM402" s="409">
        <f>$M$456</f>
        <v>0</v>
      </c>
      <c r="AN402" s="409">
        <f>$M$510</f>
        <v>0</v>
      </c>
      <c r="AO402" s="409">
        <f>$M$564</f>
        <v>0</v>
      </c>
      <c r="AP402" s="409">
        <f>$M$618</f>
        <v>0</v>
      </c>
      <c r="AQ402" s="411">
        <f>$M$672</f>
        <v>0</v>
      </c>
    </row>
    <row r="403" spans="2:43" ht="7.8" customHeight="1" x14ac:dyDescent="0.25">
      <c r="B403" s="282"/>
      <c r="C403" s="404"/>
      <c r="D403" s="415"/>
      <c r="E403" s="416" t="s">
        <v>30</v>
      </c>
      <c r="F403" s="417">
        <f t="shared" ref="F403:Y457" si="873">IFERROR(F402/F401,0)</f>
        <v>0</v>
      </c>
      <c r="G403" s="417">
        <f t="shared" si="873"/>
        <v>0</v>
      </c>
      <c r="H403" s="417">
        <f t="shared" si="873"/>
        <v>0</v>
      </c>
      <c r="I403" s="418">
        <f t="shared" si="873"/>
        <v>0</v>
      </c>
      <c r="J403" s="419">
        <f t="shared" si="873"/>
        <v>0</v>
      </c>
      <c r="K403" s="419">
        <f t="shared" si="873"/>
        <v>0</v>
      </c>
      <c r="L403" s="419">
        <f t="shared" si="873"/>
        <v>0</v>
      </c>
      <c r="M403" s="420">
        <f t="shared" si="873"/>
        <v>0</v>
      </c>
      <c r="N403" s="417">
        <f t="shared" si="873"/>
        <v>0</v>
      </c>
      <c r="O403" s="418">
        <f t="shared" si="873"/>
        <v>0</v>
      </c>
      <c r="P403" s="419">
        <f t="shared" si="873"/>
        <v>0</v>
      </c>
      <c r="Q403" s="419">
        <f t="shared" si="873"/>
        <v>0</v>
      </c>
      <c r="R403" s="419">
        <f t="shared" si="873"/>
        <v>0</v>
      </c>
      <c r="S403" s="420">
        <f t="shared" si="873"/>
        <v>0</v>
      </c>
      <c r="T403" s="417">
        <f t="shared" si="873"/>
        <v>0</v>
      </c>
      <c r="U403" s="418">
        <f t="shared" si="873"/>
        <v>0</v>
      </c>
      <c r="V403" s="419">
        <f t="shared" si="873"/>
        <v>0</v>
      </c>
      <c r="W403" s="419">
        <f t="shared" si="873"/>
        <v>0</v>
      </c>
      <c r="X403" s="419">
        <f t="shared" si="873"/>
        <v>0</v>
      </c>
      <c r="Y403" s="421">
        <f t="shared" si="873"/>
        <v>0</v>
      </c>
      <c r="AA403" s="291"/>
      <c r="AB403" s="412"/>
      <c r="AC403" s="422"/>
      <c r="AD403" s="423" t="s">
        <v>30</v>
      </c>
      <c r="AE403" s="417">
        <f t="shared" ref="AE403:AQ403" si="874">IFERROR(AE402/AE401,0)</f>
        <v>0</v>
      </c>
      <c r="AF403" s="418">
        <f t="shared" si="874"/>
        <v>0</v>
      </c>
      <c r="AG403" s="419">
        <f t="shared" si="874"/>
        <v>0</v>
      </c>
      <c r="AH403" s="419">
        <f t="shared" si="874"/>
        <v>0</v>
      </c>
      <c r="AI403" s="419">
        <f t="shared" si="874"/>
        <v>0</v>
      </c>
      <c r="AJ403" s="419">
        <f t="shared" si="874"/>
        <v>0</v>
      </c>
      <c r="AK403" s="419">
        <f t="shared" si="874"/>
        <v>0</v>
      </c>
      <c r="AL403" s="419">
        <f t="shared" si="874"/>
        <v>0</v>
      </c>
      <c r="AM403" s="419">
        <f t="shared" si="874"/>
        <v>0</v>
      </c>
      <c r="AN403" s="419">
        <f t="shared" si="874"/>
        <v>0</v>
      </c>
      <c r="AO403" s="419">
        <f t="shared" si="874"/>
        <v>0</v>
      </c>
      <c r="AP403" s="419">
        <f t="shared" si="874"/>
        <v>0</v>
      </c>
      <c r="AQ403" s="421">
        <f t="shared" si="874"/>
        <v>0</v>
      </c>
    </row>
    <row r="404" spans="2:43" ht="7.8" customHeight="1" x14ac:dyDescent="0.25">
      <c r="B404" s="282"/>
      <c r="C404" s="404"/>
      <c r="D404" s="424" t="s">
        <v>40</v>
      </c>
      <c r="E404" s="425" t="s">
        <v>32</v>
      </c>
      <c r="F404" s="426">
        <f t="shared" ref="F404:F405" si="875">SUM(G404,H404,N404,T404)</f>
        <v>5661</v>
      </c>
      <c r="G404" s="426">
        <v>787</v>
      </c>
      <c r="H404" s="426">
        <f t="shared" ref="H404:H405" si="876">SUM(I404:M404)</f>
        <v>372</v>
      </c>
      <c r="I404" s="427">
        <v>83</v>
      </c>
      <c r="J404" s="428">
        <v>24</v>
      </c>
      <c r="K404" s="428">
        <v>265</v>
      </c>
      <c r="L404" s="428">
        <v>0</v>
      </c>
      <c r="M404" s="429">
        <v>0</v>
      </c>
      <c r="N404" s="426">
        <f t="shared" ref="N404:N405" si="877">SUM(O404:S404)</f>
        <v>751</v>
      </c>
      <c r="O404" s="427">
        <v>339</v>
      </c>
      <c r="P404" s="428">
        <v>291</v>
      </c>
      <c r="Q404" s="428">
        <v>116</v>
      </c>
      <c r="R404" s="428">
        <v>0</v>
      </c>
      <c r="S404" s="429">
        <v>5</v>
      </c>
      <c r="T404" s="426">
        <f t="shared" ref="T404:T405" si="878">SUM(U404:Y404)</f>
        <v>3751</v>
      </c>
      <c r="U404" s="427">
        <v>346</v>
      </c>
      <c r="V404" s="428">
        <v>1158</v>
      </c>
      <c r="W404" s="428">
        <v>1863</v>
      </c>
      <c r="X404" s="428">
        <v>147</v>
      </c>
      <c r="Y404" s="430">
        <v>237</v>
      </c>
      <c r="AA404" s="291"/>
      <c r="AB404" s="412"/>
      <c r="AC404" s="431" t="s">
        <v>40</v>
      </c>
      <c r="AD404" s="432" t="s">
        <v>32</v>
      </c>
      <c r="AE404" s="426">
        <f t="shared" ref="AE404:AE405" si="879">SUM(AF404:AQ404)</f>
        <v>819</v>
      </c>
      <c r="AF404" s="427">
        <f>$M$80</f>
        <v>95</v>
      </c>
      <c r="AG404" s="428">
        <f>$M$134</f>
        <v>80</v>
      </c>
      <c r="AH404" s="428">
        <f>$M$188</f>
        <v>233</v>
      </c>
      <c r="AI404" s="428">
        <f>$M$242</f>
        <v>15</v>
      </c>
      <c r="AJ404" s="428">
        <f>$M$296</f>
        <v>25</v>
      </c>
      <c r="AK404" s="428">
        <f>$M$350</f>
        <v>232</v>
      </c>
      <c r="AL404" s="428">
        <f>$M$404</f>
        <v>0</v>
      </c>
      <c r="AM404" s="428">
        <f>$M$458</f>
        <v>21</v>
      </c>
      <c r="AN404" s="428">
        <f>$M$512</f>
        <v>44</v>
      </c>
      <c r="AO404" s="428">
        <f>$M$566</f>
        <v>0</v>
      </c>
      <c r="AP404" s="428">
        <f>$M$620</f>
        <v>74</v>
      </c>
      <c r="AQ404" s="430">
        <f>$M$674</f>
        <v>0</v>
      </c>
    </row>
    <row r="405" spans="2:43" s="41" customFormat="1" ht="7.8" customHeight="1" x14ac:dyDescent="0.25">
      <c r="B405" s="282"/>
      <c r="C405" s="404"/>
      <c r="D405" s="405"/>
      <c r="E405" s="406" t="s">
        <v>33</v>
      </c>
      <c r="F405" s="407">
        <f t="shared" si="875"/>
        <v>1016699.15</v>
      </c>
      <c r="G405" s="407">
        <v>122727</v>
      </c>
      <c r="H405" s="407">
        <f t="shared" si="876"/>
        <v>68960</v>
      </c>
      <c r="I405" s="408">
        <v>15071</v>
      </c>
      <c r="J405" s="409">
        <v>4320</v>
      </c>
      <c r="K405" s="409">
        <v>49569</v>
      </c>
      <c r="L405" s="409">
        <v>0</v>
      </c>
      <c r="M405" s="410">
        <v>0</v>
      </c>
      <c r="N405" s="407">
        <f t="shared" si="877"/>
        <v>137454</v>
      </c>
      <c r="O405" s="408">
        <v>62973</v>
      </c>
      <c r="P405" s="409">
        <v>52115</v>
      </c>
      <c r="Q405" s="409">
        <v>21466</v>
      </c>
      <c r="R405" s="409">
        <v>0</v>
      </c>
      <c r="S405" s="410">
        <v>900</v>
      </c>
      <c r="T405" s="407">
        <f t="shared" si="878"/>
        <v>687558.15</v>
      </c>
      <c r="U405" s="408">
        <v>79095.200000000012</v>
      </c>
      <c r="V405" s="409">
        <v>219779.74000000002</v>
      </c>
      <c r="W405" s="409">
        <v>326594.20999999996</v>
      </c>
      <c r="X405" s="409">
        <v>28081</v>
      </c>
      <c r="Y405" s="411">
        <v>34008</v>
      </c>
      <c r="AA405" s="291"/>
      <c r="AB405" s="412"/>
      <c r="AC405" s="413"/>
      <c r="AD405" s="414" t="s">
        <v>33</v>
      </c>
      <c r="AE405" s="407">
        <f t="shared" si="879"/>
        <v>143343</v>
      </c>
      <c r="AF405" s="408">
        <f>$M$81</f>
        <v>18665</v>
      </c>
      <c r="AG405" s="409">
        <f>$M$135</f>
        <v>15080</v>
      </c>
      <c r="AH405" s="409">
        <f>$M$189</f>
        <v>40677</v>
      </c>
      <c r="AI405" s="409">
        <f>$M$243</f>
        <v>2010</v>
      </c>
      <c r="AJ405" s="409">
        <f>$M$297</f>
        <v>3875</v>
      </c>
      <c r="AK405" s="409">
        <f>$M$351</f>
        <v>38885</v>
      </c>
      <c r="AL405" s="409">
        <f>$M$405</f>
        <v>0</v>
      </c>
      <c r="AM405" s="409">
        <f>$M$459</f>
        <v>4995</v>
      </c>
      <c r="AN405" s="409">
        <f>$M$513</f>
        <v>6776</v>
      </c>
      <c r="AO405" s="409">
        <f>$M$567</f>
        <v>0</v>
      </c>
      <c r="AP405" s="409">
        <f>$M$621</f>
        <v>12380</v>
      </c>
      <c r="AQ405" s="411">
        <f>$M$675</f>
        <v>0</v>
      </c>
    </row>
    <row r="406" spans="2:43" ht="7.8" customHeight="1" x14ac:dyDescent="0.25">
      <c r="B406" s="282"/>
      <c r="C406" s="404"/>
      <c r="D406" s="415"/>
      <c r="E406" s="416" t="s">
        <v>30</v>
      </c>
      <c r="F406" s="417">
        <f t="shared" ref="F406:Y460" si="880">IFERROR(F405/F404,0)</f>
        <v>179.59709415297652</v>
      </c>
      <c r="G406" s="417">
        <f t="shared" si="880"/>
        <v>155.94282083862771</v>
      </c>
      <c r="H406" s="417">
        <f t="shared" si="880"/>
        <v>185.3763440860215</v>
      </c>
      <c r="I406" s="418">
        <f t="shared" si="880"/>
        <v>181.57831325301206</v>
      </c>
      <c r="J406" s="419">
        <f t="shared" si="880"/>
        <v>180</v>
      </c>
      <c r="K406" s="419">
        <f t="shared" si="880"/>
        <v>187.05283018867925</v>
      </c>
      <c r="L406" s="419">
        <f t="shared" si="880"/>
        <v>0</v>
      </c>
      <c r="M406" s="420">
        <f t="shared" si="880"/>
        <v>0</v>
      </c>
      <c r="N406" s="417">
        <f t="shared" si="880"/>
        <v>183.02796271637817</v>
      </c>
      <c r="O406" s="418">
        <f t="shared" si="880"/>
        <v>185.76106194690266</v>
      </c>
      <c r="P406" s="419">
        <f t="shared" si="880"/>
        <v>179.08934707903779</v>
      </c>
      <c r="Q406" s="419">
        <f t="shared" si="880"/>
        <v>185.05172413793105</v>
      </c>
      <c r="R406" s="419">
        <f t="shared" si="880"/>
        <v>0</v>
      </c>
      <c r="S406" s="420">
        <f t="shared" si="880"/>
        <v>180</v>
      </c>
      <c r="T406" s="417">
        <f t="shared" si="880"/>
        <v>183.29996001066382</v>
      </c>
      <c r="U406" s="418">
        <f t="shared" si="880"/>
        <v>228.59884393063587</v>
      </c>
      <c r="V406" s="419">
        <f t="shared" si="880"/>
        <v>189.79252158894647</v>
      </c>
      <c r="W406" s="419">
        <f t="shared" si="880"/>
        <v>175.30553408480944</v>
      </c>
      <c r="X406" s="419">
        <f t="shared" si="880"/>
        <v>191.02721088435374</v>
      </c>
      <c r="Y406" s="421">
        <f t="shared" si="880"/>
        <v>143.49367088607596</v>
      </c>
      <c r="AA406" s="291"/>
      <c r="AB406" s="412"/>
      <c r="AC406" s="422"/>
      <c r="AD406" s="423" t="s">
        <v>30</v>
      </c>
      <c r="AE406" s="417">
        <f t="shared" ref="AE406:AQ406" si="881">IFERROR(AE405/AE404,0)</f>
        <v>175.02197802197801</v>
      </c>
      <c r="AF406" s="418">
        <f t="shared" si="881"/>
        <v>196.47368421052633</v>
      </c>
      <c r="AG406" s="419">
        <f t="shared" si="881"/>
        <v>188.5</v>
      </c>
      <c r="AH406" s="419">
        <f t="shared" si="881"/>
        <v>174.57939914163092</v>
      </c>
      <c r="AI406" s="419">
        <f t="shared" si="881"/>
        <v>134</v>
      </c>
      <c r="AJ406" s="419">
        <f t="shared" si="881"/>
        <v>155</v>
      </c>
      <c r="AK406" s="419">
        <f t="shared" si="881"/>
        <v>167.60775862068965</v>
      </c>
      <c r="AL406" s="419">
        <f t="shared" si="881"/>
        <v>0</v>
      </c>
      <c r="AM406" s="419">
        <f t="shared" si="881"/>
        <v>237.85714285714286</v>
      </c>
      <c r="AN406" s="419">
        <f t="shared" si="881"/>
        <v>154</v>
      </c>
      <c r="AO406" s="419">
        <f t="shared" si="881"/>
        <v>0</v>
      </c>
      <c r="AP406" s="419">
        <f t="shared" si="881"/>
        <v>167.29729729729729</v>
      </c>
      <c r="AQ406" s="421">
        <f t="shared" si="881"/>
        <v>0</v>
      </c>
    </row>
    <row r="407" spans="2:43" ht="7.8" customHeight="1" x14ac:dyDescent="0.25">
      <c r="B407" s="282"/>
      <c r="C407" s="404"/>
      <c r="D407" s="424" t="s">
        <v>41</v>
      </c>
      <c r="E407" s="425" t="s">
        <v>32</v>
      </c>
      <c r="F407" s="426">
        <f t="shared" ref="F407:F408" si="882">SUM(G407,H407,N407,T407)</f>
        <v>5699</v>
      </c>
      <c r="G407" s="426">
        <v>708</v>
      </c>
      <c r="H407" s="426">
        <f t="shared" ref="H407:H408" si="883">SUM(I407:M407)</f>
        <v>173</v>
      </c>
      <c r="I407" s="427">
        <v>67</v>
      </c>
      <c r="J407" s="428">
        <v>94</v>
      </c>
      <c r="K407" s="428">
        <v>0</v>
      </c>
      <c r="L407" s="428">
        <v>0</v>
      </c>
      <c r="M407" s="429">
        <v>12</v>
      </c>
      <c r="N407" s="426">
        <f t="shared" ref="N407:N408" si="884">SUM(O407:S407)</f>
        <v>587</v>
      </c>
      <c r="O407" s="427">
        <v>387</v>
      </c>
      <c r="P407" s="428">
        <v>151</v>
      </c>
      <c r="Q407" s="428">
        <v>44</v>
      </c>
      <c r="R407" s="428">
        <v>0</v>
      </c>
      <c r="S407" s="429">
        <v>5</v>
      </c>
      <c r="T407" s="426">
        <f t="shared" ref="T407:T408" si="885">SUM(U407:Y407)</f>
        <v>4231</v>
      </c>
      <c r="U407" s="427">
        <v>278</v>
      </c>
      <c r="V407" s="428">
        <v>2995</v>
      </c>
      <c r="W407" s="428">
        <v>813</v>
      </c>
      <c r="X407" s="428">
        <v>97</v>
      </c>
      <c r="Y407" s="430">
        <v>48</v>
      </c>
      <c r="AA407" s="291"/>
      <c r="AB407" s="412"/>
      <c r="AC407" s="431" t="s">
        <v>41</v>
      </c>
      <c r="AD407" s="432" t="s">
        <v>32</v>
      </c>
      <c r="AE407" s="426">
        <f t="shared" ref="AE407:AE408" si="886">SUM(AF407:AQ407)</f>
        <v>508</v>
      </c>
      <c r="AF407" s="427">
        <f>$M$83</f>
        <v>23</v>
      </c>
      <c r="AG407" s="428">
        <f>$M$137</f>
        <v>0</v>
      </c>
      <c r="AH407" s="428">
        <f>$M$191</f>
        <v>412</v>
      </c>
      <c r="AI407" s="428">
        <f>$M$245</f>
        <v>39</v>
      </c>
      <c r="AJ407" s="428">
        <f>$M$299</f>
        <v>22</v>
      </c>
      <c r="AK407" s="428">
        <f>$M$353</f>
        <v>0</v>
      </c>
      <c r="AL407" s="428">
        <f>$M$407</f>
        <v>12</v>
      </c>
      <c r="AM407" s="428">
        <f>$M$461</f>
        <v>0</v>
      </c>
      <c r="AN407" s="428">
        <f>$M$515</f>
        <v>0</v>
      </c>
      <c r="AO407" s="428">
        <f>$M$569</f>
        <v>0</v>
      </c>
      <c r="AP407" s="428">
        <f>$M$623</f>
        <v>0</v>
      </c>
      <c r="AQ407" s="430">
        <f>$M$677</f>
        <v>0</v>
      </c>
    </row>
    <row r="408" spans="2:43" s="41" customFormat="1" ht="7.8" customHeight="1" x14ac:dyDescent="0.25">
      <c r="B408" s="282"/>
      <c r="C408" s="404"/>
      <c r="D408" s="405"/>
      <c r="E408" s="406" t="s">
        <v>33</v>
      </c>
      <c r="F408" s="407">
        <f t="shared" si="882"/>
        <v>962904.24</v>
      </c>
      <c r="G408" s="407">
        <v>110292</v>
      </c>
      <c r="H408" s="407">
        <f t="shared" si="883"/>
        <v>30755</v>
      </c>
      <c r="I408" s="408">
        <v>11470</v>
      </c>
      <c r="J408" s="409">
        <v>16825</v>
      </c>
      <c r="K408" s="409">
        <v>0</v>
      </c>
      <c r="L408" s="409">
        <v>0</v>
      </c>
      <c r="M408" s="410">
        <v>2460</v>
      </c>
      <c r="N408" s="407">
        <f t="shared" si="884"/>
        <v>103775</v>
      </c>
      <c r="O408" s="408">
        <v>69972</v>
      </c>
      <c r="P408" s="409">
        <v>25403</v>
      </c>
      <c r="Q408" s="409">
        <v>7545</v>
      </c>
      <c r="R408" s="409">
        <v>0</v>
      </c>
      <c r="S408" s="410">
        <v>855</v>
      </c>
      <c r="T408" s="407">
        <f t="shared" si="885"/>
        <v>718082.24</v>
      </c>
      <c r="U408" s="408">
        <v>62167.180000000037</v>
      </c>
      <c r="V408" s="409">
        <v>483673.67000000004</v>
      </c>
      <c r="W408" s="409">
        <v>148188.11999999994</v>
      </c>
      <c r="X408" s="409">
        <v>18477</v>
      </c>
      <c r="Y408" s="411">
        <v>5576.2700000000013</v>
      </c>
      <c r="AA408" s="291"/>
      <c r="AB408" s="412"/>
      <c r="AC408" s="413"/>
      <c r="AD408" s="414" t="s">
        <v>33</v>
      </c>
      <c r="AE408" s="407">
        <f t="shared" si="886"/>
        <v>89391</v>
      </c>
      <c r="AF408" s="408">
        <f>$M$84</f>
        <v>4850</v>
      </c>
      <c r="AG408" s="409">
        <f>$M$138</f>
        <v>0</v>
      </c>
      <c r="AH408" s="409">
        <f>$M$192</f>
        <v>72430</v>
      </c>
      <c r="AI408" s="409">
        <f>$M$246</f>
        <v>6101</v>
      </c>
      <c r="AJ408" s="409">
        <f>$M$300</f>
        <v>3550</v>
      </c>
      <c r="AK408" s="409">
        <f>$M$354</f>
        <v>0</v>
      </c>
      <c r="AL408" s="409">
        <f>$M$408</f>
        <v>2460</v>
      </c>
      <c r="AM408" s="409">
        <f>$M$462</f>
        <v>0</v>
      </c>
      <c r="AN408" s="409">
        <f>$M$516</f>
        <v>0</v>
      </c>
      <c r="AO408" s="409">
        <f>$M$570</f>
        <v>0</v>
      </c>
      <c r="AP408" s="409">
        <f>$M$624</f>
        <v>0</v>
      </c>
      <c r="AQ408" s="411">
        <f>$M$678</f>
        <v>0</v>
      </c>
    </row>
    <row r="409" spans="2:43" ht="7.8" customHeight="1" x14ac:dyDescent="0.25">
      <c r="B409" s="282"/>
      <c r="C409" s="404"/>
      <c r="D409" s="415"/>
      <c r="E409" s="416" t="s">
        <v>30</v>
      </c>
      <c r="F409" s="417">
        <f t="shared" ref="F409:Y463" si="887">IFERROR(F408/F407,0)</f>
        <v>168.96021056325671</v>
      </c>
      <c r="G409" s="417">
        <f t="shared" si="887"/>
        <v>155.77966101694915</v>
      </c>
      <c r="H409" s="417">
        <f t="shared" si="887"/>
        <v>177.77456647398844</v>
      </c>
      <c r="I409" s="418">
        <f t="shared" si="887"/>
        <v>171.19402985074626</v>
      </c>
      <c r="J409" s="419">
        <f t="shared" si="887"/>
        <v>178.98936170212767</v>
      </c>
      <c r="K409" s="419">
        <f t="shared" si="887"/>
        <v>0</v>
      </c>
      <c r="L409" s="419">
        <f t="shared" si="887"/>
        <v>0</v>
      </c>
      <c r="M409" s="420">
        <f t="shared" si="887"/>
        <v>205</v>
      </c>
      <c r="N409" s="417">
        <f t="shared" si="887"/>
        <v>176.78875638841566</v>
      </c>
      <c r="O409" s="418">
        <f t="shared" si="887"/>
        <v>180.80620155038758</v>
      </c>
      <c r="P409" s="419">
        <f t="shared" si="887"/>
        <v>168.23178807947019</v>
      </c>
      <c r="Q409" s="419">
        <f t="shared" si="887"/>
        <v>171.47727272727272</v>
      </c>
      <c r="R409" s="419">
        <f t="shared" si="887"/>
        <v>0</v>
      </c>
      <c r="S409" s="420">
        <f t="shared" si="887"/>
        <v>171</v>
      </c>
      <c r="T409" s="417">
        <f t="shared" si="887"/>
        <v>169.71927203970694</v>
      </c>
      <c r="U409" s="418">
        <f t="shared" si="887"/>
        <v>223.62294964028791</v>
      </c>
      <c r="V409" s="419">
        <f t="shared" si="887"/>
        <v>161.49371285475794</v>
      </c>
      <c r="W409" s="419">
        <f t="shared" si="887"/>
        <v>182.27321033210325</v>
      </c>
      <c r="X409" s="419">
        <f t="shared" si="887"/>
        <v>190.48453608247422</v>
      </c>
      <c r="Y409" s="421">
        <f t="shared" si="887"/>
        <v>116.17229166666669</v>
      </c>
      <c r="AA409" s="291"/>
      <c r="AB409" s="412"/>
      <c r="AC409" s="422"/>
      <c r="AD409" s="423" t="s">
        <v>30</v>
      </c>
      <c r="AE409" s="417">
        <f t="shared" ref="AE409:AQ409" si="888">IFERROR(AE408/AE407,0)</f>
        <v>175.96653543307087</v>
      </c>
      <c r="AF409" s="418">
        <f t="shared" si="888"/>
        <v>210.86956521739131</v>
      </c>
      <c r="AG409" s="419">
        <f t="shared" si="888"/>
        <v>0</v>
      </c>
      <c r="AH409" s="419">
        <f t="shared" si="888"/>
        <v>175.80097087378641</v>
      </c>
      <c r="AI409" s="419">
        <f t="shared" si="888"/>
        <v>156.43589743589743</v>
      </c>
      <c r="AJ409" s="419">
        <f t="shared" si="888"/>
        <v>161.36363636363637</v>
      </c>
      <c r="AK409" s="419">
        <f t="shared" si="888"/>
        <v>0</v>
      </c>
      <c r="AL409" s="419">
        <f t="shared" si="888"/>
        <v>205</v>
      </c>
      <c r="AM409" s="419">
        <f t="shared" si="888"/>
        <v>0</v>
      </c>
      <c r="AN409" s="419">
        <f t="shared" si="888"/>
        <v>0</v>
      </c>
      <c r="AO409" s="419">
        <f t="shared" si="888"/>
        <v>0</v>
      </c>
      <c r="AP409" s="419">
        <f t="shared" si="888"/>
        <v>0</v>
      </c>
      <c r="AQ409" s="421">
        <f t="shared" si="888"/>
        <v>0</v>
      </c>
    </row>
    <row r="410" spans="2:43" ht="7.8" customHeight="1" x14ac:dyDescent="0.25">
      <c r="B410" s="282"/>
      <c r="C410" s="404"/>
      <c r="D410" s="433" t="s">
        <v>42</v>
      </c>
      <c r="E410" s="434" t="s">
        <v>32</v>
      </c>
      <c r="F410" s="435">
        <f t="shared" ref="F410:F411" si="889">SUM(G410,H410,N410,T410)</f>
        <v>5123</v>
      </c>
      <c r="G410" s="435">
        <v>0</v>
      </c>
      <c r="H410" s="435">
        <v>205</v>
      </c>
      <c r="I410" s="436">
        <v>130</v>
      </c>
      <c r="J410" s="437">
        <v>25</v>
      </c>
      <c r="K410" s="437">
        <v>50</v>
      </c>
      <c r="L410" s="437">
        <v>0</v>
      </c>
      <c r="M410" s="438">
        <v>0</v>
      </c>
      <c r="N410" s="435">
        <f t="shared" ref="N410:N411" si="890">SUM(O410:S410)</f>
        <v>590</v>
      </c>
      <c r="O410" s="436">
        <v>300</v>
      </c>
      <c r="P410" s="437">
        <v>250</v>
      </c>
      <c r="Q410" s="437">
        <v>40</v>
      </c>
      <c r="R410" s="437">
        <v>0</v>
      </c>
      <c r="S410" s="438">
        <v>0</v>
      </c>
      <c r="T410" s="435">
        <f t="shared" ref="T410:T411" si="891">SUM(U410:Y410)</f>
        <v>4328</v>
      </c>
      <c r="U410" s="436">
        <v>536</v>
      </c>
      <c r="V410" s="437">
        <v>2544</v>
      </c>
      <c r="W410" s="437">
        <v>885</v>
      </c>
      <c r="X410" s="437">
        <v>55</v>
      </c>
      <c r="Y410" s="439">
        <v>308</v>
      </c>
      <c r="AA410" s="291"/>
      <c r="AB410" s="412"/>
      <c r="AC410" s="440" t="s">
        <v>42</v>
      </c>
      <c r="AD410" s="441" t="s">
        <v>32</v>
      </c>
      <c r="AE410" s="442">
        <f t="shared" ref="AE410:AE411" si="892">SUM(AF410:AQ410)</f>
        <v>170</v>
      </c>
      <c r="AF410" s="443">
        <f>$M$86</f>
        <v>0</v>
      </c>
      <c r="AG410" s="444">
        <f>$M$140</f>
        <v>0</v>
      </c>
      <c r="AH410" s="444">
        <f>$M$194</f>
        <v>0</v>
      </c>
      <c r="AI410" s="444">
        <f>$M$248</f>
        <v>50</v>
      </c>
      <c r="AJ410" s="444">
        <f>$M$302</f>
        <v>50</v>
      </c>
      <c r="AK410" s="444">
        <f>$M$356</f>
        <v>0</v>
      </c>
      <c r="AL410" s="444">
        <f>$M$410</f>
        <v>0</v>
      </c>
      <c r="AM410" s="444">
        <f>$M$464</f>
        <v>0</v>
      </c>
      <c r="AN410" s="444">
        <f>$M$518</f>
        <v>0</v>
      </c>
      <c r="AO410" s="444">
        <f>$M$572</f>
        <v>0</v>
      </c>
      <c r="AP410" s="444">
        <f>$M$626</f>
        <v>70</v>
      </c>
      <c r="AQ410" s="445">
        <f>$M$680</f>
        <v>0</v>
      </c>
    </row>
    <row r="411" spans="2:43" s="41" customFormat="1" ht="7.8" customHeight="1" x14ac:dyDescent="0.25">
      <c r="B411" s="282"/>
      <c r="C411" s="404"/>
      <c r="D411" s="446"/>
      <c r="E411" s="447" t="s">
        <v>33</v>
      </c>
      <c r="F411" s="448">
        <f t="shared" si="889"/>
        <v>948654</v>
      </c>
      <c r="G411" s="448">
        <v>0</v>
      </c>
      <c r="H411" s="448">
        <v>35875</v>
      </c>
      <c r="I411" s="449">
        <v>22750</v>
      </c>
      <c r="J411" s="450">
        <v>4375</v>
      </c>
      <c r="K411" s="450">
        <v>8750</v>
      </c>
      <c r="L411" s="450">
        <v>0</v>
      </c>
      <c r="M411" s="451">
        <v>0</v>
      </c>
      <c r="N411" s="448">
        <f t="shared" si="890"/>
        <v>103500</v>
      </c>
      <c r="O411" s="449">
        <v>54000</v>
      </c>
      <c r="P411" s="450">
        <v>42500</v>
      </c>
      <c r="Q411" s="450">
        <v>7000</v>
      </c>
      <c r="R411" s="450">
        <v>0</v>
      </c>
      <c r="S411" s="451">
        <v>0</v>
      </c>
      <c r="T411" s="448">
        <f t="shared" si="891"/>
        <v>809279</v>
      </c>
      <c r="U411" s="449">
        <v>109880</v>
      </c>
      <c r="V411" s="450">
        <v>465552</v>
      </c>
      <c r="W411" s="450">
        <v>159300</v>
      </c>
      <c r="X411" s="450">
        <v>10175</v>
      </c>
      <c r="Y411" s="452">
        <v>64372</v>
      </c>
      <c r="AA411" s="291"/>
      <c r="AB411" s="412"/>
      <c r="AC411" s="453"/>
      <c r="AD411" s="454" t="s">
        <v>33</v>
      </c>
      <c r="AE411" s="455">
        <f t="shared" si="892"/>
        <v>25750</v>
      </c>
      <c r="AF411" s="456">
        <f>$M$87</f>
        <v>0</v>
      </c>
      <c r="AG411" s="457">
        <f>$M$141</f>
        <v>0</v>
      </c>
      <c r="AH411" s="457">
        <f>$M$195</f>
        <v>0</v>
      </c>
      <c r="AI411" s="457">
        <f>$M$249</f>
        <v>7500</v>
      </c>
      <c r="AJ411" s="457">
        <f>$M$303</f>
        <v>7750</v>
      </c>
      <c r="AK411" s="457">
        <f>$M$357</f>
        <v>0</v>
      </c>
      <c r="AL411" s="457">
        <f>$M$411</f>
        <v>0</v>
      </c>
      <c r="AM411" s="457">
        <f>$M$465</f>
        <v>0</v>
      </c>
      <c r="AN411" s="457">
        <f>$M$519</f>
        <v>0</v>
      </c>
      <c r="AO411" s="457">
        <f>$M$573</f>
        <v>0</v>
      </c>
      <c r="AP411" s="457">
        <f>$M$627</f>
        <v>10500</v>
      </c>
      <c r="AQ411" s="458">
        <f>$M$681</f>
        <v>0</v>
      </c>
    </row>
    <row r="412" spans="2:43" ht="7.8" customHeight="1" x14ac:dyDescent="0.25">
      <c r="B412" s="282"/>
      <c r="C412" s="404"/>
      <c r="D412" s="459"/>
      <c r="E412" s="460" t="s">
        <v>30</v>
      </c>
      <c r="F412" s="461">
        <f t="shared" ref="F412:L466" si="893">IFERROR(F411/F410,0)</f>
        <v>185.17548311536208</v>
      </c>
      <c r="G412" s="461">
        <f t="shared" si="893"/>
        <v>0</v>
      </c>
      <c r="H412" s="461">
        <f t="shared" si="893"/>
        <v>175</v>
      </c>
      <c r="I412" s="462">
        <f t="shared" si="893"/>
        <v>175</v>
      </c>
      <c r="J412" s="463">
        <f t="shared" si="893"/>
        <v>175</v>
      </c>
      <c r="K412" s="463">
        <f t="shared" si="893"/>
        <v>175</v>
      </c>
      <c r="L412" s="463">
        <f t="shared" si="893"/>
        <v>0</v>
      </c>
      <c r="M412" s="464"/>
      <c r="N412" s="461">
        <f t="shared" ref="N412:Y466" si="894">IFERROR(N411/N410,0)</f>
        <v>175.42372881355934</v>
      </c>
      <c r="O412" s="462">
        <f t="shared" si="894"/>
        <v>180</v>
      </c>
      <c r="P412" s="463">
        <f t="shared" si="894"/>
        <v>170</v>
      </c>
      <c r="Q412" s="463">
        <f t="shared" si="894"/>
        <v>175</v>
      </c>
      <c r="R412" s="463">
        <f t="shared" si="894"/>
        <v>0</v>
      </c>
      <c r="S412" s="464">
        <f t="shared" si="894"/>
        <v>0</v>
      </c>
      <c r="T412" s="461">
        <f t="shared" si="894"/>
        <v>186.98682994454714</v>
      </c>
      <c r="U412" s="462">
        <f t="shared" si="894"/>
        <v>205</v>
      </c>
      <c r="V412" s="463">
        <f t="shared" si="894"/>
        <v>183</v>
      </c>
      <c r="W412" s="463">
        <f t="shared" si="894"/>
        <v>180</v>
      </c>
      <c r="X412" s="463">
        <f t="shared" si="894"/>
        <v>185</v>
      </c>
      <c r="Y412" s="465">
        <f t="shared" si="894"/>
        <v>209</v>
      </c>
      <c r="AA412" s="291"/>
      <c r="AB412" s="412"/>
      <c r="AC412" s="466"/>
      <c r="AD412" s="467" t="s">
        <v>30</v>
      </c>
      <c r="AE412" s="468">
        <f t="shared" ref="AE412:AQ412" si="895">IFERROR(AE411/AE410,0)</f>
        <v>151.47058823529412</v>
      </c>
      <c r="AF412" s="469">
        <f t="shared" si="895"/>
        <v>0</v>
      </c>
      <c r="AG412" s="470">
        <f t="shared" si="895"/>
        <v>0</v>
      </c>
      <c r="AH412" s="470">
        <f t="shared" si="895"/>
        <v>0</v>
      </c>
      <c r="AI412" s="470">
        <f t="shared" si="895"/>
        <v>150</v>
      </c>
      <c r="AJ412" s="470">
        <f t="shared" si="895"/>
        <v>155</v>
      </c>
      <c r="AK412" s="470">
        <f t="shared" si="895"/>
        <v>0</v>
      </c>
      <c r="AL412" s="470">
        <f t="shared" si="895"/>
        <v>0</v>
      </c>
      <c r="AM412" s="470">
        <f t="shared" si="895"/>
        <v>0</v>
      </c>
      <c r="AN412" s="470">
        <f t="shared" si="895"/>
        <v>0</v>
      </c>
      <c r="AO412" s="470">
        <f t="shared" si="895"/>
        <v>0</v>
      </c>
      <c r="AP412" s="470">
        <f t="shared" si="895"/>
        <v>150</v>
      </c>
      <c r="AQ412" s="471">
        <f t="shared" si="895"/>
        <v>0</v>
      </c>
    </row>
    <row r="413" spans="2:43" ht="7.8" customHeight="1" x14ac:dyDescent="0.25">
      <c r="B413" s="282"/>
      <c r="C413" s="404"/>
      <c r="D413" s="472" t="s">
        <v>43</v>
      </c>
      <c r="E413" s="425" t="s">
        <v>32</v>
      </c>
      <c r="F413" s="426">
        <f t="shared" ref="F413:Y415" si="896">F410-F407</f>
        <v>-576</v>
      </c>
      <c r="G413" s="426">
        <f t="shared" si="896"/>
        <v>-708</v>
      </c>
      <c r="H413" s="426">
        <f t="shared" si="896"/>
        <v>32</v>
      </c>
      <c r="I413" s="427">
        <f t="shared" si="896"/>
        <v>63</v>
      </c>
      <c r="J413" s="428">
        <f t="shared" si="896"/>
        <v>-69</v>
      </c>
      <c r="K413" s="428">
        <f t="shared" si="896"/>
        <v>50</v>
      </c>
      <c r="L413" s="428">
        <f t="shared" si="896"/>
        <v>0</v>
      </c>
      <c r="M413" s="429">
        <f t="shared" si="896"/>
        <v>-12</v>
      </c>
      <c r="N413" s="426">
        <f t="shared" si="896"/>
        <v>3</v>
      </c>
      <c r="O413" s="427">
        <f t="shared" si="896"/>
        <v>-87</v>
      </c>
      <c r="P413" s="428">
        <f t="shared" si="896"/>
        <v>99</v>
      </c>
      <c r="Q413" s="428">
        <f t="shared" si="896"/>
        <v>-4</v>
      </c>
      <c r="R413" s="428">
        <f t="shared" si="896"/>
        <v>0</v>
      </c>
      <c r="S413" s="429">
        <f t="shared" si="896"/>
        <v>-5</v>
      </c>
      <c r="T413" s="426">
        <f t="shared" si="896"/>
        <v>97</v>
      </c>
      <c r="U413" s="427">
        <f t="shared" si="896"/>
        <v>258</v>
      </c>
      <c r="V413" s="428">
        <f t="shared" si="896"/>
        <v>-451</v>
      </c>
      <c r="W413" s="428">
        <f t="shared" si="896"/>
        <v>72</v>
      </c>
      <c r="X413" s="428">
        <f t="shared" si="896"/>
        <v>-42</v>
      </c>
      <c r="Y413" s="430">
        <f t="shared" si="896"/>
        <v>260</v>
      </c>
      <c r="AA413" s="291"/>
      <c r="AB413" s="412"/>
      <c r="AC413" s="473" t="s">
        <v>43</v>
      </c>
      <c r="AD413" s="432" t="s">
        <v>32</v>
      </c>
      <c r="AE413" s="426">
        <f t="shared" ref="AE413:AQ415" si="897">AE410-AE407</f>
        <v>-338</v>
      </c>
      <c r="AF413" s="427">
        <f t="shared" si="897"/>
        <v>-23</v>
      </c>
      <c r="AG413" s="428">
        <f t="shared" si="897"/>
        <v>0</v>
      </c>
      <c r="AH413" s="428">
        <f t="shared" si="897"/>
        <v>-412</v>
      </c>
      <c r="AI413" s="428">
        <f t="shared" si="897"/>
        <v>11</v>
      </c>
      <c r="AJ413" s="428">
        <f t="shared" si="897"/>
        <v>28</v>
      </c>
      <c r="AK413" s="428">
        <f t="shared" si="897"/>
        <v>0</v>
      </c>
      <c r="AL413" s="428">
        <f t="shared" si="897"/>
        <v>-12</v>
      </c>
      <c r="AM413" s="428">
        <f t="shared" si="897"/>
        <v>0</v>
      </c>
      <c r="AN413" s="428">
        <f t="shared" si="897"/>
        <v>0</v>
      </c>
      <c r="AO413" s="428">
        <f t="shared" si="897"/>
        <v>0</v>
      </c>
      <c r="AP413" s="428">
        <f t="shared" si="897"/>
        <v>70</v>
      </c>
      <c r="AQ413" s="430">
        <f t="shared" si="897"/>
        <v>0</v>
      </c>
    </row>
    <row r="414" spans="2:43" s="366" customFormat="1" ht="7.8" customHeight="1" x14ac:dyDescent="0.25">
      <c r="B414" s="282"/>
      <c r="C414" s="404"/>
      <c r="D414" s="405"/>
      <c r="E414" s="474" t="s">
        <v>33</v>
      </c>
      <c r="F414" s="407">
        <f t="shared" si="896"/>
        <v>-14250.239999999991</v>
      </c>
      <c r="G414" s="407">
        <f t="shared" si="896"/>
        <v>-110292</v>
      </c>
      <c r="H414" s="407">
        <f t="shared" si="896"/>
        <v>5120</v>
      </c>
      <c r="I414" s="408">
        <f t="shared" si="896"/>
        <v>11280</v>
      </c>
      <c r="J414" s="409">
        <f t="shared" si="896"/>
        <v>-12450</v>
      </c>
      <c r="K414" s="409">
        <f t="shared" si="896"/>
        <v>8750</v>
      </c>
      <c r="L414" s="409">
        <f t="shared" si="896"/>
        <v>0</v>
      </c>
      <c r="M414" s="410">
        <f t="shared" si="896"/>
        <v>-2460</v>
      </c>
      <c r="N414" s="407">
        <f t="shared" si="896"/>
        <v>-275</v>
      </c>
      <c r="O414" s="408">
        <f t="shared" si="896"/>
        <v>-15972</v>
      </c>
      <c r="P414" s="409">
        <f t="shared" si="896"/>
        <v>17097</v>
      </c>
      <c r="Q414" s="409">
        <f t="shared" si="896"/>
        <v>-545</v>
      </c>
      <c r="R414" s="409">
        <f t="shared" si="896"/>
        <v>0</v>
      </c>
      <c r="S414" s="410">
        <f t="shared" si="896"/>
        <v>-855</v>
      </c>
      <c r="T414" s="407">
        <f t="shared" si="896"/>
        <v>91196.760000000009</v>
      </c>
      <c r="U414" s="408">
        <f t="shared" si="896"/>
        <v>47712.819999999963</v>
      </c>
      <c r="V414" s="409">
        <f t="shared" si="896"/>
        <v>-18121.670000000042</v>
      </c>
      <c r="W414" s="409">
        <f t="shared" si="896"/>
        <v>11111.880000000063</v>
      </c>
      <c r="X414" s="409">
        <f t="shared" si="896"/>
        <v>-8302</v>
      </c>
      <c r="Y414" s="411">
        <f t="shared" si="896"/>
        <v>58795.729999999996</v>
      </c>
      <c r="AA414" s="291"/>
      <c r="AB414" s="412"/>
      <c r="AC414" s="475"/>
      <c r="AD414" s="476" t="s">
        <v>33</v>
      </c>
      <c r="AE414" s="407">
        <f t="shared" si="897"/>
        <v>-63641</v>
      </c>
      <c r="AF414" s="408">
        <f t="shared" si="897"/>
        <v>-4850</v>
      </c>
      <c r="AG414" s="409">
        <f t="shared" si="897"/>
        <v>0</v>
      </c>
      <c r="AH414" s="409">
        <f t="shared" si="897"/>
        <v>-72430</v>
      </c>
      <c r="AI414" s="409">
        <f t="shared" si="897"/>
        <v>1399</v>
      </c>
      <c r="AJ414" s="409">
        <f t="shared" si="897"/>
        <v>4200</v>
      </c>
      <c r="AK414" s="409">
        <f t="shared" si="897"/>
        <v>0</v>
      </c>
      <c r="AL414" s="409">
        <f t="shared" si="897"/>
        <v>-2460</v>
      </c>
      <c r="AM414" s="409">
        <f t="shared" si="897"/>
        <v>0</v>
      </c>
      <c r="AN414" s="409">
        <f t="shared" si="897"/>
        <v>0</v>
      </c>
      <c r="AO414" s="409">
        <f t="shared" si="897"/>
        <v>0</v>
      </c>
      <c r="AP414" s="409">
        <f t="shared" si="897"/>
        <v>10500</v>
      </c>
      <c r="AQ414" s="411">
        <f t="shared" si="897"/>
        <v>0</v>
      </c>
    </row>
    <row r="415" spans="2:43" ht="7.8" customHeight="1" x14ac:dyDescent="0.25">
      <c r="B415" s="282"/>
      <c r="C415" s="404"/>
      <c r="D415" s="415"/>
      <c r="E415" s="416" t="s">
        <v>30</v>
      </c>
      <c r="F415" s="417">
        <f t="shared" si="896"/>
        <v>16.215272552105375</v>
      </c>
      <c r="G415" s="417">
        <f t="shared" si="896"/>
        <v>-155.77966101694915</v>
      </c>
      <c r="H415" s="417">
        <f t="shared" si="896"/>
        <v>-2.7745664739884432</v>
      </c>
      <c r="I415" s="418">
        <f t="shared" si="896"/>
        <v>3.8059701492537386</v>
      </c>
      <c r="J415" s="419">
        <f t="shared" si="896"/>
        <v>-3.9893617021276668</v>
      </c>
      <c r="K415" s="419">
        <f t="shared" si="896"/>
        <v>175</v>
      </c>
      <c r="L415" s="419">
        <f t="shared" si="896"/>
        <v>0</v>
      </c>
      <c r="M415" s="420">
        <f t="shared" si="896"/>
        <v>-205</v>
      </c>
      <c r="N415" s="417">
        <f t="shared" si="896"/>
        <v>-1.3650275748563274</v>
      </c>
      <c r="O415" s="418">
        <f t="shared" si="896"/>
        <v>-0.80620155038758412</v>
      </c>
      <c r="P415" s="419">
        <f t="shared" si="896"/>
        <v>1.7682119205298079</v>
      </c>
      <c r="Q415" s="419">
        <f t="shared" si="896"/>
        <v>3.5227272727272805</v>
      </c>
      <c r="R415" s="419">
        <f t="shared" si="896"/>
        <v>0</v>
      </c>
      <c r="S415" s="420">
        <f t="shared" si="896"/>
        <v>-171</v>
      </c>
      <c r="T415" s="417">
        <f t="shared" si="896"/>
        <v>17.267557904840203</v>
      </c>
      <c r="U415" s="418">
        <f t="shared" si="896"/>
        <v>-18.622949640287914</v>
      </c>
      <c r="V415" s="419">
        <f t="shared" si="896"/>
        <v>21.506287145242055</v>
      </c>
      <c r="W415" s="419">
        <f t="shared" si="896"/>
        <v>-2.2732103321032469</v>
      </c>
      <c r="X415" s="419">
        <f t="shared" si="896"/>
        <v>-5.4845360824742215</v>
      </c>
      <c r="Y415" s="421">
        <f t="shared" si="896"/>
        <v>92.827708333333305</v>
      </c>
      <c r="AA415" s="291"/>
      <c r="AB415" s="412"/>
      <c r="AC415" s="477"/>
      <c r="AD415" s="423" t="s">
        <v>30</v>
      </c>
      <c r="AE415" s="417">
        <f t="shared" si="897"/>
        <v>-24.495947197776758</v>
      </c>
      <c r="AF415" s="418">
        <f t="shared" si="897"/>
        <v>-210.86956521739131</v>
      </c>
      <c r="AG415" s="419">
        <f t="shared" si="897"/>
        <v>0</v>
      </c>
      <c r="AH415" s="419">
        <f t="shared" si="897"/>
        <v>-175.80097087378641</v>
      </c>
      <c r="AI415" s="419">
        <f t="shared" si="897"/>
        <v>-6.4358974358974308</v>
      </c>
      <c r="AJ415" s="419">
        <f t="shared" si="897"/>
        <v>-6.363636363636374</v>
      </c>
      <c r="AK415" s="419">
        <f t="shared" si="897"/>
        <v>0</v>
      </c>
      <c r="AL415" s="419">
        <f t="shared" si="897"/>
        <v>-205</v>
      </c>
      <c r="AM415" s="419">
        <f t="shared" si="897"/>
        <v>0</v>
      </c>
      <c r="AN415" s="419">
        <f t="shared" si="897"/>
        <v>0</v>
      </c>
      <c r="AO415" s="419">
        <f t="shared" si="897"/>
        <v>0</v>
      </c>
      <c r="AP415" s="419">
        <f t="shared" si="897"/>
        <v>150</v>
      </c>
      <c r="AQ415" s="421">
        <f t="shared" si="897"/>
        <v>0</v>
      </c>
    </row>
    <row r="416" spans="2:43" ht="7.8" customHeight="1" x14ac:dyDescent="0.25">
      <c r="B416" s="282"/>
      <c r="C416" s="404"/>
      <c r="D416" s="472" t="s">
        <v>44</v>
      </c>
      <c r="E416" s="425" t="s">
        <v>32</v>
      </c>
      <c r="F416" s="478">
        <f t="shared" ref="F416:Y418" si="898">IFERROR((F410-F407)/ABS(F407),"")</f>
        <v>-0.10107036322161783</v>
      </c>
      <c r="G416" s="478">
        <f t="shared" si="898"/>
        <v>-1</v>
      </c>
      <c r="H416" s="478">
        <f t="shared" si="898"/>
        <v>0.18497109826589594</v>
      </c>
      <c r="I416" s="479">
        <f t="shared" si="898"/>
        <v>0.94029850746268662</v>
      </c>
      <c r="J416" s="480">
        <f t="shared" si="898"/>
        <v>-0.73404255319148937</v>
      </c>
      <c r="K416" s="480" t="str">
        <f t="shared" si="898"/>
        <v/>
      </c>
      <c r="L416" s="480" t="str">
        <f t="shared" si="898"/>
        <v/>
      </c>
      <c r="M416" s="481">
        <f t="shared" si="898"/>
        <v>-1</v>
      </c>
      <c r="N416" s="478">
        <f t="shared" si="898"/>
        <v>5.1107325383304937E-3</v>
      </c>
      <c r="O416" s="479">
        <f t="shared" si="898"/>
        <v>-0.22480620155038761</v>
      </c>
      <c r="P416" s="480">
        <f t="shared" si="898"/>
        <v>0.6556291390728477</v>
      </c>
      <c r="Q416" s="480">
        <f t="shared" si="898"/>
        <v>-9.0909090909090912E-2</v>
      </c>
      <c r="R416" s="480" t="str">
        <f t="shared" si="898"/>
        <v/>
      </c>
      <c r="S416" s="481">
        <f t="shared" si="898"/>
        <v>-1</v>
      </c>
      <c r="T416" s="478">
        <f t="shared" si="898"/>
        <v>2.2926022216969984E-2</v>
      </c>
      <c r="U416" s="479">
        <f t="shared" si="898"/>
        <v>0.92805755395683454</v>
      </c>
      <c r="V416" s="480">
        <f t="shared" si="898"/>
        <v>-0.15058430717863105</v>
      </c>
      <c r="W416" s="480">
        <f t="shared" si="898"/>
        <v>8.8560885608856083E-2</v>
      </c>
      <c r="X416" s="480">
        <f t="shared" si="898"/>
        <v>-0.4329896907216495</v>
      </c>
      <c r="Y416" s="482">
        <f t="shared" si="898"/>
        <v>5.416666666666667</v>
      </c>
      <c r="AA416" s="291"/>
      <c r="AB416" s="412"/>
      <c r="AC416" s="473" t="s">
        <v>44</v>
      </c>
      <c r="AD416" s="432" t="s">
        <v>32</v>
      </c>
      <c r="AE416" s="478">
        <f t="shared" ref="AE416:AQ418" si="899">IFERROR((AE410-AE407)/ABS(AE407),"")</f>
        <v>-0.66535433070866146</v>
      </c>
      <c r="AF416" s="479">
        <f t="shared" si="899"/>
        <v>-1</v>
      </c>
      <c r="AG416" s="480" t="str">
        <f t="shared" si="899"/>
        <v/>
      </c>
      <c r="AH416" s="480">
        <f t="shared" si="899"/>
        <v>-1</v>
      </c>
      <c r="AI416" s="480">
        <f t="shared" si="899"/>
        <v>0.28205128205128205</v>
      </c>
      <c r="AJ416" s="480">
        <f t="shared" si="899"/>
        <v>1.2727272727272727</v>
      </c>
      <c r="AK416" s="480" t="str">
        <f t="shared" si="899"/>
        <v/>
      </c>
      <c r="AL416" s="480">
        <f t="shared" si="899"/>
        <v>-1</v>
      </c>
      <c r="AM416" s="480" t="str">
        <f t="shared" si="899"/>
        <v/>
      </c>
      <c r="AN416" s="480" t="str">
        <f t="shared" si="899"/>
        <v/>
      </c>
      <c r="AO416" s="480" t="str">
        <f t="shared" si="899"/>
        <v/>
      </c>
      <c r="AP416" s="480" t="str">
        <f t="shared" si="899"/>
        <v/>
      </c>
      <c r="AQ416" s="482" t="str">
        <f t="shared" si="899"/>
        <v/>
      </c>
    </row>
    <row r="417" spans="2:43" ht="7.8" customHeight="1" x14ac:dyDescent="0.25">
      <c r="B417" s="282"/>
      <c r="C417" s="404"/>
      <c r="D417" s="405"/>
      <c r="E417" s="483" t="s">
        <v>33</v>
      </c>
      <c r="F417" s="484">
        <f t="shared" si="898"/>
        <v>-1.4799228633576264E-2</v>
      </c>
      <c r="G417" s="484">
        <f t="shared" si="898"/>
        <v>-1</v>
      </c>
      <c r="H417" s="484">
        <f t="shared" si="898"/>
        <v>0.16647699561046983</v>
      </c>
      <c r="I417" s="485">
        <f t="shared" si="898"/>
        <v>0.98343504795117698</v>
      </c>
      <c r="J417" s="486">
        <f t="shared" si="898"/>
        <v>-0.73997028231797923</v>
      </c>
      <c r="K417" s="486" t="str">
        <f t="shared" si="898"/>
        <v/>
      </c>
      <c r="L417" s="486" t="str">
        <f t="shared" si="898"/>
        <v/>
      </c>
      <c r="M417" s="487">
        <f t="shared" si="898"/>
        <v>-1</v>
      </c>
      <c r="N417" s="484">
        <f t="shared" si="898"/>
        <v>-2.6499638641291254E-3</v>
      </c>
      <c r="O417" s="485">
        <f t="shared" si="898"/>
        <v>-0.22826273366489452</v>
      </c>
      <c r="P417" s="486">
        <f t="shared" si="898"/>
        <v>0.67303074440026767</v>
      </c>
      <c r="Q417" s="486">
        <f t="shared" si="898"/>
        <v>-7.2233267064280987E-2</v>
      </c>
      <c r="R417" s="486" t="str">
        <f t="shared" si="898"/>
        <v/>
      </c>
      <c r="S417" s="487">
        <f t="shared" si="898"/>
        <v>-1</v>
      </c>
      <c r="T417" s="484">
        <f t="shared" si="898"/>
        <v>0.12700043939256875</v>
      </c>
      <c r="U417" s="485">
        <f t="shared" si="898"/>
        <v>0.76749210757187214</v>
      </c>
      <c r="V417" s="486">
        <f t="shared" si="898"/>
        <v>-3.7466728341859171E-2</v>
      </c>
      <c r="W417" s="486">
        <f t="shared" si="898"/>
        <v>7.4984958308399269E-2</v>
      </c>
      <c r="X417" s="486">
        <f t="shared" si="898"/>
        <v>-0.44931536504843861</v>
      </c>
      <c r="Y417" s="488">
        <f t="shared" si="898"/>
        <v>10.543917349769645</v>
      </c>
      <c r="AA417" s="291"/>
      <c r="AB417" s="412"/>
      <c r="AC417" s="475"/>
      <c r="AD417" s="489" t="s">
        <v>33</v>
      </c>
      <c r="AE417" s="484">
        <f t="shared" si="899"/>
        <v>-0.71193968072848501</v>
      </c>
      <c r="AF417" s="485">
        <f t="shared" si="899"/>
        <v>-1</v>
      </c>
      <c r="AG417" s="486" t="str">
        <f t="shared" si="899"/>
        <v/>
      </c>
      <c r="AH417" s="486">
        <f t="shared" si="899"/>
        <v>-1</v>
      </c>
      <c r="AI417" s="486">
        <f t="shared" si="899"/>
        <v>0.22930667103753483</v>
      </c>
      <c r="AJ417" s="486">
        <f t="shared" si="899"/>
        <v>1.1830985915492958</v>
      </c>
      <c r="AK417" s="486" t="str">
        <f t="shared" si="899"/>
        <v/>
      </c>
      <c r="AL417" s="486">
        <f t="shared" si="899"/>
        <v>-1</v>
      </c>
      <c r="AM417" s="486" t="str">
        <f t="shared" si="899"/>
        <v/>
      </c>
      <c r="AN417" s="486" t="str">
        <f t="shared" si="899"/>
        <v/>
      </c>
      <c r="AO417" s="486" t="str">
        <f t="shared" si="899"/>
        <v/>
      </c>
      <c r="AP417" s="486" t="str">
        <f t="shared" si="899"/>
        <v/>
      </c>
      <c r="AQ417" s="488" t="str">
        <f t="shared" si="899"/>
        <v/>
      </c>
    </row>
    <row r="418" spans="2:43" ht="7.8" customHeight="1" x14ac:dyDescent="0.25">
      <c r="B418" s="282"/>
      <c r="C418" s="490"/>
      <c r="D418" s="405"/>
      <c r="E418" s="483" t="s">
        <v>30</v>
      </c>
      <c r="F418" s="484">
        <f t="shared" si="898"/>
        <v>9.5970953741411028E-2</v>
      </c>
      <c r="G418" s="484">
        <f t="shared" si="898"/>
        <v>-1</v>
      </c>
      <c r="H418" s="484">
        <f t="shared" si="898"/>
        <v>-1.560721833848157E-2</v>
      </c>
      <c r="I418" s="485">
        <f t="shared" si="898"/>
        <v>2.2231909328683564E-2</v>
      </c>
      <c r="J418" s="486">
        <f t="shared" si="898"/>
        <v>-2.2288261515601822E-2</v>
      </c>
      <c r="K418" s="486" t="str">
        <f t="shared" si="898"/>
        <v/>
      </c>
      <c r="L418" s="486" t="str">
        <f t="shared" si="898"/>
        <v/>
      </c>
      <c r="M418" s="487">
        <f t="shared" si="898"/>
        <v>-1</v>
      </c>
      <c r="N418" s="484">
        <f t="shared" si="898"/>
        <v>-7.7212352343113879E-3</v>
      </c>
      <c r="O418" s="485">
        <f t="shared" si="898"/>
        <v>-4.4589264277138723E-3</v>
      </c>
      <c r="P418" s="486">
        <f t="shared" si="898"/>
        <v>1.0510569617761721E-2</v>
      </c>
      <c r="Q418" s="486">
        <f t="shared" si="898"/>
        <v>2.0543406229290968E-2</v>
      </c>
      <c r="R418" s="486" t="str">
        <f t="shared" si="898"/>
        <v/>
      </c>
      <c r="S418" s="487">
        <f t="shared" si="898"/>
        <v>-1</v>
      </c>
      <c r="T418" s="484">
        <f t="shared" si="898"/>
        <v>0.10174188056145059</v>
      </c>
      <c r="U418" s="485">
        <f t="shared" si="898"/>
        <v>-8.3278347192200716E-2</v>
      </c>
      <c r="V418" s="486">
        <f t="shared" si="898"/>
        <v>0.13317104898432852</v>
      </c>
      <c r="W418" s="486">
        <f t="shared" si="898"/>
        <v>-1.2471445079402725E-2</v>
      </c>
      <c r="X418" s="486">
        <f t="shared" si="898"/>
        <v>-2.8792552903609867E-2</v>
      </c>
      <c r="Y418" s="488">
        <f t="shared" si="898"/>
        <v>0.79905205450955519</v>
      </c>
      <c r="AA418" s="291"/>
      <c r="AB418" s="412"/>
      <c r="AC418" s="475"/>
      <c r="AD418" s="489" t="s">
        <v>30</v>
      </c>
      <c r="AE418" s="484">
        <f t="shared" si="899"/>
        <v>-0.13920798711806101</v>
      </c>
      <c r="AF418" s="485">
        <f t="shared" si="899"/>
        <v>-1</v>
      </c>
      <c r="AG418" s="486" t="str">
        <f t="shared" si="899"/>
        <v/>
      </c>
      <c r="AH418" s="486">
        <f t="shared" si="899"/>
        <v>-1</v>
      </c>
      <c r="AI418" s="486">
        <f t="shared" si="899"/>
        <v>-4.1140796590722804E-2</v>
      </c>
      <c r="AJ418" s="486">
        <f t="shared" si="899"/>
        <v>-3.9436619718309918E-2</v>
      </c>
      <c r="AK418" s="486" t="str">
        <f t="shared" si="899"/>
        <v/>
      </c>
      <c r="AL418" s="486">
        <f t="shared" si="899"/>
        <v>-1</v>
      </c>
      <c r="AM418" s="486" t="str">
        <f t="shared" si="899"/>
        <v/>
      </c>
      <c r="AN418" s="486" t="str">
        <f t="shared" si="899"/>
        <v/>
      </c>
      <c r="AO418" s="486" t="str">
        <f t="shared" si="899"/>
        <v/>
      </c>
      <c r="AP418" s="486" t="str">
        <f t="shared" si="899"/>
        <v/>
      </c>
      <c r="AQ418" s="488" t="str">
        <f t="shared" si="899"/>
        <v/>
      </c>
    </row>
    <row r="419" spans="2:43" ht="7.8" customHeight="1" x14ac:dyDescent="0.25">
      <c r="B419" s="282"/>
      <c r="C419" s="491" t="s">
        <v>49</v>
      </c>
      <c r="D419" s="492" t="s">
        <v>39</v>
      </c>
      <c r="E419" s="493" t="s">
        <v>32</v>
      </c>
      <c r="F419" s="494">
        <f t="shared" ref="F419:F420" si="900">SUM(G419,H419,N419,T419)</f>
        <v>0</v>
      </c>
      <c r="G419" s="494"/>
      <c r="H419" s="494">
        <f t="shared" ref="H419:H420" si="901">SUM(I419:M419)</f>
        <v>0</v>
      </c>
      <c r="I419" s="495"/>
      <c r="J419" s="496"/>
      <c r="K419" s="496"/>
      <c r="L419" s="496"/>
      <c r="M419" s="497"/>
      <c r="N419" s="494">
        <f t="shared" ref="N419:N420" si="902">SUM(O419:S419)</f>
        <v>0</v>
      </c>
      <c r="O419" s="495"/>
      <c r="P419" s="496"/>
      <c r="Q419" s="496"/>
      <c r="R419" s="496"/>
      <c r="S419" s="497"/>
      <c r="T419" s="494">
        <f t="shared" ref="T419:T420" si="903">SUM(U419:Y419)</f>
        <v>0</v>
      </c>
      <c r="U419" s="495"/>
      <c r="V419" s="496"/>
      <c r="W419" s="496"/>
      <c r="X419" s="496"/>
      <c r="Y419" s="498"/>
      <c r="AA419" s="291"/>
      <c r="AB419" s="499" t="s">
        <v>49</v>
      </c>
      <c r="AC419" s="500" t="s">
        <v>39</v>
      </c>
      <c r="AD419" s="501" t="s">
        <v>32</v>
      </c>
      <c r="AE419" s="494">
        <f t="shared" ref="AE419:AE420" si="904">SUM(AF419:AQ419)</f>
        <v>0</v>
      </c>
      <c r="AF419" s="495">
        <f>$M$95</f>
        <v>0</v>
      </c>
      <c r="AG419" s="496">
        <f>$M$149</f>
        <v>0</v>
      </c>
      <c r="AH419" s="496">
        <f>$M$203</f>
        <v>0</v>
      </c>
      <c r="AI419" s="496">
        <f>$M$257</f>
        <v>0</v>
      </c>
      <c r="AJ419" s="496">
        <f>$M$311</f>
        <v>0</v>
      </c>
      <c r="AK419" s="496">
        <f>$M$365</f>
        <v>0</v>
      </c>
      <c r="AL419" s="496">
        <f>$M$419</f>
        <v>0</v>
      </c>
      <c r="AM419" s="496">
        <f>$M$473</f>
        <v>0</v>
      </c>
      <c r="AN419" s="496">
        <f>$M$527</f>
        <v>0</v>
      </c>
      <c r="AO419" s="496">
        <f>$M$581</f>
        <v>0</v>
      </c>
      <c r="AP419" s="496">
        <f>$M$635</f>
        <v>0</v>
      </c>
      <c r="AQ419" s="498">
        <f>$M$689</f>
        <v>0</v>
      </c>
    </row>
    <row r="420" spans="2:43" s="41" customFormat="1" ht="7.8" customHeight="1" x14ac:dyDescent="0.25">
      <c r="B420" s="282"/>
      <c r="C420" s="404"/>
      <c r="D420" s="405"/>
      <c r="E420" s="406" t="s">
        <v>33</v>
      </c>
      <c r="F420" s="407">
        <f t="shared" si="900"/>
        <v>0</v>
      </c>
      <c r="G420" s="407"/>
      <c r="H420" s="407">
        <f t="shared" si="901"/>
        <v>0</v>
      </c>
      <c r="I420" s="408"/>
      <c r="J420" s="409"/>
      <c r="K420" s="409"/>
      <c r="L420" s="409"/>
      <c r="M420" s="410"/>
      <c r="N420" s="407">
        <f t="shared" si="902"/>
        <v>0</v>
      </c>
      <c r="O420" s="408"/>
      <c r="P420" s="409"/>
      <c r="Q420" s="409"/>
      <c r="R420" s="409"/>
      <c r="S420" s="410"/>
      <c r="T420" s="407">
        <f t="shared" si="903"/>
        <v>0</v>
      </c>
      <c r="U420" s="408"/>
      <c r="V420" s="409"/>
      <c r="W420" s="409"/>
      <c r="X420" s="409"/>
      <c r="Y420" s="411"/>
      <c r="AA420" s="291"/>
      <c r="AB420" s="412"/>
      <c r="AC420" s="413"/>
      <c r="AD420" s="414" t="s">
        <v>33</v>
      </c>
      <c r="AE420" s="407">
        <f t="shared" si="904"/>
        <v>0</v>
      </c>
      <c r="AF420" s="408">
        <f>$M$96</f>
        <v>0</v>
      </c>
      <c r="AG420" s="409">
        <f>$M$150</f>
        <v>0</v>
      </c>
      <c r="AH420" s="409">
        <f>$M$204</f>
        <v>0</v>
      </c>
      <c r="AI420" s="409">
        <f>$M$258</f>
        <v>0</v>
      </c>
      <c r="AJ420" s="409">
        <f>$M$312</f>
        <v>0</v>
      </c>
      <c r="AK420" s="409">
        <f>$M$366</f>
        <v>0</v>
      </c>
      <c r="AL420" s="409">
        <f>$M$420</f>
        <v>0</v>
      </c>
      <c r="AM420" s="409">
        <f>$M$474</f>
        <v>0</v>
      </c>
      <c r="AN420" s="409">
        <f>$M$528</f>
        <v>0</v>
      </c>
      <c r="AO420" s="409">
        <f>$M$582</f>
        <v>0</v>
      </c>
      <c r="AP420" s="409">
        <f>$M$636</f>
        <v>0</v>
      </c>
      <c r="AQ420" s="411">
        <f>$M$690</f>
        <v>0</v>
      </c>
    </row>
    <row r="421" spans="2:43" ht="7.8" customHeight="1" x14ac:dyDescent="0.25">
      <c r="B421" s="282"/>
      <c r="C421" s="404"/>
      <c r="D421" s="415"/>
      <c r="E421" s="416" t="s">
        <v>30</v>
      </c>
      <c r="F421" s="417">
        <f t="shared" ref="F421:Y475" si="905">IFERROR(F420/F419,0)</f>
        <v>0</v>
      </c>
      <c r="G421" s="417">
        <f t="shared" si="905"/>
        <v>0</v>
      </c>
      <c r="H421" s="417">
        <f t="shared" si="905"/>
        <v>0</v>
      </c>
      <c r="I421" s="418">
        <f t="shared" si="905"/>
        <v>0</v>
      </c>
      <c r="J421" s="419">
        <f t="shared" si="905"/>
        <v>0</v>
      </c>
      <c r="K421" s="419">
        <f t="shared" si="905"/>
        <v>0</v>
      </c>
      <c r="L421" s="419">
        <f t="shared" si="905"/>
        <v>0</v>
      </c>
      <c r="M421" s="420">
        <f t="shared" si="905"/>
        <v>0</v>
      </c>
      <c r="N421" s="417">
        <f t="shared" si="905"/>
        <v>0</v>
      </c>
      <c r="O421" s="418">
        <f t="shared" si="905"/>
        <v>0</v>
      </c>
      <c r="P421" s="419">
        <f t="shared" si="905"/>
        <v>0</v>
      </c>
      <c r="Q421" s="419">
        <f t="shared" si="905"/>
        <v>0</v>
      </c>
      <c r="R421" s="419">
        <f t="shared" si="905"/>
        <v>0</v>
      </c>
      <c r="S421" s="420">
        <f t="shared" si="905"/>
        <v>0</v>
      </c>
      <c r="T421" s="417">
        <f t="shared" si="905"/>
        <v>0</v>
      </c>
      <c r="U421" s="418">
        <f t="shared" si="905"/>
        <v>0</v>
      </c>
      <c r="V421" s="419">
        <f t="shared" si="905"/>
        <v>0</v>
      </c>
      <c r="W421" s="419">
        <f t="shared" si="905"/>
        <v>0</v>
      </c>
      <c r="X421" s="419">
        <f t="shared" si="905"/>
        <v>0</v>
      </c>
      <c r="Y421" s="421">
        <f t="shared" si="905"/>
        <v>0</v>
      </c>
      <c r="AA421" s="291"/>
      <c r="AB421" s="412"/>
      <c r="AC421" s="422"/>
      <c r="AD421" s="423" t="s">
        <v>30</v>
      </c>
      <c r="AE421" s="417">
        <f t="shared" ref="AE421:AQ421" si="906">IFERROR(AE420/AE419,0)</f>
        <v>0</v>
      </c>
      <c r="AF421" s="418">
        <f t="shared" si="906"/>
        <v>0</v>
      </c>
      <c r="AG421" s="419">
        <f t="shared" si="906"/>
        <v>0</v>
      </c>
      <c r="AH421" s="419">
        <f t="shared" si="906"/>
        <v>0</v>
      </c>
      <c r="AI421" s="419">
        <f t="shared" si="906"/>
        <v>0</v>
      </c>
      <c r="AJ421" s="419">
        <f t="shared" si="906"/>
        <v>0</v>
      </c>
      <c r="AK421" s="419">
        <f t="shared" si="906"/>
        <v>0</v>
      </c>
      <c r="AL421" s="419">
        <f t="shared" si="906"/>
        <v>0</v>
      </c>
      <c r="AM421" s="419">
        <f t="shared" si="906"/>
        <v>0</v>
      </c>
      <c r="AN421" s="419">
        <f t="shared" si="906"/>
        <v>0</v>
      </c>
      <c r="AO421" s="419">
        <f t="shared" si="906"/>
        <v>0</v>
      </c>
      <c r="AP421" s="419">
        <f t="shared" si="906"/>
        <v>0</v>
      </c>
      <c r="AQ421" s="421">
        <f t="shared" si="906"/>
        <v>0</v>
      </c>
    </row>
    <row r="422" spans="2:43" ht="7.8" customHeight="1" x14ac:dyDescent="0.25">
      <c r="B422" s="282"/>
      <c r="C422" s="404"/>
      <c r="D422" s="424" t="s">
        <v>40</v>
      </c>
      <c r="E422" s="425" t="s">
        <v>32</v>
      </c>
      <c r="F422" s="426">
        <f t="shared" ref="F422:F423" si="907">SUM(G422,H422,N422,T422)</f>
        <v>2042</v>
      </c>
      <c r="G422" s="426">
        <v>277</v>
      </c>
      <c r="H422" s="426">
        <f t="shared" ref="H422:H423" si="908">SUM(I422:M422)</f>
        <v>44</v>
      </c>
      <c r="I422" s="427">
        <v>0</v>
      </c>
      <c r="J422" s="428">
        <v>0</v>
      </c>
      <c r="K422" s="428">
        <v>44</v>
      </c>
      <c r="L422" s="428">
        <v>0</v>
      </c>
      <c r="M422" s="429">
        <v>0</v>
      </c>
      <c r="N422" s="426">
        <f t="shared" ref="N422:N423" si="909">SUM(O422:S422)</f>
        <v>293</v>
      </c>
      <c r="O422" s="427">
        <v>117</v>
      </c>
      <c r="P422" s="428">
        <v>113</v>
      </c>
      <c r="Q422" s="428">
        <v>61</v>
      </c>
      <c r="R422" s="428">
        <v>0</v>
      </c>
      <c r="S422" s="429">
        <v>2</v>
      </c>
      <c r="T422" s="426">
        <f t="shared" ref="T422:T423" si="910">SUM(U422:Y422)</f>
        <v>1428</v>
      </c>
      <c r="U422" s="427">
        <v>150</v>
      </c>
      <c r="V422" s="428">
        <v>403</v>
      </c>
      <c r="W422" s="428">
        <v>712</v>
      </c>
      <c r="X422" s="428">
        <v>67</v>
      </c>
      <c r="Y422" s="430">
        <v>96</v>
      </c>
      <c r="AA422" s="291"/>
      <c r="AB422" s="412"/>
      <c r="AC422" s="431" t="s">
        <v>40</v>
      </c>
      <c r="AD422" s="432" t="s">
        <v>32</v>
      </c>
      <c r="AE422" s="426">
        <f t="shared" ref="AE422:AE423" si="911">SUM(AF422:AQ422)</f>
        <v>424</v>
      </c>
      <c r="AF422" s="427">
        <f>$M$98</f>
        <v>16</v>
      </c>
      <c r="AG422" s="428">
        <f>$M$152</f>
        <v>74</v>
      </c>
      <c r="AH422" s="428">
        <f>$M$206</f>
        <v>118</v>
      </c>
      <c r="AI422" s="428">
        <f>$M$260</f>
        <v>17</v>
      </c>
      <c r="AJ422" s="428">
        <f>$M$314</f>
        <v>16</v>
      </c>
      <c r="AK422" s="428">
        <f>$M$368</f>
        <v>110</v>
      </c>
      <c r="AL422" s="428">
        <f>$M$422</f>
        <v>0</v>
      </c>
      <c r="AM422" s="428">
        <f>$M$476</f>
        <v>7</v>
      </c>
      <c r="AN422" s="428">
        <f>$M$530</f>
        <v>44</v>
      </c>
      <c r="AO422" s="428">
        <f>$M$584</f>
        <v>0</v>
      </c>
      <c r="AP422" s="428">
        <f>$M$638</f>
        <v>22</v>
      </c>
      <c r="AQ422" s="430">
        <f>$M$692</f>
        <v>0</v>
      </c>
    </row>
    <row r="423" spans="2:43" s="41" customFormat="1" ht="7.8" customHeight="1" x14ac:dyDescent="0.25">
      <c r="B423" s="282"/>
      <c r="C423" s="404"/>
      <c r="D423" s="405"/>
      <c r="E423" s="406" t="s">
        <v>33</v>
      </c>
      <c r="F423" s="407">
        <f t="shared" si="907"/>
        <v>398266.85</v>
      </c>
      <c r="G423" s="407">
        <v>43257</v>
      </c>
      <c r="H423" s="407">
        <f t="shared" si="908"/>
        <v>8100</v>
      </c>
      <c r="I423" s="408">
        <v>0</v>
      </c>
      <c r="J423" s="409">
        <v>0</v>
      </c>
      <c r="K423" s="409">
        <v>8100</v>
      </c>
      <c r="L423" s="409">
        <v>0</v>
      </c>
      <c r="M423" s="410">
        <v>0</v>
      </c>
      <c r="N423" s="407">
        <f t="shared" si="909"/>
        <v>54482</v>
      </c>
      <c r="O423" s="408">
        <v>21960</v>
      </c>
      <c r="P423" s="409">
        <v>20805</v>
      </c>
      <c r="Q423" s="409">
        <v>11357</v>
      </c>
      <c r="R423" s="409">
        <v>0</v>
      </c>
      <c r="S423" s="410">
        <v>360</v>
      </c>
      <c r="T423" s="407">
        <f t="shared" si="910"/>
        <v>292427.84999999998</v>
      </c>
      <c r="U423" s="408">
        <v>36863.600000000006</v>
      </c>
      <c r="V423" s="409">
        <v>84461.84</v>
      </c>
      <c r="W423" s="409">
        <v>144372.41</v>
      </c>
      <c r="X423" s="409">
        <v>12616</v>
      </c>
      <c r="Y423" s="411">
        <v>14114</v>
      </c>
      <c r="AA423" s="291"/>
      <c r="AB423" s="412"/>
      <c r="AC423" s="413"/>
      <c r="AD423" s="414" t="s">
        <v>33</v>
      </c>
      <c r="AE423" s="407">
        <f t="shared" si="911"/>
        <v>72172</v>
      </c>
      <c r="AF423" s="408">
        <f>$M$99</f>
        <v>3400</v>
      </c>
      <c r="AG423" s="409">
        <f>$M$153</f>
        <v>14415</v>
      </c>
      <c r="AH423" s="409">
        <f>$M$207</f>
        <v>19198</v>
      </c>
      <c r="AI423" s="409">
        <f>$M$261</f>
        <v>2278</v>
      </c>
      <c r="AJ423" s="409">
        <f>$M$315</f>
        <v>2480</v>
      </c>
      <c r="AK423" s="409">
        <f>$M$369</f>
        <v>18440</v>
      </c>
      <c r="AL423" s="409">
        <f>$M$423</f>
        <v>0</v>
      </c>
      <c r="AM423" s="409">
        <f>$M$477</f>
        <v>1665</v>
      </c>
      <c r="AN423" s="409">
        <f>$M$531</f>
        <v>6776</v>
      </c>
      <c r="AO423" s="409">
        <f>$M$585</f>
        <v>0</v>
      </c>
      <c r="AP423" s="409">
        <f>$M$639</f>
        <v>3520</v>
      </c>
      <c r="AQ423" s="411">
        <f>$M$693</f>
        <v>0</v>
      </c>
    </row>
    <row r="424" spans="2:43" ht="7.8" customHeight="1" x14ac:dyDescent="0.25">
      <c r="B424" s="282"/>
      <c r="C424" s="404"/>
      <c r="D424" s="415"/>
      <c r="E424" s="416" t="s">
        <v>30</v>
      </c>
      <c r="F424" s="417">
        <f t="shared" ref="F424:Y478" si="912">IFERROR(F423/F422,0)</f>
        <v>195.03763467189029</v>
      </c>
      <c r="G424" s="417">
        <f t="shared" si="912"/>
        <v>156.1624548736462</v>
      </c>
      <c r="H424" s="417">
        <f t="shared" si="912"/>
        <v>184.09090909090909</v>
      </c>
      <c r="I424" s="418">
        <f t="shared" si="912"/>
        <v>0</v>
      </c>
      <c r="J424" s="419">
        <f t="shared" si="912"/>
        <v>0</v>
      </c>
      <c r="K424" s="419">
        <f t="shared" si="912"/>
        <v>184.09090909090909</v>
      </c>
      <c r="L424" s="419">
        <f t="shared" si="912"/>
        <v>0</v>
      </c>
      <c r="M424" s="420">
        <f t="shared" si="912"/>
        <v>0</v>
      </c>
      <c r="N424" s="417">
        <f t="shared" si="912"/>
        <v>185.94539249146757</v>
      </c>
      <c r="O424" s="418">
        <f t="shared" si="912"/>
        <v>187.69230769230768</v>
      </c>
      <c r="P424" s="419">
        <f t="shared" si="912"/>
        <v>184.11504424778761</v>
      </c>
      <c r="Q424" s="419">
        <f t="shared" si="912"/>
        <v>186.18032786885246</v>
      </c>
      <c r="R424" s="419">
        <f t="shared" si="912"/>
        <v>0</v>
      </c>
      <c r="S424" s="420">
        <f t="shared" si="912"/>
        <v>180</v>
      </c>
      <c r="T424" s="417">
        <f t="shared" si="912"/>
        <v>204.7814075630252</v>
      </c>
      <c r="U424" s="418">
        <f t="shared" si="912"/>
        <v>245.75733333333338</v>
      </c>
      <c r="V424" s="419">
        <f t="shared" si="912"/>
        <v>209.58272952853596</v>
      </c>
      <c r="W424" s="419">
        <f t="shared" si="912"/>
        <v>202.77023876404496</v>
      </c>
      <c r="X424" s="419">
        <f t="shared" si="912"/>
        <v>188.29850746268656</v>
      </c>
      <c r="Y424" s="421">
        <f t="shared" si="912"/>
        <v>147.02083333333334</v>
      </c>
      <c r="AA424" s="291"/>
      <c r="AB424" s="412"/>
      <c r="AC424" s="422"/>
      <c r="AD424" s="423" t="s">
        <v>30</v>
      </c>
      <c r="AE424" s="417">
        <f t="shared" ref="AE424:AQ424" si="913">IFERROR(AE423/AE422,0)</f>
        <v>170.21698113207546</v>
      </c>
      <c r="AF424" s="418">
        <f t="shared" si="913"/>
        <v>212.5</v>
      </c>
      <c r="AG424" s="419">
        <f t="shared" si="913"/>
        <v>194.79729729729729</v>
      </c>
      <c r="AH424" s="419">
        <f t="shared" si="913"/>
        <v>162.69491525423729</v>
      </c>
      <c r="AI424" s="419">
        <f t="shared" si="913"/>
        <v>134</v>
      </c>
      <c r="AJ424" s="419">
        <f t="shared" si="913"/>
        <v>155</v>
      </c>
      <c r="AK424" s="419">
        <f t="shared" si="913"/>
        <v>167.63636363636363</v>
      </c>
      <c r="AL424" s="419">
        <f t="shared" si="913"/>
        <v>0</v>
      </c>
      <c r="AM424" s="419">
        <f t="shared" si="913"/>
        <v>237.85714285714286</v>
      </c>
      <c r="AN424" s="419">
        <f t="shared" si="913"/>
        <v>154</v>
      </c>
      <c r="AO424" s="419">
        <f t="shared" si="913"/>
        <v>0</v>
      </c>
      <c r="AP424" s="419">
        <f t="shared" si="913"/>
        <v>160</v>
      </c>
      <c r="AQ424" s="421">
        <f t="shared" si="913"/>
        <v>0</v>
      </c>
    </row>
    <row r="425" spans="2:43" ht="7.8" customHeight="1" x14ac:dyDescent="0.25">
      <c r="B425" s="282"/>
      <c r="C425" s="404"/>
      <c r="D425" s="424" t="s">
        <v>41</v>
      </c>
      <c r="E425" s="425" t="s">
        <v>32</v>
      </c>
      <c r="F425" s="426">
        <f t="shared" ref="F425:F426" si="914">SUM(G425,H425,N425,T425)</f>
        <v>2047</v>
      </c>
      <c r="G425" s="426">
        <v>252</v>
      </c>
      <c r="H425" s="426">
        <f t="shared" ref="H425:H426" si="915">SUM(I425:M425)</f>
        <v>64</v>
      </c>
      <c r="I425" s="427">
        <v>0</v>
      </c>
      <c r="J425" s="428">
        <v>64</v>
      </c>
      <c r="K425" s="428">
        <v>0</v>
      </c>
      <c r="L425" s="428">
        <v>0</v>
      </c>
      <c r="M425" s="429">
        <v>0</v>
      </c>
      <c r="N425" s="426">
        <f t="shared" ref="N425:N426" si="916">SUM(O425:S425)</f>
        <v>175</v>
      </c>
      <c r="O425" s="427">
        <v>111</v>
      </c>
      <c r="P425" s="428">
        <v>43</v>
      </c>
      <c r="Q425" s="428">
        <v>16</v>
      </c>
      <c r="R425" s="428">
        <v>0</v>
      </c>
      <c r="S425" s="429">
        <v>5</v>
      </c>
      <c r="T425" s="426">
        <f t="shared" ref="T425:T426" si="917">SUM(U425:Y425)</f>
        <v>1556</v>
      </c>
      <c r="U425" s="427">
        <v>107</v>
      </c>
      <c r="V425" s="428">
        <v>1113</v>
      </c>
      <c r="W425" s="428">
        <v>286</v>
      </c>
      <c r="X425" s="428">
        <v>28</v>
      </c>
      <c r="Y425" s="430">
        <v>22</v>
      </c>
      <c r="AA425" s="291"/>
      <c r="AB425" s="412"/>
      <c r="AC425" s="431" t="s">
        <v>41</v>
      </c>
      <c r="AD425" s="432" t="s">
        <v>32</v>
      </c>
      <c r="AE425" s="426">
        <f t="shared" ref="AE425:AE426" si="918">SUM(AF425:AQ425)</f>
        <v>135</v>
      </c>
      <c r="AF425" s="427">
        <f>$M$101</f>
        <v>22</v>
      </c>
      <c r="AG425" s="428">
        <f>$M$155</f>
        <v>0</v>
      </c>
      <c r="AH425" s="428">
        <f>$M$209</f>
        <v>64</v>
      </c>
      <c r="AI425" s="428">
        <f>$M$263</f>
        <v>38</v>
      </c>
      <c r="AJ425" s="428">
        <f>$M$317</f>
        <v>11</v>
      </c>
      <c r="AK425" s="428">
        <f>$M$371</f>
        <v>0</v>
      </c>
      <c r="AL425" s="428">
        <f>$M$425</f>
        <v>0</v>
      </c>
      <c r="AM425" s="428">
        <f>$M$479</f>
        <v>0</v>
      </c>
      <c r="AN425" s="428">
        <f>$M$533</f>
        <v>0</v>
      </c>
      <c r="AO425" s="428">
        <f>$M$587</f>
        <v>0</v>
      </c>
      <c r="AP425" s="428">
        <f>$M$641</f>
        <v>0</v>
      </c>
      <c r="AQ425" s="430">
        <f>$M$695</f>
        <v>0</v>
      </c>
    </row>
    <row r="426" spans="2:43" s="41" customFormat="1" ht="7.8" customHeight="1" x14ac:dyDescent="0.25">
      <c r="B426" s="282"/>
      <c r="C426" s="404"/>
      <c r="D426" s="405"/>
      <c r="E426" s="406" t="s">
        <v>33</v>
      </c>
      <c r="F426" s="407">
        <f t="shared" si="914"/>
        <v>366426.61</v>
      </c>
      <c r="G426" s="407">
        <v>39402</v>
      </c>
      <c r="H426" s="407">
        <f t="shared" si="915"/>
        <v>11200</v>
      </c>
      <c r="I426" s="408">
        <v>0</v>
      </c>
      <c r="J426" s="409">
        <v>11200</v>
      </c>
      <c r="K426" s="409">
        <v>0</v>
      </c>
      <c r="L426" s="409">
        <v>0</v>
      </c>
      <c r="M426" s="410">
        <v>0</v>
      </c>
      <c r="N426" s="407">
        <f t="shared" si="916"/>
        <v>31016</v>
      </c>
      <c r="O426" s="408">
        <v>20267</v>
      </c>
      <c r="P426" s="409">
        <v>7149</v>
      </c>
      <c r="Q426" s="409">
        <v>2745</v>
      </c>
      <c r="R426" s="409">
        <v>0</v>
      </c>
      <c r="S426" s="410">
        <v>855</v>
      </c>
      <c r="T426" s="407">
        <f t="shared" si="917"/>
        <v>284808.61</v>
      </c>
      <c r="U426" s="408">
        <v>24451.940000000002</v>
      </c>
      <c r="V426" s="409">
        <v>191575.34999999998</v>
      </c>
      <c r="W426" s="409">
        <v>59113.039999999994</v>
      </c>
      <c r="X426" s="409">
        <v>5241</v>
      </c>
      <c r="Y426" s="411">
        <v>4427.28</v>
      </c>
      <c r="AA426" s="291"/>
      <c r="AB426" s="412"/>
      <c r="AC426" s="413"/>
      <c r="AD426" s="414" t="s">
        <v>33</v>
      </c>
      <c r="AE426" s="407">
        <f t="shared" si="918"/>
        <v>23296</v>
      </c>
      <c r="AF426" s="408">
        <f>$M$102</f>
        <v>4480</v>
      </c>
      <c r="AG426" s="409">
        <f>$M$156</f>
        <v>0</v>
      </c>
      <c r="AH426" s="409">
        <f>$M$210</f>
        <v>11085</v>
      </c>
      <c r="AI426" s="409">
        <f>$M$264</f>
        <v>5956</v>
      </c>
      <c r="AJ426" s="409">
        <f>$M$318</f>
        <v>1775</v>
      </c>
      <c r="AK426" s="409">
        <f>$M$372</f>
        <v>0</v>
      </c>
      <c r="AL426" s="409">
        <f>$M$426</f>
        <v>0</v>
      </c>
      <c r="AM426" s="409">
        <f>$M$480</f>
        <v>0</v>
      </c>
      <c r="AN426" s="409">
        <f>$M$534</f>
        <v>0</v>
      </c>
      <c r="AO426" s="409">
        <f>$M$588</f>
        <v>0</v>
      </c>
      <c r="AP426" s="409">
        <f>$M$642</f>
        <v>0</v>
      </c>
      <c r="AQ426" s="411">
        <f>$M$696</f>
        <v>0</v>
      </c>
    </row>
    <row r="427" spans="2:43" ht="7.8" customHeight="1" x14ac:dyDescent="0.25">
      <c r="B427" s="282"/>
      <c r="C427" s="404"/>
      <c r="D427" s="415"/>
      <c r="E427" s="416" t="s">
        <v>30</v>
      </c>
      <c r="F427" s="417">
        <f t="shared" ref="F427:Y481" si="919">IFERROR(F426/F425,0)</f>
        <v>179.00664875427455</v>
      </c>
      <c r="G427" s="417">
        <f t="shared" si="919"/>
        <v>156.35714285714286</v>
      </c>
      <c r="H427" s="417">
        <f t="shared" si="919"/>
        <v>175</v>
      </c>
      <c r="I427" s="418">
        <f t="shared" si="919"/>
        <v>0</v>
      </c>
      <c r="J427" s="419">
        <f t="shared" si="919"/>
        <v>175</v>
      </c>
      <c r="K427" s="419">
        <f t="shared" si="919"/>
        <v>0</v>
      </c>
      <c r="L427" s="419">
        <f t="shared" si="919"/>
        <v>0</v>
      </c>
      <c r="M427" s="420">
        <f t="shared" si="919"/>
        <v>0</v>
      </c>
      <c r="N427" s="417">
        <f t="shared" si="919"/>
        <v>177.2342857142857</v>
      </c>
      <c r="O427" s="418">
        <f t="shared" si="919"/>
        <v>182.58558558558559</v>
      </c>
      <c r="P427" s="419">
        <f t="shared" si="919"/>
        <v>166.25581395348837</v>
      </c>
      <c r="Q427" s="419">
        <f t="shared" si="919"/>
        <v>171.5625</v>
      </c>
      <c r="R427" s="419">
        <f t="shared" si="919"/>
        <v>0</v>
      </c>
      <c r="S427" s="420">
        <f t="shared" si="919"/>
        <v>171</v>
      </c>
      <c r="T427" s="417">
        <f t="shared" si="919"/>
        <v>183.03895244215937</v>
      </c>
      <c r="U427" s="418">
        <f t="shared" si="919"/>
        <v>228.52280373831778</v>
      </c>
      <c r="V427" s="419">
        <f t="shared" si="919"/>
        <v>172.12520215633421</v>
      </c>
      <c r="W427" s="419">
        <f t="shared" si="919"/>
        <v>206.68895104895103</v>
      </c>
      <c r="X427" s="419">
        <f t="shared" si="919"/>
        <v>187.17857142857142</v>
      </c>
      <c r="Y427" s="421">
        <f t="shared" si="919"/>
        <v>201.23999999999998</v>
      </c>
      <c r="AA427" s="291"/>
      <c r="AB427" s="412"/>
      <c r="AC427" s="422"/>
      <c r="AD427" s="423" t="s">
        <v>30</v>
      </c>
      <c r="AE427" s="417">
        <f t="shared" ref="AE427:AQ427" si="920">IFERROR(AE426/AE425,0)</f>
        <v>172.56296296296296</v>
      </c>
      <c r="AF427" s="418">
        <f t="shared" si="920"/>
        <v>203.63636363636363</v>
      </c>
      <c r="AG427" s="419">
        <f t="shared" si="920"/>
        <v>0</v>
      </c>
      <c r="AH427" s="419">
        <f t="shared" si="920"/>
        <v>173.203125</v>
      </c>
      <c r="AI427" s="419">
        <f t="shared" si="920"/>
        <v>156.73684210526315</v>
      </c>
      <c r="AJ427" s="419">
        <f t="shared" si="920"/>
        <v>161.36363636363637</v>
      </c>
      <c r="AK427" s="419">
        <f t="shared" si="920"/>
        <v>0</v>
      </c>
      <c r="AL427" s="419">
        <f t="shared" si="920"/>
        <v>0</v>
      </c>
      <c r="AM427" s="419">
        <f t="shared" si="920"/>
        <v>0</v>
      </c>
      <c r="AN427" s="419">
        <f t="shared" si="920"/>
        <v>0</v>
      </c>
      <c r="AO427" s="419">
        <f t="shared" si="920"/>
        <v>0</v>
      </c>
      <c r="AP427" s="419">
        <f t="shared" si="920"/>
        <v>0</v>
      </c>
      <c r="AQ427" s="421">
        <f t="shared" si="920"/>
        <v>0</v>
      </c>
    </row>
    <row r="428" spans="2:43" ht="7.8" customHeight="1" x14ac:dyDescent="0.25">
      <c r="B428" s="282"/>
      <c r="C428" s="404"/>
      <c r="D428" s="433" t="s">
        <v>42</v>
      </c>
      <c r="E428" s="434" t="s">
        <v>32</v>
      </c>
      <c r="F428" s="435">
        <f t="shared" ref="F428:F429" si="921">SUM(G428,H428,N428,T428)</f>
        <v>2252</v>
      </c>
      <c r="G428" s="435">
        <v>0</v>
      </c>
      <c r="H428" s="435">
        <v>50</v>
      </c>
      <c r="I428" s="436">
        <v>20</v>
      </c>
      <c r="J428" s="437">
        <v>20</v>
      </c>
      <c r="K428" s="437">
        <v>10</v>
      </c>
      <c r="L428" s="437">
        <v>0</v>
      </c>
      <c r="M428" s="438">
        <v>0</v>
      </c>
      <c r="N428" s="435">
        <f t="shared" ref="N428:N429" si="922">SUM(O428:S428)</f>
        <v>230</v>
      </c>
      <c r="O428" s="436">
        <v>100</v>
      </c>
      <c r="P428" s="437">
        <v>105</v>
      </c>
      <c r="Q428" s="437">
        <v>25</v>
      </c>
      <c r="R428" s="437">
        <v>0</v>
      </c>
      <c r="S428" s="438">
        <v>0</v>
      </c>
      <c r="T428" s="435">
        <f t="shared" ref="T428:T429" si="923">SUM(U428:Y428)</f>
        <v>1972</v>
      </c>
      <c r="U428" s="436">
        <v>264</v>
      </c>
      <c r="V428" s="437">
        <v>556</v>
      </c>
      <c r="W428" s="437">
        <v>715</v>
      </c>
      <c r="X428" s="437">
        <v>45</v>
      </c>
      <c r="Y428" s="439">
        <v>392</v>
      </c>
      <c r="AA428" s="291"/>
      <c r="AB428" s="412"/>
      <c r="AC428" s="440" t="s">
        <v>42</v>
      </c>
      <c r="AD428" s="441" t="s">
        <v>32</v>
      </c>
      <c r="AE428" s="442">
        <f t="shared" ref="AE428:AE429" si="924">SUM(AF428:AQ428)</f>
        <v>70</v>
      </c>
      <c r="AF428" s="443">
        <f>$M$104</f>
        <v>0</v>
      </c>
      <c r="AG428" s="444">
        <f>$M$158</f>
        <v>0</v>
      </c>
      <c r="AH428" s="444">
        <f>$M$212</f>
        <v>0</v>
      </c>
      <c r="AI428" s="444">
        <f>$M$266</f>
        <v>20</v>
      </c>
      <c r="AJ428" s="444">
        <f>$M$320</f>
        <v>20</v>
      </c>
      <c r="AK428" s="444">
        <f>$M$374</f>
        <v>0</v>
      </c>
      <c r="AL428" s="444">
        <f>$M$428</f>
        <v>0</v>
      </c>
      <c r="AM428" s="444">
        <f>$M$482</f>
        <v>0</v>
      </c>
      <c r="AN428" s="444">
        <f>$M$536</f>
        <v>0</v>
      </c>
      <c r="AO428" s="444">
        <f>$M$590</f>
        <v>0</v>
      </c>
      <c r="AP428" s="444">
        <f>$M$644</f>
        <v>30</v>
      </c>
      <c r="AQ428" s="445">
        <f>$M$698</f>
        <v>0</v>
      </c>
    </row>
    <row r="429" spans="2:43" s="41" customFormat="1" ht="7.8" customHeight="1" x14ac:dyDescent="0.25">
      <c r="B429" s="282"/>
      <c r="C429" s="404"/>
      <c r="D429" s="446"/>
      <c r="E429" s="447" t="s">
        <v>33</v>
      </c>
      <c r="F429" s="448">
        <f t="shared" si="921"/>
        <v>423656</v>
      </c>
      <c r="G429" s="448">
        <v>0</v>
      </c>
      <c r="H429" s="448">
        <v>8750</v>
      </c>
      <c r="I429" s="449">
        <v>3500</v>
      </c>
      <c r="J429" s="450">
        <v>3500</v>
      </c>
      <c r="K429" s="450">
        <v>1750</v>
      </c>
      <c r="L429" s="450">
        <v>0</v>
      </c>
      <c r="M429" s="451">
        <v>0</v>
      </c>
      <c r="N429" s="448">
        <f t="shared" si="922"/>
        <v>40085</v>
      </c>
      <c r="O429" s="449">
        <v>18000</v>
      </c>
      <c r="P429" s="450">
        <v>17850</v>
      </c>
      <c r="Q429" s="450">
        <v>4235</v>
      </c>
      <c r="R429" s="450">
        <v>0</v>
      </c>
      <c r="S429" s="451">
        <v>0</v>
      </c>
      <c r="T429" s="448">
        <f t="shared" si="923"/>
        <v>374821</v>
      </c>
      <c r="U429" s="449">
        <v>54120</v>
      </c>
      <c r="V429" s="450">
        <v>101748</v>
      </c>
      <c r="W429" s="450">
        <v>128700</v>
      </c>
      <c r="X429" s="450">
        <v>8325</v>
      </c>
      <c r="Y429" s="452">
        <v>81928</v>
      </c>
      <c r="AA429" s="291"/>
      <c r="AB429" s="412"/>
      <c r="AC429" s="453"/>
      <c r="AD429" s="454" t="s">
        <v>33</v>
      </c>
      <c r="AE429" s="455">
        <f t="shared" si="924"/>
        <v>10800</v>
      </c>
      <c r="AF429" s="456">
        <f>$M$105</f>
        <v>0</v>
      </c>
      <c r="AG429" s="457">
        <f>$M$159</f>
        <v>0</v>
      </c>
      <c r="AH429" s="457">
        <f>$M$213</f>
        <v>0</v>
      </c>
      <c r="AI429" s="457">
        <f>$M$267</f>
        <v>3100</v>
      </c>
      <c r="AJ429" s="457">
        <f>$M$321</f>
        <v>3200</v>
      </c>
      <c r="AK429" s="457">
        <f>$M$375</f>
        <v>0</v>
      </c>
      <c r="AL429" s="457">
        <f>$M$429</f>
        <v>0</v>
      </c>
      <c r="AM429" s="457">
        <f>$M$483</f>
        <v>0</v>
      </c>
      <c r="AN429" s="457">
        <f>$M$537</f>
        <v>0</v>
      </c>
      <c r="AO429" s="457">
        <f>$M$591</f>
        <v>0</v>
      </c>
      <c r="AP429" s="457">
        <f>$M$645</f>
        <v>4500</v>
      </c>
      <c r="AQ429" s="458">
        <f>$M$699</f>
        <v>0</v>
      </c>
    </row>
    <row r="430" spans="2:43" ht="7.8" customHeight="1" x14ac:dyDescent="0.25">
      <c r="B430" s="282"/>
      <c r="C430" s="404"/>
      <c r="D430" s="459"/>
      <c r="E430" s="460" t="s">
        <v>30</v>
      </c>
      <c r="F430" s="461">
        <f t="shared" ref="F430:Y484" si="925">IFERROR(F429/F428,0)</f>
        <v>188.12433392539964</v>
      </c>
      <c r="G430" s="461">
        <f t="shared" si="925"/>
        <v>0</v>
      </c>
      <c r="H430" s="461">
        <f t="shared" si="925"/>
        <v>175</v>
      </c>
      <c r="I430" s="462">
        <f t="shared" si="925"/>
        <v>175</v>
      </c>
      <c r="J430" s="463">
        <f t="shared" si="925"/>
        <v>175</v>
      </c>
      <c r="K430" s="463">
        <f t="shared" si="925"/>
        <v>175</v>
      </c>
      <c r="L430" s="463">
        <f t="shared" si="925"/>
        <v>0</v>
      </c>
      <c r="M430" s="464">
        <f t="shared" si="925"/>
        <v>0</v>
      </c>
      <c r="N430" s="461">
        <f t="shared" si="925"/>
        <v>174.28260869565219</v>
      </c>
      <c r="O430" s="462">
        <f t="shared" si="925"/>
        <v>180</v>
      </c>
      <c r="P430" s="463">
        <f t="shared" si="925"/>
        <v>170</v>
      </c>
      <c r="Q430" s="463">
        <f t="shared" si="925"/>
        <v>169.4</v>
      </c>
      <c r="R430" s="463">
        <f t="shared" si="925"/>
        <v>0</v>
      </c>
      <c r="S430" s="464">
        <f t="shared" si="925"/>
        <v>0</v>
      </c>
      <c r="T430" s="461">
        <f t="shared" si="925"/>
        <v>190.07150101419879</v>
      </c>
      <c r="U430" s="462">
        <f t="shared" si="925"/>
        <v>205</v>
      </c>
      <c r="V430" s="463">
        <f t="shared" si="925"/>
        <v>183</v>
      </c>
      <c r="W430" s="463">
        <f t="shared" si="925"/>
        <v>180</v>
      </c>
      <c r="X430" s="463">
        <f t="shared" si="925"/>
        <v>185</v>
      </c>
      <c r="Y430" s="465">
        <f t="shared" si="925"/>
        <v>209</v>
      </c>
      <c r="AA430" s="291"/>
      <c r="AB430" s="412"/>
      <c r="AC430" s="466"/>
      <c r="AD430" s="467" t="s">
        <v>30</v>
      </c>
      <c r="AE430" s="468">
        <f t="shared" ref="AE430:AQ430" si="926">IFERROR(AE429/AE428,0)</f>
        <v>154.28571428571428</v>
      </c>
      <c r="AF430" s="469">
        <f t="shared" si="926"/>
        <v>0</v>
      </c>
      <c r="AG430" s="470">
        <f t="shared" si="926"/>
        <v>0</v>
      </c>
      <c r="AH430" s="470">
        <f t="shared" si="926"/>
        <v>0</v>
      </c>
      <c r="AI430" s="470">
        <f t="shared" si="926"/>
        <v>155</v>
      </c>
      <c r="AJ430" s="470">
        <f t="shared" si="926"/>
        <v>160</v>
      </c>
      <c r="AK430" s="470">
        <f t="shared" si="926"/>
        <v>0</v>
      </c>
      <c r="AL430" s="470">
        <f t="shared" si="926"/>
        <v>0</v>
      </c>
      <c r="AM430" s="470">
        <f t="shared" si="926"/>
        <v>0</v>
      </c>
      <c r="AN430" s="470">
        <f t="shared" si="926"/>
        <v>0</v>
      </c>
      <c r="AO430" s="470">
        <f t="shared" si="926"/>
        <v>0</v>
      </c>
      <c r="AP430" s="470">
        <f t="shared" si="926"/>
        <v>150</v>
      </c>
      <c r="AQ430" s="471">
        <f t="shared" si="926"/>
        <v>0</v>
      </c>
    </row>
    <row r="431" spans="2:43" ht="7.8" customHeight="1" x14ac:dyDescent="0.25">
      <c r="B431" s="282"/>
      <c r="C431" s="404"/>
      <c r="D431" s="472" t="s">
        <v>43</v>
      </c>
      <c r="E431" s="425" t="s">
        <v>32</v>
      </c>
      <c r="F431" s="426">
        <f t="shared" ref="F431:Y433" si="927">F428-F425</f>
        <v>205</v>
      </c>
      <c r="G431" s="426">
        <f t="shared" si="927"/>
        <v>-252</v>
      </c>
      <c r="H431" s="426">
        <f t="shared" si="927"/>
        <v>-14</v>
      </c>
      <c r="I431" s="427">
        <f t="shared" si="927"/>
        <v>20</v>
      </c>
      <c r="J431" s="428">
        <f t="shared" si="927"/>
        <v>-44</v>
      </c>
      <c r="K431" s="428">
        <f t="shared" si="927"/>
        <v>10</v>
      </c>
      <c r="L431" s="428">
        <f t="shared" si="927"/>
        <v>0</v>
      </c>
      <c r="M431" s="429">
        <f t="shared" si="927"/>
        <v>0</v>
      </c>
      <c r="N431" s="426">
        <f t="shared" si="927"/>
        <v>55</v>
      </c>
      <c r="O431" s="427">
        <f t="shared" si="927"/>
        <v>-11</v>
      </c>
      <c r="P431" s="428">
        <f t="shared" si="927"/>
        <v>62</v>
      </c>
      <c r="Q431" s="428">
        <f t="shared" si="927"/>
        <v>9</v>
      </c>
      <c r="R431" s="428">
        <f t="shared" si="927"/>
        <v>0</v>
      </c>
      <c r="S431" s="429">
        <f t="shared" si="927"/>
        <v>-5</v>
      </c>
      <c r="T431" s="426">
        <f t="shared" si="927"/>
        <v>416</v>
      </c>
      <c r="U431" s="427">
        <f t="shared" si="927"/>
        <v>157</v>
      </c>
      <c r="V431" s="428">
        <f t="shared" si="927"/>
        <v>-557</v>
      </c>
      <c r="W431" s="428">
        <f t="shared" si="927"/>
        <v>429</v>
      </c>
      <c r="X431" s="428">
        <f t="shared" si="927"/>
        <v>17</v>
      </c>
      <c r="Y431" s="430">
        <f t="shared" si="927"/>
        <v>370</v>
      </c>
      <c r="AA431" s="291"/>
      <c r="AB431" s="412"/>
      <c r="AC431" s="473" t="s">
        <v>43</v>
      </c>
      <c r="AD431" s="432" t="s">
        <v>32</v>
      </c>
      <c r="AE431" s="426">
        <f t="shared" ref="AE431:AQ433" si="928">AE428-AE425</f>
        <v>-65</v>
      </c>
      <c r="AF431" s="427">
        <f t="shared" si="928"/>
        <v>-22</v>
      </c>
      <c r="AG431" s="428">
        <f t="shared" si="928"/>
        <v>0</v>
      </c>
      <c r="AH431" s="428">
        <f t="shared" si="928"/>
        <v>-64</v>
      </c>
      <c r="AI431" s="428">
        <f t="shared" si="928"/>
        <v>-18</v>
      </c>
      <c r="AJ431" s="428">
        <f t="shared" si="928"/>
        <v>9</v>
      </c>
      <c r="AK431" s="428">
        <f t="shared" si="928"/>
        <v>0</v>
      </c>
      <c r="AL431" s="428">
        <f t="shared" si="928"/>
        <v>0</v>
      </c>
      <c r="AM431" s="428">
        <f t="shared" si="928"/>
        <v>0</v>
      </c>
      <c r="AN431" s="428">
        <f t="shared" si="928"/>
        <v>0</v>
      </c>
      <c r="AO431" s="428">
        <f t="shared" si="928"/>
        <v>0</v>
      </c>
      <c r="AP431" s="428">
        <f t="shared" si="928"/>
        <v>30</v>
      </c>
      <c r="AQ431" s="430">
        <f t="shared" si="928"/>
        <v>0</v>
      </c>
    </row>
    <row r="432" spans="2:43" s="366" customFormat="1" ht="7.8" customHeight="1" x14ac:dyDescent="0.25">
      <c r="B432" s="282"/>
      <c r="C432" s="404"/>
      <c r="D432" s="405"/>
      <c r="E432" s="474" t="s">
        <v>33</v>
      </c>
      <c r="F432" s="407">
        <f t="shared" si="927"/>
        <v>57229.390000000014</v>
      </c>
      <c r="G432" s="407">
        <f t="shared" si="927"/>
        <v>-39402</v>
      </c>
      <c r="H432" s="407">
        <f t="shared" si="927"/>
        <v>-2450</v>
      </c>
      <c r="I432" s="408">
        <f t="shared" si="927"/>
        <v>3500</v>
      </c>
      <c r="J432" s="409">
        <f t="shared" si="927"/>
        <v>-7700</v>
      </c>
      <c r="K432" s="409">
        <f t="shared" si="927"/>
        <v>1750</v>
      </c>
      <c r="L432" s="409">
        <f t="shared" si="927"/>
        <v>0</v>
      </c>
      <c r="M432" s="410">
        <f t="shared" si="927"/>
        <v>0</v>
      </c>
      <c r="N432" s="407">
        <f t="shared" si="927"/>
        <v>9069</v>
      </c>
      <c r="O432" s="408">
        <f t="shared" si="927"/>
        <v>-2267</v>
      </c>
      <c r="P432" s="409">
        <f t="shared" si="927"/>
        <v>10701</v>
      </c>
      <c r="Q432" s="409">
        <f t="shared" si="927"/>
        <v>1490</v>
      </c>
      <c r="R432" s="409">
        <f t="shared" si="927"/>
        <v>0</v>
      </c>
      <c r="S432" s="410">
        <f t="shared" si="927"/>
        <v>-855</v>
      </c>
      <c r="T432" s="407">
        <f t="shared" si="927"/>
        <v>90012.390000000014</v>
      </c>
      <c r="U432" s="408">
        <f t="shared" si="927"/>
        <v>29668.059999999998</v>
      </c>
      <c r="V432" s="409">
        <f t="shared" si="927"/>
        <v>-89827.349999999977</v>
      </c>
      <c r="W432" s="409">
        <f t="shared" si="927"/>
        <v>69586.960000000006</v>
      </c>
      <c r="X432" s="409">
        <f t="shared" si="927"/>
        <v>3084</v>
      </c>
      <c r="Y432" s="411">
        <f t="shared" si="927"/>
        <v>77500.72</v>
      </c>
      <c r="AA432" s="291"/>
      <c r="AB432" s="412"/>
      <c r="AC432" s="475"/>
      <c r="AD432" s="476" t="s">
        <v>33</v>
      </c>
      <c r="AE432" s="407">
        <f t="shared" si="928"/>
        <v>-12496</v>
      </c>
      <c r="AF432" s="408">
        <f t="shared" si="928"/>
        <v>-4480</v>
      </c>
      <c r="AG432" s="409">
        <f t="shared" si="928"/>
        <v>0</v>
      </c>
      <c r="AH432" s="409">
        <f t="shared" si="928"/>
        <v>-11085</v>
      </c>
      <c r="AI432" s="409">
        <f t="shared" si="928"/>
        <v>-2856</v>
      </c>
      <c r="AJ432" s="409">
        <f t="shared" si="928"/>
        <v>1425</v>
      </c>
      <c r="AK432" s="409">
        <f t="shared" si="928"/>
        <v>0</v>
      </c>
      <c r="AL432" s="409">
        <f t="shared" si="928"/>
        <v>0</v>
      </c>
      <c r="AM432" s="409">
        <f t="shared" si="928"/>
        <v>0</v>
      </c>
      <c r="AN432" s="409">
        <f t="shared" si="928"/>
        <v>0</v>
      </c>
      <c r="AO432" s="409">
        <f t="shared" si="928"/>
        <v>0</v>
      </c>
      <c r="AP432" s="409">
        <f t="shared" si="928"/>
        <v>4500</v>
      </c>
      <c r="AQ432" s="411">
        <f t="shared" si="928"/>
        <v>0</v>
      </c>
    </row>
    <row r="433" spans="1:43" ht="7.8" customHeight="1" x14ac:dyDescent="0.25">
      <c r="B433" s="282"/>
      <c r="C433" s="404"/>
      <c r="D433" s="415"/>
      <c r="E433" s="416" t="s">
        <v>30</v>
      </c>
      <c r="F433" s="417">
        <f t="shared" si="927"/>
        <v>9.117685171125089</v>
      </c>
      <c r="G433" s="417">
        <f t="shared" si="927"/>
        <v>-156.35714285714286</v>
      </c>
      <c r="H433" s="417">
        <f t="shared" si="927"/>
        <v>0</v>
      </c>
      <c r="I433" s="418">
        <f t="shared" si="927"/>
        <v>175</v>
      </c>
      <c r="J433" s="419">
        <f t="shared" si="927"/>
        <v>0</v>
      </c>
      <c r="K433" s="419">
        <f t="shared" si="927"/>
        <v>175</v>
      </c>
      <c r="L433" s="419">
        <f t="shared" si="927"/>
        <v>0</v>
      </c>
      <c r="M433" s="420">
        <f t="shared" si="927"/>
        <v>0</v>
      </c>
      <c r="N433" s="417">
        <f t="shared" si="927"/>
        <v>-2.9516770186335179</v>
      </c>
      <c r="O433" s="418">
        <f t="shared" si="927"/>
        <v>-2.5855855855855907</v>
      </c>
      <c r="P433" s="419">
        <f t="shared" si="927"/>
        <v>3.7441860465116292</v>
      </c>
      <c r="Q433" s="419">
        <f t="shared" si="927"/>
        <v>-2.1624999999999943</v>
      </c>
      <c r="R433" s="419">
        <f t="shared" si="927"/>
        <v>0</v>
      </c>
      <c r="S433" s="420">
        <f t="shared" si="927"/>
        <v>-171</v>
      </c>
      <c r="T433" s="417">
        <f t="shared" si="927"/>
        <v>7.032548572039417</v>
      </c>
      <c r="U433" s="418">
        <f t="shared" si="927"/>
        <v>-23.522803738317776</v>
      </c>
      <c r="V433" s="419">
        <f t="shared" si="927"/>
        <v>10.874797843665789</v>
      </c>
      <c r="W433" s="419">
        <f t="shared" si="927"/>
        <v>-26.688951048951026</v>
      </c>
      <c r="X433" s="419">
        <f t="shared" si="927"/>
        <v>-2.1785714285714164</v>
      </c>
      <c r="Y433" s="421">
        <f t="shared" si="927"/>
        <v>7.7600000000000193</v>
      </c>
      <c r="AA433" s="291"/>
      <c r="AB433" s="412"/>
      <c r="AC433" s="477"/>
      <c r="AD433" s="423" t="s">
        <v>30</v>
      </c>
      <c r="AE433" s="417">
        <f t="shared" si="928"/>
        <v>-18.277248677248679</v>
      </c>
      <c r="AF433" s="418">
        <f t="shared" si="928"/>
        <v>-203.63636363636363</v>
      </c>
      <c r="AG433" s="419">
        <f t="shared" si="928"/>
        <v>0</v>
      </c>
      <c r="AH433" s="419">
        <f t="shared" si="928"/>
        <v>-173.203125</v>
      </c>
      <c r="AI433" s="419">
        <f t="shared" si="928"/>
        <v>-1.7368421052631504</v>
      </c>
      <c r="AJ433" s="419">
        <f t="shared" si="928"/>
        <v>-1.363636363636374</v>
      </c>
      <c r="AK433" s="419">
        <f t="shared" si="928"/>
        <v>0</v>
      </c>
      <c r="AL433" s="419">
        <f t="shared" si="928"/>
        <v>0</v>
      </c>
      <c r="AM433" s="419">
        <f t="shared" si="928"/>
        <v>0</v>
      </c>
      <c r="AN433" s="419">
        <f t="shared" si="928"/>
        <v>0</v>
      </c>
      <c r="AO433" s="419">
        <f t="shared" si="928"/>
        <v>0</v>
      </c>
      <c r="AP433" s="419">
        <f t="shared" si="928"/>
        <v>150</v>
      </c>
      <c r="AQ433" s="421">
        <f t="shared" si="928"/>
        <v>0</v>
      </c>
    </row>
    <row r="434" spans="1:43" ht="7.8" customHeight="1" x14ac:dyDescent="0.25">
      <c r="B434" s="282"/>
      <c r="C434" s="404"/>
      <c r="D434" s="472" t="s">
        <v>44</v>
      </c>
      <c r="E434" s="425" t="s">
        <v>32</v>
      </c>
      <c r="F434" s="478">
        <f t="shared" ref="F434:Y436" si="929">IFERROR((F428-F425)/ABS(F425),"")</f>
        <v>0.10014655593551539</v>
      </c>
      <c r="G434" s="478">
        <f t="shared" si="929"/>
        <v>-1</v>
      </c>
      <c r="H434" s="478">
        <f t="shared" si="929"/>
        <v>-0.21875</v>
      </c>
      <c r="I434" s="479" t="str">
        <f t="shared" si="929"/>
        <v/>
      </c>
      <c r="J434" s="480">
        <f t="shared" si="929"/>
        <v>-0.6875</v>
      </c>
      <c r="K434" s="480" t="str">
        <f t="shared" si="929"/>
        <v/>
      </c>
      <c r="L434" s="480" t="str">
        <f t="shared" si="929"/>
        <v/>
      </c>
      <c r="M434" s="481" t="str">
        <f t="shared" si="929"/>
        <v/>
      </c>
      <c r="N434" s="478">
        <f t="shared" si="929"/>
        <v>0.31428571428571428</v>
      </c>
      <c r="O434" s="479">
        <f t="shared" si="929"/>
        <v>-9.90990990990991E-2</v>
      </c>
      <c r="P434" s="480">
        <f t="shared" si="929"/>
        <v>1.441860465116279</v>
      </c>
      <c r="Q434" s="480">
        <f t="shared" si="929"/>
        <v>0.5625</v>
      </c>
      <c r="R434" s="480" t="str">
        <f t="shared" si="929"/>
        <v/>
      </c>
      <c r="S434" s="481">
        <f t="shared" si="929"/>
        <v>-1</v>
      </c>
      <c r="T434" s="478">
        <f t="shared" si="929"/>
        <v>0.26735218508997427</v>
      </c>
      <c r="U434" s="479">
        <f t="shared" si="929"/>
        <v>1.4672897196261683</v>
      </c>
      <c r="V434" s="480">
        <f t="shared" si="929"/>
        <v>-0.50044923629829285</v>
      </c>
      <c r="W434" s="480">
        <f t="shared" si="929"/>
        <v>1.5</v>
      </c>
      <c r="X434" s="480">
        <f t="shared" si="929"/>
        <v>0.6071428571428571</v>
      </c>
      <c r="Y434" s="482">
        <f t="shared" si="929"/>
        <v>16.818181818181817</v>
      </c>
      <c r="AA434" s="291"/>
      <c r="AB434" s="412"/>
      <c r="AC434" s="473" t="s">
        <v>44</v>
      </c>
      <c r="AD434" s="432" t="s">
        <v>32</v>
      </c>
      <c r="AE434" s="478">
        <f t="shared" ref="AE434:AQ436" si="930">IFERROR((AE428-AE425)/ABS(AE425),"")</f>
        <v>-0.48148148148148145</v>
      </c>
      <c r="AF434" s="479">
        <f t="shared" si="930"/>
        <v>-1</v>
      </c>
      <c r="AG434" s="480" t="str">
        <f t="shared" si="930"/>
        <v/>
      </c>
      <c r="AH434" s="480">
        <f t="shared" si="930"/>
        <v>-1</v>
      </c>
      <c r="AI434" s="480">
        <f t="shared" si="930"/>
        <v>-0.47368421052631576</v>
      </c>
      <c r="AJ434" s="480">
        <f t="shared" si="930"/>
        <v>0.81818181818181823</v>
      </c>
      <c r="AK434" s="480" t="str">
        <f t="shared" si="930"/>
        <v/>
      </c>
      <c r="AL434" s="480" t="str">
        <f t="shared" si="930"/>
        <v/>
      </c>
      <c r="AM434" s="480" t="str">
        <f t="shared" si="930"/>
        <v/>
      </c>
      <c r="AN434" s="480" t="str">
        <f t="shared" si="930"/>
        <v/>
      </c>
      <c r="AO434" s="480" t="str">
        <f t="shared" si="930"/>
        <v/>
      </c>
      <c r="AP434" s="480" t="str">
        <f t="shared" si="930"/>
        <v/>
      </c>
      <c r="AQ434" s="482" t="str">
        <f t="shared" si="930"/>
        <v/>
      </c>
    </row>
    <row r="435" spans="1:43" ht="7.8" customHeight="1" x14ac:dyDescent="0.25">
      <c r="B435" s="282"/>
      <c r="C435" s="404"/>
      <c r="D435" s="405"/>
      <c r="E435" s="483" t="s">
        <v>33</v>
      </c>
      <c r="F435" s="484">
        <f t="shared" si="929"/>
        <v>0.1561824071674271</v>
      </c>
      <c r="G435" s="484">
        <f t="shared" si="929"/>
        <v>-1</v>
      </c>
      <c r="H435" s="484">
        <f t="shared" si="929"/>
        <v>-0.21875</v>
      </c>
      <c r="I435" s="485" t="str">
        <f t="shared" si="929"/>
        <v/>
      </c>
      <c r="J435" s="486">
        <f t="shared" si="929"/>
        <v>-0.6875</v>
      </c>
      <c r="K435" s="486" t="str">
        <f t="shared" si="929"/>
        <v/>
      </c>
      <c r="L435" s="486" t="str">
        <f t="shared" si="929"/>
        <v/>
      </c>
      <c r="M435" s="487" t="str">
        <f t="shared" si="929"/>
        <v/>
      </c>
      <c r="N435" s="484">
        <f t="shared" si="929"/>
        <v>0.29239747227237556</v>
      </c>
      <c r="O435" s="485">
        <f t="shared" si="929"/>
        <v>-0.11185671288301179</v>
      </c>
      <c r="P435" s="486">
        <f t="shared" si="929"/>
        <v>1.4968527066722619</v>
      </c>
      <c r="Q435" s="486">
        <f t="shared" si="929"/>
        <v>0.54280510018214934</v>
      </c>
      <c r="R435" s="486" t="str">
        <f t="shared" si="929"/>
        <v/>
      </c>
      <c r="S435" s="487">
        <f t="shared" si="929"/>
        <v>-1</v>
      </c>
      <c r="T435" s="484">
        <f t="shared" si="929"/>
        <v>0.31604518557216377</v>
      </c>
      <c r="U435" s="485">
        <f t="shared" si="929"/>
        <v>1.2133213152003479</v>
      </c>
      <c r="V435" s="486">
        <f t="shared" si="929"/>
        <v>-0.46888782925360695</v>
      </c>
      <c r="W435" s="486">
        <f t="shared" si="929"/>
        <v>1.1771845941267784</v>
      </c>
      <c r="X435" s="486">
        <f t="shared" si="929"/>
        <v>0.58843732112192326</v>
      </c>
      <c r="Y435" s="488">
        <f t="shared" si="929"/>
        <v>17.505267342476646</v>
      </c>
      <c r="AA435" s="291"/>
      <c r="AB435" s="412"/>
      <c r="AC435" s="475"/>
      <c r="AD435" s="489" t="s">
        <v>33</v>
      </c>
      <c r="AE435" s="484">
        <f t="shared" si="930"/>
        <v>-0.53640109890109888</v>
      </c>
      <c r="AF435" s="485">
        <f t="shared" si="930"/>
        <v>-1</v>
      </c>
      <c r="AG435" s="486" t="str">
        <f t="shared" si="930"/>
        <v/>
      </c>
      <c r="AH435" s="486">
        <f t="shared" si="930"/>
        <v>-1</v>
      </c>
      <c r="AI435" s="486">
        <f t="shared" si="930"/>
        <v>-0.47951645399597043</v>
      </c>
      <c r="AJ435" s="486">
        <f t="shared" si="930"/>
        <v>0.80281690140845074</v>
      </c>
      <c r="AK435" s="486" t="str">
        <f t="shared" si="930"/>
        <v/>
      </c>
      <c r="AL435" s="486" t="str">
        <f t="shared" si="930"/>
        <v/>
      </c>
      <c r="AM435" s="486" t="str">
        <f t="shared" si="930"/>
        <v/>
      </c>
      <c r="AN435" s="486" t="str">
        <f t="shared" si="930"/>
        <v/>
      </c>
      <c r="AO435" s="486" t="str">
        <f t="shared" si="930"/>
        <v/>
      </c>
      <c r="AP435" s="486" t="str">
        <f t="shared" si="930"/>
        <v/>
      </c>
      <c r="AQ435" s="488" t="str">
        <f t="shared" si="930"/>
        <v/>
      </c>
    </row>
    <row r="436" spans="1:43" ht="7.8" customHeight="1" x14ac:dyDescent="0.25">
      <c r="B436" s="282"/>
      <c r="C436" s="502"/>
      <c r="D436" s="503"/>
      <c r="E436" s="504" t="s">
        <v>30</v>
      </c>
      <c r="F436" s="505">
        <f t="shared" si="929"/>
        <v>5.0934896745880594E-2</v>
      </c>
      <c r="G436" s="505">
        <f t="shared" si="929"/>
        <v>-1</v>
      </c>
      <c r="H436" s="505">
        <f t="shared" si="929"/>
        <v>0</v>
      </c>
      <c r="I436" s="506" t="str">
        <f t="shared" si="929"/>
        <v/>
      </c>
      <c r="J436" s="507">
        <f t="shared" si="929"/>
        <v>0</v>
      </c>
      <c r="K436" s="507" t="str">
        <f t="shared" si="929"/>
        <v/>
      </c>
      <c r="L436" s="507" t="str">
        <f t="shared" si="929"/>
        <v/>
      </c>
      <c r="M436" s="508" t="str">
        <f t="shared" si="929"/>
        <v/>
      </c>
      <c r="N436" s="505">
        <f t="shared" si="929"/>
        <v>-1.6654097184061956E-2</v>
      </c>
      <c r="O436" s="506">
        <f t="shared" si="929"/>
        <v>-1.4160951300143117E-2</v>
      </c>
      <c r="P436" s="507">
        <f t="shared" si="929"/>
        <v>2.2520632256259623E-2</v>
      </c>
      <c r="Q436" s="507">
        <f t="shared" si="929"/>
        <v>-1.2604735883424374E-2</v>
      </c>
      <c r="R436" s="507" t="str">
        <f t="shared" si="929"/>
        <v/>
      </c>
      <c r="S436" s="508">
        <f t="shared" si="929"/>
        <v>-1</v>
      </c>
      <c r="T436" s="505">
        <f t="shared" si="929"/>
        <v>3.8421049062011624E-2</v>
      </c>
      <c r="U436" s="506">
        <f t="shared" si="929"/>
        <v>-0.10293416391501051</v>
      </c>
      <c r="V436" s="507">
        <f t="shared" si="929"/>
        <v>6.3179579209955899E-2</v>
      </c>
      <c r="W436" s="507">
        <f t="shared" si="929"/>
        <v>-0.12912616234928864</v>
      </c>
      <c r="X436" s="507">
        <f t="shared" si="929"/>
        <v>-1.1639000190803217E-2</v>
      </c>
      <c r="Y436" s="509">
        <f t="shared" si="929"/>
        <v>3.8560922281852615E-2</v>
      </c>
      <c r="AA436" s="291"/>
      <c r="AB436" s="510"/>
      <c r="AC436" s="511"/>
      <c r="AD436" s="512" t="s">
        <v>30</v>
      </c>
      <c r="AE436" s="505">
        <f t="shared" si="930"/>
        <v>-0.10591640502354789</v>
      </c>
      <c r="AF436" s="506">
        <f t="shared" si="930"/>
        <v>-1</v>
      </c>
      <c r="AG436" s="507" t="str">
        <f t="shared" si="930"/>
        <v/>
      </c>
      <c r="AH436" s="507">
        <f t="shared" si="930"/>
        <v>-1</v>
      </c>
      <c r="AI436" s="507">
        <f t="shared" si="930"/>
        <v>-1.1081262592343807E-2</v>
      </c>
      <c r="AJ436" s="507">
        <f t="shared" si="930"/>
        <v>-8.450704225352176E-3</v>
      </c>
      <c r="AK436" s="507" t="str">
        <f t="shared" si="930"/>
        <v/>
      </c>
      <c r="AL436" s="507" t="str">
        <f t="shared" si="930"/>
        <v/>
      </c>
      <c r="AM436" s="507" t="str">
        <f t="shared" si="930"/>
        <v/>
      </c>
      <c r="AN436" s="507" t="str">
        <f t="shared" si="930"/>
        <v/>
      </c>
      <c r="AO436" s="507" t="str">
        <f t="shared" si="930"/>
        <v/>
      </c>
      <c r="AP436" s="507" t="str">
        <f t="shared" si="930"/>
        <v/>
      </c>
      <c r="AQ436" s="509" t="str">
        <f t="shared" si="930"/>
        <v/>
      </c>
    </row>
    <row r="437" spans="1:43" ht="7.8" customHeight="1" x14ac:dyDescent="0.25">
      <c r="B437" s="282" t="s">
        <v>62</v>
      </c>
      <c r="C437" s="283" t="s">
        <v>9</v>
      </c>
      <c r="D437" s="284" t="s">
        <v>39</v>
      </c>
      <c r="E437" s="285" t="s">
        <v>32</v>
      </c>
      <c r="F437" s="286">
        <f t="shared" ref="F437:F438" si="931">SUM(G437,H437,N437,T437)</f>
        <v>0</v>
      </c>
      <c r="G437" s="286">
        <f t="shared" si="820"/>
        <v>0</v>
      </c>
      <c r="H437" s="286">
        <f t="shared" ref="H437:H438" si="932">SUM(I437:M437)</f>
        <v>0</v>
      </c>
      <c r="I437" s="287">
        <f t="shared" ref="I437:M438" si="933">SUM(I455,I473)</f>
        <v>0</v>
      </c>
      <c r="J437" s="288">
        <f t="shared" si="933"/>
        <v>0</v>
      </c>
      <c r="K437" s="288">
        <f t="shared" si="933"/>
        <v>0</v>
      </c>
      <c r="L437" s="288">
        <f t="shared" si="933"/>
        <v>0</v>
      </c>
      <c r="M437" s="289">
        <f t="shared" si="933"/>
        <v>0</v>
      </c>
      <c r="N437" s="286">
        <f t="shared" ref="N437:N438" si="934">SUM(O437:S437)</f>
        <v>0</v>
      </c>
      <c r="O437" s="287">
        <f t="shared" ref="O437:S438" si="935">SUM(O455,O473)</f>
        <v>0</v>
      </c>
      <c r="P437" s="288">
        <f t="shared" si="935"/>
        <v>0</v>
      </c>
      <c r="Q437" s="288">
        <f t="shared" si="935"/>
        <v>0</v>
      </c>
      <c r="R437" s="288">
        <f t="shared" si="935"/>
        <v>0</v>
      </c>
      <c r="S437" s="289">
        <f t="shared" si="935"/>
        <v>0</v>
      </c>
      <c r="T437" s="286">
        <f t="shared" ref="T437:T438" si="936">SUM(U437:Y437)</f>
        <v>0</v>
      </c>
      <c r="U437" s="287">
        <f t="shared" ref="U437:Y438" si="937">SUM(U455,U473)</f>
        <v>0</v>
      </c>
      <c r="V437" s="288">
        <f t="shared" si="937"/>
        <v>0</v>
      </c>
      <c r="W437" s="288">
        <f t="shared" si="937"/>
        <v>0</v>
      </c>
      <c r="X437" s="288">
        <f t="shared" si="937"/>
        <v>0</v>
      </c>
      <c r="Y437" s="290">
        <f t="shared" si="937"/>
        <v>0</v>
      </c>
      <c r="AA437" s="513" t="s">
        <v>63</v>
      </c>
      <c r="AB437" s="514" t="s">
        <v>9</v>
      </c>
      <c r="AC437" s="515" t="s">
        <v>39</v>
      </c>
      <c r="AD437" s="516" t="s">
        <v>32</v>
      </c>
      <c r="AE437" s="517">
        <f t="shared" ref="AE437:AE438" si="938">SUM(AF437:AQ437)</f>
        <v>0</v>
      </c>
      <c r="AF437" s="518">
        <f t="shared" ref="AF437:AQ438" si="939">SUM(AF455,AF473)</f>
        <v>0</v>
      </c>
      <c r="AG437" s="519">
        <f t="shared" si="939"/>
        <v>0</v>
      </c>
      <c r="AH437" s="519">
        <f t="shared" si="939"/>
        <v>0</v>
      </c>
      <c r="AI437" s="519">
        <f t="shared" si="939"/>
        <v>0</v>
      </c>
      <c r="AJ437" s="519">
        <f t="shared" si="939"/>
        <v>0</v>
      </c>
      <c r="AK437" s="519">
        <f t="shared" si="939"/>
        <v>0</v>
      </c>
      <c r="AL437" s="519">
        <f t="shared" si="939"/>
        <v>0</v>
      </c>
      <c r="AM437" s="519">
        <f t="shared" si="939"/>
        <v>0</v>
      </c>
      <c r="AN437" s="519">
        <f t="shared" si="939"/>
        <v>0</v>
      </c>
      <c r="AO437" s="519">
        <f t="shared" si="939"/>
        <v>0</v>
      </c>
      <c r="AP437" s="519">
        <f t="shared" si="939"/>
        <v>0</v>
      </c>
      <c r="AQ437" s="520">
        <f t="shared" si="939"/>
        <v>0</v>
      </c>
    </row>
    <row r="438" spans="1:43" s="41" customFormat="1" ht="7.8" customHeight="1" x14ac:dyDescent="0.25">
      <c r="B438" s="282"/>
      <c r="C438" s="295"/>
      <c r="D438" s="296"/>
      <c r="E438" s="297" t="s">
        <v>33</v>
      </c>
      <c r="F438" s="298">
        <f t="shared" si="931"/>
        <v>0</v>
      </c>
      <c r="G438" s="298">
        <f t="shared" si="820"/>
        <v>0</v>
      </c>
      <c r="H438" s="298">
        <f t="shared" si="932"/>
        <v>0</v>
      </c>
      <c r="I438" s="299">
        <f t="shared" si="933"/>
        <v>0</v>
      </c>
      <c r="J438" s="300">
        <f t="shared" si="933"/>
        <v>0</v>
      </c>
      <c r="K438" s="300">
        <f t="shared" si="933"/>
        <v>0</v>
      </c>
      <c r="L438" s="300">
        <f t="shared" si="933"/>
        <v>0</v>
      </c>
      <c r="M438" s="301">
        <f t="shared" si="933"/>
        <v>0</v>
      </c>
      <c r="N438" s="298">
        <f t="shared" si="934"/>
        <v>0</v>
      </c>
      <c r="O438" s="299">
        <f t="shared" si="935"/>
        <v>0</v>
      </c>
      <c r="P438" s="300">
        <f t="shared" si="935"/>
        <v>0</v>
      </c>
      <c r="Q438" s="300">
        <f t="shared" si="935"/>
        <v>0</v>
      </c>
      <c r="R438" s="300">
        <f t="shared" si="935"/>
        <v>0</v>
      </c>
      <c r="S438" s="301">
        <f t="shared" si="935"/>
        <v>0</v>
      </c>
      <c r="T438" s="298">
        <f t="shared" si="936"/>
        <v>0</v>
      </c>
      <c r="U438" s="299">
        <f t="shared" si="937"/>
        <v>0</v>
      </c>
      <c r="V438" s="300">
        <f t="shared" si="937"/>
        <v>0</v>
      </c>
      <c r="W438" s="300">
        <f t="shared" si="937"/>
        <v>0</v>
      </c>
      <c r="X438" s="300">
        <f t="shared" si="937"/>
        <v>0</v>
      </c>
      <c r="Y438" s="302">
        <f t="shared" si="937"/>
        <v>0</v>
      </c>
      <c r="AA438" s="513"/>
      <c r="AB438" s="521"/>
      <c r="AC438" s="522"/>
      <c r="AD438" s="523" t="s">
        <v>33</v>
      </c>
      <c r="AE438" s="339">
        <f t="shared" si="938"/>
        <v>0</v>
      </c>
      <c r="AF438" s="340">
        <f t="shared" si="939"/>
        <v>0</v>
      </c>
      <c r="AG438" s="341">
        <f t="shared" si="939"/>
        <v>0</v>
      </c>
      <c r="AH438" s="341">
        <f t="shared" si="939"/>
        <v>0</v>
      </c>
      <c r="AI438" s="341">
        <f t="shared" si="939"/>
        <v>0</v>
      </c>
      <c r="AJ438" s="341">
        <f t="shared" si="939"/>
        <v>0</v>
      </c>
      <c r="AK438" s="341">
        <f t="shared" si="939"/>
        <v>0</v>
      </c>
      <c r="AL438" s="341">
        <f t="shared" si="939"/>
        <v>0</v>
      </c>
      <c r="AM438" s="341">
        <f t="shared" si="939"/>
        <v>0</v>
      </c>
      <c r="AN438" s="341">
        <f t="shared" si="939"/>
        <v>0</v>
      </c>
      <c r="AO438" s="341">
        <f t="shared" si="939"/>
        <v>0</v>
      </c>
      <c r="AP438" s="341">
        <f t="shared" si="939"/>
        <v>0</v>
      </c>
      <c r="AQ438" s="343">
        <f t="shared" si="939"/>
        <v>0</v>
      </c>
    </row>
    <row r="439" spans="1:43" ht="7.8" customHeight="1" x14ac:dyDescent="0.25">
      <c r="B439" s="282"/>
      <c r="C439" s="295"/>
      <c r="D439" s="306"/>
      <c r="E439" s="307" t="s">
        <v>30</v>
      </c>
      <c r="F439" s="308">
        <f t="shared" si="829"/>
        <v>0</v>
      </c>
      <c r="G439" s="308">
        <f t="shared" si="829"/>
        <v>0</v>
      </c>
      <c r="H439" s="308">
        <f t="shared" si="829"/>
        <v>0</v>
      </c>
      <c r="I439" s="309">
        <f t="shared" si="829"/>
        <v>0</v>
      </c>
      <c r="J439" s="310">
        <f t="shared" si="829"/>
        <v>0</v>
      </c>
      <c r="K439" s="310">
        <f t="shared" si="829"/>
        <v>0</v>
      </c>
      <c r="L439" s="310">
        <f t="shared" si="829"/>
        <v>0</v>
      </c>
      <c r="M439" s="311">
        <f t="shared" si="829"/>
        <v>0</v>
      </c>
      <c r="N439" s="308">
        <f t="shared" si="829"/>
        <v>0</v>
      </c>
      <c r="O439" s="309">
        <f t="shared" si="829"/>
        <v>0</v>
      </c>
      <c r="P439" s="310">
        <f t="shared" si="829"/>
        <v>0</v>
      </c>
      <c r="Q439" s="310">
        <f t="shared" si="829"/>
        <v>0</v>
      </c>
      <c r="R439" s="310">
        <f t="shared" si="829"/>
        <v>0</v>
      </c>
      <c r="S439" s="311">
        <f t="shared" si="829"/>
        <v>0</v>
      </c>
      <c r="T439" s="308">
        <f t="shared" si="829"/>
        <v>0</v>
      </c>
      <c r="U439" s="309">
        <f t="shared" si="829"/>
        <v>0</v>
      </c>
      <c r="V439" s="310">
        <f t="shared" si="829"/>
        <v>0</v>
      </c>
      <c r="W439" s="310">
        <f t="shared" si="829"/>
        <v>0</v>
      </c>
      <c r="X439" s="310">
        <f t="shared" si="829"/>
        <v>0</v>
      </c>
      <c r="Y439" s="312">
        <f t="shared" si="829"/>
        <v>0</v>
      </c>
      <c r="AA439" s="513"/>
      <c r="AB439" s="521"/>
      <c r="AC439" s="524"/>
      <c r="AD439" s="525" t="s">
        <v>30</v>
      </c>
      <c r="AE439" s="352">
        <f t="shared" ref="AE439:AQ439" si="940">IFERROR(AE438/AE437,0)</f>
        <v>0</v>
      </c>
      <c r="AF439" s="353">
        <f t="shared" si="940"/>
        <v>0</v>
      </c>
      <c r="AG439" s="354">
        <f t="shared" si="940"/>
        <v>0</v>
      </c>
      <c r="AH439" s="354">
        <f t="shared" si="940"/>
        <v>0</v>
      </c>
      <c r="AI439" s="354">
        <f t="shared" si="940"/>
        <v>0</v>
      </c>
      <c r="AJ439" s="354">
        <f t="shared" si="940"/>
        <v>0</v>
      </c>
      <c r="AK439" s="354">
        <f t="shared" si="940"/>
        <v>0</v>
      </c>
      <c r="AL439" s="354">
        <f t="shared" si="940"/>
        <v>0</v>
      </c>
      <c r="AM439" s="354">
        <f t="shared" si="940"/>
        <v>0</v>
      </c>
      <c r="AN439" s="354">
        <f t="shared" si="940"/>
        <v>0</v>
      </c>
      <c r="AO439" s="354">
        <f t="shared" si="940"/>
        <v>0</v>
      </c>
      <c r="AP439" s="354">
        <f t="shared" si="940"/>
        <v>0</v>
      </c>
      <c r="AQ439" s="356">
        <f t="shared" si="940"/>
        <v>0</v>
      </c>
    </row>
    <row r="440" spans="1:43" ht="7.8" customHeight="1" x14ac:dyDescent="0.25">
      <c r="A440" s="526"/>
      <c r="B440" s="282"/>
      <c r="C440" s="295"/>
      <c r="D440" s="315" t="s">
        <v>40</v>
      </c>
      <c r="E440" s="316" t="s">
        <v>32</v>
      </c>
      <c r="F440" s="317">
        <f t="shared" ref="F440:F441" si="941">SUM(G440,H440,N440,T440)</f>
        <v>7186</v>
      </c>
      <c r="G440" s="317">
        <f t="shared" ref="G440:G495" si="942">SUM(G458,G476)</f>
        <v>1053</v>
      </c>
      <c r="H440" s="317">
        <f t="shared" ref="H440:H441" si="943">SUM(I440:M440)</f>
        <v>643</v>
      </c>
      <c r="I440" s="318">
        <f t="shared" ref="I440:M441" si="944">SUM(I458,I476)</f>
        <v>355</v>
      </c>
      <c r="J440" s="319">
        <f t="shared" si="944"/>
        <v>260</v>
      </c>
      <c r="K440" s="319">
        <f t="shared" si="944"/>
        <v>0</v>
      </c>
      <c r="L440" s="319">
        <f t="shared" si="944"/>
        <v>0</v>
      </c>
      <c r="M440" s="320">
        <f t="shared" si="944"/>
        <v>28</v>
      </c>
      <c r="N440" s="317">
        <f t="shared" ref="N440:N441" si="945">SUM(O440:S440)</f>
        <v>765</v>
      </c>
      <c r="O440" s="318">
        <f t="shared" ref="O440:S441" si="946">SUM(O458,O476)</f>
        <v>359</v>
      </c>
      <c r="P440" s="319">
        <f t="shared" si="946"/>
        <v>236</v>
      </c>
      <c r="Q440" s="319">
        <f t="shared" si="946"/>
        <v>162</v>
      </c>
      <c r="R440" s="319">
        <f t="shared" si="946"/>
        <v>0</v>
      </c>
      <c r="S440" s="320">
        <f t="shared" si="946"/>
        <v>8</v>
      </c>
      <c r="T440" s="317">
        <f t="shared" ref="T440:T441" si="947">SUM(U440:Y440)</f>
        <v>4725</v>
      </c>
      <c r="U440" s="318">
        <f t="shared" ref="U440:Y441" si="948">SUM(U458,U476)</f>
        <v>332</v>
      </c>
      <c r="V440" s="319">
        <f t="shared" si="948"/>
        <v>1668</v>
      </c>
      <c r="W440" s="319">
        <f t="shared" si="948"/>
        <v>2269</v>
      </c>
      <c r="X440" s="319">
        <f t="shared" si="948"/>
        <v>162</v>
      </c>
      <c r="Y440" s="321">
        <f t="shared" si="948"/>
        <v>294</v>
      </c>
      <c r="Z440" s="526"/>
      <c r="AA440" s="513"/>
      <c r="AB440" s="521"/>
      <c r="AC440" s="527" t="s">
        <v>40</v>
      </c>
      <c r="AD440" s="528" t="s">
        <v>32</v>
      </c>
      <c r="AE440" s="326">
        <f t="shared" ref="AE440:AE441" si="949">SUM(AF440:AQ440)</f>
        <v>14749</v>
      </c>
      <c r="AF440" s="327">
        <f t="shared" ref="AF440:AQ441" si="950">SUM(AF458,AF476)</f>
        <v>1385</v>
      </c>
      <c r="AG440" s="328">
        <f t="shared" si="950"/>
        <v>1414</v>
      </c>
      <c r="AH440" s="328">
        <f t="shared" si="950"/>
        <v>1136</v>
      </c>
      <c r="AI440" s="328">
        <f t="shared" si="950"/>
        <v>982</v>
      </c>
      <c r="AJ440" s="328">
        <f t="shared" si="950"/>
        <v>1647</v>
      </c>
      <c r="AK440" s="328">
        <f t="shared" si="950"/>
        <v>1270</v>
      </c>
      <c r="AL440" s="328">
        <f t="shared" si="950"/>
        <v>1044</v>
      </c>
      <c r="AM440" s="328">
        <f t="shared" si="950"/>
        <v>765</v>
      </c>
      <c r="AN440" s="328">
        <f t="shared" si="950"/>
        <v>1519</v>
      </c>
      <c r="AO440" s="328">
        <f t="shared" si="950"/>
        <v>1309</v>
      </c>
      <c r="AP440" s="328">
        <f t="shared" si="950"/>
        <v>1166</v>
      </c>
      <c r="AQ440" s="330">
        <f t="shared" si="950"/>
        <v>1112</v>
      </c>
    </row>
    <row r="441" spans="1:43" s="41" customFormat="1" ht="7.8" customHeight="1" x14ac:dyDescent="0.25">
      <c r="A441" s="529"/>
      <c r="B441" s="282"/>
      <c r="C441" s="295"/>
      <c r="D441" s="296"/>
      <c r="E441" s="297" t="s">
        <v>33</v>
      </c>
      <c r="F441" s="298">
        <f t="shared" si="941"/>
        <v>1256859</v>
      </c>
      <c r="G441" s="298">
        <f t="shared" si="942"/>
        <v>164268</v>
      </c>
      <c r="H441" s="298">
        <f t="shared" si="943"/>
        <v>119045</v>
      </c>
      <c r="I441" s="299">
        <f t="shared" si="944"/>
        <v>61525</v>
      </c>
      <c r="J441" s="300">
        <f t="shared" si="944"/>
        <v>50860</v>
      </c>
      <c r="K441" s="300">
        <f t="shared" si="944"/>
        <v>0</v>
      </c>
      <c r="L441" s="300">
        <f t="shared" si="944"/>
        <v>0</v>
      </c>
      <c r="M441" s="301">
        <f t="shared" si="944"/>
        <v>6660</v>
      </c>
      <c r="N441" s="298">
        <f t="shared" si="945"/>
        <v>128801</v>
      </c>
      <c r="O441" s="299">
        <f t="shared" si="946"/>
        <v>62466</v>
      </c>
      <c r="P441" s="300">
        <f t="shared" si="946"/>
        <v>37130</v>
      </c>
      <c r="Q441" s="300">
        <f t="shared" si="946"/>
        <v>27885</v>
      </c>
      <c r="R441" s="300">
        <f t="shared" si="946"/>
        <v>0</v>
      </c>
      <c r="S441" s="301">
        <f t="shared" si="946"/>
        <v>1320</v>
      </c>
      <c r="T441" s="298">
        <f t="shared" si="947"/>
        <v>844745</v>
      </c>
      <c r="U441" s="299">
        <f t="shared" si="948"/>
        <v>70709.110000000015</v>
      </c>
      <c r="V441" s="300">
        <f t="shared" si="948"/>
        <v>290979.64</v>
      </c>
      <c r="W441" s="300">
        <f t="shared" si="948"/>
        <v>403435.24999999994</v>
      </c>
      <c r="X441" s="300">
        <f t="shared" si="948"/>
        <v>26912</v>
      </c>
      <c r="Y441" s="302">
        <f t="shared" si="948"/>
        <v>52709</v>
      </c>
      <c r="Z441" s="529"/>
      <c r="AA441" s="513"/>
      <c r="AB441" s="521"/>
      <c r="AC441" s="522"/>
      <c r="AD441" s="523" t="s">
        <v>33</v>
      </c>
      <c r="AE441" s="339">
        <f t="shared" si="949"/>
        <v>2380227.14</v>
      </c>
      <c r="AF441" s="340">
        <f t="shared" si="950"/>
        <v>255469</v>
      </c>
      <c r="AG441" s="341">
        <f t="shared" si="950"/>
        <v>256468</v>
      </c>
      <c r="AH441" s="341">
        <f t="shared" si="950"/>
        <v>196655</v>
      </c>
      <c r="AI441" s="341">
        <f t="shared" si="950"/>
        <v>144090</v>
      </c>
      <c r="AJ441" s="341">
        <f t="shared" si="950"/>
        <v>236445</v>
      </c>
      <c r="AK441" s="341">
        <f t="shared" si="950"/>
        <v>199888</v>
      </c>
      <c r="AL441" s="341">
        <f t="shared" si="950"/>
        <v>191936</v>
      </c>
      <c r="AM441" s="341">
        <f t="shared" si="950"/>
        <v>128801</v>
      </c>
      <c r="AN441" s="341">
        <f t="shared" si="950"/>
        <v>220102</v>
      </c>
      <c r="AO441" s="341">
        <f t="shared" si="950"/>
        <v>187699</v>
      </c>
      <c r="AP441" s="341">
        <f t="shared" si="950"/>
        <v>177447.14</v>
      </c>
      <c r="AQ441" s="343">
        <f t="shared" si="950"/>
        <v>185227</v>
      </c>
    </row>
    <row r="442" spans="1:43" ht="7.8" customHeight="1" x14ac:dyDescent="0.25">
      <c r="A442" s="526"/>
      <c r="B442" s="282"/>
      <c r="C442" s="295"/>
      <c r="D442" s="306"/>
      <c r="E442" s="307" t="s">
        <v>30</v>
      </c>
      <c r="F442" s="308">
        <f t="shared" si="840"/>
        <v>174.90384080155857</v>
      </c>
      <c r="G442" s="308">
        <f t="shared" si="840"/>
        <v>156</v>
      </c>
      <c r="H442" s="308">
        <f t="shared" si="840"/>
        <v>185.13996889580093</v>
      </c>
      <c r="I442" s="309">
        <f t="shared" si="840"/>
        <v>173.30985915492957</v>
      </c>
      <c r="J442" s="310">
        <f t="shared" si="840"/>
        <v>195.61538461538461</v>
      </c>
      <c r="K442" s="310">
        <f t="shared" si="840"/>
        <v>0</v>
      </c>
      <c r="L442" s="310">
        <f t="shared" si="840"/>
        <v>0</v>
      </c>
      <c r="M442" s="311">
        <f t="shared" si="840"/>
        <v>237.85714285714286</v>
      </c>
      <c r="N442" s="308">
        <f t="shared" si="840"/>
        <v>168.3673202614379</v>
      </c>
      <c r="O442" s="309">
        <f t="shared" si="840"/>
        <v>174</v>
      </c>
      <c r="P442" s="310">
        <f t="shared" si="840"/>
        <v>157.33050847457628</v>
      </c>
      <c r="Q442" s="310">
        <f t="shared" si="840"/>
        <v>172.12962962962962</v>
      </c>
      <c r="R442" s="310">
        <f t="shared" si="840"/>
        <v>0</v>
      </c>
      <c r="S442" s="311">
        <f t="shared" si="840"/>
        <v>165</v>
      </c>
      <c r="T442" s="308">
        <f t="shared" si="840"/>
        <v>178.78201058201057</v>
      </c>
      <c r="U442" s="309">
        <f t="shared" si="840"/>
        <v>212.97924698795185</v>
      </c>
      <c r="V442" s="310">
        <f t="shared" si="840"/>
        <v>174.44822541966428</v>
      </c>
      <c r="W442" s="310">
        <f t="shared" si="840"/>
        <v>177.80310709563682</v>
      </c>
      <c r="X442" s="310">
        <f t="shared" si="840"/>
        <v>166.12345679012347</v>
      </c>
      <c r="Y442" s="312">
        <f t="shared" si="840"/>
        <v>179.28231292517006</v>
      </c>
      <c r="Z442" s="526"/>
      <c r="AA442" s="513"/>
      <c r="AB442" s="521"/>
      <c r="AC442" s="524"/>
      <c r="AD442" s="525" t="s">
        <v>30</v>
      </c>
      <c r="AE442" s="352">
        <f t="shared" ref="AE442:AQ442" si="951">IFERROR(AE441/AE440,0)</f>
        <v>161.38227269645401</v>
      </c>
      <c r="AF442" s="353">
        <f t="shared" si="951"/>
        <v>184.45415162454873</v>
      </c>
      <c r="AG442" s="354">
        <f t="shared" si="951"/>
        <v>181.37765205091938</v>
      </c>
      <c r="AH442" s="354">
        <f t="shared" si="951"/>
        <v>173.11179577464787</v>
      </c>
      <c r="AI442" s="354">
        <f t="shared" si="951"/>
        <v>146.73116089613035</v>
      </c>
      <c r="AJ442" s="354">
        <f t="shared" si="951"/>
        <v>143.56102003642988</v>
      </c>
      <c r="AK442" s="354">
        <f t="shared" si="951"/>
        <v>157.39212598425198</v>
      </c>
      <c r="AL442" s="354">
        <f t="shared" si="951"/>
        <v>183.84674329501917</v>
      </c>
      <c r="AM442" s="354">
        <f t="shared" si="951"/>
        <v>168.3673202614379</v>
      </c>
      <c r="AN442" s="354">
        <f t="shared" si="951"/>
        <v>144.89927583936802</v>
      </c>
      <c r="AO442" s="354">
        <f t="shared" si="951"/>
        <v>143.39113827349121</v>
      </c>
      <c r="AP442" s="354">
        <f t="shared" si="951"/>
        <v>152.18451114922814</v>
      </c>
      <c r="AQ442" s="356">
        <f t="shared" si="951"/>
        <v>166.57104316546761</v>
      </c>
    </row>
    <row r="443" spans="1:43" ht="7.8" customHeight="1" x14ac:dyDescent="0.25">
      <c r="B443" s="282"/>
      <c r="C443" s="295"/>
      <c r="D443" s="315" t="s">
        <v>41</v>
      </c>
      <c r="E443" s="316" t="s">
        <v>32</v>
      </c>
      <c r="F443" s="317">
        <f t="shared" ref="F443:F444" si="952">SUM(G443,H443,N443,T443)</f>
        <v>7776</v>
      </c>
      <c r="G443" s="317">
        <f t="shared" ref="G443:G498" si="953">SUM(G461,G479)</f>
        <v>964</v>
      </c>
      <c r="H443" s="317">
        <f t="shared" ref="H443:H444" si="954">SUM(I443:M443)</f>
        <v>710</v>
      </c>
      <c r="I443" s="318">
        <f t="shared" ref="I443:M444" si="955">SUM(I461,I479)</f>
        <v>284</v>
      </c>
      <c r="J443" s="319">
        <f t="shared" si="955"/>
        <v>341</v>
      </c>
      <c r="K443" s="319">
        <f t="shared" si="955"/>
        <v>0</v>
      </c>
      <c r="L443" s="319">
        <f t="shared" si="955"/>
        <v>85</v>
      </c>
      <c r="M443" s="320">
        <f t="shared" si="955"/>
        <v>0</v>
      </c>
      <c r="N443" s="317">
        <f t="shared" ref="N443:N444" si="956">SUM(O443:S443)</f>
        <v>673</v>
      </c>
      <c r="O443" s="318">
        <f t="shared" ref="O443:S444" si="957">SUM(O461,O479)</f>
        <v>535</v>
      </c>
      <c r="P443" s="319">
        <f t="shared" si="957"/>
        <v>57</v>
      </c>
      <c r="Q443" s="319">
        <f t="shared" si="957"/>
        <v>65</v>
      </c>
      <c r="R443" s="319">
        <f t="shared" si="957"/>
        <v>0</v>
      </c>
      <c r="S443" s="320">
        <f t="shared" si="957"/>
        <v>16</v>
      </c>
      <c r="T443" s="317">
        <f t="shared" ref="T443:T444" si="958">SUM(U443:Y443)</f>
        <v>5429</v>
      </c>
      <c r="U443" s="318">
        <f t="shared" ref="U443:Y444" si="959">SUM(U461,U479)</f>
        <v>221</v>
      </c>
      <c r="V443" s="319">
        <f t="shared" si="959"/>
        <v>4026</v>
      </c>
      <c r="W443" s="319">
        <f t="shared" si="959"/>
        <v>1020</v>
      </c>
      <c r="X443" s="319">
        <f t="shared" si="959"/>
        <v>90</v>
      </c>
      <c r="Y443" s="321">
        <f t="shared" si="959"/>
        <v>72</v>
      </c>
      <c r="AA443" s="513"/>
      <c r="AB443" s="521"/>
      <c r="AC443" s="527" t="s">
        <v>41</v>
      </c>
      <c r="AD443" s="528" t="s">
        <v>32</v>
      </c>
      <c r="AE443" s="326">
        <f t="shared" ref="AE443:AE444" si="960">SUM(AF443:AQ443)</f>
        <v>8260</v>
      </c>
      <c r="AF443" s="327">
        <f t="shared" ref="AF443:AQ444" si="961">SUM(AF461,AF479)</f>
        <v>870</v>
      </c>
      <c r="AG443" s="328">
        <f t="shared" si="961"/>
        <v>1138</v>
      </c>
      <c r="AH443" s="328">
        <f t="shared" si="961"/>
        <v>739</v>
      </c>
      <c r="AI443" s="328">
        <f t="shared" si="961"/>
        <v>1028</v>
      </c>
      <c r="AJ443" s="328">
        <f t="shared" si="961"/>
        <v>1241</v>
      </c>
      <c r="AK443" s="328">
        <f t="shared" si="961"/>
        <v>800</v>
      </c>
      <c r="AL443" s="328">
        <f t="shared" si="961"/>
        <v>762</v>
      </c>
      <c r="AM443" s="328">
        <f t="shared" si="961"/>
        <v>673</v>
      </c>
      <c r="AN443" s="328">
        <f t="shared" si="961"/>
        <v>1009</v>
      </c>
      <c r="AO443" s="328">
        <f t="shared" si="961"/>
        <v>0</v>
      </c>
      <c r="AP443" s="328">
        <f t="shared" si="961"/>
        <v>0</v>
      </c>
      <c r="AQ443" s="330">
        <f t="shared" si="961"/>
        <v>0</v>
      </c>
    </row>
    <row r="444" spans="1:43" s="41" customFormat="1" ht="7.8" customHeight="1" x14ac:dyDescent="0.25">
      <c r="B444" s="282"/>
      <c r="C444" s="295"/>
      <c r="D444" s="296"/>
      <c r="E444" s="297" t="s">
        <v>33</v>
      </c>
      <c r="F444" s="298">
        <f t="shared" si="952"/>
        <v>1265671.25</v>
      </c>
      <c r="G444" s="298">
        <f t="shared" si="953"/>
        <v>151212</v>
      </c>
      <c r="H444" s="298">
        <f t="shared" si="954"/>
        <v>121008</v>
      </c>
      <c r="I444" s="299">
        <f t="shared" si="955"/>
        <v>42028</v>
      </c>
      <c r="J444" s="300">
        <f t="shared" si="955"/>
        <v>64330</v>
      </c>
      <c r="K444" s="300">
        <f t="shared" si="955"/>
        <v>0</v>
      </c>
      <c r="L444" s="300">
        <f t="shared" si="955"/>
        <v>14650</v>
      </c>
      <c r="M444" s="301">
        <f t="shared" si="955"/>
        <v>0</v>
      </c>
      <c r="N444" s="298">
        <f t="shared" si="956"/>
        <v>122993.52</v>
      </c>
      <c r="O444" s="299">
        <f t="shared" si="957"/>
        <v>99797</v>
      </c>
      <c r="P444" s="300">
        <f t="shared" si="957"/>
        <v>9755</v>
      </c>
      <c r="Q444" s="300">
        <f t="shared" si="957"/>
        <v>10990</v>
      </c>
      <c r="R444" s="300">
        <f t="shared" si="957"/>
        <v>0</v>
      </c>
      <c r="S444" s="301">
        <f t="shared" si="957"/>
        <v>2451.5200000000004</v>
      </c>
      <c r="T444" s="298">
        <f t="shared" si="958"/>
        <v>870457.73</v>
      </c>
      <c r="U444" s="299">
        <f t="shared" si="959"/>
        <v>44512.500000000007</v>
      </c>
      <c r="V444" s="300">
        <f t="shared" si="959"/>
        <v>606451.07999999984</v>
      </c>
      <c r="W444" s="300">
        <f t="shared" si="959"/>
        <v>192456.55000000019</v>
      </c>
      <c r="X444" s="300">
        <f t="shared" si="959"/>
        <v>16430</v>
      </c>
      <c r="Y444" s="302">
        <f t="shared" si="959"/>
        <v>10607.600000000002</v>
      </c>
      <c r="AA444" s="513"/>
      <c r="AB444" s="521"/>
      <c r="AC444" s="522"/>
      <c r="AD444" s="523" t="s">
        <v>33</v>
      </c>
      <c r="AE444" s="339">
        <f t="shared" si="960"/>
        <v>1376039.52</v>
      </c>
      <c r="AF444" s="340">
        <f t="shared" si="961"/>
        <v>167310</v>
      </c>
      <c r="AG444" s="341">
        <f t="shared" si="961"/>
        <v>207028</v>
      </c>
      <c r="AH444" s="341">
        <f t="shared" si="961"/>
        <v>122377</v>
      </c>
      <c r="AI444" s="341">
        <f t="shared" si="961"/>
        <v>154204</v>
      </c>
      <c r="AJ444" s="341">
        <f t="shared" si="961"/>
        <v>189697</v>
      </c>
      <c r="AK444" s="341">
        <f t="shared" si="961"/>
        <v>129205</v>
      </c>
      <c r="AL444" s="341">
        <f t="shared" si="961"/>
        <v>134791</v>
      </c>
      <c r="AM444" s="341">
        <f t="shared" si="961"/>
        <v>122993.52</v>
      </c>
      <c r="AN444" s="341">
        <f t="shared" si="961"/>
        <v>148434</v>
      </c>
      <c r="AO444" s="341">
        <f t="shared" si="961"/>
        <v>0</v>
      </c>
      <c r="AP444" s="341">
        <f t="shared" si="961"/>
        <v>0</v>
      </c>
      <c r="AQ444" s="343">
        <f t="shared" si="961"/>
        <v>0</v>
      </c>
    </row>
    <row r="445" spans="1:43" ht="7.8" customHeight="1" x14ac:dyDescent="0.25">
      <c r="B445" s="282"/>
      <c r="C445" s="295"/>
      <c r="D445" s="306"/>
      <c r="E445" s="307" t="s">
        <v>30</v>
      </c>
      <c r="F445" s="308">
        <f t="shared" si="851"/>
        <v>162.7663644547325</v>
      </c>
      <c r="G445" s="308">
        <f t="shared" si="851"/>
        <v>156.85892116182572</v>
      </c>
      <c r="H445" s="308">
        <f t="shared" si="851"/>
        <v>170.43380281690142</v>
      </c>
      <c r="I445" s="309">
        <f t="shared" si="851"/>
        <v>147.98591549295776</v>
      </c>
      <c r="J445" s="310">
        <f t="shared" si="851"/>
        <v>188.65102639296188</v>
      </c>
      <c r="K445" s="310">
        <f t="shared" si="851"/>
        <v>0</v>
      </c>
      <c r="L445" s="310">
        <f t="shared" si="851"/>
        <v>172.35294117647058</v>
      </c>
      <c r="M445" s="311">
        <f t="shared" si="851"/>
        <v>0</v>
      </c>
      <c r="N445" s="308">
        <f t="shared" si="851"/>
        <v>182.7541158989599</v>
      </c>
      <c r="O445" s="309">
        <f t="shared" si="851"/>
        <v>186.53644859813085</v>
      </c>
      <c r="P445" s="310">
        <f t="shared" si="851"/>
        <v>171.14035087719299</v>
      </c>
      <c r="Q445" s="310">
        <f t="shared" si="851"/>
        <v>169.07692307692307</v>
      </c>
      <c r="R445" s="310">
        <f t="shared" si="851"/>
        <v>0</v>
      </c>
      <c r="S445" s="311">
        <f t="shared" si="851"/>
        <v>153.22000000000003</v>
      </c>
      <c r="T445" s="308">
        <f t="shared" si="851"/>
        <v>160.33481856695525</v>
      </c>
      <c r="U445" s="309">
        <f t="shared" si="851"/>
        <v>201.4140271493213</v>
      </c>
      <c r="V445" s="310">
        <f t="shared" si="851"/>
        <v>150.63365126676598</v>
      </c>
      <c r="W445" s="310">
        <f t="shared" si="851"/>
        <v>188.68289215686292</v>
      </c>
      <c r="X445" s="310">
        <f t="shared" si="851"/>
        <v>182.55555555555554</v>
      </c>
      <c r="Y445" s="312">
        <f t="shared" si="851"/>
        <v>147.32777777777781</v>
      </c>
      <c r="AA445" s="513"/>
      <c r="AB445" s="521"/>
      <c r="AC445" s="524"/>
      <c r="AD445" s="525" t="s">
        <v>30</v>
      </c>
      <c r="AE445" s="352">
        <f t="shared" ref="AE445:AQ445" si="962">IFERROR(AE444/AE443,0)</f>
        <v>166.59074092009686</v>
      </c>
      <c r="AF445" s="353">
        <f t="shared" si="962"/>
        <v>192.31034482758622</v>
      </c>
      <c r="AG445" s="354">
        <f t="shared" si="962"/>
        <v>181.92267135325133</v>
      </c>
      <c r="AH445" s="354">
        <f t="shared" si="962"/>
        <v>165.59810554803789</v>
      </c>
      <c r="AI445" s="354">
        <f t="shared" si="962"/>
        <v>150.00389105058366</v>
      </c>
      <c r="AJ445" s="354">
        <f t="shared" si="962"/>
        <v>152.85817888799355</v>
      </c>
      <c r="AK445" s="354">
        <f t="shared" si="962"/>
        <v>161.50624999999999</v>
      </c>
      <c r="AL445" s="354">
        <f t="shared" si="962"/>
        <v>176.89107611548556</v>
      </c>
      <c r="AM445" s="354">
        <f t="shared" si="962"/>
        <v>182.7541158989599</v>
      </c>
      <c r="AN445" s="354">
        <f t="shared" si="962"/>
        <v>147.11000991080277</v>
      </c>
      <c r="AO445" s="354">
        <f t="shared" si="962"/>
        <v>0</v>
      </c>
      <c r="AP445" s="354">
        <f t="shared" si="962"/>
        <v>0</v>
      </c>
      <c r="AQ445" s="356">
        <f t="shared" si="962"/>
        <v>0</v>
      </c>
    </row>
    <row r="446" spans="1:43" ht="7.8" customHeight="1" x14ac:dyDescent="0.25">
      <c r="B446" s="282"/>
      <c r="C446" s="295"/>
      <c r="D446" s="324" t="s">
        <v>42</v>
      </c>
      <c r="E446" s="325" t="s">
        <v>32</v>
      </c>
      <c r="F446" s="326">
        <f t="shared" ref="F446:F447" si="963">SUM(G446,H446,N446,T446)</f>
        <v>7169</v>
      </c>
      <c r="G446" s="326">
        <f t="shared" ref="G446:G501" si="964">SUM(G464,G482)</f>
        <v>0</v>
      </c>
      <c r="H446" s="326">
        <f t="shared" ref="H446:H447" si="965">SUM(I446:M446)</f>
        <v>435</v>
      </c>
      <c r="I446" s="327">
        <f t="shared" ref="I446:M447" si="966">SUM(I464,I482)</f>
        <v>210</v>
      </c>
      <c r="J446" s="328">
        <f t="shared" si="966"/>
        <v>170</v>
      </c>
      <c r="K446" s="328">
        <f t="shared" si="966"/>
        <v>0</v>
      </c>
      <c r="L446" s="328">
        <f t="shared" si="966"/>
        <v>55</v>
      </c>
      <c r="M446" s="329">
        <f t="shared" si="966"/>
        <v>0</v>
      </c>
      <c r="N446" s="326">
        <f t="shared" ref="N446:N447" si="967">SUM(O446:S446)</f>
        <v>770</v>
      </c>
      <c r="O446" s="327">
        <f t="shared" ref="O446:S447" si="968">SUM(O464,O482)</f>
        <v>450</v>
      </c>
      <c r="P446" s="328">
        <f t="shared" si="968"/>
        <v>250</v>
      </c>
      <c r="Q446" s="328">
        <f t="shared" si="968"/>
        <v>70</v>
      </c>
      <c r="R446" s="328">
        <f t="shared" si="968"/>
        <v>0</v>
      </c>
      <c r="S446" s="329">
        <f t="shared" si="968"/>
        <v>0</v>
      </c>
      <c r="T446" s="326">
        <f t="shared" ref="T446:T447" si="969">SUM(U446:Y446)</f>
        <v>5964</v>
      </c>
      <c r="U446" s="327">
        <f t="shared" ref="U446:Y447" si="970">SUM(U464,U482)</f>
        <v>750</v>
      </c>
      <c r="V446" s="328">
        <f t="shared" si="970"/>
        <v>2882</v>
      </c>
      <c r="W446" s="328">
        <f t="shared" si="970"/>
        <v>1582</v>
      </c>
      <c r="X446" s="328">
        <f t="shared" si="970"/>
        <v>100</v>
      </c>
      <c r="Y446" s="330">
        <f t="shared" si="970"/>
        <v>650</v>
      </c>
      <c r="AA446" s="513"/>
      <c r="AB446" s="521"/>
      <c r="AC446" s="530" t="s">
        <v>42</v>
      </c>
      <c r="AD446" s="531" t="s">
        <v>32</v>
      </c>
      <c r="AE446" s="67">
        <f t="shared" ref="AE446:AE447" si="971">SUM(AF446:AQ446)</f>
        <v>15000</v>
      </c>
      <c r="AF446" s="68">
        <f t="shared" ref="AF446:AQ447" si="972">SUM(AF464,AF482)</f>
        <v>1310</v>
      </c>
      <c r="AG446" s="69">
        <f t="shared" si="972"/>
        <v>1805</v>
      </c>
      <c r="AH446" s="69">
        <f t="shared" si="972"/>
        <v>1240</v>
      </c>
      <c r="AI446" s="69">
        <f t="shared" si="972"/>
        <v>1190</v>
      </c>
      <c r="AJ446" s="69">
        <f t="shared" si="972"/>
        <v>1400</v>
      </c>
      <c r="AK446" s="69">
        <f t="shared" si="972"/>
        <v>1045</v>
      </c>
      <c r="AL446" s="69">
        <f t="shared" si="972"/>
        <v>820</v>
      </c>
      <c r="AM446" s="69">
        <f t="shared" si="972"/>
        <v>770</v>
      </c>
      <c r="AN446" s="69">
        <f t="shared" si="972"/>
        <v>1780</v>
      </c>
      <c r="AO446" s="69">
        <f t="shared" si="972"/>
        <v>1545</v>
      </c>
      <c r="AP446" s="69">
        <f t="shared" si="972"/>
        <v>1120</v>
      </c>
      <c r="AQ446" s="71">
        <f t="shared" si="972"/>
        <v>975</v>
      </c>
    </row>
    <row r="447" spans="1:43" s="41" customFormat="1" ht="7.8" customHeight="1" x14ac:dyDescent="0.25">
      <c r="B447" s="282"/>
      <c r="C447" s="295"/>
      <c r="D447" s="337"/>
      <c r="E447" s="338" t="s">
        <v>33</v>
      </c>
      <c r="F447" s="339">
        <f t="shared" si="963"/>
        <v>1266058</v>
      </c>
      <c r="G447" s="339">
        <f t="shared" si="964"/>
        <v>0</v>
      </c>
      <c r="H447" s="339">
        <f t="shared" si="965"/>
        <v>71850</v>
      </c>
      <c r="I447" s="340">
        <f t="shared" si="966"/>
        <v>33600</v>
      </c>
      <c r="J447" s="341">
        <f t="shared" si="966"/>
        <v>28900</v>
      </c>
      <c r="K447" s="341">
        <f t="shared" si="966"/>
        <v>0</v>
      </c>
      <c r="L447" s="341">
        <f t="shared" si="966"/>
        <v>9350</v>
      </c>
      <c r="M447" s="342">
        <f t="shared" si="966"/>
        <v>0</v>
      </c>
      <c r="N447" s="339">
        <f t="shared" si="967"/>
        <v>131000</v>
      </c>
      <c r="O447" s="340">
        <f t="shared" si="968"/>
        <v>77850</v>
      </c>
      <c r="P447" s="341">
        <f t="shared" si="968"/>
        <v>41250</v>
      </c>
      <c r="Q447" s="341">
        <f t="shared" si="968"/>
        <v>11900</v>
      </c>
      <c r="R447" s="341">
        <f t="shared" si="968"/>
        <v>0</v>
      </c>
      <c r="S447" s="342">
        <f t="shared" si="968"/>
        <v>0</v>
      </c>
      <c r="T447" s="339">
        <f t="shared" si="969"/>
        <v>1063208</v>
      </c>
      <c r="U447" s="340">
        <f t="shared" si="970"/>
        <v>146250</v>
      </c>
      <c r="V447" s="341">
        <f t="shared" si="970"/>
        <v>512996</v>
      </c>
      <c r="W447" s="341">
        <f t="shared" si="970"/>
        <v>262612</v>
      </c>
      <c r="X447" s="341">
        <f t="shared" si="970"/>
        <v>18500</v>
      </c>
      <c r="Y447" s="343">
        <f t="shared" si="970"/>
        <v>122850</v>
      </c>
      <c r="AA447" s="513"/>
      <c r="AB447" s="521"/>
      <c r="AC447" s="532"/>
      <c r="AD447" s="533" t="s">
        <v>33</v>
      </c>
      <c r="AE447" s="45">
        <f t="shared" si="971"/>
        <v>2360745</v>
      </c>
      <c r="AF447" s="46">
        <f t="shared" si="972"/>
        <v>227400</v>
      </c>
      <c r="AG447" s="47">
        <f t="shared" si="972"/>
        <v>307900</v>
      </c>
      <c r="AH447" s="47">
        <f t="shared" si="972"/>
        <v>199500</v>
      </c>
      <c r="AI447" s="47">
        <f t="shared" si="972"/>
        <v>175050</v>
      </c>
      <c r="AJ447" s="47">
        <f t="shared" si="972"/>
        <v>211300</v>
      </c>
      <c r="AK447" s="47">
        <f t="shared" si="972"/>
        <v>165875</v>
      </c>
      <c r="AL447" s="47">
        <f t="shared" si="972"/>
        <v>143585</v>
      </c>
      <c r="AM447" s="47">
        <f t="shared" si="972"/>
        <v>131000</v>
      </c>
      <c r="AN447" s="47">
        <f t="shared" si="972"/>
        <v>260450</v>
      </c>
      <c r="AO447" s="47">
        <f t="shared" si="972"/>
        <v>220335</v>
      </c>
      <c r="AP447" s="47">
        <f t="shared" si="972"/>
        <v>160550</v>
      </c>
      <c r="AQ447" s="49">
        <f t="shared" si="972"/>
        <v>157800</v>
      </c>
    </row>
    <row r="448" spans="1:43" ht="7.8" customHeight="1" x14ac:dyDescent="0.25">
      <c r="B448" s="282"/>
      <c r="C448" s="295"/>
      <c r="D448" s="350"/>
      <c r="E448" s="351" t="s">
        <v>30</v>
      </c>
      <c r="F448" s="352">
        <f t="shared" si="862"/>
        <v>176.60175756730368</v>
      </c>
      <c r="G448" s="352">
        <f t="shared" si="862"/>
        <v>0</v>
      </c>
      <c r="H448" s="352">
        <f t="shared" si="862"/>
        <v>165.17241379310346</v>
      </c>
      <c r="I448" s="353">
        <f t="shared" si="862"/>
        <v>160</v>
      </c>
      <c r="J448" s="354">
        <f t="shared" si="862"/>
        <v>170</v>
      </c>
      <c r="K448" s="354">
        <f t="shared" si="862"/>
        <v>0</v>
      </c>
      <c r="L448" s="354">
        <f t="shared" si="862"/>
        <v>170</v>
      </c>
      <c r="M448" s="355">
        <f t="shared" si="862"/>
        <v>0</v>
      </c>
      <c r="N448" s="352">
        <f t="shared" si="862"/>
        <v>170.12987012987014</v>
      </c>
      <c r="O448" s="353">
        <f t="shared" si="862"/>
        <v>173</v>
      </c>
      <c r="P448" s="354">
        <f t="shared" si="862"/>
        <v>165</v>
      </c>
      <c r="Q448" s="354">
        <f t="shared" si="862"/>
        <v>170</v>
      </c>
      <c r="R448" s="354">
        <f t="shared" si="862"/>
        <v>0</v>
      </c>
      <c r="S448" s="355">
        <f t="shared" si="862"/>
        <v>0</v>
      </c>
      <c r="T448" s="352">
        <f t="shared" si="862"/>
        <v>178.27095908786049</v>
      </c>
      <c r="U448" s="353">
        <f t="shared" si="862"/>
        <v>195</v>
      </c>
      <c r="V448" s="354">
        <f t="shared" si="862"/>
        <v>178</v>
      </c>
      <c r="W448" s="354">
        <f t="shared" si="862"/>
        <v>166</v>
      </c>
      <c r="X448" s="354">
        <f t="shared" si="862"/>
        <v>185</v>
      </c>
      <c r="Y448" s="356">
        <f t="shared" si="862"/>
        <v>189</v>
      </c>
      <c r="AA448" s="513"/>
      <c r="AB448" s="521"/>
      <c r="AC448" s="534"/>
      <c r="AD448" s="535" t="s">
        <v>30</v>
      </c>
      <c r="AE448" s="56">
        <f t="shared" ref="AE448:AQ448" si="973">IFERROR(AE447/AE446,0)</f>
        <v>157.38300000000001</v>
      </c>
      <c r="AF448" s="57">
        <f t="shared" si="973"/>
        <v>173.58778625954199</v>
      </c>
      <c r="AG448" s="58">
        <f t="shared" si="973"/>
        <v>170.58171745152356</v>
      </c>
      <c r="AH448" s="58">
        <f t="shared" si="973"/>
        <v>160.88709677419354</v>
      </c>
      <c r="AI448" s="58">
        <f t="shared" si="973"/>
        <v>147.10084033613447</v>
      </c>
      <c r="AJ448" s="58">
        <f t="shared" si="973"/>
        <v>150.92857142857142</v>
      </c>
      <c r="AK448" s="58">
        <f t="shared" si="973"/>
        <v>158.73205741626793</v>
      </c>
      <c r="AL448" s="58">
        <f t="shared" si="973"/>
        <v>175.10365853658536</v>
      </c>
      <c r="AM448" s="58">
        <f t="shared" si="973"/>
        <v>170.12987012987014</v>
      </c>
      <c r="AN448" s="58">
        <f t="shared" si="973"/>
        <v>146.32022471910113</v>
      </c>
      <c r="AO448" s="58">
        <f t="shared" si="973"/>
        <v>142.61165048543688</v>
      </c>
      <c r="AP448" s="58">
        <f t="shared" si="973"/>
        <v>143.34821428571428</v>
      </c>
      <c r="AQ448" s="60">
        <f t="shared" si="973"/>
        <v>161.84615384615384</v>
      </c>
    </row>
    <row r="449" spans="2:43" ht="7.8" customHeight="1" x14ac:dyDescent="0.25">
      <c r="B449" s="282"/>
      <c r="C449" s="295"/>
      <c r="D449" s="363" t="s">
        <v>43</v>
      </c>
      <c r="E449" s="316" t="s">
        <v>32</v>
      </c>
      <c r="F449" s="317">
        <f t="shared" ref="F449:Y451" si="974">F446-F443</f>
        <v>-607</v>
      </c>
      <c r="G449" s="317">
        <f t="shared" si="974"/>
        <v>-964</v>
      </c>
      <c r="H449" s="317">
        <f t="shared" si="974"/>
        <v>-275</v>
      </c>
      <c r="I449" s="318">
        <f t="shared" si="974"/>
        <v>-74</v>
      </c>
      <c r="J449" s="319">
        <f t="shared" si="974"/>
        <v>-171</v>
      </c>
      <c r="K449" s="319">
        <f t="shared" si="974"/>
        <v>0</v>
      </c>
      <c r="L449" s="319">
        <f t="shared" si="974"/>
        <v>-30</v>
      </c>
      <c r="M449" s="320">
        <f t="shared" si="974"/>
        <v>0</v>
      </c>
      <c r="N449" s="317">
        <f t="shared" si="974"/>
        <v>97</v>
      </c>
      <c r="O449" s="318">
        <f t="shared" si="974"/>
        <v>-85</v>
      </c>
      <c r="P449" s="319">
        <f t="shared" si="974"/>
        <v>193</v>
      </c>
      <c r="Q449" s="319">
        <f t="shared" si="974"/>
        <v>5</v>
      </c>
      <c r="R449" s="319">
        <f t="shared" si="974"/>
        <v>0</v>
      </c>
      <c r="S449" s="320">
        <f t="shared" si="974"/>
        <v>-16</v>
      </c>
      <c r="T449" s="317">
        <f t="shared" si="974"/>
        <v>535</v>
      </c>
      <c r="U449" s="318">
        <f t="shared" si="974"/>
        <v>529</v>
      </c>
      <c r="V449" s="319">
        <f t="shared" si="974"/>
        <v>-1144</v>
      </c>
      <c r="W449" s="319">
        <f t="shared" si="974"/>
        <v>562</v>
      </c>
      <c r="X449" s="319">
        <f t="shared" si="974"/>
        <v>10</v>
      </c>
      <c r="Y449" s="321">
        <f t="shared" si="974"/>
        <v>578</v>
      </c>
      <c r="AA449" s="513"/>
      <c r="AB449" s="521"/>
      <c r="AC449" s="536" t="s">
        <v>43</v>
      </c>
      <c r="AD449" s="528" t="s">
        <v>32</v>
      </c>
      <c r="AE449" s="326">
        <f t="shared" ref="AE449:AQ451" si="975">AE446-AE443</f>
        <v>6740</v>
      </c>
      <c r="AF449" s="327">
        <f t="shared" si="975"/>
        <v>440</v>
      </c>
      <c r="AG449" s="328">
        <f t="shared" si="975"/>
        <v>667</v>
      </c>
      <c r="AH449" s="328">
        <f t="shared" si="975"/>
        <v>501</v>
      </c>
      <c r="AI449" s="328">
        <f t="shared" si="975"/>
        <v>162</v>
      </c>
      <c r="AJ449" s="328">
        <f t="shared" si="975"/>
        <v>159</v>
      </c>
      <c r="AK449" s="328">
        <f t="shared" si="975"/>
        <v>245</v>
      </c>
      <c r="AL449" s="328">
        <f t="shared" si="975"/>
        <v>58</v>
      </c>
      <c r="AM449" s="328">
        <f t="shared" si="975"/>
        <v>97</v>
      </c>
      <c r="AN449" s="328">
        <f t="shared" si="975"/>
        <v>771</v>
      </c>
      <c r="AO449" s="328">
        <f t="shared" si="975"/>
        <v>1545</v>
      </c>
      <c r="AP449" s="328">
        <f t="shared" si="975"/>
        <v>1120</v>
      </c>
      <c r="AQ449" s="330">
        <f t="shared" si="975"/>
        <v>975</v>
      </c>
    </row>
    <row r="450" spans="2:43" s="366" customFormat="1" ht="7.8" customHeight="1" x14ac:dyDescent="0.25">
      <c r="B450" s="282"/>
      <c r="C450" s="295"/>
      <c r="D450" s="296"/>
      <c r="E450" s="365" t="s">
        <v>33</v>
      </c>
      <c r="F450" s="298">
        <f t="shared" si="974"/>
        <v>386.75</v>
      </c>
      <c r="G450" s="298">
        <f t="shared" si="974"/>
        <v>-151212</v>
      </c>
      <c r="H450" s="298">
        <f t="shared" si="974"/>
        <v>-49158</v>
      </c>
      <c r="I450" s="299">
        <f t="shared" si="974"/>
        <v>-8428</v>
      </c>
      <c r="J450" s="300">
        <f t="shared" si="974"/>
        <v>-35430</v>
      </c>
      <c r="K450" s="300">
        <f t="shared" si="974"/>
        <v>0</v>
      </c>
      <c r="L450" s="300">
        <f t="shared" si="974"/>
        <v>-5300</v>
      </c>
      <c r="M450" s="301">
        <f t="shared" si="974"/>
        <v>0</v>
      </c>
      <c r="N450" s="298">
        <f t="shared" si="974"/>
        <v>8006.4799999999959</v>
      </c>
      <c r="O450" s="299">
        <f t="shared" si="974"/>
        <v>-21947</v>
      </c>
      <c r="P450" s="300">
        <f t="shared" si="974"/>
        <v>31495</v>
      </c>
      <c r="Q450" s="300">
        <f t="shared" si="974"/>
        <v>910</v>
      </c>
      <c r="R450" s="300">
        <f t="shared" si="974"/>
        <v>0</v>
      </c>
      <c r="S450" s="301">
        <f t="shared" si="974"/>
        <v>-2451.5200000000004</v>
      </c>
      <c r="T450" s="298">
        <f t="shared" si="974"/>
        <v>192750.27000000002</v>
      </c>
      <c r="U450" s="299">
        <f t="shared" si="974"/>
        <v>101737.5</v>
      </c>
      <c r="V450" s="300">
        <f t="shared" si="974"/>
        <v>-93455.079999999842</v>
      </c>
      <c r="W450" s="300">
        <f t="shared" si="974"/>
        <v>70155.449999999808</v>
      </c>
      <c r="X450" s="300">
        <f t="shared" si="974"/>
        <v>2070</v>
      </c>
      <c r="Y450" s="302">
        <f t="shared" si="974"/>
        <v>112242.4</v>
      </c>
      <c r="AA450" s="513"/>
      <c r="AB450" s="521"/>
      <c r="AC450" s="537"/>
      <c r="AD450" s="538" t="s">
        <v>33</v>
      </c>
      <c r="AE450" s="339">
        <f t="shared" si="975"/>
        <v>984705.48</v>
      </c>
      <c r="AF450" s="340">
        <f t="shared" si="975"/>
        <v>60090</v>
      </c>
      <c r="AG450" s="341">
        <f t="shared" si="975"/>
        <v>100872</v>
      </c>
      <c r="AH450" s="341">
        <f t="shared" si="975"/>
        <v>77123</v>
      </c>
      <c r="AI450" s="341">
        <f t="shared" si="975"/>
        <v>20846</v>
      </c>
      <c r="AJ450" s="341">
        <f t="shared" si="975"/>
        <v>21603</v>
      </c>
      <c r="AK450" s="341">
        <f t="shared" si="975"/>
        <v>36670</v>
      </c>
      <c r="AL450" s="341">
        <f t="shared" si="975"/>
        <v>8794</v>
      </c>
      <c r="AM450" s="341">
        <f t="shared" si="975"/>
        <v>8006.4799999999959</v>
      </c>
      <c r="AN450" s="341">
        <f t="shared" si="975"/>
        <v>112016</v>
      </c>
      <c r="AO450" s="341">
        <f t="shared" si="975"/>
        <v>220335</v>
      </c>
      <c r="AP450" s="341">
        <f t="shared" si="975"/>
        <v>160550</v>
      </c>
      <c r="AQ450" s="343">
        <f t="shared" si="975"/>
        <v>157800</v>
      </c>
    </row>
    <row r="451" spans="2:43" ht="7.8" customHeight="1" x14ac:dyDescent="0.25">
      <c r="B451" s="282"/>
      <c r="C451" s="295"/>
      <c r="D451" s="306"/>
      <c r="E451" s="307" t="s">
        <v>30</v>
      </c>
      <c r="F451" s="308">
        <f t="shared" si="974"/>
        <v>13.835393112571182</v>
      </c>
      <c r="G451" s="308">
        <f t="shared" si="974"/>
        <v>-156.85892116182572</v>
      </c>
      <c r="H451" s="308">
        <f t="shared" si="974"/>
        <v>-5.2613890237979604</v>
      </c>
      <c r="I451" s="309">
        <f t="shared" si="974"/>
        <v>12.014084507042242</v>
      </c>
      <c r="J451" s="310">
        <f t="shared" si="974"/>
        <v>-18.651026392961882</v>
      </c>
      <c r="K451" s="310">
        <f t="shared" si="974"/>
        <v>0</v>
      </c>
      <c r="L451" s="310">
        <f t="shared" si="974"/>
        <v>-2.3529411764705799</v>
      </c>
      <c r="M451" s="311">
        <f t="shared" si="974"/>
        <v>0</v>
      </c>
      <c r="N451" s="308">
        <f t="shared" si="974"/>
        <v>-12.624245769089754</v>
      </c>
      <c r="O451" s="309">
        <f t="shared" si="974"/>
        <v>-13.536448598130846</v>
      </c>
      <c r="P451" s="310">
        <f t="shared" si="974"/>
        <v>-6.1403508771929864</v>
      </c>
      <c r="Q451" s="310">
        <f t="shared" si="974"/>
        <v>0.92307692307693401</v>
      </c>
      <c r="R451" s="310">
        <f t="shared" si="974"/>
        <v>0</v>
      </c>
      <c r="S451" s="311">
        <f t="shared" si="974"/>
        <v>-153.22000000000003</v>
      </c>
      <c r="T451" s="308">
        <f t="shared" si="974"/>
        <v>17.936140520905241</v>
      </c>
      <c r="U451" s="309">
        <f t="shared" si="974"/>
        <v>-6.4140271493212992</v>
      </c>
      <c r="V451" s="310">
        <f t="shared" si="974"/>
        <v>27.36634873323402</v>
      </c>
      <c r="W451" s="310">
        <f t="shared" si="974"/>
        <v>-22.68289215686292</v>
      </c>
      <c r="X451" s="310">
        <f t="shared" si="974"/>
        <v>2.4444444444444571</v>
      </c>
      <c r="Y451" s="312">
        <f t="shared" si="974"/>
        <v>41.672222222222189</v>
      </c>
      <c r="AA451" s="513"/>
      <c r="AB451" s="521"/>
      <c r="AC451" s="539"/>
      <c r="AD451" s="525" t="s">
        <v>30</v>
      </c>
      <c r="AE451" s="352">
        <f t="shared" si="975"/>
        <v>-9.2077409200968532</v>
      </c>
      <c r="AF451" s="353">
        <f t="shared" si="975"/>
        <v>-18.722558568044235</v>
      </c>
      <c r="AG451" s="354">
        <f t="shared" si="975"/>
        <v>-11.340953901727772</v>
      </c>
      <c r="AH451" s="354">
        <f t="shared" si="975"/>
        <v>-4.7110087738443553</v>
      </c>
      <c r="AI451" s="354">
        <f t="shared" si="975"/>
        <v>-2.9030507144491935</v>
      </c>
      <c r="AJ451" s="354">
        <f t="shared" si="975"/>
        <v>-1.9296074594221295</v>
      </c>
      <c r="AK451" s="354">
        <f t="shared" si="975"/>
        <v>-2.7741925837320593</v>
      </c>
      <c r="AL451" s="354">
        <f t="shared" si="975"/>
        <v>-1.7874175789002038</v>
      </c>
      <c r="AM451" s="354">
        <f t="shared" si="975"/>
        <v>-12.624245769089754</v>
      </c>
      <c r="AN451" s="354">
        <f t="shared" si="975"/>
        <v>-0.78978519170163963</v>
      </c>
      <c r="AO451" s="354">
        <f t="shared" si="975"/>
        <v>142.61165048543688</v>
      </c>
      <c r="AP451" s="354">
        <f t="shared" si="975"/>
        <v>143.34821428571428</v>
      </c>
      <c r="AQ451" s="356">
        <f t="shared" si="975"/>
        <v>161.84615384615384</v>
      </c>
    </row>
    <row r="452" spans="2:43" ht="7.8" customHeight="1" x14ac:dyDescent="0.25">
      <c r="B452" s="282"/>
      <c r="C452" s="295"/>
      <c r="D452" s="363" t="s">
        <v>44</v>
      </c>
      <c r="E452" s="316" t="s">
        <v>32</v>
      </c>
      <c r="F452" s="370">
        <f t="shared" ref="F452:Y454" si="976">IFERROR((F446-F443)/ABS(F443),"")</f>
        <v>-7.8060699588477361E-2</v>
      </c>
      <c r="G452" s="370">
        <f t="shared" si="976"/>
        <v>-1</v>
      </c>
      <c r="H452" s="370">
        <f t="shared" si="976"/>
        <v>-0.38732394366197181</v>
      </c>
      <c r="I452" s="371">
        <f t="shared" si="976"/>
        <v>-0.26056338028169013</v>
      </c>
      <c r="J452" s="372">
        <f t="shared" si="976"/>
        <v>-0.50146627565982405</v>
      </c>
      <c r="K452" s="372" t="str">
        <f t="shared" si="976"/>
        <v/>
      </c>
      <c r="L452" s="372">
        <f t="shared" si="976"/>
        <v>-0.35294117647058826</v>
      </c>
      <c r="M452" s="373" t="str">
        <f t="shared" si="976"/>
        <v/>
      </c>
      <c r="N452" s="370">
        <f t="shared" si="976"/>
        <v>0.14413075780089152</v>
      </c>
      <c r="O452" s="371">
        <f t="shared" si="976"/>
        <v>-0.15887850467289719</v>
      </c>
      <c r="P452" s="372">
        <f t="shared" si="976"/>
        <v>3.3859649122807016</v>
      </c>
      <c r="Q452" s="372">
        <f t="shared" si="976"/>
        <v>7.6923076923076927E-2</v>
      </c>
      <c r="R452" s="372" t="str">
        <f t="shared" si="976"/>
        <v/>
      </c>
      <c r="S452" s="373">
        <f t="shared" si="976"/>
        <v>-1</v>
      </c>
      <c r="T452" s="370">
        <f t="shared" si="976"/>
        <v>9.8544851722232457E-2</v>
      </c>
      <c r="U452" s="371">
        <f t="shared" si="976"/>
        <v>2.3936651583710407</v>
      </c>
      <c r="V452" s="372">
        <f t="shared" si="976"/>
        <v>-0.28415300546448086</v>
      </c>
      <c r="W452" s="372">
        <f t="shared" si="976"/>
        <v>0.55098039215686279</v>
      </c>
      <c r="X452" s="372">
        <f t="shared" si="976"/>
        <v>0.1111111111111111</v>
      </c>
      <c r="Y452" s="374">
        <f t="shared" si="976"/>
        <v>8.0277777777777786</v>
      </c>
      <c r="AA452" s="513"/>
      <c r="AB452" s="521"/>
      <c r="AC452" s="536" t="s">
        <v>44</v>
      </c>
      <c r="AD452" s="528" t="s">
        <v>32</v>
      </c>
      <c r="AE452" s="540">
        <f t="shared" ref="AE452:AQ454" si="977">IFERROR((AE446-AE443)/ABS(AE443),"")</f>
        <v>0.81598062953995154</v>
      </c>
      <c r="AF452" s="541">
        <f t="shared" si="977"/>
        <v>0.50574712643678166</v>
      </c>
      <c r="AG452" s="542">
        <f t="shared" si="977"/>
        <v>0.58611599297012307</v>
      </c>
      <c r="AH452" s="542">
        <f t="shared" si="977"/>
        <v>0.67794316644113672</v>
      </c>
      <c r="AI452" s="542">
        <f t="shared" si="977"/>
        <v>0.15758754863813229</v>
      </c>
      <c r="AJ452" s="542">
        <f t="shared" si="977"/>
        <v>0.12812248186946013</v>
      </c>
      <c r="AK452" s="542">
        <f t="shared" si="977"/>
        <v>0.30625000000000002</v>
      </c>
      <c r="AL452" s="542">
        <f t="shared" si="977"/>
        <v>7.6115485564304461E-2</v>
      </c>
      <c r="AM452" s="542">
        <f t="shared" si="977"/>
        <v>0.14413075780089152</v>
      </c>
      <c r="AN452" s="542">
        <f t="shared" si="977"/>
        <v>0.76412289395441035</v>
      </c>
      <c r="AO452" s="542" t="str">
        <f t="shared" si="977"/>
        <v/>
      </c>
      <c r="AP452" s="542" t="str">
        <f t="shared" si="977"/>
        <v/>
      </c>
      <c r="AQ452" s="543" t="str">
        <f t="shared" si="977"/>
        <v/>
      </c>
    </row>
    <row r="453" spans="2:43" ht="7.8" customHeight="1" x14ac:dyDescent="0.25">
      <c r="B453" s="282"/>
      <c r="C453" s="295"/>
      <c r="D453" s="296"/>
      <c r="E453" s="375" t="s">
        <v>33</v>
      </c>
      <c r="F453" s="376">
        <f t="shared" si="976"/>
        <v>3.05569080438542E-4</v>
      </c>
      <c r="G453" s="376">
        <f t="shared" si="976"/>
        <v>-1</v>
      </c>
      <c r="H453" s="376">
        <f t="shared" si="976"/>
        <v>-0.4062376041253471</v>
      </c>
      <c r="I453" s="377">
        <f t="shared" si="976"/>
        <v>-0.20053297801465689</v>
      </c>
      <c r="J453" s="378">
        <f t="shared" si="976"/>
        <v>-0.55075392507383802</v>
      </c>
      <c r="K453" s="378" t="str">
        <f t="shared" si="976"/>
        <v/>
      </c>
      <c r="L453" s="378">
        <f t="shared" si="976"/>
        <v>-0.36177474402730375</v>
      </c>
      <c r="M453" s="379" t="str">
        <f t="shared" si="976"/>
        <v/>
      </c>
      <c r="N453" s="376">
        <f t="shared" si="976"/>
        <v>6.5096762821325843E-2</v>
      </c>
      <c r="O453" s="377">
        <f t="shared" si="976"/>
        <v>-0.21991643035361785</v>
      </c>
      <c r="P453" s="378">
        <f t="shared" si="976"/>
        <v>3.2286007175807279</v>
      </c>
      <c r="Q453" s="378">
        <f t="shared" si="976"/>
        <v>8.2802547770700632E-2</v>
      </c>
      <c r="R453" s="378" t="str">
        <f t="shared" si="976"/>
        <v/>
      </c>
      <c r="S453" s="379">
        <f t="shared" si="976"/>
        <v>-1</v>
      </c>
      <c r="T453" s="376">
        <f t="shared" si="976"/>
        <v>0.22143553139564862</v>
      </c>
      <c r="U453" s="377">
        <f t="shared" si="976"/>
        <v>2.2855939342881211</v>
      </c>
      <c r="V453" s="378">
        <f t="shared" si="976"/>
        <v>-0.15410159711480745</v>
      </c>
      <c r="W453" s="378">
        <f t="shared" si="976"/>
        <v>0.36452617486907946</v>
      </c>
      <c r="X453" s="378">
        <f t="shared" si="976"/>
        <v>0.12598904443091904</v>
      </c>
      <c r="Y453" s="380">
        <f t="shared" si="976"/>
        <v>10.581319054262979</v>
      </c>
      <c r="AA453" s="513"/>
      <c r="AB453" s="521"/>
      <c r="AC453" s="537"/>
      <c r="AD453" s="544" t="s">
        <v>33</v>
      </c>
      <c r="AE453" s="545">
        <f t="shared" si="977"/>
        <v>0.71560842961835858</v>
      </c>
      <c r="AF453" s="546">
        <f t="shared" si="977"/>
        <v>0.35915366684597455</v>
      </c>
      <c r="AG453" s="547">
        <f t="shared" si="977"/>
        <v>0.48723844117703885</v>
      </c>
      <c r="AH453" s="547">
        <f t="shared" si="977"/>
        <v>0.63020829077359308</v>
      </c>
      <c r="AI453" s="547">
        <f t="shared" si="977"/>
        <v>0.13518456071178439</v>
      </c>
      <c r="AJ453" s="547">
        <f t="shared" si="977"/>
        <v>0.11388161120102057</v>
      </c>
      <c r="AK453" s="547">
        <f t="shared" si="977"/>
        <v>0.28381254595410393</v>
      </c>
      <c r="AL453" s="547">
        <f t="shared" si="977"/>
        <v>6.5241744626866785E-2</v>
      </c>
      <c r="AM453" s="547">
        <f t="shared" si="977"/>
        <v>6.5096762821325843E-2</v>
      </c>
      <c r="AN453" s="547">
        <f t="shared" si="977"/>
        <v>0.75465189916056963</v>
      </c>
      <c r="AO453" s="547" t="str">
        <f t="shared" si="977"/>
        <v/>
      </c>
      <c r="AP453" s="547" t="str">
        <f t="shared" si="977"/>
        <v/>
      </c>
      <c r="AQ453" s="548" t="str">
        <f t="shared" si="977"/>
        <v/>
      </c>
    </row>
    <row r="454" spans="2:43" ht="7.8" customHeight="1" x14ac:dyDescent="0.25">
      <c r="B454" s="282"/>
      <c r="C454" s="382"/>
      <c r="D454" s="383"/>
      <c r="E454" s="384" t="s">
        <v>30</v>
      </c>
      <c r="F454" s="385">
        <f t="shared" si="976"/>
        <v>8.5001549054190439E-2</v>
      </c>
      <c r="G454" s="385">
        <f t="shared" si="976"/>
        <v>-1</v>
      </c>
      <c r="H454" s="385">
        <f t="shared" si="976"/>
        <v>-3.0870572250566504E-2</v>
      </c>
      <c r="I454" s="386">
        <f t="shared" si="976"/>
        <v>8.1183972589702016E-2</v>
      </c>
      <c r="J454" s="387">
        <f t="shared" si="976"/>
        <v>-9.8865226177522178E-2</v>
      </c>
      <c r="K454" s="387" t="str">
        <f t="shared" si="976"/>
        <v/>
      </c>
      <c r="L454" s="387">
        <f t="shared" si="976"/>
        <v>-1.3651877133105754E-2</v>
      </c>
      <c r="M454" s="388" t="str">
        <f t="shared" si="976"/>
        <v/>
      </c>
      <c r="N454" s="385">
        <f t="shared" si="976"/>
        <v>-6.9077764443178827E-2</v>
      </c>
      <c r="O454" s="386">
        <f t="shared" si="976"/>
        <v>-7.256731164263458E-2</v>
      </c>
      <c r="P454" s="387">
        <f t="shared" si="976"/>
        <v>-3.587903639159408E-2</v>
      </c>
      <c r="Q454" s="387">
        <f t="shared" si="976"/>
        <v>5.4595086442220846E-3</v>
      </c>
      <c r="R454" s="387" t="str">
        <f t="shared" si="976"/>
        <v/>
      </c>
      <c r="S454" s="388">
        <f t="shared" si="976"/>
        <v>-1</v>
      </c>
      <c r="T454" s="385">
        <f t="shared" si="976"/>
        <v>0.11186678402866794</v>
      </c>
      <c r="U454" s="386">
        <f t="shared" si="976"/>
        <v>-3.1844987363100409E-2</v>
      </c>
      <c r="V454" s="387">
        <f t="shared" si="976"/>
        <v>0.18167486815259723</v>
      </c>
      <c r="W454" s="387">
        <f t="shared" si="976"/>
        <v>-0.12021700482524579</v>
      </c>
      <c r="X454" s="387">
        <f t="shared" si="976"/>
        <v>1.3390139987827216E-2</v>
      </c>
      <c r="Y454" s="389">
        <f t="shared" si="976"/>
        <v>0.28285380293374535</v>
      </c>
      <c r="AA454" s="513"/>
      <c r="AB454" s="549"/>
      <c r="AC454" s="550"/>
      <c r="AD454" s="551" t="s">
        <v>30</v>
      </c>
      <c r="AE454" s="552">
        <f t="shared" si="977"/>
        <v>-5.5271624756823845E-2</v>
      </c>
      <c r="AF454" s="553">
        <f t="shared" si="977"/>
        <v>-9.7355961712978806E-2</v>
      </c>
      <c r="AG454" s="554">
        <f t="shared" si="977"/>
        <v>-6.2339420465667462E-2</v>
      </c>
      <c r="AH454" s="554">
        <f t="shared" si="977"/>
        <v>-2.8448446063157117E-2</v>
      </c>
      <c r="AI454" s="554">
        <f t="shared" si="977"/>
        <v>-1.9353169401920643E-2</v>
      </c>
      <c r="AJ454" s="554">
        <f t="shared" si="977"/>
        <v>-1.2623514642523934E-2</v>
      </c>
      <c r="AK454" s="554">
        <f t="shared" si="977"/>
        <v>-1.7176998312647712E-2</v>
      </c>
      <c r="AL454" s="554">
        <f t="shared" si="977"/>
        <v>-1.0104622676009194E-2</v>
      </c>
      <c r="AM454" s="554">
        <f t="shared" si="977"/>
        <v>-6.9077764443178827E-2</v>
      </c>
      <c r="AN454" s="554">
        <f t="shared" si="977"/>
        <v>-5.3686706443736229E-3</v>
      </c>
      <c r="AO454" s="554" t="str">
        <f t="shared" si="977"/>
        <v/>
      </c>
      <c r="AP454" s="554" t="str">
        <f t="shared" si="977"/>
        <v/>
      </c>
      <c r="AQ454" s="555" t="str">
        <f t="shared" si="977"/>
        <v/>
      </c>
    </row>
    <row r="455" spans="2:43" ht="7.8" customHeight="1" x14ac:dyDescent="0.25">
      <c r="B455" s="282"/>
      <c r="C455" s="393" t="s">
        <v>48</v>
      </c>
      <c r="D455" s="394" t="s">
        <v>39</v>
      </c>
      <c r="E455" s="395" t="s">
        <v>32</v>
      </c>
      <c r="F455" s="396">
        <f t="shared" ref="F455:F456" si="978">SUM(G455,H455,N455,T455)</f>
        <v>0</v>
      </c>
      <c r="G455" s="396"/>
      <c r="H455" s="396">
        <f t="shared" ref="H455:H456" si="979">SUM(I455:M455)</f>
        <v>0</v>
      </c>
      <c r="I455" s="397"/>
      <c r="J455" s="398"/>
      <c r="K455" s="398"/>
      <c r="L455" s="398"/>
      <c r="M455" s="399"/>
      <c r="N455" s="396">
        <f t="shared" ref="N455:N456" si="980">SUM(O455:S455)</f>
        <v>0</v>
      </c>
      <c r="O455" s="397"/>
      <c r="P455" s="398"/>
      <c r="Q455" s="398"/>
      <c r="R455" s="398"/>
      <c r="S455" s="399"/>
      <c r="T455" s="396">
        <f t="shared" ref="T455:T456" si="981">SUM(U455:Y455)</f>
        <v>0</v>
      </c>
      <c r="U455" s="397"/>
      <c r="V455" s="398"/>
      <c r="W455" s="398"/>
      <c r="X455" s="398"/>
      <c r="Y455" s="400"/>
      <c r="AA455" s="513"/>
      <c r="AB455" s="556" t="s">
        <v>48</v>
      </c>
      <c r="AC455" s="557" t="s">
        <v>39</v>
      </c>
      <c r="AD455" s="558" t="s">
        <v>32</v>
      </c>
      <c r="AE455" s="559">
        <f t="shared" ref="AE455:AE456" si="982">SUM(AF455:AQ455)</f>
        <v>0</v>
      </c>
      <c r="AF455" s="560">
        <f>SUM(AF509,AF563,AF617,AF671,AF725)</f>
        <v>0</v>
      </c>
      <c r="AG455" s="561">
        <f t="shared" ref="AG455:AQ455" si="983">SUM(AG509,AG563,AG617,AG671,AG725)</f>
        <v>0</v>
      </c>
      <c r="AH455" s="561">
        <f t="shared" si="983"/>
        <v>0</v>
      </c>
      <c r="AI455" s="561">
        <f t="shared" si="983"/>
        <v>0</v>
      </c>
      <c r="AJ455" s="561">
        <f t="shared" si="983"/>
        <v>0</v>
      </c>
      <c r="AK455" s="561">
        <f t="shared" si="983"/>
        <v>0</v>
      </c>
      <c r="AL455" s="561">
        <f t="shared" si="983"/>
        <v>0</v>
      </c>
      <c r="AM455" s="561">
        <f t="shared" si="983"/>
        <v>0</v>
      </c>
      <c r="AN455" s="561">
        <f t="shared" si="983"/>
        <v>0</v>
      </c>
      <c r="AO455" s="561">
        <f t="shared" si="983"/>
        <v>0</v>
      </c>
      <c r="AP455" s="561">
        <f t="shared" si="983"/>
        <v>0</v>
      </c>
      <c r="AQ455" s="562">
        <f t="shared" si="983"/>
        <v>0</v>
      </c>
    </row>
    <row r="456" spans="2:43" s="41" customFormat="1" ht="7.8" customHeight="1" x14ac:dyDescent="0.25">
      <c r="B456" s="282"/>
      <c r="C456" s="404"/>
      <c r="D456" s="405"/>
      <c r="E456" s="406" t="s">
        <v>33</v>
      </c>
      <c r="F456" s="407">
        <f t="shared" si="978"/>
        <v>0</v>
      </c>
      <c r="G456" s="407"/>
      <c r="H456" s="407">
        <f t="shared" si="979"/>
        <v>0</v>
      </c>
      <c r="I456" s="408"/>
      <c r="J456" s="409"/>
      <c r="K456" s="409"/>
      <c r="L456" s="409"/>
      <c r="M456" s="410"/>
      <c r="N456" s="407">
        <f t="shared" si="980"/>
        <v>0</v>
      </c>
      <c r="O456" s="408"/>
      <c r="P456" s="409"/>
      <c r="Q456" s="409"/>
      <c r="R456" s="409"/>
      <c r="S456" s="410"/>
      <c r="T456" s="407">
        <f t="shared" si="981"/>
        <v>0</v>
      </c>
      <c r="U456" s="408"/>
      <c r="V456" s="409"/>
      <c r="W456" s="409"/>
      <c r="X456" s="409"/>
      <c r="Y456" s="411"/>
      <c r="AA456" s="513"/>
      <c r="AB456" s="563"/>
      <c r="AC456" s="564"/>
      <c r="AD456" s="565" t="s">
        <v>33</v>
      </c>
      <c r="AE456" s="448">
        <f t="shared" si="982"/>
        <v>0</v>
      </c>
      <c r="AF456" s="449">
        <f t="shared" ref="AF456:AQ456" si="984">SUM(AF510,AF564,AF618,AF672,AF726)</f>
        <v>0</v>
      </c>
      <c r="AG456" s="450">
        <f t="shared" si="984"/>
        <v>0</v>
      </c>
      <c r="AH456" s="450">
        <f t="shared" si="984"/>
        <v>0</v>
      </c>
      <c r="AI456" s="450">
        <f t="shared" si="984"/>
        <v>0</v>
      </c>
      <c r="AJ456" s="450">
        <f t="shared" si="984"/>
        <v>0</v>
      </c>
      <c r="AK456" s="450">
        <f t="shared" si="984"/>
        <v>0</v>
      </c>
      <c r="AL456" s="450">
        <f t="shared" si="984"/>
        <v>0</v>
      </c>
      <c r="AM456" s="450">
        <f t="shared" si="984"/>
        <v>0</v>
      </c>
      <c r="AN456" s="450">
        <f t="shared" si="984"/>
        <v>0</v>
      </c>
      <c r="AO456" s="450">
        <f t="shared" si="984"/>
        <v>0</v>
      </c>
      <c r="AP456" s="450">
        <f t="shared" si="984"/>
        <v>0</v>
      </c>
      <c r="AQ456" s="452">
        <f t="shared" si="984"/>
        <v>0</v>
      </c>
    </row>
    <row r="457" spans="2:43" ht="7.8" customHeight="1" x14ac:dyDescent="0.25">
      <c r="B457" s="282"/>
      <c r="C457" s="404"/>
      <c r="D457" s="415"/>
      <c r="E457" s="416" t="s">
        <v>30</v>
      </c>
      <c r="F457" s="417">
        <f t="shared" si="873"/>
        <v>0</v>
      </c>
      <c r="G457" s="417">
        <f t="shared" si="873"/>
        <v>0</v>
      </c>
      <c r="H457" s="417">
        <f t="shared" si="873"/>
        <v>0</v>
      </c>
      <c r="I457" s="418">
        <f t="shared" si="873"/>
        <v>0</v>
      </c>
      <c r="J457" s="419">
        <f t="shared" si="873"/>
        <v>0</v>
      </c>
      <c r="K457" s="419">
        <f t="shared" si="873"/>
        <v>0</v>
      </c>
      <c r="L457" s="419">
        <f t="shared" si="873"/>
        <v>0</v>
      </c>
      <c r="M457" s="420">
        <f t="shared" si="873"/>
        <v>0</v>
      </c>
      <c r="N457" s="417">
        <f t="shared" si="873"/>
        <v>0</v>
      </c>
      <c r="O457" s="418">
        <f t="shared" si="873"/>
        <v>0</v>
      </c>
      <c r="P457" s="419">
        <f t="shared" si="873"/>
        <v>0</v>
      </c>
      <c r="Q457" s="419">
        <f t="shared" si="873"/>
        <v>0</v>
      </c>
      <c r="R457" s="419">
        <f t="shared" si="873"/>
        <v>0</v>
      </c>
      <c r="S457" s="420">
        <f t="shared" si="873"/>
        <v>0</v>
      </c>
      <c r="T457" s="417">
        <f t="shared" si="873"/>
        <v>0</v>
      </c>
      <c r="U457" s="418">
        <f t="shared" si="873"/>
        <v>0</v>
      </c>
      <c r="V457" s="419">
        <f t="shared" si="873"/>
        <v>0</v>
      </c>
      <c r="W457" s="419">
        <f t="shared" si="873"/>
        <v>0</v>
      </c>
      <c r="X457" s="419">
        <f t="shared" si="873"/>
        <v>0</v>
      </c>
      <c r="Y457" s="421">
        <f t="shared" si="873"/>
        <v>0</v>
      </c>
      <c r="AA457" s="513"/>
      <c r="AB457" s="563"/>
      <c r="AC457" s="566"/>
      <c r="AD457" s="567" t="s">
        <v>30</v>
      </c>
      <c r="AE457" s="461">
        <f t="shared" ref="AE457:AQ457" si="985">IFERROR(AE456/AE455,0)</f>
        <v>0</v>
      </c>
      <c r="AF457" s="462">
        <f t="shared" si="985"/>
        <v>0</v>
      </c>
      <c r="AG457" s="463">
        <f t="shared" si="985"/>
        <v>0</v>
      </c>
      <c r="AH457" s="463">
        <f t="shared" si="985"/>
        <v>0</v>
      </c>
      <c r="AI457" s="463">
        <f t="shared" si="985"/>
        <v>0</v>
      </c>
      <c r="AJ457" s="463">
        <f t="shared" si="985"/>
        <v>0</v>
      </c>
      <c r="AK457" s="463">
        <f t="shared" si="985"/>
        <v>0</v>
      </c>
      <c r="AL457" s="463">
        <f t="shared" si="985"/>
        <v>0</v>
      </c>
      <c r="AM457" s="463">
        <f t="shared" si="985"/>
        <v>0</v>
      </c>
      <c r="AN457" s="463">
        <f t="shared" si="985"/>
        <v>0</v>
      </c>
      <c r="AO457" s="463">
        <f t="shared" si="985"/>
        <v>0</v>
      </c>
      <c r="AP457" s="463">
        <f t="shared" si="985"/>
        <v>0</v>
      </c>
      <c r="AQ457" s="465">
        <f t="shared" si="985"/>
        <v>0</v>
      </c>
    </row>
    <row r="458" spans="2:43" ht="7.8" customHeight="1" x14ac:dyDescent="0.25">
      <c r="B458" s="282"/>
      <c r="C458" s="404"/>
      <c r="D458" s="424" t="s">
        <v>40</v>
      </c>
      <c r="E458" s="425" t="s">
        <v>32</v>
      </c>
      <c r="F458" s="426">
        <f t="shared" ref="F458:F459" si="986">SUM(G458,H458,N458,T458)</f>
        <v>4847</v>
      </c>
      <c r="G458" s="426">
        <v>711</v>
      </c>
      <c r="H458" s="426">
        <f t="shared" ref="H458:H459" si="987">SUM(I458:M458)</f>
        <v>394</v>
      </c>
      <c r="I458" s="427">
        <v>217</v>
      </c>
      <c r="J458" s="428">
        <v>156</v>
      </c>
      <c r="K458" s="428">
        <v>0</v>
      </c>
      <c r="L458" s="428">
        <v>0</v>
      </c>
      <c r="M458" s="429">
        <v>21</v>
      </c>
      <c r="N458" s="426">
        <f t="shared" ref="N458:N459" si="988">SUM(O458:S458)</f>
        <v>520</v>
      </c>
      <c r="O458" s="427">
        <v>247</v>
      </c>
      <c r="P458" s="428">
        <v>147</v>
      </c>
      <c r="Q458" s="428">
        <v>121</v>
      </c>
      <c r="R458" s="428">
        <v>0</v>
      </c>
      <c r="S458" s="429">
        <v>5</v>
      </c>
      <c r="T458" s="426">
        <f t="shared" ref="T458:T459" si="989">SUM(U458:Y458)</f>
        <v>3222</v>
      </c>
      <c r="U458" s="427">
        <v>214</v>
      </c>
      <c r="V458" s="428">
        <v>1140</v>
      </c>
      <c r="W458" s="428">
        <v>1587</v>
      </c>
      <c r="X458" s="428">
        <v>99</v>
      </c>
      <c r="Y458" s="430">
        <v>182</v>
      </c>
      <c r="AA458" s="513"/>
      <c r="AB458" s="563"/>
      <c r="AC458" s="568" t="s">
        <v>40</v>
      </c>
      <c r="AD458" s="569" t="s">
        <v>32</v>
      </c>
      <c r="AE458" s="435">
        <f t="shared" ref="AE458:AE459" si="990">SUM(AF458:AQ458)</f>
        <v>10212</v>
      </c>
      <c r="AF458" s="436">
        <f t="shared" ref="AF458:AQ459" si="991">SUM(AF512,AF566,AF620,AF674,AF728)</f>
        <v>1019</v>
      </c>
      <c r="AG458" s="437">
        <f t="shared" si="991"/>
        <v>1012</v>
      </c>
      <c r="AH458" s="437">
        <f t="shared" si="991"/>
        <v>697</v>
      </c>
      <c r="AI458" s="437">
        <f t="shared" si="991"/>
        <v>676</v>
      </c>
      <c r="AJ458" s="437">
        <f t="shared" si="991"/>
        <v>1127</v>
      </c>
      <c r="AK458" s="437">
        <f t="shared" si="991"/>
        <v>849</v>
      </c>
      <c r="AL458" s="437">
        <f t="shared" si="991"/>
        <v>751</v>
      </c>
      <c r="AM458" s="437">
        <f t="shared" si="991"/>
        <v>520</v>
      </c>
      <c r="AN458" s="437">
        <f t="shared" si="991"/>
        <v>1095</v>
      </c>
      <c r="AO458" s="437">
        <f t="shared" si="991"/>
        <v>925</v>
      </c>
      <c r="AP458" s="437">
        <f t="shared" si="991"/>
        <v>734</v>
      </c>
      <c r="AQ458" s="439">
        <f t="shared" si="991"/>
        <v>807</v>
      </c>
    </row>
    <row r="459" spans="2:43" s="41" customFormat="1" ht="7.8" customHeight="1" x14ac:dyDescent="0.25">
      <c r="B459" s="282"/>
      <c r="C459" s="404"/>
      <c r="D459" s="405"/>
      <c r="E459" s="406" t="s">
        <v>33</v>
      </c>
      <c r="F459" s="407">
        <f t="shared" si="986"/>
        <v>832753.23</v>
      </c>
      <c r="G459" s="407">
        <v>110886</v>
      </c>
      <c r="H459" s="407">
        <f t="shared" si="987"/>
        <v>72335</v>
      </c>
      <c r="I459" s="408">
        <v>36800</v>
      </c>
      <c r="J459" s="409">
        <v>30540</v>
      </c>
      <c r="K459" s="409">
        <v>0</v>
      </c>
      <c r="L459" s="409">
        <v>0</v>
      </c>
      <c r="M459" s="410">
        <v>4995</v>
      </c>
      <c r="N459" s="407">
        <f t="shared" si="988"/>
        <v>87953</v>
      </c>
      <c r="O459" s="408">
        <v>42850</v>
      </c>
      <c r="P459" s="409">
        <v>23650</v>
      </c>
      <c r="Q459" s="409">
        <v>20673</v>
      </c>
      <c r="R459" s="409">
        <v>0</v>
      </c>
      <c r="S459" s="410">
        <v>780</v>
      </c>
      <c r="T459" s="407">
        <f t="shared" si="989"/>
        <v>561579.23</v>
      </c>
      <c r="U459" s="408">
        <v>45249.940000000017</v>
      </c>
      <c r="V459" s="409">
        <v>195119.97000000003</v>
      </c>
      <c r="W459" s="409">
        <v>271601.31999999995</v>
      </c>
      <c r="X459" s="409">
        <v>16489</v>
      </c>
      <c r="Y459" s="411">
        <v>33119</v>
      </c>
      <c r="AA459" s="513"/>
      <c r="AB459" s="563"/>
      <c r="AC459" s="564"/>
      <c r="AD459" s="565" t="s">
        <v>33</v>
      </c>
      <c r="AE459" s="448">
        <f t="shared" si="990"/>
        <v>1651320.1400000001</v>
      </c>
      <c r="AF459" s="449">
        <f t="shared" si="991"/>
        <v>188430</v>
      </c>
      <c r="AG459" s="450">
        <f t="shared" si="991"/>
        <v>183383</v>
      </c>
      <c r="AH459" s="450">
        <f t="shared" si="991"/>
        <v>120810</v>
      </c>
      <c r="AI459" s="450">
        <f t="shared" si="991"/>
        <v>99770</v>
      </c>
      <c r="AJ459" s="450">
        <f t="shared" si="991"/>
        <v>161520</v>
      </c>
      <c r="AK459" s="450">
        <f t="shared" si="991"/>
        <v>134274</v>
      </c>
      <c r="AL459" s="450">
        <f t="shared" si="991"/>
        <v>137454</v>
      </c>
      <c r="AM459" s="450">
        <f t="shared" si="991"/>
        <v>87953</v>
      </c>
      <c r="AN459" s="450">
        <f t="shared" si="991"/>
        <v>158846</v>
      </c>
      <c r="AO459" s="450">
        <f t="shared" si="991"/>
        <v>132647</v>
      </c>
      <c r="AP459" s="450">
        <f t="shared" si="991"/>
        <v>111706.14000000001</v>
      </c>
      <c r="AQ459" s="452">
        <f t="shared" si="991"/>
        <v>134527</v>
      </c>
    </row>
    <row r="460" spans="2:43" ht="7.8" customHeight="1" x14ac:dyDescent="0.25">
      <c r="B460" s="282"/>
      <c r="C460" s="404"/>
      <c r="D460" s="415"/>
      <c r="E460" s="416" t="s">
        <v>30</v>
      </c>
      <c r="F460" s="417">
        <f t="shared" si="880"/>
        <v>171.80796987827523</v>
      </c>
      <c r="G460" s="417">
        <f t="shared" si="880"/>
        <v>155.957805907173</v>
      </c>
      <c r="H460" s="417">
        <f t="shared" si="880"/>
        <v>183.59137055837564</v>
      </c>
      <c r="I460" s="418">
        <f t="shared" si="880"/>
        <v>169.58525345622121</v>
      </c>
      <c r="J460" s="419">
        <f t="shared" si="880"/>
        <v>195.76923076923077</v>
      </c>
      <c r="K460" s="419">
        <f t="shared" si="880"/>
        <v>0</v>
      </c>
      <c r="L460" s="419">
        <f t="shared" si="880"/>
        <v>0</v>
      </c>
      <c r="M460" s="420">
        <f t="shared" si="880"/>
        <v>237.85714285714286</v>
      </c>
      <c r="N460" s="417">
        <f t="shared" si="880"/>
        <v>169.14038461538462</v>
      </c>
      <c r="O460" s="418">
        <f t="shared" si="880"/>
        <v>173.48178137651823</v>
      </c>
      <c r="P460" s="419">
        <f t="shared" si="880"/>
        <v>160.8843537414966</v>
      </c>
      <c r="Q460" s="419">
        <f t="shared" si="880"/>
        <v>170.85123966942149</v>
      </c>
      <c r="R460" s="419">
        <f t="shared" si="880"/>
        <v>0</v>
      </c>
      <c r="S460" s="420">
        <f t="shared" si="880"/>
        <v>156</v>
      </c>
      <c r="T460" s="417">
        <f t="shared" si="880"/>
        <v>174.29522967101178</v>
      </c>
      <c r="U460" s="418">
        <f t="shared" si="880"/>
        <v>211.44831775700942</v>
      </c>
      <c r="V460" s="419">
        <f t="shared" si="880"/>
        <v>171.15786842105265</v>
      </c>
      <c r="W460" s="419">
        <f t="shared" si="880"/>
        <v>171.14134845620666</v>
      </c>
      <c r="X460" s="419">
        <f t="shared" si="880"/>
        <v>166.55555555555554</v>
      </c>
      <c r="Y460" s="421">
        <f t="shared" si="880"/>
        <v>181.97252747252747</v>
      </c>
      <c r="AA460" s="513"/>
      <c r="AB460" s="563"/>
      <c r="AC460" s="566"/>
      <c r="AD460" s="567" t="s">
        <v>30</v>
      </c>
      <c r="AE460" s="461">
        <f t="shared" ref="AE460:AQ460" si="992">IFERROR(AE459/AE458,0)</f>
        <v>161.70389150019585</v>
      </c>
      <c r="AF460" s="462">
        <f t="shared" si="992"/>
        <v>184.91658488714427</v>
      </c>
      <c r="AG460" s="463">
        <f t="shared" si="992"/>
        <v>181.20849802371541</v>
      </c>
      <c r="AH460" s="463">
        <f t="shared" si="992"/>
        <v>173.32855093256816</v>
      </c>
      <c r="AI460" s="463">
        <f t="shared" si="992"/>
        <v>147.58875739644969</v>
      </c>
      <c r="AJ460" s="463">
        <f t="shared" si="992"/>
        <v>143.31854480922803</v>
      </c>
      <c r="AK460" s="463">
        <f t="shared" si="992"/>
        <v>158.15547703180212</v>
      </c>
      <c r="AL460" s="463">
        <f t="shared" si="992"/>
        <v>183.02796271637817</v>
      </c>
      <c r="AM460" s="463">
        <f t="shared" si="992"/>
        <v>169.14038461538462</v>
      </c>
      <c r="AN460" s="463">
        <f t="shared" si="992"/>
        <v>145.0648401826484</v>
      </c>
      <c r="AO460" s="463">
        <f t="shared" si="992"/>
        <v>143.40216216216217</v>
      </c>
      <c r="AP460" s="463">
        <f t="shared" si="992"/>
        <v>152.1882016348774</v>
      </c>
      <c r="AQ460" s="465">
        <f t="shared" si="992"/>
        <v>166.70012391573729</v>
      </c>
    </row>
    <row r="461" spans="2:43" ht="7.8" customHeight="1" x14ac:dyDescent="0.25">
      <c r="B461" s="282"/>
      <c r="C461" s="404"/>
      <c r="D461" s="424" t="s">
        <v>41</v>
      </c>
      <c r="E461" s="425" t="s">
        <v>32</v>
      </c>
      <c r="F461" s="426">
        <f t="shared" ref="F461:F462" si="993">SUM(G461,H461,N461,T461)</f>
        <v>5241</v>
      </c>
      <c r="G461" s="426">
        <v>650</v>
      </c>
      <c r="H461" s="426">
        <f t="shared" ref="H461:H462" si="994">SUM(I461:M461)</f>
        <v>481</v>
      </c>
      <c r="I461" s="427">
        <v>222</v>
      </c>
      <c r="J461" s="428">
        <v>219</v>
      </c>
      <c r="K461" s="428">
        <v>0</v>
      </c>
      <c r="L461" s="428">
        <v>40</v>
      </c>
      <c r="M461" s="429">
        <v>0</v>
      </c>
      <c r="N461" s="426">
        <f t="shared" ref="N461:N462" si="995">SUM(O461:S461)</f>
        <v>455</v>
      </c>
      <c r="O461" s="427">
        <v>365</v>
      </c>
      <c r="P461" s="428">
        <v>35</v>
      </c>
      <c r="Q461" s="428">
        <v>43</v>
      </c>
      <c r="R461" s="428">
        <v>0</v>
      </c>
      <c r="S461" s="429">
        <v>12</v>
      </c>
      <c r="T461" s="426">
        <f t="shared" ref="T461:T462" si="996">SUM(U461:Y461)</f>
        <v>3655</v>
      </c>
      <c r="U461" s="427">
        <v>140</v>
      </c>
      <c r="V461" s="428">
        <v>2700</v>
      </c>
      <c r="W461" s="428">
        <v>711</v>
      </c>
      <c r="X461" s="428">
        <v>55</v>
      </c>
      <c r="Y461" s="430">
        <v>49</v>
      </c>
      <c r="AA461" s="513"/>
      <c r="AB461" s="563"/>
      <c r="AC461" s="568" t="s">
        <v>41</v>
      </c>
      <c r="AD461" s="569" t="s">
        <v>32</v>
      </c>
      <c r="AE461" s="435">
        <f t="shared" ref="AE461:AE462" si="997">SUM(AF461:AQ461)</f>
        <v>6108</v>
      </c>
      <c r="AF461" s="436">
        <f t="shared" ref="AF461:AQ462" si="998">SUM(AF515,AF569,AF623,AF677,AF731)</f>
        <v>645</v>
      </c>
      <c r="AG461" s="437">
        <f t="shared" si="998"/>
        <v>790</v>
      </c>
      <c r="AH461" s="437">
        <f t="shared" si="998"/>
        <v>504</v>
      </c>
      <c r="AI461" s="437">
        <f t="shared" si="998"/>
        <v>733</v>
      </c>
      <c r="AJ461" s="437">
        <f t="shared" si="998"/>
        <v>810</v>
      </c>
      <c r="AK461" s="437">
        <f t="shared" si="998"/>
        <v>575</v>
      </c>
      <c r="AL461" s="437">
        <f t="shared" si="998"/>
        <v>587</v>
      </c>
      <c r="AM461" s="437">
        <f t="shared" si="998"/>
        <v>455</v>
      </c>
      <c r="AN461" s="437">
        <f t="shared" si="998"/>
        <v>1009</v>
      </c>
      <c r="AO461" s="437">
        <f t="shared" si="998"/>
        <v>0</v>
      </c>
      <c r="AP461" s="437">
        <f t="shared" si="998"/>
        <v>0</v>
      </c>
      <c r="AQ461" s="439">
        <f t="shared" si="998"/>
        <v>0</v>
      </c>
    </row>
    <row r="462" spans="2:43" s="41" customFormat="1" ht="7.8" customHeight="1" x14ac:dyDescent="0.25">
      <c r="B462" s="282"/>
      <c r="C462" s="404"/>
      <c r="D462" s="405"/>
      <c r="E462" s="406" t="s">
        <v>33</v>
      </c>
      <c r="F462" s="407">
        <f t="shared" si="993"/>
        <v>843961.47</v>
      </c>
      <c r="G462" s="407">
        <v>101535</v>
      </c>
      <c r="H462" s="407">
        <f t="shared" si="994"/>
        <v>80998</v>
      </c>
      <c r="I462" s="408">
        <v>31512</v>
      </c>
      <c r="J462" s="409">
        <v>42696</v>
      </c>
      <c r="K462" s="409">
        <v>0</v>
      </c>
      <c r="L462" s="409">
        <v>6790</v>
      </c>
      <c r="M462" s="410">
        <v>0</v>
      </c>
      <c r="N462" s="407">
        <f t="shared" si="995"/>
        <v>84421.680000000008</v>
      </c>
      <c r="O462" s="408">
        <v>69434</v>
      </c>
      <c r="P462" s="409">
        <v>5970</v>
      </c>
      <c r="Q462" s="409">
        <v>7210</v>
      </c>
      <c r="R462" s="409">
        <v>0</v>
      </c>
      <c r="S462" s="410">
        <v>1807.6800000000005</v>
      </c>
      <c r="T462" s="407">
        <f t="shared" si="996"/>
        <v>577006.79</v>
      </c>
      <c r="U462" s="408">
        <v>28098.100000000006</v>
      </c>
      <c r="V462" s="409">
        <v>399329.29999999981</v>
      </c>
      <c r="W462" s="409">
        <v>132103.89000000019</v>
      </c>
      <c r="X462" s="409">
        <v>10214</v>
      </c>
      <c r="Y462" s="411">
        <v>7261.5000000000018</v>
      </c>
      <c r="AA462" s="513"/>
      <c r="AB462" s="563"/>
      <c r="AC462" s="564"/>
      <c r="AD462" s="565" t="s">
        <v>33</v>
      </c>
      <c r="AE462" s="448">
        <f t="shared" si="997"/>
        <v>1014607.68</v>
      </c>
      <c r="AF462" s="449">
        <f t="shared" si="998"/>
        <v>123432</v>
      </c>
      <c r="AG462" s="450">
        <f t="shared" si="998"/>
        <v>144027</v>
      </c>
      <c r="AH462" s="450">
        <f t="shared" si="998"/>
        <v>83869</v>
      </c>
      <c r="AI462" s="450">
        <f t="shared" si="998"/>
        <v>109960</v>
      </c>
      <c r="AJ462" s="450">
        <f t="shared" si="998"/>
        <v>123749</v>
      </c>
      <c r="AK462" s="450">
        <f t="shared" si="998"/>
        <v>92940</v>
      </c>
      <c r="AL462" s="450">
        <f t="shared" si="998"/>
        <v>103775</v>
      </c>
      <c r="AM462" s="450">
        <f t="shared" si="998"/>
        <v>84421.680000000008</v>
      </c>
      <c r="AN462" s="450">
        <f t="shared" si="998"/>
        <v>148434</v>
      </c>
      <c r="AO462" s="450">
        <f t="shared" si="998"/>
        <v>0</v>
      </c>
      <c r="AP462" s="450">
        <f t="shared" si="998"/>
        <v>0</v>
      </c>
      <c r="AQ462" s="452">
        <f t="shared" si="998"/>
        <v>0</v>
      </c>
    </row>
    <row r="463" spans="2:43" ht="7.8" customHeight="1" x14ac:dyDescent="0.25">
      <c r="B463" s="282"/>
      <c r="C463" s="404"/>
      <c r="D463" s="415"/>
      <c r="E463" s="416" t="s">
        <v>30</v>
      </c>
      <c r="F463" s="417">
        <f t="shared" si="887"/>
        <v>161.03061820263309</v>
      </c>
      <c r="G463" s="417">
        <f t="shared" si="887"/>
        <v>156.2076923076923</v>
      </c>
      <c r="H463" s="417">
        <f t="shared" si="887"/>
        <v>168.39501039501039</v>
      </c>
      <c r="I463" s="418">
        <f t="shared" si="887"/>
        <v>141.94594594594594</v>
      </c>
      <c r="J463" s="419">
        <f t="shared" si="887"/>
        <v>194.95890410958904</v>
      </c>
      <c r="K463" s="419">
        <f t="shared" si="887"/>
        <v>0</v>
      </c>
      <c r="L463" s="419">
        <f t="shared" si="887"/>
        <v>169.75</v>
      </c>
      <c r="M463" s="420">
        <f t="shared" si="887"/>
        <v>0</v>
      </c>
      <c r="N463" s="417">
        <f t="shared" si="887"/>
        <v>185.54215384615387</v>
      </c>
      <c r="O463" s="418">
        <f t="shared" si="887"/>
        <v>190.23013698630137</v>
      </c>
      <c r="P463" s="419">
        <f t="shared" si="887"/>
        <v>170.57142857142858</v>
      </c>
      <c r="Q463" s="419">
        <f t="shared" si="887"/>
        <v>167.67441860465115</v>
      </c>
      <c r="R463" s="419">
        <f t="shared" si="887"/>
        <v>0</v>
      </c>
      <c r="S463" s="420">
        <f t="shared" si="887"/>
        <v>150.64000000000004</v>
      </c>
      <c r="T463" s="417">
        <f t="shared" si="887"/>
        <v>157.86779480164159</v>
      </c>
      <c r="U463" s="418">
        <f t="shared" si="887"/>
        <v>200.70071428571433</v>
      </c>
      <c r="V463" s="419">
        <f t="shared" si="887"/>
        <v>147.89974074074067</v>
      </c>
      <c r="W463" s="419">
        <f t="shared" si="887"/>
        <v>185.80012658227875</v>
      </c>
      <c r="X463" s="419">
        <f t="shared" si="887"/>
        <v>185.70909090909092</v>
      </c>
      <c r="Y463" s="421">
        <f t="shared" si="887"/>
        <v>148.19387755102045</v>
      </c>
      <c r="AA463" s="513"/>
      <c r="AB463" s="563"/>
      <c r="AC463" s="566"/>
      <c r="AD463" s="567" t="s">
        <v>30</v>
      </c>
      <c r="AE463" s="461">
        <f t="shared" ref="AE463:AQ463" si="999">IFERROR(AE462/AE461,0)</f>
        <v>166.11127701375247</v>
      </c>
      <c r="AF463" s="462">
        <f t="shared" si="999"/>
        <v>191.36744186046511</v>
      </c>
      <c r="AG463" s="463">
        <f t="shared" si="999"/>
        <v>182.31265822784809</v>
      </c>
      <c r="AH463" s="463">
        <f t="shared" si="999"/>
        <v>166.40674603174602</v>
      </c>
      <c r="AI463" s="463">
        <f t="shared" si="999"/>
        <v>150.01364256480218</v>
      </c>
      <c r="AJ463" s="463">
        <f t="shared" si="999"/>
        <v>152.77654320987654</v>
      </c>
      <c r="AK463" s="463">
        <f t="shared" si="999"/>
        <v>161.63478260869564</v>
      </c>
      <c r="AL463" s="463">
        <f t="shared" si="999"/>
        <v>176.78875638841566</v>
      </c>
      <c r="AM463" s="463">
        <f t="shared" si="999"/>
        <v>185.54215384615387</v>
      </c>
      <c r="AN463" s="463">
        <f t="shared" si="999"/>
        <v>147.11000991080277</v>
      </c>
      <c r="AO463" s="463">
        <f t="shared" si="999"/>
        <v>0</v>
      </c>
      <c r="AP463" s="463">
        <f t="shared" si="999"/>
        <v>0</v>
      </c>
      <c r="AQ463" s="465">
        <f t="shared" si="999"/>
        <v>0</v>
      </c>
    </row>
    <row r="464" spans="2:43" ht="7.8" customHeight="1" x14ac:dyDescent="0.25">
      <c r="B464" s="282"/>
      <c r="C464" s="404"/>
      <c r="D464" s="433" t="s">
        <v>42</v>
      </c>
      <c r="E464" s="434" t="s">
        <v>32</v>
      </c>
      <c r="F464" s="435">
        <f t="shared" ref="F464:F465" si="1000">SUM(G464,H464,N464,T464)</f>
        <v>4875</v>
      </c>
      <c r="G464" s="435">
        <v>0</v>
      </c>
      <c r="H464" s="435">
        <v>290</v>
      </c>
      <c r="I464" s="436">
        <v>150</v>
      </c>
      <c r="J464" s="437">
        <v>100</v>
      </c>
      <c r="K464" s="437">
        <v>0</v>
      </c>
      <c r="L464" s="437">
        <v>40</v>
      </c>
      <c r="M464" s="438">
        <v>0</v>
      </c>
      <c r="N464" s="435">
        <f t="shared" ref="N464:N465" si="1001">SUM(O464:S464)</f>
        <v>525</v>
      </c>
      <c r="O464" s="436">
        <v>330</v>
      </c>
      <c r="P464" s="437">
        <v>150</v>
      </c>
      <c r="Q464" s="437">
        <v>45</v>
      </c>
      <c r="R464" s="437">
        <v>0</v>
      </c>
      <c r="S464" s="438">
        <v>0</v>
      </c>
      <c r="T464" s="435">
        <f t="shared" ref="T464:T465" si="1002">SUM(U464:Y464)</f>
        <v>4060</v>
      </c>
      <c r="U464" s="436">
        <v>379</v>
      </c>
      <c r="V464" s="437">
        <v>2418</v>
      </c>
      <c r="W464" s="437">
        <v>932</v>
      </c>
      <c r="X464" s="437">
        <v>41</v>
      </c>
      <c r="Y464" s="439">
        <v>290</v>
      </c>
      <c r="AA464" s="513"/>
      <c r="AB464" s="563"/>
      <c r="AC464" s="570" t="s">
        <v>42</v>
      </c>
      <c r="AD464" s="571" t="s">
        <v>32</v>
      </c>
      <c r="AE464" s="186">
        <f t="shared" ref="AE464:AE465" si="1003">SUM(AF464:AQ464)</f>
        <v>9945</v>
      </c>
      <c r="AF464" s="187">
        <f t="shared" ref="AF464:AQ465" si="1004">SUM(AF518,AF572,AF626,AF680,AF734)</f>
        <v>880</v>
      </c>
      <c r="AG464" s="188">
        <f t="shared" si="1004"/>
        <v>1170</v>
      </c>
      <c r="AH464" s="188">
        <f t="shared" si="1004"/>
        <v>700</v>
      </c>
      <c r="AI464" s="188">
        <f t="shared" si="1004"/>
        <v>800</v>
      </c>
      <c r="AJ464" s="188">
        <f t="shared" si="1004"/>
        <v>960</v>
      </c>
      <c r="AK464" s="188">
        <f t="shared" si="1004"/>
        <v>650</v>
      </c>
      <c r="AL464" s="188">
        <f t="shared" si="1004"/>
        <v>590</v>
      </c>
      <c r="AM464" s="188">
        <f t="shared" si="1004"/>
        <v>525</v>
      </c>
      <c r="AN464" s="188">
        <f t="shared" si="1004"/>
        <v>1180</v>
      </c>
      <c r="AO464" s="188">
        <f t="shared" si="1004"/>
        <v>1020</v>
      </c>
      <c r="AP464" s="188">
        <f t="shared" si="1004"/>
        <v>750</v>
      </c>
      <c r="AQ464" s="190">
        <f t="shared" si="1004"/>
        <v>720</v>
      </c>
    </row>
    <row r="465" spans="2:43" s="41" customFormat="1" ht="7.8" customHeight="1" x14ac:dyDescent="0.25">
      <c r="B465" s="282"/>
      <c r="C465" s="404"/>
      <c r="D465" s="446"/>
      <c r="E465" s="447" t="s">
        <v>33</v>
      </c>
      <c r="F465" s="448">
        <f t="shared" si="1000"/>
        <v>858706</v>
      </c>
      <c r="G465" s="448">
        <v>0</v>
      </c>
      <c r="H465" s="448">
        <v>47800</v>
      </c>
      <c r="I465" s="449">
        <v>24000</v>
      </c>
      <c r="J465" s="450">
        <v>17000</v>
      </c>
      <c r="K465" s="450">
        <v>0</v>
      </c>
      <c r="L465" s="450">
        <v>6800</v>
      </c>
      <c r="M465" s="451">
        <v>0</v>
      </c>
      <c r="N465" s="448">
        <f t="shared" si="1001"/>
        <v>89490</v>
      </c>
      <c r="O465" s="449">
        <v>57090</v>
      </c>
      <c r="P465" s="450">
        <v>24750</v>
      </c>
      <c r="Q465" s="450">
        <v>7650</v>
      </c>
      <c r="R465" s="450">
        <v>0</v>
      </c>
      <c r="S465" s="451">
        <v>0</v>
      </c>
      <c r="T465" s="448">
        <f t="shared" si="1002"/>
        <v>721416</v>
      </c>
      <c r="U465" s="449">
        <v>73905</v>
      </c>
      <c r="V465" s="450">
        <v>430404</v>
      </c>
      <c r="W465" s="450">
        <v>154712</v>
      </c>
      <c r="X465" s="450">
        <v>7585</v>
      </c>
      <c r="Y465" s="452">
        <v>54810</v>
      </c>
      <c r="AA465" s="513"/>
      <c r="AB465" s="563"/>
      <c r="AC465" s="572"/>
      <c r="AD465" s="573" t="s">
        <v>33</v>
      </c>
      <c r="AE465" s="163">
        <f t="shared" si="1003"/>
        <v>1566250</v>
      </c>
      <c r="AF465" s="231">
        <f t="shared" si="1004"/>
        <v>152900</v>
      </c>
      <c r="AG465" s="232">
        <f t="shared" si="1004"/>
        <v>199600</v>
      </c>
      <c r="AH465" s="232">
        <f t="shared" si="1004"/>
        <v>112900</v>
      </c>
      <c r="AI465" s="232">
        <f t="shared" si="1004"/>
        <v>117250</v>
      </c>
      <c r="AJ465" s="232">
        <f t="shared" si="1004"/>
        <v>144600</v>
      </c>
      <c r="AK465" s="232">
        <f t="shared" si="1004"/>
        <v>103950</v>
      </c>
      <c r="AL465" s="232">
        <f t="shared" si="1004"/>
        <v>103500</v>
      </c>
      <c r="AM465" s="232">
        <f t="shared" si="1004"/>
        <v>89490</v>
      </c>
      <c r="AN465" s="232">
        <f t="shared" si="1004"/>
        <v>172700</v>
      </c>
      <c r="AO465" s="232">
        <f t="shared" si="1004"/>
        <v>145310</v>
      </c>
      <c r="AP465" s="232">
        <f t="shared" si="1004"/>
        <v>107500</v>
      </c>
      <c r="AQ465" s="234">
        <f t="shared" si="1004"/>
        <v>116550</v>
      </c>
    </row>
    <row r="466" spans="2:43" ht="7.8" customHeight="1" x14ac:dyDescent="0.25">
      <c r="B466" s="282"/>
      <c r="C466" s="404"/>
      <c r="D466" s="459"/>
      <c r="E466" s="460" t="s">
        <v>30</v>
      </c>
      <c r="F466" s="461">
        <f t="shared" si="893"/>
        <v>176.1448205128205</v>
      </c>
      <c r="G466" s="461">
        <f t="shared" si="893"/>
        <v>0</v>
      </c>
      <c r="H466" s="461">
        <f t="shared" si="893"/>
        <v>164.82758620689654</v>
      </c>
      <c r="I466" s="462">
        <f t="shared" si="893"/>
        <v>160</v>
      </c>
      <c r="J466" s="463">
        <f t="shared" si="893"/>
        <v>170</v>
      </c>
      <c r="K466" s="463">
        <f t="shared" si="893"/>
        <v>0</v>
      </c>
      <c r="L466" s="463">
        <f t="shared" si="893"/>
        <v>170</v>
      </c>
      <c r="M466" s="464"/>
      <c r="N466" s="461">
        <f t="shared" si="894"/>
        <v>170.45714285714286</v>
      </c>
      <c r="O466" s="462">
        <f t="shared" si="894"/>
        <v>173</v>
      </c>
      <c r="P466" s="463">
        <f t="shared" si="894"/>
        <v>165</v>
      </c>
      <c r="Q466" s="463">
        <f t="shared" si="894"/>
        <v>170</v>
      </c>
      <c r="R466" s="463">
        <f t="shared" si="894"/>
        <v>0</v>
      </c>
      <c r="S466" s="464">
        <f t="shared" si="894"/>
        <v>0</v>
      </c>
      <c r="T466" s="461">
        <f t="shared" si="894"/>
        <v>177.68866995073893</v>
      </c>
      <c r="U466" s="462">
        <f t="shared" si="894"/>
        <v>195</v>
      </c>
      <c r="V466" s="463">
        <f t="shared" si="894"/>
        <v>178</v>
      </c>
      <c r="W466" s="463">
        <f t="shared" si="894"/>
        <v>166</v>
      </c>
      <c r="X466" s="463">
        <f t="shared" si="894"/>
        <v>185</v>
      </c>
      <c r="Y466" s="465">
        <f t="shared" si="894"/>
        <v>189</v>
      </c>
      <c r="AA466" s="513"/>
      <c r="AB466" s="563"/>
      <c r="AC466" s="574"/>
      <c r="AD466" s="575" t="s">
        <v>30</v>
      </c>
      <c r="AE466" s="175">
        <f t="shared" ref="AE466:AQ466" si="1005">IFERROR(AE465/AE464,0)</f>
        <v>157.49120160884866</v>
      </c>
      <c r="AF466" s="176">
        <f t="shared" si="1005"/>
        <v>173.75</v>
      </c>
      <c r="AG466" s="177">
        <f t="shared" si="1005"/>
        <v>170.59829059829059</v>
      </c>
      <c r="AH466" s="177">
        <f t="shared" si="1005"/>
        <v>161.28571428571428</v>
      </c>
      <c r="AI466" s="177">
        <f t="shared" si="1005"/>
        <v>146.5625</v>
      </c>
      <c r="AJ466" s="177">
        <f t="shared" si="1005"/>
        <v>150.625</v>
      </c>
      <c r="AK466" s="177">
        <f t="shared" si="1005"/>
        <v>159.92307692307693</v>
      </c>
      <c r="AL466" s="177">
        <f t="shared" si="1005"/>
        <v>175.42372881355934</v>
      </c>
      <c r="AM466" s="177">
        <f t="shared" si="1005"/>
        <v>170.45714285714286</v>
      </c>
      <c r="AN466" s="177">
        <f t="shared" si="1005"/>
        <v>146.35593220338984</v>
      </c>
      <c r="AO466" s="177">
        <f t="shared" si="1005"/>
        <v>142.4607843137255</v>
      </c>
      <c r="AP466" s="177">
        <f t="shared" si="1005"/>
        <v>143.33333333333334</v>
      </c>
      <c r="AQ466" s="179">
        <f t="shared" si="1005"/>
        <v>161.875</v>
      </c>
    </row>
    <row r="467" spans="2:43" ht="7.8" customHeight="1" x14ac:dyDescent="0.25">
      <c r="B467" s="282"/>
      <c r="C467" s="404"/>
      <c r="D467" s="472" t="s">
        <v>43</v>
      </c>
      <c r="E467" s="425" t="s">
        <v>32</v>
      </c>
      <c r="F467" s="426">
        <f t="shared" ref="F467:Y469" si="1006">F464-F461</f>
        <v>-366</v>
      </c>
      <c r="G467" s="426">
        <f t="shared" si="1006"/>
        <v>-650</v>
      </c>
      <c r="H467" s="426">
        <f t="shared" si="1006"/>
        <v>-191</v>
      </c>
      <c r="I467" s="427">
        <f t="shared" si="1006"/>
        <v>-72</v>
      </c>
      <c r="J467" s="428">
        <f t="shared" si="1006"/>
        <v>-119</v>
      </c>
      <c r="K467" s="428">
        <f t="shared" si="1006"/>
        <v>0</v>
      </c>
      <c r="L467" s="428">
        <f t="shared" si="1006"/>
        <v>0</v>
      </c>
      <c r="M467" s="429">
        <f t="shared" si="1006"/>
        <v>0</v>
      </c>
      <c r="N467" s="426">
        <f t="shared" si="1006"/>
        <v>70</v>
      </c>
      <c r="O467" s="427">
        <f t="shared" si="1006"/>
        <v>-35</v>
      </c>
      <c r="P467" s="428">
        <f t="shared" si="1006"/>
        <v>115</v>
      </c>
      <c r="Q467" s="428">
        <f t="shared" si="1006"/>
        <v>2</v>
      </c>
      <c r="R467" s="428">
        <f t="shared" si="1006"/>
        <v>0</v>
      </c>
      <c r="S467" s="429">
        <f t="shared" si="1006"/>
        <v>-12</v>
      </c>
      <c r="T467" s="426">
        <f t="shared" si="1006"/>
        <v>405</v>
      </c>
      <c r="U467" s="427">
        <f t="shared" si="1006"/>
        <v>239</v>
      </c>
      <c r="V467" s="428">
        <f t="shared" si="1006"/>
        <v>-282</v>
      </c>
      <c r="W467" s="428">
        <f t="shared" si="1006"/>
        <v>221</v>
      </c>
      <c r="X467" s="428">
        <f t="shared" si="1006"/>
        <v>-14</v>
      </c>
      <c r="Y467" s="430">
        <f t="shared" si="1006"/>
        <v>241</v>
      </c>
      <c r="AA467" s="513"/>
      <c r="AB467" s="563"/>
      <c r="AC467" s="576" t="s">
        <v>43</v>
      </c>
      <c r="AD467" s="569" t="s">
        <v>32</v>
      </c>
      <c r="AE467" s="435">
        <f t="shared" ref="AE467:AQ469" si="1007">AE464-AE461</f>
        <v>3837</v>
      </c>
      <c r="AF467" s="436">
        <f t="shared" si="1007"/>
        <v>235</v>
      </c>
      <c r="AG467" s="437">
        <f t="shared" si="1007"/>
        <v>380</v>
      </c>
      <c r="AH467" s="437">
        <f t="shared" si="1007"/>
        <v>196</v>
      </c>
      <c r="AI467" s="437">
        <f t="shared" si="1007"/>
        <v>67</v>
      </c>
      <c r="AJ467" s="437">
        <f t="shared" si="1007"/>
        <v>150</v>
      </c>
      <c r="AK467" s="437">
        <f t="shared" si="1007"/>
        <v>75</v>
      </c>
      <c r="AL467" s="437">
        <f t="shared" si="1007"/>
        <v>3</v>
      </c>
      <c r="AM467" s="437">
        <f t="shared" si="1007"/>
        <v>70</v>
      </c>
      <c r="AN467" s="437">
        <f t="shared" si="1007"/>
        <v>171</v>
      </c>
      <c r="AO467" s="437">
        <f t="shared" si="1007"/>
        <v>1020</v>
      </c>
      <c r="AP467" s="437">
        <f t="shared" si="1007"/>
        <v>750</v>
      </c>
      <c r="AQ467" s="439">
        <f t="shared" si="1007"/>
        <v>720</v>
      </c>
    </row>
    <row r="468" spans="2:43" s="366" customFormat="1" ht="7.8" customHeight="1" x14ac:dyDescent="0.25">
      <c r="B468" s="282"/>
      <c r="C468" s="404"/>
      <c r="D468" s="405"/>
      <c r="E468" s="474" t="s">
        <v>33</v>
      </c>
      <c r="F468" s="407">
        <f t="shared" si="1006"/>
        <v>14744.530000000028</v>
      </c>
      <c r="G468" s="407">
        <f t="shared" si="1006"/>
        <v>-101535</v>
      </c>
      <c r="H468" s="407">
        <f t="shared" si="1006"/>
        <v>-33198</v>
      </c>
      <c r="I468" s="408">
        <f t="shared" si="1006"/>
        <v>-7512</v>
      </c>
      <c r="J468" s="409">
        <f t="shared" si="1006"/>
        <v>-25696</v>
      </c>
      <c r="K468" s="409">
        <f t="shared" si="1006"/>
        <v>0</v>
      </c>
      <c r="L468" s="409">
        <f t="shared" si="1006"/>
        <v>10</v>
      </c>
      <c r="M468" s="410">
        <f t="shared" si="1006"/>
        <v>0</v>
      </c>
      <c r="N468" s="407">
        <f t="shared" si="1006"/>
        <v>5068.3199999999924</v>
      </c>
      <c r="O468" s="408">
        <f t="shared" si="1006"/>
        <v>-12344</v>
      </c>
      <c r="P468" s="409">
        <f t="shared" si="1006"/>
        <v>18780</v>
      </c>
      <c r="Q468" s="409">
        <f t="shared" si="1006"/>
        <v>440</v>
      </c>
      <c r="R468" s="409">
        <f t="shared" si="1006"/>
        <v>0</v>
      </c>
      <c r="S468" s="410">
        <f t="shared" si="1006"/>
        <v>-1807.6800000000005</v>
      </c>
      <c r="T468" s="407">
        <f t="shared" si="1006"/>
        <v>144409.20999999996</v>
      </c>
      <c r="U468" s="408">
        <f t="shared" si="1006"/>
        <v>45806.899999999994</v>
      </c>
      <c r="V468" s="409">
        <f t="shared" si="1006"/>
        <v>31074.700000000186</v>
      </c>
      <c r="W468" s="409">
        <f t="shared" si="1006"/>
        <v>22608.109999999811</v>
      </c>
      <c r="X468" s="409">
        <f t="shared" si="1006"/>
        <v>-2629</v>
      </c>
      <c r="Y468" s="411">
        <f t="shared" si="1006"/>
        <v>47548.5</v>
      </c>
      <c r="AA468" s="513"/>
      <c r="AB468" s="563"/>
      <c r="AC468" s="577"/>
      <c r="AD468" s="578" t="s">
        <v>33</v>
      </c>
      <c r="AE468" s="448">
        <f t="shared" si="1007"/>
        <v>551642.31999999995</v>
      </c>
      <c r="AF468" s="449">
        <f t="shared" si="1007"/>
        <v>29468</v>
      </c>
      <c r="AG468" s="450">
        <f t="shared" si="1007"/>
        <v>55573</v>
      </c>
      <c r="AH468" s="450">
        <f t="shared" si="1007"/>
        <v>29031</v>
      </c>
      <c r="AI468" s="450">
        <f t="shared" si="1007"/>
        <v>7290</v>
      </c>
      <c r="AJ468" s="450">
        <f t="shared" si="1007"/>
        <v>20851</v>
      </c>
      <c r="AK468" s="450">
        <f t="shared" si="1007"/>
        <v>11010</v>
      </c>
      <c r="AL468" s="450">
        <f t="shared" si="1007"/>
        <v>-275</v>
      </c>
      <c r="AM468" s="450">
        <f t="shared" si="1007"/>
        <v>5068.3199999999924</v>
      </c>
      <c r="AN468" s="450">
        <f t="shared" si="1007"/>
        <v>24266</v>
      </c>
      <c r="AO468" s="450">
        <f t="shared" si="1007"/>
        <v>145310</v>
      </c>
      <c r="AP468" s="450">
        <f t="shared" si="1007"/>
        <v>107500</v>
      </c>
      <c r="AQ468" s="452">
        <f t="shared" si="1007"/>
        <v>116550</v>
      </c>
    </row>
    <row r="469" spans="2:43" ht="7.8" customHeight="1" x14ac:dyDescent="0.25">
      <c r="B469" s="282"/>
      <c r="C469" s="404"/>
      <c r="D469" s="415"/>
      <c r="E469" s="416" t="s">
        <v>30</v>
      </c>
      <c r="F469" s="417">
        <f t="shared" si="1006"/>
        <v>15.114202310187409</v>
      </c>
      <c r="G469" s="417">
        <f t="shared" si="1006"/>
        <v>-156.2076923076923</v>
      </c>
      <c r="H469" s="417">
        <f t="shared" si="1006"/>
        <v>-3.5674241881138471</v>
      </c>
      <c r="I469" s="418">
        <f t="shared" si="1006"/>
        <v>18.054054054054063</v>
      </c>
      <c r="J469" s="419">
        <f t="shared" si="1006"/>
        <v>-24.958904109589042</v>
      </c>
      <c r="K469" s="419">
        <f t="shared" si="1006"/>
        <v>0</v>
      </c>
      <c r="L469" s="419">
        <f t="shared" si="1006"/>
        <v>0.25</v>
      </c>
      <c r="M469" s="420">
        <f t="shared" si="1006"/>
        <v>0</v>
      </c>
      <c r="N469" s="417">
        <f t="shared" si="1006"/>
        <v>-15.08501098901101</v>
      </c>
      <c r="O469" s="418">
        <f t="shared" si="1006"/>
        <v>-17.230136986301375</v>
      </c>
      <c r="P469" s="419">
        <f t="shared" si="1006"/>
        <v>-5.5714285714285836</v>
      </c>
      <c r="Q469" s="419">
        <f t="shared" si="1006"/>
        <v>2.3255813953488484</v>
      </c>
      <c r="R469" s="419">
        <f t="shared" si="1006"/>
        <v>0</v>
      </c>
      <c r="S469" s="420">
        <f t="shared" si="1006"/>
        <v>-150.64000000000004</v>
      </c>
      <c r="T469" s="417">
        <f t="shared" si="1006"/>
        <v>19.820875149097333</v>
      </c>
      <c r="U469" s="418">
        <f t="shared" si="1006"/>
        <v>-5.7007142857143265</v>
      </c>
      <c r="V469" s="419">
        <f t="shared" si="1006"/>
        <v>30.100259259259332</v>
      </c>
      <c r="W469" s="419">
        <f t="shared" si="1006"/>
        <v>-19.80012658227875</v>
      </c>
      <c r="X469" s="419">
        <f t="shared" si="1006"/>
        <v>-0.70909090909091788</v>
      </c>
      <c r="Y469" s="421">
        <f t="shared" si="1006"/>
        <v>40.806122448979551</v>
      </c>
      <c r="AA469" s="513"/>
      <c r="AB469" s="563"/>
      <c r="AC469" s="579"/>
      <c r="AD469" s="567" t="s">
        <v>30</v>
      </c>
      <c r="AE469" s="461">
        <f t="shared" si="1007"/>
        <v>-8.6200754049038153</v>
      </c>
      <c r="AF469" s="462">
        <f t="shared" si="1007"/>
        <v>-17.617441860465107</v>
      </c>
      <c r="AG469" s="463">
        <f t="shared" si="1007"/>
        <v>-11.714367629557501</v>
      </c>
      <c r="AH469" s="463">
        <f t="shared" si="1007"/>
        <v>-5.1210317460317469</v>
      </c>
      <c r="AI469" s="463">
        <f t="shared" si="1007"/>
        <v>-3.4511425648021827</v>
      </c>
      <c r="AJ469" s="463">
        <f t="shared" si="1007"/>
        <v>-2.1515432098765359</v>
      </c>
      <c r="AK469" s="463">
        <f t="shared" si="1007"/>
        <v>-1.7117056856187105</v>
      </c>
      <c r="AL469" s="463">
        <f t="shared" si="1007"/>
        <v>-1.3650275748563274</v>
      </c>
      <c r="AM469" s="463">
        <f t="shared" si="1007"/>
        <v>-15.08501098901101</v>
      </c>
      <c r="AN469" s="463">
        <f t="shared" si="1007"/>
        <v>-0.75407770741293234</v>
      </c>
      <c r="AO469" s="463">
        <f t="shared" si="1007"/>
        <v>142.4607843137255</v>
      </c>
      <c r="AP469" s="463">
        <f t="shared" si="1007"/>
        <v>143.33333333333334</v>
      </c>
      <c r="AQ469" s="465">
        <f t="shared" si="1007"/>
        <v>161.875</v>
      </c>
    </row>
    <row r="470" spans="2:43" ht="7.8" customHeight="1" x14ac:dyDescent="0.25">
      <c r="B470" s="282"/>
      <c r="C470" s="404"/>
      <c r="D470" s="472" t="s">
        <v>44</v>
      </c>
      <c r="E470" s="425" t="s">
        <v>32</v>
      </c>
      <c r="F470" s="478">
        <f t="shared" ref="F470:Y472" si="1008">IFERROR((F464-F461)/ABS(F461),"")</f>
        <v>-6.9834001144819691E-2</v>
      </c>
      <c r="G470" s="478">
        <f t="shared" si="1008"/>
        <v>-1</v>
      </c>
      <c r="H470" s="478">
        <f t="shared" si="1008"/>
        <v>-0.39708939708939711</v>
      </c>
      <c r="I470" s="479">
        <f t="shared" si="1008"/>
        <v>-0.32432432432432434</v>
      </c>
      <c r="J470" s="480">
        <f t="shared" si="1008"/>
        <v>-0.54337899543378998</v>
      </c>
      <c r="K470" s="480" t="str">
        <f t="shared" si="1008"/>
        <v/>
      </c>
      <c r="L470" s="480">
        <f t="shared" si="1008"/>
        <v>0</v>
      </c>
      <c r="M470" s="481" t="str">
        <f t="shared" si="1008"/>
        <v/>
      </c>
      <c r="N470" s="478">
        <f t="shared" si="1008"/>
        <v>0.15384615384615385</v>
      </c>
      <c r="O470" s="479">
        <f t="shared" si="1008"/>
        <v>-9.5890410958904104E-2</v>
      </c>
      <c r="P470" s="480">
        <f t="shared" si="1008"/>
        <v>3.2857142857142856</v>
      </c>
      <c r="Q470" s="480">
        <f t="shared" si="1008"/>
        <v>4.6511627906976744E-2</v>
      </c>
      <c r="R470" s="480" t="str">
        <f t="shared" si="1008"/>
        <v/>
      </c>
      <c r="S470" s="481">
        <f t="shared" si="1008"/>
        <v>-1</v>
      </c>
      <c r="T470" s="478">
        <f t="shared" si="1008"/>
        <v>0.11080711354309165</v>
      </c>
      <c r="U470" s="479">
        <f t="shared" si="1008"/>
        <v>1.7071428571428571</v>
      </c>
      <c r="V470" s="480">
        <f t="shared" si="1008"/>
        <v>-0.10444444444444445</v>
      </c>
      <c r="W470" s="480">
        <f t="shared" si="1008"/>
        <v>0.3108298171589311</v>
      </c>
      <c r="X470" s="480">
        <f t="shared" si="1008"/>
        <v>-0.25454545454545452</v>
      </c>
      <c r="Y470" s="482">
        <f t="shared" si="1008"/>
        <v>4.9183673469387754</v>
      </c>
      <c r="AA470" s="513"/>
      <c r="AB470" s="563"/>
      <c r="AC470" s="576" t="s">
        <v>44</v>
      </c>
      <c r="AD470" s="569" t="s">
        <v>32</v>
      </c>
      <c r="AE470" s="580">
        <f t="shared" ref="AE470:AQ472" si="1009">IFERROR((AE464-AE461)/ABS(AE461),"")</f>
        <v>0.62819253438113953</v>
      </c>
      <c r="AF470" s="581">
        <f t="shared" si="1009"/>
        <v>0.36434108527131781</v>
      </c>
      <c r="AG470" s="582">
        <f t="shared" si="1009"/>
        <v>0.48101265822784811</v>
      </c>
      <c r="AH470" s="582">
        <f t="shared" si="1009"/>
        <v>0.3888888888888889</v>
      </c>
      <c r="AI470" s="582">
        <f t="shared" si="1009"/>
        <v>9.1405184174624829E-2</v>
      </c>
      <c r="AJ470" s="582">
        <f t="shared" si="1009"/>
        <v>0.18518518518518517</v>
      </c>
      <c r="AK470" s="582">
        <f t="shared" si="1009"/>
        <v>0.13043478260869565</v>
      </c>
      <c r="AL470" s="582">
        <f t="shared" si="1009"/>
        <v>5.1107325383304937E-3</v>
      </c>
      <c r="AM470" s="582">
        <f t="shared" si="1009"/>
        <v>0.15384615384615385</v>
      </c>
      <c r="AN470" s="582">
        <f t="shared" si="1009"/>
        <v>0.16947472745292369</v>
      </c>
      <c r="AO470" s="582" t="str">
        <f t="shared" si="1009"/>
        <v/>
      </c>
      <c r="AP470" s="582" t="str">
        <f t="shared" si="1009"/>
        <v/>
      </c>
      <c r="AQ470" s="583" t="str">
        <f t="shared" si="1009"/>
        <v/>
      </c>
    </row>
    <row r="471" spans="2:43" ht="7.8" customHeight="1" x14ac:dyDescent="0.25">
      <c r="B471" s="282"/>
      <c r="C471" s="404"/>
      <c r="D471" s="405"/>
      <c r="E471" s="483" t="s">
        <v>33</v>
      </c>
      <c r="F471" s="484">
        <f t="shared" si="1008"/>
        <v>1.7470619837656839E-2</v>
      </c>
      <c r="G471" s="484">
        <f t="shared" si="1008"/>
        <v>-1</v>
      </c>
      <c r="H471" s="484">
        <f t="shared" si="1008"/>
        <v>-0.40986197190054074</v>
      </c>
      <c r="I471" s="485">
        <f t="shared" si="1008"/>
        <v>-0.2383853769992384</v>
      </c>
      <c r="J471" s="486">
        <f t="shared" si="1008"/>
        <v>-0.60183623758665916</v>
      </c>
      <c r="K471" s="486" t="str">
        <f t="shared" si="1008"/>
        <v/>
      </c>
      <c r="L471" s="486">
        <f t="shared" si="1008"/>
        <v>1.4727540500736377E-3</v>
      </c>
      <c r="M471" s="487" t="str">
        <f t="shared" si="1008"/>
        <v/>
      </c>
      <c r="N471" s="484">
        <f t="shared" si="1008"/>
        <v>6.0035763325250006E-2</v>
      </c>
      <c r="O471" s="485">
        <f t="shared" si="1008"/>
        <v>-0.17778033816285971</v>
      </c>
      <c r="P471" s="486">
        <f t="shared" si="1008"/>
        <v>3.1457286432160805</v>
      </c>
      <c r="Q471" s="486">
        <f t="shared" si="1008"/>
        <v>6.1026352288488211E-2</v>
      </c>
      <c r="R471" s="486" t="str">
        <f t="shared" si="1008"/>
        <v/>
      </c>
      <c r="S471" s="487">
        <f t="shared" si="1008"/>
        <v>-1</v>
      </c>
      <c r="T471" s="484">
        <f t="shared" si="1008"/>
        <v>0.25027298205624227</v>
      </c>
      <c r="U471" s="485">
        <f t="shared" si="1008"/>
        <v>1.6302490203963964</v>
      </c>
      <c r="V471" s="486">
        <f t="shared" si="1008"/>
        <v>7.7817230040470864E-2</v>
      </c>
      <c r="W471" s="486">
        <f t="shared" si="1008"/>
        <v>0.1711388665390533</v>
      </c>
      <c r="X471" s="486">
        <f t="shared" si="1008"/>
        <v>-0.25739181515566867</v>
      </c>
      <c r="Y471" s="488">
        <f t="shared" si="1008"/>
        <v>6.5480272670935742</v>
      </c>
      <c r="AA471" s="513"/>
      <c r="AB471" s="563"/>
      <c r="AC471" s="577"/>
      <c r="AD471" s="584" t="s">
        <v>33</v>
      </c>
      <c r="AE471" s="585">
        <f t="shared" si="1009"/>
        <v>0.54370012259319767</v>
      </c>
      <c r="AF471" s="586">
        <f t="shared" si="1009"/>
        <v>0.23873873873873874</v>
      </c>
      <c r="AG471" s="587">
        <f t="shared" si="1009"/>
        <v>0.38585126399911129</v>
      </c>
      <c r="AH471" s="587">
        <f t="shared" si="1009"/>
        <v>0.34614696729423267</v>
      </c>
      <c r="AI471" s="587">
        <f t="shared" si="1009"/>
        <v>6.6296835212804661E-2</v>
      </c>
      <c r="AJ471" s="587">
        <f t="shared" si="1009"/>
        <v>0.16849429086295648</v>
      </c>
      <c r="AK471" s="587">
        <f t="shared" si="1009"/>
        <v>0.118463524854745</v>
      </c>
      <c r="AL471" s="587">
        <f t="shared" si="1009"/>
        <v>-2.6499638641291254E-3</v>
      </c>
      <c r="AM471" s="587">
        <f t="shared" si="1009"/>
        <v>6.0035763325250006E-2</v>
      </c>
      <c r="AN471" s="587">
        <f t="shared" si="1009"/>
        <v>0.16348006521416927</v>
      </c>
      <c r="AO471" s="587" t="str">
        <f t="shared" si="1009"/>
        <v/>
      </c>
      <c r="AP471" s="587" t="str">
        <f t="shared" si="1009"/>
        <v/>
      </c>
      <c r="AQ471" s="588" t="str">
        <f t="shared" si="1009"/>
        <v/>
      </c>
    </row>
    <row r="472" spans="2:43" ht="7.8" customHeight="1" x14ac:dyDescent="0.25">
      <c r="B472" s="282"/>
      <c r="C472" s="490"/>
      <c r="D472" s="405"/>
      <c r="E472" s="483" t="s">
        <v>30</v>
      </c>
      <c r="F472" s="484">
        <f t="shared" si="1008"/>
        <v>9.3859183296237686E-2</v>
      </c>
      <c r="G472" s="484">
        <f t="shared" si="1008"/>
        <v>-1</v>
      </c>
      <c r="H472" s="484">
        <f t="shared" si="1008"/>
        <v>-2.1184856841931412E-2</v>
      </c>
      <c r="I472" s="485">
        <f t="shared" si="1008"/>
        <v>0.12718964204112726</v>
      </c>
      <c r="J472" s="486">
        <f t="shared" si="1008"/>
        <v>-0.12802136031478359</v>
      </c>
      <c r="K472" s="486" t="str">
        <f t="shared" si="1008"/>
        <v/>
      </c>
      <c r="L472" s="486">
        <f t="shared" si="1008"/>
        <v>1.4727540500736377E-3</v>
      </c>
      <c r="M472" s="487" t="str">
        <f t="shared" si="1008"/>
        <v/>
      </c>
      <c r="N472" s="484">
        <f t="shared" si="1008"/>
        <v>-8.1302338451450018E-2</v>
      </c>
      <c r="O472" s="485">
        <f t="shared" si="1008"/>
        <v>-9.0575222513466044E-2</v>
      </c>
      <c r="P472" s="486">
        <f t="shared" si="1008"/>
        <v>-3.2663316582914645E-2</v>
      </c>
      <c r="Q472" s="486">
        <f t="shared" si="1008"/>
        <v>1.3869625520111025E-2</v>
      </c>
      <c r="R472" s="486" t="str">
        <f t="shared" si="1008"/>
        <v/>
      </c>
      <c r="S472" s="487">
        <f t="shared" si="1008"/>
        <v>-1</v>
      </c>
      <c r="T472" s="484">
        <f t="shared" si="1008"/>
        <v>0.12555363286097682</v>
      </c>
      <c r="U472" s="485">
        <f t="shared" si="1008"/>
        <v>-2.840405579024936E-2</v>
      </c>
      <c r="V472" s="486">
        <f t="shared" si="1008"/>
        <v>0.20351799880449603</v>
      </c>
      <c r="W472" s="486">
        <f t="shared" si="1008"/>
        <v>-0.10656680889563638</v>
      </c>
      <c r="X472" s="486">
        <f t="shared" si="1008"/>
        <v>-3.818288623458046E-3</v>
      </c>
      <c r="Y472" s="488">
        <f t="shared" si="1008"/>
        <v>0.27535633133650039</v>
      </c>
      <c r="AA472" s="513"/>
      <c r="AB472" s="563"/>
      <c r="AC472" s="577"/>
      <c r="AD472" s="584" t="s">
        <v>30</v>
      </c>
      <c r="AE472" s="585">
        <f t="shared" si="1009"/>
        <v>-5.1893378702941119E-2</v>
      </c>
      <c r="AF472" s="586">
        <f t="shared" si="1009"/>
        <v>-9.2060810810810759E-2</v>
      </c>
      <c r="AG472" s="587">
        <f t="shared" si="1009"/>
        <v>-6.4254274735642797E-2</v>
      </c>
      <c r="AH472" s="587">
        <f t="shared" si="1009"/>
        <v>-3.0774183548152482E-2</v>
      </c>
      <c r="AI472" s="587">
        <f t="shared" si="1009"/>
        <v>-2.3005524736267734E-2</v>
      </c>
      <c r="AJ472" s="587">
        <f t="shared" si="1009"/>
        <v>-1.4082942084380433E-2</v>
      </c>
      <c r="AK472" s="587">
        <f t="shared" si="1009"/>
        <v>-1.058995878234085E-2</v>
      </c>
      <c r="AL472" s="587">
        <f t="shared" si="1009"/>
        <v>-7.7212352343113879E-3</v>
      </c>
      <c r="AM472" s="587">
        <f t="shared" si="1009"/>
        <v>-8.1302338451450018E-2</v>
      </c>
      <c r="AN472" s="587">
        <f t="shared" si="1009"/>
        <v>-5.1259442363585754E-3</v>
      </c>
      <c r="AO472" s="587" t="str">
        <f t="shared" si="1009"/>
        <v/>
      </c>
      <c r="AP472" s="587" t="str">
        <f t="shared" si="1009"/>
        <v/>
      </c>
      <c r="AQ472" s="588" t="str">
        <f t="shared" si="1009"/>
        <v/>
      </c>
    </row>
    <row r="473" spans="2:43" ht="7.8" customHeight="1" x14ac:dyDescent="0.25">
      <c r="B473" s="282"/>
      <c r="C473" s="491" t="s">
        <v>49</v>
      </c>
      <c r="D473" s="492" t="s">
        <v>39</v>
      </c>
      <c r="E473" s="493" t="s">
        <v>32</v>
      </c>
      <c r="F473" s="494">
        <f t="shared" ref="F473:F474" si="1010">SUM(G473,H473,N473,T473)</f>
        <v>0</v>
      </c>
      <c r="G473" s="494"/>
      <c r="H473" s="494">
        <f t="shared" ref="H473:H474" si="1011">SUM(I473:M473)</f>
        <v>0</v>
      </c>
      <c r="I473" s="495"/>
      <c r="J473" s="496"/>
      <c r="K473" s="496"/>
      <c r="L473" s="496"/>
      <c r="M473" s="497"/>
      <c r="N473" s="494">
        <f t="shared" ref="N473:N474" si="1012">SUM(O473:S473)</f>
        <v>0</v>
      </c>
      <c r="O473" s="495"/>
      <c r="P473" s="496"/>
      <c r="Q473" s="496"/>
      <c r="R473" s="496"/>
      <c r="S473" s="497"/>
      <c r="T473" s="494">
        <f t="shared" ref="T473:T474" si="1013">SUM(U473:Y473)</f>
        <v>0</v>
      </c>
      <c r="U473" s="495"/>
      <c r="V473" s="496"/>
      <c r="W473" s="496"/>
      <c r="X473" s="496"/>
      <c r="Y473" s="498"/>
      <c r="AA473" s="513"/>
      <c r="AB473" s="589" t="s">
        <v>49</v>
      </c>
      <c r="AC473" s="590" t="s">
        <v>39</v>
      </c>
      <c r="AD473" s="591" t="s">
        <v>32</v>
      </c>
      <c r="AE473" s="592">
        <f t="shared" ref="AE473:AE474" si="1014">SUM(AF473:AQ473)</f>
        <v>0</v>
      </c>
      <c r="AF473" s="593">
        <f t="shared" ref="AF473:AQ474" si="1015">SUM(AF527,AF581,AF635,AF689,AF743)</f>
        <v>0</v>
      </c>
      <c r="AG473" s="594">
        <f t="shared" si="1015"/>
        <v>0</v>
      </c>
      <c r="AH473" s="594">
        <f t="shared" si="1015"/>
        <v>0</v>
      </c>
      <c r="AI473" s="594">
        <f t="shared" si="1015"/>
        <v>0</v>
      </c>
      <c r="AJ473" s="594">
        <f t="shared" si="1015"/>
        <v>0</v>
      </c>
      <c r="AK473" s="594">
        <f t="shared" si="1015"/>
        <v>0</v>
      </c>
      <c r="AL473" s="594">
        <f t="shared" si="1015"/>
        <v>0</v>
      </c>
      <c r="AM473" s="594">
        <f t="shared" si="1015"/>
        <v>0</v>
      </c>
      <c r="AN473" s="594">
        <f t="shared" si="1015"/>
        <v>0</v>
      </c>
      <c r="AO473" s="594">
        <f t="shared" si="1015"/>
        <v>0</v>
      </c>
      <c r="AP473" s="594">
        <f t="shared" si="1015"/>
        <v>0</v>
      </c>
      <c r="AQ473" s="595">
        <f t="shared" si="1015"/>
        <v>0</v>
      </c>
    </row>
    <row r="474" spans="2:43" s="41" customFormat="1" ht="7.8" customHeight="1" x14ac:dyDescent="0.25">
      <c r="B474" s="282"/>
      <c r="C474" s="404"/>
      <c r="D474" s="405"/>
      <c r="E474" s="406" t="s">
        <v>33</v>
      </c>
      <c r="F474" s="407">
        <f t="shared" si="1010"/>
        <v>0</v>
      </c>
      <c r="G474" s="407"/>
      <c r="H474" s="407">
        <f t="shared" si="1011"/>
        <v>0</v>
      </c>
      <c r="I474" s="408"/>
      <c r="J474" s="409"/>
      <c r="K474" s="409"/>
      <c r="L474" s="409"/>
      <c r="M474" s="410"/>
      <c r="N474" s="407">
        <f t="shared" si="1012"/>
        <v>0</v>
      </c>
      <c r="O474" s="408"/>
      <c r="P474" s="409"/>
      <c r="Q474" s="409"/>
      <c r="R474" s="409"/>
      <c r="S474" s="410"/>
      <c r="T474" s="407">
        <f t="shared" si="1013"/>
        <v>0</v>
      </c>
      <c r="U474" s="408"/>
      <c r="V474" s="409"/>
      <c r="W474" s="409"/>
      <c r="X474" s="409"/>
      <c r="Y474" s="411"/>
      <c r="AA474" s="513"/>
      <c r="AB474" s="563"/>
      <c r="AC474" s="564"/>
      <c r="AD474" s="565" t="s">
        <v>33</v>
      </c>
      <c r="AE474" s="448">
        <f t="shared" si="1014"/>
        <v>0</v>
      </c>
      <c r="AF474" s="449">
        <f t="shared" si="1015"/>
        <v>0</v>
      </c>
      <c r="AG474" s="450">
        <f t="shared" si="1015"/>
        <v>0</v>
      </c>
      <c r="AH474" s="450">
        <f t="shared" si="1015"/>
        <v>0</v>
      </c>
      <c r="AI474" s="450">
        <f t="shared" si="1015"/>
        <v>0</v>
      </c>
      <c r="AJ474" s="450">
        <f t="shared" si="1015"/>
        <v>0</v>
      </c>
      <c r="AK474" s="450">
        <f t="shared" si="1015"/>
        <v>0</v>
      </c>
      <c r="AL474" s="450">
        <f t="shared" si="1015"/>
        <v>0</v>
      </c>
      <c r="AM474" s="450">
        <f t="shared" si="1015"/>
        <v>0</v>
      </c>
      <c r="AN474" s="450">
        <f t="shared" si="1015"/>
        <v>0</v>
      </c>
      <c r="AO474" s="450">
        <f t="shared" si="1015"/>
        <v>0</v>
      </c>
      <c r="AP474" s="450">
        <f t="shared" si="1015"/>
        <v>0</v>
      </c>
      <c r="AQ474" s="452">
        <f t="shared" si="1015"/>
        <v>0</v>
      </c>
    </row>
    <row r="475" spans="2:43" ht="7.8" customHeight="1" x14ac:dyDescent="0.25">
      <c r="B475" s="282"/>
      <c r="C475" s="404"/>
      <c r="D475" s="415"/>
      <c r="E475" s="416" t="s">
        <v>30</v>
      </c>
      <c r="F475" s="417">
        <f t="shared" si="905"/>
        <v>0</v>
      </c>
      <c r="G475" s="417">
        <f t="shared" si="905"/>
        <v>0</v>
      </c>
      <c r="H475" s="417">
        <f t="shared" si="905"/>
        <v>0</v>
      </c>
      <c r="I475" s="418">
        <f t="shared" si="905"/>
        <v>0</v>
      </c>
      <c r="J475" s="419">
        <f t="shared" si="905"/>
        <v>0</v>
      </c>
      <c r="K475" s="419">
        <f t="shared" si="905"/>
        <v>0</v>
      </c>
      <c r="L475" s="419">
        <f t="shared" si="905"/>
        <v>0</v>
      </c>
      <c r="M475" s="420">
        <f t="shared" si="905"/>
        <v>0</v>
      </c>
      <c r="N475" s="417">
        <f t="shared" si="905"/>
        <v>0</v>
      </c>
      <c r="O475" s="418">
        <f t="shared" si="905"/>
        <v>0</v>
      </c>
      <c r="P475" s="419">
        <f t="shared" si="905"/>
        <v>0</v>
      </c>
      <c r="Q475" s="419">
        <f t="shared" si="905"/>
        <v>0</v>
      </c>
      <c r="R475" s="419">
        <f t="shared" si="905"/>
        <v>0</v>
      </c>
      <c r="S475" s="420">
        <f t="shared" si="905"/>
        <v>0</v>
      </c>
      <c r="T475" s="417">
        <f t="shared" si="905"/>
        <v>0</v>
      </c>
      <c r="U475" s="418">
        <f t="shared" si="905"/>
        <v>0</v>
      </c>
      <c r="V475" s="419">
        <f t="shared" si="905"/>
        <v>0</v>
      </c>
      <c r="W475" s="419">
        <f t="shared" si="905"/>
        <v>0</v>
      </c>
      <c r="X475" s="419">
        <f t="shared" si="905"/>
        <v>0</v>
      </c>
      <c r="Y475" s="421">
        <f t="shared" si="905"/>
        <v>0</v>
      </c>
      <c r="AA475" s="513"/>
      <c r="AB475" s="563"/>
      <c r="AC475" s="566"/>
      <c r="AD475" s="567" t="s">
        <v>30</v>
      </c>
      <c r="AE475" s="461">
        <f t="shared" ref="AE475:AQ475" si="1016">IFERROR(AE474/AE473,0)</f>
        <v>0</v>
      </c>
      <c r="AF475" s="462">
        <f t="shared" si="1016"/>
        <v>0</v>
      </c>
      <c r="AG475" s="463">
        <f t="shared" si="1016"/>
        <v>0</v>
      </c>
      <c r="AH475" s="463">
        <f t="shared" si="1016"/>
        <v>0</v>
      </c>
      <c r="AI475" s="463">
        <f t="shared" si="1016"/>
        <v>0</v>
      </c>
      <c r="AJ475" s="463">
        <f t="shared" si="1016"/>
        <v>0</v>
      </c>
      <c r="AK475" s="463">
        <f t="shared" si="1016"/>
        <v>0</v>
      </c>
      <c r="AL475" s="463">
        <f t="shared" si="1016"/>
        <v>0</v>
      </c>
      <c r="AM475" s="463">
        <f t="shared" si="1016"/>
        <v>0</v>
      </c>
      <c r="AN475" s="463">
        <f t="shared" si="1016"/>
        <v>0</v>
      </c>
      <c r="AO475" s="463">
        <f t="shared" si="1016"/>
        <v>0</v>
      </c>
      <c r="AP475" s="463">
        <f t="shared" si="1016"/>
        <v>0</v>
      </c>
      <c r="AQ475" s="465">
        <f t="shared" si="1016"/>
        <v>0</v>
      </c>
    </row>
    <row r="476" spans="2:43" ht="7.8" customHeight="1" x14ac:dyDescent="0.25">
      <c r="B476" s="282"/>
      <c r="C476" s="404"/>
      <c r="D476" s="424" t="s">
        <v>40</v>
      </c>
      <c r="E476" s="425" t="s">
        <v>32</v>
      </c>
      <c r="F476" s="426">
        <f t="shared" ref="F476:F477" si="1017">SUM(G476,H476,N476,T476)</f>
        <v>2339</v>
      </c>
      <c r="G476" s="426">
        <v>342</v>
      </c>
      <c r="H476" s="426">
        <f t="shared" ref="H476:H477" si="1018">SUM(I476:M476)</f>
        <v>249</v>
      </c>
      <c r="I476" s="427">
        <v>138</v>
      </c>
      <c r="J476" s="428">
        <v>104</v>
      </c>
      <c r="K476" s="428">
        <v>0</v>
      </c>
      <c r="L476" s="428">
        <v>0</v>
      </c>
      <c r="M476" s="429">
        <v>7</v>
      </c>
      <c r="N476" s="426">
        <f t="shared" ref="N476:N477" si="1019">SUM(O476:S476)</f>
        <v>245</v>
      </c>
      <c r="O476" s="427">
        <v>112</v>
      </c>
      <c r="P476" s="428">
        <v>89</v>
      </c>
      <c r="Q476" s="428">
        <v>41</v>
      </c>
      <c r="R476" s="428">
        <v>0</v>
      </c>
      <c r="S476" s="429">
        <v>3</v>
      </c>
      <c r="T476" s="426">
        <f t="shared" ref="T476:T477" si="1020">SUM(U476:Y476)</f>
        <v>1503</v>
      </c>
      <c r="U476" s="427">
        <v>118</v>
      </c>
      <c r="V476" s="428">
        <v>528</v>
      </c>
      <c r="W476" s="428">
        <v>682</v>
      </c>
      <c r="X476" s="428">
        <v>63</v>
      </c>
      <c r="Y476" s="430">
        <v>112</v>
      </c>
      <c r="AA476" s="513"/>
      <c r="AB476" s="563"/>
      <c r="AC476" s="568" t="s">
        <v>40</v>
      </c>
      <c r="AD476" s="569" t="s">
        <v>32</v>
      </c>
      <c r="AE476" s="435">
        <f t="shared" ref="AE476:AE477" si="1021">SUM(AF476:AQ476)</f>
        <v>4537</v>
      </c>
      <c r="AF476" s="436">
        <f t="shared" ref="AF476:AQ477" si="1022">SUM(AF530,AF584,AF638,AF692,AF746)</f>
        <v>366</v>
      </c>
      <c r="AG476" s="437">
        <f t="shared" si="1022"/>
        <v>402</v>
      </c>
      <c r="AH476" s="437">
        <f t="shared" si="1022"/>
        <v>439</v>
      </c>
      <c r="AI476" s="437">
        <f t="shared" si="1022"/>
        <v>306</v>
      </c>
      <c r="AJ476" s="437">
        <f t="shared" si="1022"/>
        <v>520</v>
      </c>
      <c r="AK476" s="437">
        <f t="shared" si="1022"/>
        <v>421</v>
      </c>
      <c r="AL476" s="437">
        <f t="shared" si="1022"/>
        <v>293</v>
      </c>
      <c r="AM476" s="437">
        <f t="shared" si="1022"/>
        <v>245</v>
      </c>
      <c r="AN476" s="437">
        <f t="shared" si="1022"/>
        <v>424</v>
      </c>
      <c r="AO476" s="437">
        <f t="shared" si="1022"/>
        <v>384</v>
      </c>
      <c r="AP476" s="437">
        <f t="shared" si="1022"/>
        <v>432</v>
      </c>
      <c r="AQ476" s="439">
        <f t="shared" si="1022"/>
        <v>305</v>
      </c>
    </row>
    <row r="477" spans="2:43" s="41" customFormat="1" ht="7.8" customHeight="1" x14ac:dyDescent="0.25">
      <c r="B477" s="282"/>
      <c r="C477" s="404"/>
      <c r="D477" s="405"/>
      <c r="E477" s="406" t="s">
        <v>33</v>
      </c>
      <c r="F477" s="407">
        <f t="shared" si="1017"/>
        <v>424105.76999999996</v>
      </c>
      <c r="G477" s="407">
        <v>53382</v>
      </c>
      <c r="H477" s="407">
        <f t="shared" si="1018"/>
        <v>46710</v>
      </c>
      <c r="I477" s="408">
        <v>24725</v>
      </c>
      <c r="J477" s="409">
        <v>20320</v>
      </c>
      <c r="K477" s="409">
        <v>0</v>
      </c>
      <c r="L477" s="409">
        <v>0</v>
      </c>
      <c r="M477" s="410">
        <v>1665</v>
      </c>
      <c r="N477" s="407">
        <f t="shared" si="1019"/>
        <v>40848</v>
      </c>
      <c r="O477" s="408">
        <v>19616</v>
      </c>
      <c r="P477" s="409">
        <v>13480</v>
      </c>
      <c r="Q477" s="409">
        <v>7212</v>
      </c>
      <c r="R477" s="409">
        <v>0</v>
      </c>
      <c r="S477" s="410">
        <v>540</v>
      </c>
      <c r="T477" s="407">
        <f t="shared" si="1020"/>
        <v>283165.76999999996</v>
      </c>
      <c r="U477" s="408">
        <v>25459.17</v>
      </c>
      <c r="V477" s="409">
        <v>95859.669999999984</v>
      </c>
      <c r="W477" s="409">
        <v>131833.93</v>
      </c>
      <c r="X477" s="409">
        <v>10423</v>
      </c>
      <c r="Y477" s="411">
        <v>19590</v>
      </c>
      <c r="AA477" s="513"/>
      <c r="AB477" s="563"/>
      <c r="AC477" s="564"/>
      <c r="AD477" s="565" t="s">
        <v>33</v>
      </c>
      <c r="AE477" s="448">
        <f t="shared" si="1021"/>
        <v>728907</v>
      </c>
      <c r="AF477" s="449">
        <f t="shared" si="1022"/>
        <v>67039</v>
      </c>
      <c r="AG477" s="450">
        <f t="shared" si="1022"/>
        <v>73085</v>
      </c>
      <c r="AH477" s="450">
        <f t="shared" si="1022"/>
        <v>75845</v>
      </c>
      <c r="AI477" s="450">
        <f t="shared" si="1022"/>
        <v>44320</v>
      </c>
      <c r="AJ477" s="450">
        <f t="shared" si="1022"/>
        <v>74925</v>
      </c>
      <c r="AK477" s="450">
        <f t="shared" si="1022"/>
        <v>65614</v>
      </c>
      <c r="AL477" s="450">
        <f t="shared" si="1022"/>
        <v>54482</v>
      </c>
      <c r="AM477" s="450">
        <f t="shared" si="1022"/>
        <v>40848</v>
      </c>
      <c r="AN477" s="450">
        <f t="shared" si="1022"/>
        <v>61256</v>
      </c>
      <c r="AO477" s="450">
        <f t="shared" si="1022"/>
        <v>55052</v>
      </c>
      <c r="AP477" s="450">
        <f t="shared" si="1022"/>
        <v>65741</v>
      </c>
      <c r="AQ477" s="452">
        <f t="shared" si="1022"/>
        <v>50700</v>
      </c>
    </row>
    <row r="478" spans="2:43" ht="7.8" customHeight="1" x14ac:dyDescent="0.25">
      <c r="B478" s="282"/>
      <c r="C478" s="404"/>
      <c r="D478" s="415"/>
      <c r="E478" s="416" t="s">
        <v>30</v>
      </c>
      <c r="F478" s="417">
        <f t="shared" si="912"/>
        <v>181.31926891834115</v>
      </c>
      <c r="G478" s="417">
        <f t="shared" si="912"/>
        <v>156.08771929824562</v>
      </c>
      <c r="H478" s="417">
        <f t="shared" si="912"/>
        <v>187.59036144578315</v>
      </c>
      <c r="I478" s="418">
        <f t="shared" si="912"/>
        <v>179.16666666666666</v>
      </c>
      <c r="J478" s="419">
        <f t="shared" si="912"/>
        <v>195.38461538461539</v>
      </c>
      <c r="K478" s="419">
        <f t="shared" si="912"/>
        <v>0</v>
      </c>
      <c r="L478" s="419">
        <f t="shared" si="912"/>
        <v>0</v>
      </c>
      <c r="M478" s="420">
        <f t="shared" si="912"/>
        <v>237.85714285714286</v>
      </c>
      <c r="N478" s="417">
        <f t="shared" si="912"/>
        <v>166.72653061224489</v>
      </c>
      <c r="O478" s="418">
        <f t="shared" si="912"/>
        <v>175.14285714285714</v>
      </c>
      <c r="P478" s="419">
        <f t="shared" si="912"/>
        <v>151.46067415730337</v>
      </c>
      <c r="Q478" s="419">
        <f t="shared" si="912"/>
        <v>175.90243902439025</v>
      </c>
      <c r="R478" s="419">
        <f t="shared" si="912"/>
        <v>0</v>
      </c>
      <c r="S478" s="420">
        <f t="shared" si="912"/>
        <v>180</v>
      </c>
      <c r="T478" s="417">
        <f t="shared" si="912"/>
        <v>188.40037924151693</v>
      </c>
      <c r="U478" s="418">
        <f t="shared" si="912"/>
        <v>215.75567796610167</v>
      </c>
      <c r="V478" s="419">
        <f t="shared" si="912"/>
        <v>181.55240530303027</v>
      </c>
      <c r="W478" s="419">
        <f t="shared" si="912"/>
        <v>193.30488269794719</v>
      </c>
      <c r="X478" s="419">
        <f t="shared" si="912"/>
        <v>165.44444444444446</v>
      </c>
      <c r="Y478" s="421">
        <f t="shared" si="912"/>
        <v>174.91071428571428</v>
      </c>
      <c r="AA478" s="513"/>
      <c r="AB478" s="563"/>
      <c r="AC478" s="566"/>
      <c r="AD478" s="567" t="s">
        <v>30</v>
      </c>
      <c r="AE478" s="461">
        <f t="shared" ref="AE478:AQ478" si="1023">IFERROR(AE477/AE476,0)</f>
        <v>160.65836455807803</v>
      </c>
      <c r="AF478" s="462">
        <f t="shared" si="1023"/>
        <v>183.16666666666666</v>
      </c>
      <c r="AG478" s="463">
        <f t="shared" si="1023"/>
        <v>181.80348258706468</v>
      </c>
      <c r="AH478" s="463">
        <f t="shared" si="1023"/>
        <v>172.76765375854214</v>
      </c>
      <c r="AI478" s="463">
        <f t="shared" si="1023"/>
        <v>144.83660130718954</v>
      </c>
      <c r="AJ478" s="463">
        <f t="shared" si="1023"/>
        <v>144.08653846153845</v>
      </c>
      <c r="AK478" s="463">
        <f t="shared" si="1023"/>
        <v>155.85273159144893</v>
      </c>
      <c r="AL478" s="463">
        <f t="shared" si="1023"/>
        <v>185.94539249146757</v>
      </c>
      <c r="AM478" s="463">
        <f t="shared" si="1023"/>
        <v>166.72653061224489</v>
      </c>
      <c r="AN478" s="463">
        <f t="shared" si="1023"/>
        <v>144.47169811320754</v>
      </c>
      <c r="AO478" s="463">
        <f t="shared" si="1023"/>
        <v>143.36458333333334</v>
      </c>
      <c r="AP478" s="463">
        <f t="shared" si="1023"/>
        <v>152.17824074074073</v>
      </c>
      <c r="AQ478" s="465">
        <f t="shared" si="1023"/>
        <v>166.2295081967213</v>
      </c>
    </row>
    <row r="479" spans="2:43" ht="7.8" customHeight="1" x14ac:dyDescent="0.25">
      <c r="B479" s="282"/>
      <c r="C479" s="404"/>
      <c r="D479" s="424" t="s">
        <v>41</v>
      </c>
      <c r="E479" s="425" t="s">
        <v>32</v>
      </c>
      <c r="F479" s="426">
        <f t="shared" ref="F479:F480" si="1024">SUM(G479,H479,N479,T479)</f>
        <v>2535</v>
      </c>
      <c r="G479" s="426">
        <v>314</v>
      </c>
      <c r="H479" s="426">
        <f t="shared" ref="H479:H480" si="1025">SUM(I479:M479)</f>
        <v>229</v>
      </c>
      <c r="I479" s="427">
        <v>62</v>
      </c>
      <c r="J479" s="428">
        <v>122</v>
      </c>
      <c r="K479" s="428">
        <v>0</v>
      </c>
      <c r="L479" s="428">
        <v>45</v>
      </c>
      <c r="M479" s="429">
        <v>0</v>
      </c>
      <c r="N479" s="426">
        <f t="shared" ref="N479:N480" si="1026">SUM(O479:S479)</f>
        <v>218</v>
      </c>
      <c r="O479" s="427">
        <v>170</v>
      </c>
      <c r="P479" s="428">
        <v>22</v>
      </c>
      <c r="Q479" s="428">
        <v>22</v>
      </c>
      <c r="R479" s="428">
        <v>0</v>
      </c>
      <c r="S479" s="429">
        <v>4</v>
      </c>
      <c r="T479" s="426">
        <f t="shared" ref="T479:T480" si="1027">SUM(U479:Y479)</f>
        <v>1774</v>
      </c>
      <c r="U479" s="427">
        <v>81</v>
      </c>
      <c r="V479" s="428">
        <v>1326</v>
      </c>
      <c r="W479" s="428">
        <v>309</v>
      </c>
      <c r="X479" s="428">
        <v>35</v>
      </c>
      <c r="Y479" s="430">
        <v>23</v>
      </c>
      <c r="AA479" s="513"/>
      <c r="AB479" s="563"/>
      <c r="AC479" s="568" t="s">
        <v>41</v>
      </c>
      <c r="AD479" s="569" t="s">
        <v>32</v>
      </c>
      <c r="AE479" s="435">
        <f t="shared" ref="AE479:AE480" si="1028">SUM(AF479:AQ479)</f>
        <v>2152</v>
      </c>
      <c r="AF479" s="436">
        <f t="shared" ref="AF479:AQ480" si="1029">SUM(AF533,AF587,AF641,AF695,AF749)</f>
        <v>225</v>
      </c>
      <c r="AG479" s="437">
        <f t="shared" si="1029"/>
        <v>348</v>
      </c>
      <c r="AH479" s="437">
        <f t="shared" si="1029"/>
        <v>235</v>
      </c>
      <c r="AI479" s="437">
        <f t="shared" si="1029"/>
        <v>295</v>
      </c>
      <c r="AJ479" s="437">
        <f t="shared" si="1029"/>
        <v>431</v>
      </c>
      <c r="AK479" s="437">
        <f t="shared" si="1029"/>
        <v>225</v>
      </c>
      <c r="AL479" s="437">
        <f t="shared" si="1029"/>
        <v>175</v>
      </c>
      <c r="AM479" s="437">
        <f t="shared" si="1029"/>
        <v>218</v>
      </c>
      <c r="AN479" s="437">
        <f t="shared" si="1029"/>
        <v>0</v>
      </c>
      <c r="AO479" s="437">
        <f t="shared" si="1029"/>
        <v>0</v>
      </c>
      <c r="AP479" s="437">
        <f t="shared" si="1029"/>
        <v>0</v>
      </c>
      <c r="AQ479" s="439">
        <f t="shared" si="1029"/>
        <v>0</v>
      </c>
    </row>
    <row r="480" spans="2:43" s="41" customFormat="1" ht="7.8" customHeight="1" x14ac:dyDescent="0.25">
      <c r="B480" s="282"/>
      <c r="C480" s="404"/>
      <c r="D480" s="405"/>
      <c r="E480" s="406" t="s">
        <v>33</v>
      </c>
      <c r="F480" s="407">
        <f t="shared" si="1024"/>
        <v>421709.77999999991</v>
      </c>
      <c r="G480" s="407">
        <v>49677</v>
      </c>
      <c r="H480" s="407">
        <f t="shared" si="1025"/>
        <v>40010</v>
      </c>
      <c r="I480" s="408">
        <v>10516</v>
      </c>
      <c r="J480" s="409">
        <v>21634</v>
      </c>
      <c r="K480" s="409">
        <v>0</v>
      </c>
      <c r="L480" s="409">
        <v>7860</v>
      </c>
      <c r="M480" s="410">
        <v>0</v>
      </c>
      <c r="N480" s="407">
        <f t="shared" si="1026"/>
        <v>38571.839999999997</v>
      </c>
      <c r="O480" s="408">
        <v>30363</v>
      </c>
      <c r="P480" s="409">
        <v>3785</v>
      </c>
      <c r="Q480" s="409">
        <v>3780</v>
      </c>
      <c r="R480" s="409">
        <v>0</v>
      </c>
      <c r="S480" s="410">
        <v>643.83999999999992</v>
      </c>
      <c r="T480" s="407">
        <f t="shared" si="1027"/>
        <v>293450.93999999994</v>
      </c>
      <c r="U480" s="408">
        <v>16414.400000000001</v>
      </c>
      <c r="V480" s="409">
        <v>207121.78</v>
      </c>
      <c r="W480" s="409">
        <v>60352.66</v>
      </c>
      <c r="X480" s="409">
        <v>6216</v>
      </c>
      <c r="Y480" s="411">
        <v>3346.1</v>
      </c>
      <c r="AA480" s="513"/>
      <c r="AB480" s="563"/>
      <c r="AC480" s="564"/>
      <c r="AD480" s="565" t="s">
        <v>33</v>
      </c>
      <c r="AE480" s="448">
        <f t="shared" si="1028"/>
        <v>361431.83999999997</v>
      </c>
      <c r="AF480" s="449">
        <f t="shared" si="1029"/>
        <v>43878</v>
      </c>
      <c r="AG480" s="450">
        <f t="shared" si="1029"/>
        <v>63001</v>
      </c>
      <c r="AH480" s="450">
        <f t="shared" si="1029"/>
        <v>38508</v>
      </c>
      <c r="AI480" s="450">
        <f t="shared" si="1029"/>
        <v>44244</v>
      </c>
      <c r="AJ480" s="450">
        <f t="shared" si="1029"/>
        <v>65948</v>
      </c>
      <c r="AK480" s="450">
        <f t="shared" si="1029"/>
        <v>36265</v>
      </c>
      <c r="AL480" s="450">
        <f t="shared" si="1029"/>
        <v>31016</v>
      </c>
      <c r="AM480" s="450">
        <f t="shared" si="1029"/>
        <v>38571.839999999997</v>
      </c>
      <c r="AN480" s="450">
        <f t="shared" si="1029"/>
        <v>0</v>
      </c>
      <c r="AO480" s="450">
        <f t="shared" si="1029"/>
        <v>0</v>
      </c>
      <c r="AP480" s="450">
        <f t="shared" si="1029"/>
        <v>0</v>
      </c>
      <c r="AQ480" s="452">
        <f t="shared" si="1029"/>
        <v>0</v>
      </c>
    </row>
    <row r="481" spans="1:43" ht="7.8" customHeight="1" x14ac:dyDescent="0.25">
      <c r="B481" s="282"/>
      <c r="C481" s="404"/>
      <c r="D481" s="415"/>
      <c r="E481" s="416" t="s">
        <v>30</v>
      </c>
      <c r="F481" s="417">
        <f t="shared" si="919"/>
        <v>166.35494280078893</v>
      </c>
      <c r="G481" s="417">
        <f t="shared" si="919"/>
        <v>158.20700636942675</v>
      </c>
      <c r="H481" s="417">
        <f t="shared" si="919"/>
        <v>174.71615720524017</v>
      </c>
      <c r="I481" s="418">
        <f t="shared" si="919"/>
        <v>169.61290322580646</v>
      </c>
      <c r="J481" s="419">
        <f t="shared" si="919"/>
        <v>177.32786885245901</v>
      </c>
      <c r="K481" s="419">
        <f t="shared" si="919"/>
        <v>0</v>
      </c>
      <c r="L481" s="419">
        <f t="shared" si="919"/>
        <v>174.66666666666666</v>
      </c>
      <c r="M481" s="420">
        <f t="shared" si="919"/>
        <v>0</v>
      </c>
      <c r="N481" s="417">
        <f t="shared" si="919"/>
        <v>176.93504587155962</v>
      </c>
      <c r="O481" s="418">
        <f t="shared" si="919"/>
        <v>178.60588235294117</v>
      </c>
      <c r="P481" s="419">
        <f t="shared" si="919"/>
        <v>172.04545454545453</v>
      </c>
      <c r="Q481" s="419">
        <f t="shared" si="919"/>
        <v>171.81818181818181</v>
      </c>
      <c r="R481" s="419">
        <f t="shared" si="919"/>
        <v>0</v>
      </c>
      <c r="S481" s="420">
        <f t="shared" si="919"/>
        <v>160.95999999999998</v>
      </c>
      <c r="T481" s="417">
        <f t="shared" si="919"/>
        <v>165.41766629086806</v>
      </c>
      <c r="U481" s="418">
        <f t="shared" si="919"/>
        <v>202.64691358024695</v>
      </c>
      <c r="V481" s="419">
        <f t="shared" si="919"/>
        <v>156.20043740573152</v>
      </c>
      <c r="W481" s="419">
        <f t="shared" si="919"/>
        <v>195.31605177993529</v>
      </c>
      <c r="X481" s="419">
        <f t="shared" si="919"/>
        <v>177.6</v>
      </c>
      <c r="Y481" s="421">
        <f t="shared" si="919"/>
        <v>145.48260869565217</v>
      </c>
      <c r="AA481" s="513"/>
      <c r="AB481" s="563"/>
      <c r="AC481" s="566"/>
      <c r="AD481" s="567" t="s">
        <v>30</v>
      </c>
      <c r="AE481" s="461">
        <f t="shared" ref="AE481:AQ481" si="1030">IFERROR(AE480/AE479,0)</f>
        <v>167.95159851301113</v>
      </c>
      <c r="AF481" s="462">
        <f t="shared" si="1030"/>
        <v>195.01333333333332</v>
      </c>
      <c r="AG481" s="463">
        <f t="shared" si="1030"/>
        <v>181.03735632183907</v>
      </c>
      <c r="AH481" s="463">
        <f t="shared" si="1030"/>
        <v>163.86382978723404</v>
      </c>
      <c r="AI481" s="463">
        <f t="shared" si="1030"/>
        <v>149.97966101694917</v>
      </c>
      <c r="AJ481" s="463">
        <f t="shared" si="1030"/>
        <v>153.01160092807424</v>
      </c>
      <c r="AK481" s="463">
        <f t="shared" si="1030"/>
        <v>161.17777777777778</v>
      </c>
      <c r="AL481" s="463">
        <f t="shared" si="1030"/>
        <v>177.2342857142857</v>
      </c>
      <c r="AM481" s="463">
        <f t="shared" si="1030"/>
        <v>176.93504587155962</v>
      </c>
      <c r="AN481" s="463">
        <f t="shared" si="1030"/>
        <v>0</v>
      </c>
      <c r="AO481" s="463">
        <f t="shared" si="1030"/>
        <v>0</v>
      </c>
      <c r="AP481" s="463">
        <f t="shared" si="1030"/>
        <v>0</v>
      </c>
      <c r="AQ481" s="465">
        <f t="shared" si="1030"/>
        <v>0</v>
      </c>
    </row>
    <row r="482" spans="1:43" ht="7.8" customHeight="1" x14ac:dyDescent="0.25">
      <c r="B482" s="282"/>
      <c r="C482" s="404"/>
      <c r="D482" s="433" t="s">
        <v>42</v>
      </c>
      <c r="E482" s="434" t="s">
        <v>32</v>
      </c>
      <c r="F482" s="435">
        <f t="shared" ref="F482:F483" si="1031">SUM(G482,H482,N482,T482)</f>
        <v>2294</v>
      </c>
      <c r="G482" s="435">
        <v>0</v>
      </c>
      <c r="H482" s="435">
        <v>145</v>
      </c>
      <c r="I482" s="436">
        <v>60</v>
      </c>
      <c r="J482" s="437">
        <v>70</v>
      </c>
      <c r="K482" s="437">
        <v>0</v>
      </c>
      <c r="L482" s="437">
        <v>15</v>
      </c>
      <c r="M482" s="438">
        <v>0</v>
      </c>
      <c r="N482" s="435">
        <f t="shared" ref="N482:N483" si="1032">SUM(O482:S482)</f>
        <v>245</v>
      </c>
      <c r="O482" s="436">
        <v>120</v>
      </c>
      <c r="P482" s="437">
        <v>100</v>
      </c>
      <c r="Q482" s="437">
        <v>25</v>
      </c>
      <c r="R482" s="437">
        <v>0</v>
      </c>
      <c r="S482" s="438">
        <v>0</v>
      </c>
      <c r="T482" s="435">
        <f t="shared" ref="T482:T483" si="1033">SUM(U482:Y482)</f>
        <v>1904</v>
      </c>
      <c r="U482" s="436">
        <v>371</v>
      </c>
      <c r="V482" s="437">
        <v>464</v>
      </c>
      <c r="W482" s="437">
        <v>650</v>
      </c>
      <c r="X482" s="437">
        <v>59</v>
      </c>
      <c r="Y482" s="439">
        <v>360</v>
      </c>
      <c r="AA482" s="513"/>
      <c r="AB482" s="563"/>
      <c r="AC482" s="570" t="s">
        <v>42</v>
      </c>
      <c r="AD482" s="571" t="s">
        <v>32</v>
      </c>
      <c r="AE482" s="186">
        <f t="shared" ref="AE482:AE483" si="1034">SUM(AF482:AQ482)</f>
        <v>5055</v>
      </c>
      <c r="AF482" s="187">
        <f t="shared" ref="AF482:AQ483" si="1035">SUM(AF536,AF590,AF644,AF698,AF752)</f>
        <v>430</v>
      </c>
      <c r="AG482" s="188">
        <f t="shared" si="1035"/>
        <v>635</v>
      </c>
      <c r="AH482" s="188">
        <f t="shared" si="1035"/>
        <v>540</v>
      </c>
      <c r="AI482" s="188">
        <f t="shared" si="1035"/>
        <v>390</v>
      </c>
      <c r="AJ482" s="188">
        <f t="shared" si="1035"/>
        <v>440</v>
      </c>
      <c r="AK482" s="188">
        <f t="shared" si="1035"/>
        <v>395</v>
      </c>
      <c r="AL482" s="188">
        <f t="shared" si="1035"/>
        <v>230</v>
      </c>
      <c r="AM482" s="188">
        <f t="shared" si="1035"/>
        <v>245</v>
      </c>
      <c r="AN482" s="188">
        <f t="shared" si="1035"/>
        <v>600</v>
      </c>
      <c r="AO482" s="188">
        <f t="shared" si="1035"/>
        <v>525</v>
      </c>
      <c r="AP482" s="188">
        <f t="shared" si="1035"/>
        <v>370</v>
      </c>
      <c r="AQ482" s="190">
        <f t="shared" si="1035"/>
        <v>255</v>
      </c>
    </row>
    <row r="483" spans="1:43" s="41" customFormat="1" ht="7.8" customHeight="1" x14ac:dyDescent="0.25">
      <c r="B483" s="282"/>
      <c r="C483" s="404"/>
      <c r="D483" s="446"/>
      <c r="E483" s="447" t="s">
        <v>33</v>
      </c>
      <c r="F483" s="448">
        <f t="shared" si="1031"/>
        <v>407352</v>
      </c>
      <c r="G483" s="448">
        <v>0</v>
      </c>
      <c r="H483" s="448">
        <v>24050</v>
      </c>
      <c r="I483" s="449">
        <v>9600</v>
      </c>
      <c r="J483" s="450">
        <v>11900</v>
      </c>
      <c r="K483" s="450">
        <v>0</v>
      </c>
      <c r="L483" s="450">
        <v>2550</v>
      </c>
      <c r="M483" s="451">
        <v>0</v>
      </c>
      <c r="N483" s="448">
        <f t="shared" si="1032"/>
        <v>41510</v>
      </c>
      <c r="O483" s="449">
        <v>20760</v>
      </c>
      <c r="P483" s="450">
        <v>16500</v>
      </c>
      <c r="Q483" s="450">
        <v>4250</v>
      </c>
      <c r="R483" s="450">
        <v>0</v>
      </c>
      <c r="S483" s="451">
        <v>0</v>
      </c>
      <c r="T483" s="448">
        <f t="shared" si="1033"/>
        <v>341792</v>
      </c>
      <c r="U483" s="449">
        <v>72345</v>
      </c>
      <c r="V483" s="450">
        <v>82592</v>
      </c>
      <c r="W483" s="450">
        <v>107900</v>
      </c>
      <c r="X483" s="450">
        <v>10915</v>
      </c>
      <c r="Y483" s="452">
        <v>68040</v>
      </c>
      <c r="AA483" s="513"/>
      <c r="AB483" s="563"/>
      <c r="AC483" s="572"/>
      <c r="AD483" s="573" t="s">
        <v>33</v>
      </c>
      <c r="AE483" s="163">
        <f t="shared" si="1034"/>
        <v>794495</v>
      </c>
      <c r="AF483" s="231">
        <f t="shared" si="1035"/>
        <v>74500</v>
      </c>
      <c r="AG483" s="232">
        <f t="shared" si="1035"/>
        <v>108300</v>
      </c>
      <c r="AH483" s="232">
        <f t="shared" si="1035"/>
        <v>86600</v>
      </c>
      <c r="AI483" s="232">
        <f t="shared" si="1035"/>
        <v>57800</v>
      </c>
      <c r="AJ483" s="232">
        <f t="shared" si="1035"/>
        <v>66700</v>
      </c>
      <c r="AK483" s="232">
        <f t="shared" si="1035"/>
        <v>61925</v>
      </c>
      <c r="AL483" s="232">
        <f t="shared" si="1035"/>
        <v>40085</v>
      </c>
      <c r="AM483" s="232">
        <f t="shared" si="1035"/>
        <v>41510</v>
      </c>
      <c r="AN483" s="232">
        <f t="shared" si="1035"/>
        <v>87750</v>
      </c>
      <c r="AO483" s="232">
        <f t="shared" si="1035"/>
        <v>75025</v>
      </c>
      <c r="AP483" s="232">
        <f t="shared" si="1035"/>
        <v>53050</v>
      </c>
      <c r="AQ483" s="234">
        <f t="shared" si="1035"/>
        <v>41250</v>
      </c>
    </row>
    <row r="484" spans="1:43" ht="7.8" customHeight="1" x14ac:dyDescent="0.25">
      <c r="B484" s="282"/>
      <c r="C484" s="404"/>
      <c r="D484" s="459"/>
      <c r="E484" s="460" t="s">
        <v>30</v>
      </c>
      <c r="F484" s="461">
        <f t="shared" si="925"/>
        <v>177.57279860505668</v>
      </c>
      <c r="G484" s="461">
        <f t="shared" si="925"/>
        <v>0</v>
      </c>
      <c r="H484" s="461">
        <f t="shared" si="925"/>
        <v>165.86206896551724</v>
      </c>
      <c r="I484" s="462">
        <f t="shared" si="925"/>
        <v>160</v>
      </c>
      <c r="J484" s="463">
        <f t="shared" si="925"/>
        <v>170</v>
      </c>
      <c r="K484" s="463">
        <f t="shared" si="925"/>
        <v>0</v>
      </c>
      <c r="L484" s="463">
        <f t="shared" si="925"/>
        <v>170</v>
      </c>
      <c r="M484" s="464">
        <f t="shared" si="925"/>
        <v>0</v>
      </c>
      <c r="N484" s="461">
        <f t="shared" si="925"/>
        <v>169.42857142857142</v>
      </c>
      <c r="O484" s="462">
        <f t="shared" si="925"/>
        <v>173</v>
      </c>
      <c r="P484" s="463">
        <f t="shared" si="925"/>
        <v>165</v>
      </c>
      <c r="Q484" s="463">
        <f t="shared" si="925"/>
        <v>170</v>
      </c>
      <c r="R484" s="463">
        <f t="shared" si="925"/>
        <v>0</v>
      </c>
      <c r="S484" s="464">
        <f t="shared" si="925"/>
        <v>0</v>
      </c>
      <c r="T484" s="461">
        <f t="shared" si="925"/>
        <v>179.51260504201682</v>
      </c>
      <c r="U484" s="462">
        <f t="shared" si="925"/>
        <v>195</v>
      </c>
      <c r="V484" s="463">
        <f t="shared" si="925"/>
        <v>178</v>
      </c>
      <c r="W484" s="463">
        <f t="shared" si="925"/>
        <v>166</v>
      </c>
      <c r="X484" s="463">
        <f t="shared" si="925"/>
        <v>185</v>
      </c>
      <c r="Y484" s="465">
        <f t="shared" si="925"/>
        <v>189</v>
      </c>
      <c r="AA484" s="513"/>
      <c r="AB484" s="563"/>
      <c r="AC484" s="574"/>
      <c r="AD484" s="575" t="s">
        <v>30</v>
      </c>
      <c r="AE484" s="175">
        <f t="shared" ref="AE484:AQ484" si="1036">IFERROR(AE483/AE482,0)</f>
        <v>157.17012858555884</v>
      </c>
      <c r="AF484" s="176">
        <f t="shared" si="1036"/>
        <v>173.25581395348837</v>
      </c>
      <c r="AG484" s="177">
        <f t="shared" si="1036"/>
        <v>170.55118110236219</v>
      </c>
      <c r="AH484" s="177">
        <f t="shared" si="1036"/>
        <v>160.37037037037038</v>
      </c>
      <c r="AI484" s="177">
        <f t="shared" si="1036"/>
        <v>148.2051282051282</v>
      </c>
      <c r="AJ484" s="177">
        <f t="shared" si="1036"/>
        <v>151.59090909090909</v>
      </c>
      <c r="AK484" s="177">
        <f t="shared" si="1036"/>
        <v>156.77215189873417</v>
      </c>
      <c r="AL484" s="177">
        <f t="shared" si="1036"/>
        <v>174.28260869565219</v>
      </c>
      <c r="AM484" s="177">
        <f t="shared" si="1036"/>
        <v>169.42857142857142</v>
      </c>
      <c r="AN484" s="177">
        <f t="shared" si="1036"/>
        <v>146.25</v>
      </c>
      <c r="AO484" s="177">
        <f t="shared" si="1036"/>
        <v>142.9047619047619</v>
      </c>
      <c r="AP484" s="177">
        <f t="shared" si="1036"/>
        <v>143.37837837837839</v>
      </c>
      <c r="AQ484" s="179">
        <f t="shared" si="1036"/>
        <v>161.76470588235293</v>
      </c>
    </row>
    <row r="485" spans="1:43" ht="7.8" customHeight="1" x14ac:dyDescent="0.25">
      <c r="B485" s="282"/>
      <c r="C485" s="404"/>
      <c r="D485" s="472" t="s">
        <v>43</v>
      </c>
      <c r="E485" s="425" t="s">
        <v>32</v>
      </c>
      <c r="F485" s="426">
        <f t="shared" ref="F485:Y487" si="1037">F482-F479</f>
        <v>-241</v>
      </c>
      <c r="G485" s="426">
        <f t="shared" si="1037"/>
        <v>-314</v>
      </c>
      <c r="H485" s="426">
        <f t="shared" si="1037"/>
        <v>-84</v>
      </c>
      <c r="I485" s="427">
        <f t="shared" si="1037"/>
        <v>-2</v>
      </c>
      <c r="J485" s="428">
        <f t="shared" si="1037"/>
        <v>-52</v>
      </c>
      <c r="K485" s="428">
        <f t="shared" si="1037"/>
        <v>0</v>
      </c>
      <c r="L485" s="428">
        <f t="shared" si="1037"/>
        <v>-30</v>
      </c>
      <c r="M485" s="429">
        <f t="shared" si="1037"/>
        <v>0</v>
      </c>
      <c r="N485" s="426">
        <f t="shared" si="1037"/>
        <v>27</v>
      </c>
      <c r="O485" s="427">
        <f t="shared" si="1037"/>
        <v>-50</v>
      </c>
      <c r="P485" s="428">
        <f t="shared" si="1037"/>
        <v>78</v>
      </c>
      <c r="Q485" s="428">
        <f t="shared" si="1037"/>
        <v>3</v>
      </c>
      <c r="R485" s="428">
        <f t="shared" si="1037"/>
        <v>0</v>
      </c>
      <c r="S485" s="429">
        <f t="shared" si="1037"/>
        <v>-4</v>
      </c>
      <c r="T485" s="426">
        <f t="shared" si="1037"/>
        <v>130</v>
      </c>
      <c r="U485" s="427">
        <f t="shared" si="1037"/>
        <v>290</v>
      </c>
      <c r="V485" s="428">
        <f t="shared" si="1037"/>
        <v>-862</v>
      </c>
      <c r="W485" s="428">
        <f t="shared" si="1037"/>
        <v>341</v>
      </c>
      <c r="X485" s="428">
        <f t="shared" si="1037"/>
        <v>24</v>
      </c>
      <c r="Y485" s="430">
        <f t="shared" si="1037"/>
        <v>337</v>
      </c>
      <c r="AA485" s="513"/>
      <c r="AB485" s="563"/>
      <c r="AC485" s="576" t="s">
        <v>43</v>
      </c>
      <c r="AD485" s="569" t="s">
        <v>32</v>
      </c>
      <c r="AE485" s="435">
        <f t="shared" ref="AE485:AQ487" si="1038">AE482-AE479</f>
        <v>2903</v>
      </c>
      <c r="AF485" s="436">
        <f t="shared" si="1038"/>
        <v>205</v>
      </c>
      <c r="AG485" s="437">
        <f t="shared" si="1038"/>
        <v>287</v>
      </c>
      <c r="AH485" s="437">
        <f t="shared" si="1038"/>
        <v>305</v>
      </c>
      <c r="AI485" s="437">
        <f t="shared" si="1038"/>
        <v>95</v>
      </c>
      <c r="AJ485" s="437">
        <f t="shared" si="1038"/>
        <v>9</v>
      </c>
      <c r="AK485" s="437">
        <f t="shared" si="1038"/>
        <v>170</v>
      </c>
      <c r="AL485" s="437">
        <f t="shared" si="1038"/>
        <v>55</v>
      </c>
      <c r="AM485" s="437">
        <f t="shared" si="1038"/>
        <v>27</v>
      </c>
      <c r="AN485" s="437">
        <f t="shared" si="1038"/>
        <v>600</v>
      </c>
      <c r="AO485" s="437">
        <f t="shared" si="1038"/>
        <v>525</v>
      </c>
      <c r="AP485" s="437">
        <f t="shared" si="1038"/>
        <v>370</v>
      </c>
      <c r="AQ485" s="439">
        <f t="shared" si="1038"/>
        <v>255</v>
      </c>
    </row>
    <row r="486" spans="1:43" s="366" customFormat="1" ht="7.8" customHeight="1" x14ac:dyDescent="0.25">
      <c r="B486" s="282"/>
      <c r="C486" s="404"/>
      <c r="D486" s="405"/>
      <c r="E486" s="474" t="s">
        <v>33</v>
      </c>
      <c r="F486" s="407">
        <f t="shared" si="1037"/>
        <v>-14357.779999999912</v>
      </c>
      <c r="G486" s="407">
        <f t="shared" si="1037"/>
        <v>-49677</v>
      </c>
      <c r="H486" s="407">
        <f t="shared" si="1037"/>
        <v>-15960</v>
      </c>
      <c r="I486" s="408">
        <f t="shared" si="1037"/>
        <v>-916</v>
      </c>
      <c r="J486" s="409">
        <f t="shared" si="1037"/>
        <v>-9734</v>
      </c>
      <c r="K486" s="409">
        <f t="shared" si="1037"/>
        <v>0</v>
      </c>
      <c r="L486" s="409">
        <f t="shared" si="1037"/>
        <v>-5310</v>
      </c>
      <c r="M486" s="410">
        <f t="shared" si="1037"/>
        <v>0</v>
      </c>
      <c r="N486" s="407">
        <f t="shared" si="1037"/>
        <v>2938.1600000000035</v>
      </c>
      <c r="O486" s="408">
        <f t="shared" si="1037"/>
        <v>-9603</v>
      </c>
      <c r="P486" s="409">
        <f t="shared" si="1037"/>
        <v>12715</v>
      </c>
      <c r="Q486" s="409">
        <f t="shared" si="1037"/>
        <v>470</v>
      </c>
      <c r="R486" s="409">
        <f t="shared" si="1037"/>
        <v>0</v>
      </c>
      <c r="S486" s="410">
        <f t="shared" si="1037"/>
        <v>-643.83999999999992</v>
      </c>
      <c r="T486" s="407">
        <f t="shared" si="1037"/>
        <v>48341.060000000056</v>
      </c>
      <c r="U486" s="408">
        <f t="shared" si="1037"/>
        <v>55930.6</v>
      </c>
      <c r="V486" s="409">
        <f t="shared" si="1037"/>
        <v>-124529.78</v>
      </c>
      <c r="W486" s="409">
        <f t="shared" si="1037"/>
        <v>47547.34</v>
      </c>
      <c r="X486" s="409">
        <f t="shared" si="1037"/>
        <v>4699</v>
      </c>
      <c r="Y486" s="411">
        <f t="shared" si="1037"/>
        <v>64693.9</v>
      </c>
      <c r="AA486" s="513"/>
      <c r="AB486" s="563"/>
      <c r="AC486" s="577"/>
      <c r="AD486" s="578" t="s">
        <v>33</v>
      </c>
      <c r="AE486" s="448">
        <f t="shared" si="1038"/>
        <v>433063.16000000003</v>
      </c>
      <c r="AF486" s="449">
        <f t="shared" si="1038"/>
        <v>30622</v>
      </c>
      <c r="AG486" s="450">
        <f t="shared" si="1038"/>
        <v>45299</v>
      </c>
      <c r="AH486" s="450">
        <f t="shared" si="1038"/>
        <v>48092</v>
      </c>
      <c r="AI486" s="450">
        <f t="shared" si="1038"/>
        <v>13556</v>
      </c>
      <c r="AJ486" s="450">
        <f t="shared" si="1038"/>
        <v>752</v>
      </c>
      <c r="AK486" s="450">
        <f t="shared" si="1038"/>
        <v>25660</v>
      </c>
      <c r="AL486" s="450">
        <f t="shared" si="1038"/>
        <v>9069</v>
      </c>
      <c r="AM486" s="450">
        <f t="shared" si="1038"/>
        <v>2938.1600000000035</v>
      </c>
      <c r="AN486" s="450">
        <f t="shared" si="1038"/>
        <v>87750</v>
      </c>
      <c r="AO486" s="450">
        <f t="shared" si="1038"/>
        <v>75025</v>
      </c>
      <c r="AP486" s="450">
        <f t="shared" si="1038"/>
        <v>53050</v>
      </c>
      <c r="AQ486" s="452">
        <f t="shared" si="1038"/>
        <v>41250</v>
      </c>
    </row>
    <row r="487" spans="1:43" ht="7.8" customHeight="1" x14ac:dyDescent="0.25">
      <c r="B487" s="282"/>
      <c r="C487" s="404"/>
      <c r="D487" s="415"/>
      <c r="E487" s="416" t="s">
        <v>30</v>
      </c>
      <c r="F487" s="417">
        <f t="shared" si="1037"/>
        <v>11.217855804267742</v>
      </c>
      <c r="G487" s="417">
        <f t="shared" si="1037"/>
        <v>-158.20700636942675</v>
      </c>
      <c r="H487" s="417">
        <f t="shared" si="1037"/>
        <v>-8.8540882397229268</v>
      </c>
      <c r="I487" s="418">
        <f t="shared" si="1037"/>
        <v>-9.6129032258064626</v>
      </c>
      <c r="J487" s="419">
        <f t="shared" si="1037"/>
        <v>-7.3278688524590052</v>
      </c>
      <c r="K487" s="419">
        <f t="shared" si="1037"/>
        <v>0</v>
      </c>
      <c r="L487" s="419">
        <f t="shared" si="1037"/>
        <v>-4.6666666666666572</v>
      </c>
      <c r="M487" s="420">
        <f t="shared" si="1037"/>
        <v>0</v>
      </c>
      <c r="N487" s="417">
        <f t="shared" si="1037"/>
        <v>-7.5064744429882069</v>
      </c>
      <c r="O487" s="418">
        <f t="shared" si="1037"/>
        <v>-5.6058823529411654</v>
      </c>
      <c r="P487" s="419">
        <f t="shared" si="1037"/>
        <v>-7.0454545454545325</v>
      </c>
      <c r="Q487" s="419">
        <f t="shared" si="1037"/>
        <v>-1.818181818181813</v>
      </c>
      <c r="R487" s="419">
        <f t="shared" si="1037"/>
        <v>0</v>
      </c>
      <c r="S487" s="420">
        <f t="shared" si="1037"/>
        <v>-160.95999999999998</v>
      </c>
      <c r="T487" s="417">
        <f t="shared" si="1037"/>
        <v>14.09493875114876</v>
      </c>
      <c r="U487" s="418">
        <f t="shared" si="1037"/>
        <v>-7.6469135802469452</v>
      </c>
      <c r="V487" s="419">
        <f t="shared" si="1037"/>
        <v>21.79956259426848</v>
      </c>
      <c r="W487" s="419">
        <f t="shared" si="1037"/>
        <v>-29.316051779935293</v>
      </c>
      <c r="X487" s="419">
        <f t="shared" si="1037"/>
        <v>7.4000000000000057</v>
      </c>
      <c r="Y487" s="421">
        <f t="shared" si="1037"/>
        <v>43.517391304347825</v>
      </c>
      <c r="AA487" s="513"/>
      <c r="AB487" s="563"/>
      <c r="AC487" s="579"/>
      <c r="AD487" s="567" t="s">
        <v>30</v>
      </c>
      <c r="AE487" s="461">
        <f t="shared" si="1038"/>
        <v>-10.781469927452292</v>
      </c>
      <c r="AF487" s="462">
        <f t="shared" si="1038"/>
        <v>-21.75751937984495</v>
      </c>
      <c r="AG487" s="463">
        <f t="shared" si="1038"/>
        <v>-10.486175219476877</v>
      </c>
      <c r="AH487" s="463">
        <f t="shared" si="1038"/>
        <v>-3.4934594168636579</v>
      </c>
      <c r="AI487" s="463">
        <f t="shared" si="1038"/>
        <v>-1.7745328118209613</v>
      </c>
      <c r="AJ487" s="463">
        <f t="shared" si="1038"/>
        <v>-1.4206918371651511</v>
      </c>
      <c r="AK487" s="463">
        <f t="shared" si="1038"/>
        <v>-4.4056258790436118</v>
      </c>
      <c r="AL487" s="463">
        <f t="shared" si="1038"/>
        <v>-2.9516770186335179</v>
      </c>
      <c r="AM487" s="463">
        <f t="shared" si="1038"/>
        <v>-7.5064744429882069</v>
      </c>
      <c r="AN487" s="463">
        <f t="shared" si="1038"/>
        <v>146.25</v>
      </c>
      <c r="AO487" s="463">
        <f t="shared" si="1038"/>
        <v>142.9047619047619</v>
      </c>
      <c r="AP487" s="463">
        <f t="shared" si="1038"/>
        <v>143.37837837837839</v>
      </c>
      <c r="AQ487" s="465">
        <f t="shared" si="1038"/>
        <v>161.76470588235293</v>
      </c>
    </row>
    <row r="488" spans="1:43" ht="7.8" customHeight="1" x14ac:dyDescent="0.25">
      <c r="B488" s="282"/>
      <c r="C488" s="404"/>
      <c r="D488" s="472" t="s">
        <v>44</v>
      </c>
      <c r="E488" s="425" t="s">
        <v>32</v>
      </c>
      <c r="F488" s="478">
        <f t="shared" ref="F488:Y490" si="1039">IFERROR((F482-F479)/ABS(F479),"")</f>
        <v>-9.5069033530571986E-2</v>
      </c>
      <c r="G488" s="478">
        <f t="shared" si="1039"/>
        <v>-1</v>
      </c>
      <c r="H488" s="478">
        <f t="shared" si="1039"/>
        <v>-0.36681222707423583</v>
      </c>
      <c r="I488" s="479">
        <f t="shared" si="1039"/>
        <v>-3.2258064516129031E-2</v>
      </c>
      <c r="J488" s="480">
        <f t="shared" si="1039"/>
        <v>-0.42622950819672129</v>
      </c>
      <c r="K488" s="480" t="str">
        <f t="shared" si="1039"/>
        <v/>
      </c>
      <c r="L488" s="480">
        <f t="shared" si="1039"/>
        <v>-0.66666666666666663</v>
      </c>
      <c r="M488" s="481" t="str">
        <f t="shared" si="1039"/>
        <v/>
      </c>
      <c r="N488" s="478">
        <f t="shared" si="1039"/>
        <v>0.12385321100917432</v>
      </c>
      <c r="O488" s="479">
        <f t="shared" si="1039"/>
        <v>-0.29411764705882354</v>
      </c>
      <c r="P488" s="480">
        <f t="shared" si="1039"/>
        <v>3.5454545454545454</v>
      </c>
      <c r="Q488" s="480">
        <f t="shared" si="1039"/>
        <v>0.13636363636363635</v>
      </c>
      <c r="R488" s="480" t="str">
        <f t="shared" si="1039"/>
        <v/>
      </c>
      <c r="S488" s="481">
        <f t="shared" si="1039"/>
        <v>-1</v>
      </c>
      <c r="T488" s="478">
        <f t="shared" si="1039"/>
        <v>7.3280721533258167E-2</v>
      </c>
      <c r="U488" s="479">
        <f t="shared" si="1039"/>
        <v>3.5802469135802468</v>
      </c>
      <c r="V488" s="480">
        <f t="shared" si="1039"/>
        <v>-0.65007541478129716</v>
      </c>
      <c r="W488" s="480">
        <f t="shared" si="1039"/>
        <v>1.1035598705501619</v>
      </c>
      <c r="X488" s="480">
        <f t="shared" si="1039"/>
        <v>0.68571428571428572</v>
      </c>
      <c r="Y488" s="482">
        <f t="shared" si="1039"/>
        <v>14.652173913043478</v>
      </c>
      <c r="AA488" s="513"/>
      <c r="AB488" s="563"/>
      <c r="AC488" s="576" t="s">
        <v>44</v>
      </c>
      <c r="AD488" s="569" t="s">
        <v>32</v>
      </c>
      <c r="AE488" s="580">
        <f t="shared" ref="AE488:AQ490" si="1040">IFERROR((AE482-AE479)/ABS(AE479),"")</f>
        <v>1.3489776951672863</v>
      </c>
      <c r="AF488" s="581">
        <f t="shared" si="1040"/>
        <v>0.91111111111111109</v>
      </c>
      <c r="AG488" s="582">
        <f t="shared" si="1040"/>
        <v>0.82471264367816088</v>
      </c>
      <c r="AH488" s="582">
        <f t="shared" si="1040"/>
        <v>1.2978723404255319</v>
      </c>
      <c r="AI488" s="582">
        <f t="shared" si="1040"/>
        <v>0.32203389830508472</v>
      </c>
      <c r="AJ488" s="582">
        <f t="shared" si="1040"/>
        <v>2.0881670533642691E-2</v>
      </c>
      <c r="AK488" s="582">
        <f t="shared" si="1040"/>
        <v>0.75555555555555554</v>
      </c>
      <c r="AL488" s="582">
        <f t="shared" si="1040"/>
        <v>0.31428571428571428</v>
      </c>
      <c r="AM488" s="582">
        <f t="shared" si="1040"/>
        <v>0.12385321100917432</v>
      </c>
      <c r="AN488" s="582" t="str">
        <f t="shared" si="1040"/>
        <v/>
      </c>
      <c r="AO488" s="582" t="str">
        <f t="shared" si="1040"/>
        <v/>
      </c>
      <c r="AP488" s="582" t="str">
        <f t="shared" si="1040"/>
        <v/>
      </c>
      <c r="AQ488" s="583" t="str">
        <f t="shared" si="1040"/>
        <v/>
      </c>
    </row>
    <row r="489" spans="1:43" ht="7.8" customHeight="1" x14ac:dyDescent="0.25">
      <c r="B489" s="282"/>
      <c r="C489" s="404"/>
      <c r="D489" s="405"/>
      <c r="E489" s="483" t="s">
        <v>33</v>
      </c>
      <c r="F489" s="484">
        <f t="shared" si="1039"/>
        <v>-3.404659005062656E-2</v>
      </c>
      <c r="G489" s="484">
        <f t="shared" si="1039"/>
        <v>-1</v>
      </c>
      <c r="H489" s="484">
        <f t="shared" si="1039"/>
        <v>-0.39890027493126717</v>
      </c>
      <c r="I489" s="485">
        <f t="shared" si="1039"/>
        <v>-8.7105363255990872E-2</v>
      </c>
      <c r="J489" s="486">
        <f t="shared" si="1039"/>
        <v>-0.44993990940186745</v>
      </c>
      <c r="K489" s="486" t="str">
        <f t="shared" si="1039"/>
        <v/>
      </c>
      <c r="L489" s="486">
        <f t="shared" si="1039"/>
        <v>-0.67557251908396942</v>
      </c>
      <c r="M489" s="487" t="str">
        <f t="shared" si="1039"/>
        <v/>
      </c>
      <c r="N489" s="484">
        <f t="shared" si="1039"/>
        <v>7.6173705998987956E-2</v>
      </c>
      <c r="O489" s="485">
        <f t="shared" si="1039"/>
        <v>-0.31627309554391858</v>
      </c>
      <c r="P489" s="486">
        <f t="shared" si="1039"/>
        <v>3.3593130779392339</v>
      </c>
      <c r="Q489" s="486">
        <f t="shared" si="1039"/>
        <v>0.12433862433862433</v>
      </c>
      <c r="R489" s="486" t="str">
        <f t="shared" si="1039"/>
        <v/>
      </c>
      <c r="S489" s="487">
        <f t="shared" si="1039"/>
        <v>-1</v>
      </c>
      <c r="T489" s="484">
        <f t="shared" si="1039"/>
        <v>0.16473302147200505</v>
      </c>
      <c r="U489" s="485">
        <f t="shared" si="1039"/>
        <v>3.4074105663320009</v>
      </c>
      <c r="V489" s="486">
        <f t="shared" si="1039"/>
        <v>-0.60123942542401865</v>
      </c>
      <c r="W489" s="486">
        <f t="shared" si="1039"/>
        <v>0.78782509337616591</v>
      </c>
      <c r="X489" s="486">
        <f t="shared" si="1039"/>
        <v>0.75595238095238093</v>
      </c>
      <c r="Y489" s="488">
        <f t="shared" si="1039"/>
        <v>19.334120319177551</v>
      </c>
      <c r="AA489" s="513"/>
      <c r="AB489" s="563"/>
      <c r="AC489" s="577"/>
      <c r="AD489" s="584" t="s">
        <v>33</v>
      </c>
      <c r="AE489" s="585">
        <f t="shared" si="1040"/>
        <v>1.1981876306193724</v>
      </c>
      <c r="AF489" s="586">
        <f t="shared" si="1040"/>
        <v>0.69788960299010894</v>
      </c>
      <c r="AG489" s="587">
        <f t="shared" si="1040"/>
        <v>0.7190203330105871</v>
      </c>
      <c r="AH489" s="587">
        <f t="shared" si="1040"/>
        <v>1.2488833489145112</v>
      </c>
      <c r="AI489" s="587">
        <f t="shared" si="1040"/>
        <v>0.30639182714040319</v>
      </c>
      <c r="AJ489" s="587">
        <f t="shared" si="1040"/>
        <v>1.1402923515497059E-2</v>
      </c>
      <c r="AK489" s="587">
        <f t="shared" si="1040"/>
        <v>0.70756928167654765</v>
      </c>
      <c r="AL489" s="587">
        <f t="shared" si="1040"/>
        <v>0.29239747227237556</v>
      </c>
      <c r="AM489" s="587">
        <f t="shared" si="1040"/>
        <v>7.6173705998987956E-2</v>
      </c>
      <c r="AN489" s="587" t="str">
        <f t="shared" si="1040"/>
        <v/>
      </c>
      <c r="AO489" s="587" t="str">
        <f t="shared" si="1040"/>
        <v/>
      </c>
      <c r="AP489" s="587" t="str">
        <f t="shared" si="1040"/>
        <v/>
      </c>
      <c r="AQ489" s="588" t="str">
        <f t="shared" si="1040"/>
        <v/>
      </c>
    </row>
    <row r="490" spans="1:43" ht="7.8" customHeight="1" x14ac:dyDescent="0.25">
      <c r="B490" s="282"/>
      <c r="C490" s="502"/>
      <c r="D490" s="503"/>
      <c r="E490" s="504" t="s">
        <v>30</v>
      </c>
      <c r="F490" s="505">
        <f t="shared" si="1039"/>
        <v>6.7433258161142789E-2</v>
      </c>
      <c r="G490" s="505">
        <f t="shared" si="1039"/>
        <v>-1</v>
      </c>
      <c r="H490" s="505">
        <f t="shared" si="1039"/>
        <v>-5.0676985925932276E-2</v>
      </c>
      <c r="I490" s="506">
        <f t="shared" si="1039"/>
        <v>-5.6675542031190629E-2</v>
      </c>
      <c r="J490" s="507">
        <f t="shared" si="1039"/>
        <v>-4.1323842100397461E-2</v>
      </c>
      <c r="K490" s="507" t="str">
        <f t="shared" si="1039"/>
        <v/>
      </c>
      <c r="L490" s="507">
        <f t="shared" si="1039"/>
        <v>-2.6717557251908344E-2</v>
      </c>
      <c r="M490" s="508" t="str">
        <f t="shared" si="1039"/>
        <v/>
      </c>
      <c r="N490" s="505">
        <f t="shared" si="1039"/>
        <v>-4.2425028947839387E-2</v>
      </c>
      <c r="O490" s="506">
        <f t="shared" si="1039"/>
        <v>-3.1386885353884605E-2</v>
      </c>
      <c r="P490" s="507">
        <f t="shared" si="1039"/>
        <v>-4.0951122853368487E-2</v>
      </c>
      <c r="Q490" s="507">
        <f t="shared" si="1039"/>
        <v>-1.0582010582010552E-2</v>
      </c>
      <c r="R490" s="507" t="str">
        <f t="shared" si="1039"/>
        <v/>
      </c>
      <c r="S490" s="508">
        <f t="shared" si="1039"/>
        <v>-1</v>
      </c>
      <c r="T490" s="505">
        <f t="shared" si="1039"/>
        <v>8.5208182821080433E-2</v>
      </c>
      <c r="U490" s="506">
        <f t="shared" si="1039"/>
        <v>-3.7735159372258652E-2</v>
      </c>
      <c r="V490" s="507">
        <f t="shared" si="1039"/>
        <v>0.13956146958567084</v>
      </c>
      <c r="W490" s="507">
        <f t="shared" si="1039"/>
        <v>-0.1500954556104073</v>
      </c>
      <c r="X490" s="507">
        <f t="shared" si="1039"/>
        <v>4.1666666666666699E-2</v>
      </c>
      <c r="Y490" s="509">
        <f t="shared" si="1039"/>
        <v>0.29912435372523233</v>
      </c>
      <c r="AA490" s="513"/>
      <c r="AB490" s="596"/>
      <c r="AC490" s="597"/>
      <c r="AD490" s="598" t="s">
        <v>30</v>
      </c>
      <c r="AE490" s="599">
        <f t="shared" si="1040"/>
        <v>-6.4193910763028883E-2</v>
      </c>
      <c r="AF490" s="600">
        <f t="shared" si="1040"/>
        <v>-0.11156939378424527</v>
      </c>
      <c r="AG490" s="601">
        <f t="shared" si="1040"/>
        <v>-5.7922715137505014E-2</v>
      </c>
      <c r="AH490" s="601">
        <f t="shared" si="1040"/>
        <v>-2.1319283342758899E-2</v>
      </c>
      <c r="AI490" s="601">
        <f t="shared" si="1040"/>
        <v>-1.1831823060464325E-2</v>
      </c>
      <c r="AJ490" s="601">
        <f t="shared" si="1040"/>
        <v>-9.2848635564108106E-3</v>
      </c>
      <c r="AK490" s="601">
        <f t="shared" si="1040"/>
        <v>-2.7333953475384327E-2</v>
      </c>
      <c r="AL490" s="601">
        <f t="shared" si="1040"/>
        <v>-1.6654097184061956E-2</v>
      </c>
      <c r="AM490" s="601">
        <f t="shared" si="1040"/>
        <v>-4.2425028947839387E-2</v>
      </c>
      <c r="AN490" s="601" t="str">
        <f t="shared" si="1040"/>
        <v/>
      </c>
      <c r="AO490" s="601" t="str">
        <f t="shared" si="1040"/>
        <v/>
      </c>
      <c r="AP490" s="601" t="str">
        <f t="shared" si="1040"/>
        <v/>
      </c>
      <c r="AQ490" s="602" t="str">
        <f t="shared" si="1040"/>
        <v/>
      </c>
    </row>
    <row r="491" spans="1:43" ht="7.8" customHeight="1" x14ac:dyDescent="0.25">
      <c r="B491" s="282" t="s">
        <v>64</v>
      </c>
      <c r="C491" s="283" t="s">
        <v>9</v>
      </c>
      <c r="D491" s="284" t="s">
        <v>39</v>
      </c>
      <c r="E491" s="285" t="s">
        <v>32</v>
      </c>
      <c r="F491" s="286">
        <f t="shared" ref="F491:F492" si="1041">SUM(G491,H491,N491,T491)</f>
        <v>0</v>
      </c>
      <c r="G491" s="286">
        <f t="shared" ref="G491:G546" si="1042">SUM(G509,G527)</f>
        <v>0</v>
      </c>
      <c r="H491" s="286">
        <f t="shared" ref="H491:H492" si="1043">SUM(I491:M491)</f>
        <v>0</v>
      </c>
      <c r="I491" s="287">
        <f t="shared" ref="I491:M492" si="1044">SUM(I509,I527)</f>
        <v>0</v>
      </c>
      <c r="J491" s="288">
        <f t="shared" si="1044"/>
        <v>0</v>
      </c>
      <c r="K491" s="288">
        <f t="shared" si="1044"/>
        <v>0</v>
      </c>
      <c r="L491" s="288">
        <f t="shared" si="1044"/>
        <v>0</v>
      </c>
      <c r="M491" s="289">
        <f t="shared" si="1044"/>
        <v>0</v>
      </c>
      <c r="N491" s="286">
        <f t="shared" ref="N491:N492" si="1045">SUM(O491:S491)</f>
        <v>0</v>
      </c>
      <c r="O491" s="287">
        <f t="shared" ref="O491:S492" si="1046">SUM(O509,O527)</f>
        <v>0</v>
      </c>
      <c r="P491" s="288">
        <f t="shared" si="1046"/>
        <v>0</v>
      </c>
      <c r="Q491" s="288">
        <f t="shared" si="1046"/>
        <v>0</v>
      </c>
      <c r="R491" s="288">
        <f t="shared" si="1046"/>
        <v>0</v>
      </c>
      <c r="S491" s="289">
        <f t="shared" si="1046"/>
        <v>0</v>
      </c>
      <c r="T491" s="286">
        <f t="shared" ref="T491:T492" si="1047">SUM(U491:Y491)</f>
        <v>0</v>
      </c>
      <c r="U491" s="287">
        <f t="shared" ref="U491:Y492" si="1048">SUM(U509,U527)</f>
        <v>0</v>
      </c>
      <c r="V491" s="288">
        <f t="shared" si="1048"/>
        <v>0</v>
      </c>
      <c r="W491" s="288">
        <f t="shared" si="1048"/>
        <v>0</v>
      </c>
      <c r="X491" s="288">
        <f t="shared" si="1048"/>
        <v>0</v>
      </c>
      <c r="Y491" s="290">
        <f t="shared" si="1048"/>
        <v>0</v>
      </c>
      <c r="AA491" s="291" t="s">
        <v>65</v>
      </c>
      <c r="AB491" s="292" t="s">
        <v>9</v>
      </c>
      <c r="AC491" s="293" t="s">
        <v>39</v>
      </c>
      <c r="AD491" s="294" t="s">
        <v>32</v>
      </c>
      <c r="AE491" s="286">
        <f t="shared" ref="AE491:AE492" si="1049">SUM(AF491:AQ491)</f>
        <v>0</v>
      </c>
      <c r="AF491" s="287">
        <f t="shared" ref="AF491:AQ492" si="1050">SUM(AF509,AF527)</f>
        <v>0</v>
      </c>
      <c r="AG491" s="288">
        <f t="shared" si="1050"/>
        <v>0</v>
      </c>
      <c r="AH491" s="288">
        <f t="shared" si="1050"/>
        <v>0</v>
      </c>
      <c r="AI491" s="288">
        <f t="shared" si="1050"/>
        <v>0</v>
      </c>
      <c r="AJ491" s="288">
        <f t="shared" si="1050"/>
        <v>0</v>
      </c>
      <c r="AK491" s="288">
        <f t="shared" si="1050"/>
        <v>0</v>
      </c>
      <c r="AL491" s="288">
        <f t="shared" si="1050"/>
        <v>0</v>
      </c>
      <c r="AM491" s="288">
        <f t="shared" si="1050"/>
        <v>0</v>
      </c>
      <c r="AN491" s="288">
        <f t="shared" si="1050"/>
        <v>0</v>
      </c>
      <c r="AO491" s="288">
        <f t="shared" si="1050"/>
        <v>0</v>
      </c>
      <c r="AP491" s="288">
        <f t="shared" si="1050"/>
        <v>0</v>
      </c>
      <c r="AQ491" s="290">
        <f t="shared" si="1050"/>
        <v>0</v>
      </c>
    </row>
    <row r="492" spans="1:43" s="41" customFormat="1" ht="7.8" customHeight="1" x14ac:dyDescent="0.25">
      <c r="B492" s="282"/>
      <c r="C492" s="295"/>
      <c r="D492" s="296"/>
      <c r="E492" s="297" t="s">
        <v>33</v>
      </c>
      <c r="F492" s="298">
        <f t="shared" si="1041"/>
        <v>0</v>
      </c>
      <c r="G492" s="298">
        <f t="shared" si="1042"/>
        <v>0</v>
      </c>
      <c r="H492" s="298">
        <f t="shared" si="1043"/>
        <v>0</v>
      </c>
      <c r="I492" s="299">
        <f t="shared" si="1044"/>
        <v>0</v>
      </c>
      <c r="J492" s="300">
        <f t="shared" si="1044"/>
        <v>0</v>
      </c>
      <c r="K492" s="300">
        <f t="shared" si="1044"/>
        <v>0</v>
      </c>
      <c r="L492" s="300">
        <f t="shared" si="1044"/>
        <v>0</v>
      </c>
      <c r="M492" s="301">
        <f t="shared" si="1044"/>
        <v>0</v>
      </c>
      <c r="N492" s="298">
        <f t="shared" si="1045"/>
        <v>0</v>
      </c>
      <c r="O492" s="299">
        <f t="shared" si="1046"/>
        <v>0</v>
      </c>
      <c r="P492" s="300">
        <f t="shared" si="1046"/>
        <v>0</v>
      </c>
      <c r="Q492" s="300">
        <f t="shared" si="1046"/>
        <v>0</v>
      </c>
      <c r="R492" s="300">
        <f t="shared" si="1046"/>
        <v>0</v>
      </c>
      <c r="S492" s="301">
        <f t="shared" si="1046"/>
        <v>0</v>
      </c>
      <c r="T492" s="298">
        <f t="shared" si="1047"/>
        <v>0</v>
      </c>
      <c r="U492" s="299">
        <f t="shared" si="1048"/>
        <v>0</v>
      </c>
      <c r="V492" s="300">
        <f t="shared" si="1048"/>
        <v>0</v>
      </c>
      <c r="W492" s="300">
        <f t="shared" si="1048"/>
        <v>0</v>
      </c>
      <c r="X492" s="300">
        <f t="shared" si="1048"/>
        <v>0</v>
      </c>
      <c r="Y492" s="302">
        <f t="shared" si="1048"/>
        <v>0</v>
      </c>
      <c r="AA492" s="291"/>
      <c r="AB492" s="303"/>
      <c r="AC492" s="304"/>
      <c r="AD492" s="305" t="s">
        <v>33</v>
      </c>
      <c r="AE492" s="298">
        <f t="shared" si="1049"/>
        <v>0</v>
      </c>
      <c r="AF492" s="299">
        <f t="shared" si="1050"/>
        <v>0</v>
      </c>
      <c r="AG492" s="300">
        <f t="shared" si="1050"/>
        <v>0</v>
      </c>
      <c r="AH492" s="300">
        <f t="shared" si="1050"/>
        <v>0</v>
      </c>
      <c r="AI492" s="300">
        <f t="shared" si="1050"/>
        <v>0</v>
      </c>
      <c r="AJ492" s="300">
        <f t="shared" si="1050"/>
        <v>0</v>
      </c>
      <c r="AK492" s="300">
        <f t="shared" si="1050"/>
        <v>0</v>
      </c>
      <c r="AL492" s="300">
        <f t="shared" si="1050"/>
        <v>0</v>
      </c>
      <c r="AM492" s="300">
        <f t="shared" si="1050"/>
        <v>0</v>
      </c>
      <c r="AN492" s="300">
        <f t="shared" si="1050"/>
        <v>0</v>
      </c>
      <c r="AO492" s="300">
        <f t="shared" si="1050"/>
        <v>0</v>
      </c>
      <c r="AP492" s="300">
        <f t="shared" si="1050"/>
        <v>0</v>
      </c>
      <c r="AQ492" s="302">
        <f t="shared" si="1050"/>
        <v>0</v>
      </c>
    </row>
    <row r="493" spans="1:43" ht="7.8" customHeight="1" x14ac:dyDescent="0.25">
      <c r="B493" s="282"/>
      <c r="C493" s="295"/>
      <c r="D493" s="306"/>
      <c r="E493" s="307" t="s">
        <v>30</v>
      </c>
      <c r="F493" s="308">
        <f t="shared" ref="F493:Y547" si="1051">IFERROR(F492/F491,0)</f>
        <v>0</v>
      </c>
      <c r="G493" s="308">
        <f t="shared" si="1051"/>
        <v>0</v>
      </c>
      <c r="H493" s="308">
        <f t="shared" si="1051"/>
        <v>0</v>
      </c>
      <c r="I493" s="309">
        <f t="shared" si="1051"/>
        <v>0</v>
      </c>
      <c r="J493" s="310">
        <f t="shared" si="1051"/>
        <v>0</v>
      </c>
      <c r="K493" s="310">
        <f t="shared" si="1051"/>
        <v>0</v>
      </c>
      <c r="L493" s="310">
        <f t="shared" si="1051"/>
        <v>0</v>
      </c>
      <c r="M493" s="311">
        <f t="shared" si="1051"/>
        <v>0</v>
      </c>
      <c r="N493" s="308">
        <f t="shared" si="1051"/>
        <v>0</v>
      </c>
      <c r="O493" s="309">
        <f t="shared" si="1051"/>
        <v>0</v>
      </c>
      <c r="P493" s="310">
        <f t="shared" si="1051"/>
        <v>0</v>
      </c>
      <c r="Q493" s="310">
        <f t="shared" si="1051"/>
        <v>0</v>
      </c>
      <c r="R493" s="310">
        <f t="shared" si="1051"/>
        <v>0</v>
      </c>
      <c r="S493" s="311">
        <f t="shared" si="1051"/>
        <v>0</v>
      </c>
      <c r="T493" s="308">
        <f t="shared" si="1051"/>
        <v>0</v>
      </c>
      <c r="U493" s="309">
        <f t="shared" si="1051"/>
        <v>0</v>
      </c>
      <c r="V493" s="310">
        <f t="shared" si="1051"/>
        <v>0</v>
      </c>
      <c r="W493" s="310">
        <f t="shared" si="1051"/>
        <v>0</v>
      </c>
      <c r="X493" s="310">
        <f t="shared" si="1051"/>
        <v>0</v>
      </c>
      <c r="Y493" s="312">
        <f t="shared" si="1051"/>
        <v>0</v>
      </c>
      <c r="AA493" s="291"/>
      <c r="AB493" s="303"/>
      <c r="AC493" s="313"/>
      <c r="AD493" s="314" t="s">
        <v>30</v>
      </c>
      <c r="AE493" s="308">
        <f t="shared" ref="AE493:AQ493" si="1052">IFERROR(AE492/AE491,0)</f>
        <v>0</v>
      </c>
      <c r="AF493" s="309">
        <f t="shared" si="1052"/>
        <v>0</v>
      </c>
      <c r="AG493" s="310">
        <f t="shared" si="1052"/>
        <v>0</v>
      </c>
      <c r="AH493" s="310">
        <f t="shared" si="1052"/>
        <v>0</v>
      </c>
      <c r="AI493" s="310">
        <f t="shared" si="1052"/>
        <v>0</v>
      </c>
      <c r="AJ493" s="310">
        <f t="shared" si="1052"/>
        <v>0</v>
      </c>
      <c r="AK493" s="310">
        <f t="shared" si="1052"/>
        <v>0</v>
      </c>
      <c r="AL493" s="310">
        <f t="shared" si="1052"/>
        <v>0</v>
      </c>
      <c r="AM493" s="310">
        <f t="shared" si="1052"/>
        <v>0</v>
      </c>
      <c r="AN493" s="310">
        <f t="shared" si="1052"/>
        <v>0</v>
      </c>
      <c r="AO493" s="310">
        <f t="shared" si="1052"/>
        <v>0</v>
      </c>
      <c r="AP493" s="310">
        <f t="shared" si="1052"/>
        <v>0</v>
      </c>
      <c r="AQ493" s="312">
        <f t="shared" si="1052"/>
        <v>0</v>
      </c>
    </row>
    <row r="494" spans="1:43" ht="7.8" customHeight="1" x14ac:dyDescent="0.25">
      <c r="A494" s="526"/>
      <c r="B494" s="282"/>
      <c r="C494" s="295"/>
      <c r="D494" s="315" t="s">
        <v>40</v>
      </c>
      <c r="E494" s="316" t="s">
        <v>32</v>
      </c>
      <c r="F494" s="317">
        <f t="shared" ref="F494:F495" si="1053">SUM(G494,H494,N494,T494)</f>
        <v>6683</v>
      </c>
      <c r="G494" s="317">
        <f t="shared" si="942"/>
        <v>1001</v>
      </c>
      <c r="H494" s="317">
        <f t="shared" ref="H494:H495" si="1054">SUM(I494:M494)</f>
        <v>330</v>
      </c>
      <c r="I494" s="318">
        <f t="shared" ref="I494:M495" si="1055">SUM(I512,I530)</f>
        <v>114</v>
      </c>
      <c r="J494" s="319">
        <f t="shared" si="1055"/>
        <v>77</v>
      </c>
      <c r="K494" s="319">
        <f t="shared" si="1055"/>
        <v>51</v>
      </c>
      <c r="L494" s="319">
        <f t="shared" si="1055"/>
        <v>0</v>
      </c>
      <c r="M494" s="320">
        <f t="shared" si="1055"/>
        <v>88</v>
      </c>
      <c r="N494" s="317">
        <f t="shared" ref="N494:N495" si="1056">SUM(O494:S494)</f>
        <v>1519</v>
      </c>
      <c r="O494" s="318">
        <f t="shared" ref="O494:S495" si="1057">SUM(O512,O530)</f>
        <v>663</v>
      </c>
      <c r="P494" s="319">
        <f t="shared" si="1057"/>
        <v>698</v>
      </c>
      <c r="Q494" s="319">
        <f t="shared" si="1057"/>
        <v>147</v>
      </c>
      <c r="R494" s="319">
        <f t="shared" si="1057"/>
        <v>0</v>
      </c>
      <c r="S494" s="320">
        <f t="shared" si="1057"/>
        <v>11</v>
      </c>
      <c r="T494" s="317">
        <f t="shared" ref="T494:T495" si="1058">SUM(U494:Y494)</f>
        <v>3833</v>
      </c>
      <c r="U494" s="318">
        <f t="shared" ref="U494:Y495" si="1059">SUM(U512,U530)</f>
        <v>404</v>
      </c>
      <c r="V494" s="319">
        <f t="shared" si="1059"/>
        <v>1439</v>
      </c>
      <c r="W494" s="319">
        <f t="shared" si="1059"/>
        <v>1668</v>
      </c>
      <c r="X494" s="319">
        <f t="shared" si="1059"/>
        <v>192</v>
      </c>
      <c r="Y494" s="321">
        <f t="shared" si="1059"/>
        <v>130</v>
      </c>
      <c r="Z494" s="526"/>
      <c r="AA494" s="291"/>
      <c r="AB494" s="303"/>
      <c r="AC494" s="322" t="s">
        <v>40</v>
      </c>
      <c r="AD494" s="323" t="s">
        <v>32</v>
      </c>
      <c r="AE494" s="317">
        <f t="shared" ref="AE494:AE495" si="1060">SUM(AF494:AQ494)</f>
        <v>7833</v>
      </c>
      <c r="AF494" s="318">
        <f t="shared" ref="AF494:AQ495" si="1061">SUM(AF512,AF530)</f>
        <v>1046</v>
      </c>
      <c r="AG494" s="319">
        <f t="shared" si="1061"/>
        <v>985</v>
      </c>
      <c r="AH494" s="319">
        <f t="shared" si="1061"/>
        <v>612</v>
      </c>
      <c r="AI494" s="319">
        <f t="shared" si="1061"/>
        <v>514</v>
      </c>
      <c r="AJ494" s="319">
        <f t="shared" si="1061"/>
        <v>889</v>
      </c>
      <c r="AK494" s="319">
        <f t="shared" si="1061"/>
        <v>432</v>
      </c>
      <c r="AL494" s="319">
        <f t="shared" si="1061"/>
        <v>456</v>
      </c>
      <c r="AM494" s="319">
        <f t="shared" si="1061"/>
        <v>359</v>
      </c>
      <c r="AN494" s="319">
        <f t="shared" si="1061"/>
        <v>663</v>
      </c>
      <c r="AO494" s="319">
        <f t="shared" si="1061"/>
        <v>556</v>
      </c>
      <c r="AP494" s="319">
        <f t="shared" si="1061"/>
        <v>690</v>
      </c>
      <c r="AQ494" s="321">
        <f t="shared" si="1061"/>
        <v>631</v>
      </c>
    </row>
    <row r="495" spans="1:43" s="41" customFormat="1" ht="7.8" customHeight="1" x14ac:dyDescent="0.25">
      <c r="A495" s="529"/>
      <c r="B495" s="282"/>
      <c r="C495" s="295"/>
      <c r="D495" s="296"/>
      <c r="E495" s="297" t="s">
        <v>33</v>
      </c>
      <c r="F495" s="298">
        <f t="shared" si="1053"/>
        <v>1091099</v>
      </c>
      <c r="G495" s="298">
        <f t="shared" si="942"/>
        <v>156000</v>
      </c>
      <c r="H495" s="298">
        <f t="shared" si="1054"/>
        <v>49457</v>
      </c>
      <c r="I495" s="299">
        <f t="shared" si="1055"/>
        <v>16980</v>
      </c>
      <c r="J495" s="300">
        <f t="shared" si="1055"/>
        <v>11020</v>
      </c>
      <c r="K495" s="300">
        <f t="shared" si="1055"/>
        <v>7905</v>
      </c>
      <c r="L495" s="300">
        <f t="shared" si="1055"/>
        <v>0</v>
      </c>
      <c r="M495" s="301">
        <f t="shared" si="1055"/>
        <v>13552</v>
      </c>
      <c r="N495" s="298">
        <f t="shared" si="1056"/>
        <v>220102</v>
      </c>
      <c r="O495" s="299">
        <f t="shared" si="1057"/>
        <v>99830</v>
      </c>
      <c r="P495" s="300">
        <f t="shared" si="1057"/>
        <v>97277</v>
      </c>
      <c r="Q495" s="300">
        <f t="shared" si="1057"/>
        <v>21455</v>
      </c>
      <c r="R495" s="300">
        <f t="shared" si="1057"/>
        <v>0</v>
      </c>
      <c r="S495" s="301">
        <f t="shared" si="1057"/>
        <v>1540</v>
      </c>
      <c r="T495" s="298">
        <f t="shared" si="1058"/>
        <v>665540</v>
      </c>
      <c r="U495" s="299">
        <f t="shared" si="1059"/>
        <v>79268.730000000025</v>
      </c>
      <c r="V495" s="300">
        <f t="shared" si="1059"/>
        <v>233037.43</v>
      </c>
      <c r="W495" s="300">
        <f t="shared" si="1059"/>
        <v>277582.83999999997</v>
      </c>
      <c r="X495" s="300">
        <f t="shared" si="1059"/>
        <v>30352</v>
      </c>
      <c r="Y495" s="302">
        <f t="shared" si="1059"/>
        <v>45299</v>
      </c>
      <c r="Z495" s="529"/>
      <c r="AA495" s="291"/>
      <c r="AB495" s="303"/>
      <c r="AC495" s="304"/>
      <c r="AD495" s="305" t="s">
        <v>33</v>
      </c>
      <c r="AE495" s="298">
        <f t="shared" si="1060"/>
        <v>1296984.1400000001</v>
      </c>
      <c r="AF495" s="299">
        <f t="shared" si="1061"/>
        <v>194804</v>
      </c>
      <c r="AG495" s="300">
        <f t="shared" si="1061"/>
        <v>179953</v>
      </c>
      <c r="AH495" s="300">
        <f t="shared" si="1061"/>
        <v>103165</v>
      </c>
      <c r="AI495" s="300">
        <f t="shared" si="1061"/>
        <v>76165</v>
      </c>
      <c r="AJ495" s="300">
        <f t="shared" si="1061"/>
        <v>129080</v>
      </c>
      <c r="AK495" s="300">
        <f t="shared" si="1061"/>
        <v>70514</v>
      </c>
      <c r="AL495" s="300">
        <f t="shared" si="1061"/>
        <v>84933</v>
      </c>
      <c r="AM495" s="300">
        <f t="shared" si="1061"/>
        <v>62466</v>
      </c>
      <c r="AN495" s="300">
        <f t="shared" si="1061"/>
        <v>99830</v>
      </c>
      <c r="AO495" s="300">
        <f t="shared" si="1061"/>
        <v>81390</v>
      </c>
      <c r="AP495" s="300">
        <f t="shared" si="1061"/>
        <v>107564.14000000001</v>
      </c>
      <c r="AQ495" s="302">
        <f t="shared" si="1061"/>
        <v>107120</v>
      </c>
    </row>
    <row r="496" spans="1:43" ht="7.8" customHeight="1" x14ac:dyDescent="0.25">
      <c r="A496" s="526"/>
      <c r="B496" s="282"/>
      <c r="C496" s="295"/>
      <c r="D496" s="306"/>
      <c r="E496" s="307" t="s">
        <v>30</v>
      </c>
      <c r="F496" s="308">
        <f t="shared" ref="F496:Y550" si="1062">IFERROR(F495/F494,0)</f>
        <v>163.26485111476882</v>
      </c>
      <c r="G496" s="308">
        <f t="shared" si="1062"/>
        <v>155.84415584415584</v>
      </c>
      <c r="H496" s="308">
        <f t="shared" si="1062"/>
        <v>149.86969696969697</v>
      </c>
      <c r="I496" s="309">
        <f t="shared" si="1062"/>
        <v>148.94736842105263</v>
      </c>
      <c r="J496" s="310">
        <f t="shared" si="1062"/>
        <v>143.11688311688312</v>
      </c>
      <c r="K496" s="310">
        <f t="shared" si="1062"/>
        <v>155</v>
      </c>
      <c r="L496" s="310">
        <f t="shared" si="1062"/>
        <v>0</v>
      </c>
      <c r="M496" s="311">
        <f t="shared" si="1062"/>
        <v>154</v>
      </c>
      <c r="N496" s="308">
        <f t="shared" si="1062"/>
        <v>144.89927583936802</v>
      </c>
      <c r="O496" s="309">
        <f t="shared" si="1062"/>
        <v>150.57315233785823</v>
      </c>
      <c r="P496" s="310">
        <f t="shared" si="1062"/>
        <v>139.36532951289399</v>
      </c>
      <c r="Q496" s="310">
        <f t="shared" si="1062"/>
        <v>145.95238095238096</v>
      </c>
      <c r="R496" s="310">
        <f t="shared" si="1062"/>
        <v>0</v>
      </c>
      <c r="S496" s="311">
        <f t="shared" si="1062"/>
        <v>140</v>
      </c>
      <c r="T496" s="308">
        <f t="shared" si="1062"/>
        <v>173.63422906339682</v>
      </c>
      <c r="U496" s="309">
        <f t="shared" si="1062"/>
        <v>196.20972772277233</v>
      </c>
      <c r="V496" s="310">
        <f t="shared" si="1062"/>
        <v>161.94400972897844</v>
      </c>
      <c r="W496" s="310">
        <f t="shared" si="1062"/>
        <v>166.41657074340526</v>
      </c>
      <c r="X496" s="310">
        <f t="shared" si="1062"/>
        <v>158.08333333333334</v>
      </c>
      <c r="Y496" s="312">
        <f t="shared" si="1062"/>
        <v>348.45384615384614</v>
      </c>
      <c r="Z496" s="526"/>
      <c r="AA496" s="291"/>
      <c r="AB496" s="303"/>
      <c r="AC496" s="313"/>
      <c r="AD496" s="314" t="s">
        <v>30</v>
      </c>
      <c r="AE496" s="308">
        <f t="shared" ref="AE496:AQ496" si="1063">IFERROR(AE495/AE494,0)</f>
        <v>165.57948933997193</v>
      </c>
      <c r="AF496" s="309">
        <f t="shared" si="1063"/>
        <v>186.23709369024857</v>
      </c>
      <c r="AG496" s="310">
        <f t="shared" si="1063"/>
        <v>182.69340101522843</v>
      </c>
      <c r="AH496" s="310">
        <f t="shared" si="1063"/>
        <v>168.5702614379085</v>
      </c>
      <c r="AI496" s="310">
        <f t="shared" si="1063"/>
        <v>148.18093385214007</v>
      </c>
      <c r="AJ496" s="310">
        <f t="shared" si="1063"/>
        <v>145.1968503937008</v>
      </c>
      <c r="AK496" s="310">
        <f t="shared" si="1063"/>
        <v>163.22685185185185</v>
      </c>
      <c r="AL496" s="310">
        <f t="shared" si="1063"/>
        <v>186.25657894736841</v>
      </c>
      <c r="AM496" s="310">
        <f t="shared" si="1063"/>
        <v>174</v>
      </c>
      <c r="AN496" s="310">
        <f t="shared" si="1063"/>
        <v>150.57315233785823</v>
      </c>
      <c r="AO496" s="310">
        <f t="shared" si="1063"/>
        <v>146.38489208633092</v>
      </c>
      <c r="AP496" s="310">
        <f t="shared" si="1063"/>
        <v>155.8900579710145</v>
      </c>
      <c r="AQ496" s="312">
        <f t="shared" si="1063"/>
        <v>169.7622820919176</v>
      </c>
    </row>
    <row r="497" spans="2:43" ht="7.8" customHeight="1" x14ac:dyDescent="0.25">
      <c r="B497" s="282"/>
      <c r="C497" s="295"/>
      <c r="D497" s="315" t="s">
        <v>41</v>
      </c>
      <c r="E497" s="316" t="s">
        <v>32</v>
      </c>
      <c r="F497" s="317">
        <f t="shared" ref="F497:F498" si="1064">SUM(G497,H497,N497,T497)</f>
        <v>7362</v>
      </c>
      <c r="G497" s="317">
        <f t="shared" si="953"/>
        <v>422</v>
      </c>
      <c r="H497" s="317">
        <f t="shared" ref="H497:H498" si="1065">SUM(I497:M497)</f>
        <v>272</v>
      </c>
      <c r="I497" s="318">
        <f t="shared" ref="I497:M498" si="1066">SUM(I515,I533)</f>
        <v>272</v>
      </c>
      <c r="J497" s="319">
        <f t="shared" si="1066"/>
        <v>0</v>
      </c>
      <c r="K497" s="319">
        <f t="shared" si="1066"/>
        <v>0</v>
      </c>
      <c r="L497" s="319">
        <f t="shared" si="1066"/>
        <v>0</v>
      </c>
      <c r="M497" s="320">
        <f t="shared" si="1066"/>
        <v>0</v>
      </c>
      <c r="N497" s="317">
        <f t="shared" ref="N497:N498" si="1067">SUM(O497:S497)</f>
        <v>1009</v>
      </c>
      <c r="O497" s="318">
        <f t="shared" ref="O497:S498" si="1068">SUM(O515,O533)</f>
        <v>1009</v>
      </c>
      <c r="P497" s="319">
        <f t="shared" si="1068"/>
        <v>0</v>
      </c>
      <c r="Q497" s="319">
        <f t="shared" si="1068"/>
        <v>0</v>
      </c>
      <c r="R497" s="319">
        <f t="shared" si="1068"/>
        <v>0</v>
      </c>
      <c r="S497" s="320">
        <f t="shared" si="1068"/>
        <v>0</v>
      </c>
      <c r="T497" s="317">
        <f t="shared" ref="T497:T498" si="1069">SUM(U497:Y497)</f>
        <v>5659</v>
      </c>
      <c r="U497" s="318">
        <f t="shared" ref="U497:Y498" si="1070">SUM(U515,U533)</f>
        <v>5659</v>
      </c>
      <c r="V497" s="319">
        <f t="shared" si="1070"/>
        <v>0</v>
      </c>
      <c r="W497" s="319">
        <f t="shared" si="1070"/>
        <v>0</v>
      </c>
      <c r="X497" s="319">
        <f t="shared" si="1070"/>
        <v>0</v>
      </c>
      <c r="Y497" s="321">
        <f t="shared" si="1070"/>
        <v>0</v>
      </c>
      <c r="AA497" s="291"/>
      <c r="AB497" s="303"/>
      <c r="AC497" s="322" t="s">
        <v>41</v>
      </c>
      <c r="AD497" s="323" t="s">
        <v>32</v>
      </c>
      <c r="AE497" s="317">
        <f t="shared" ref="AE497:AE498" si="1071">SUM(AF497:AQ497)</f>
        <v>5645</v>
      </c>
      <c r="AF497" s="318">
        <f t="shared" ref="AF497:AQ498" si="1072">SUM(AF515,AF533)</f>
        <v>569</v>
      </c>
      <c r="AG497" s="319">
        <f t="shared" si="1072"/>
        <v>781</v>
      </c>
      <c r="AH497" s="319">
        <f t="shared" si="1072"/>
        <v>379</v>
      </c>
      <c r="AI497" s="319">
        <f t="shared" si="1072"/>
        <v>660</v>
      </c>
      <c r="AJ497" s="319">
        <f t="shared" si="1072"/>
        <v>820</v>
      </c>
      <c r="AK497" s="319">
        <f t="shared" si="1072"/>
        <v>394</v>
      </c>
      <c r="AL497" s="319">
        <f t="shared" si="1072"/>
        <v>498</v>
      </c>
      <c r="AM497" s="319">
        <f t="shared" si="1072"/>
        <v>535</v>
      </c>
      <c r="AN497" s="319">
        <f t="shared" si="1072"/>
        <v>1009</v>
      </c>
      <c r="AO497" s="319">
        <f t="shared" si="1072"/>
        <v>0</v>
      </c>
      <c r="AP497" s="319">
        <f t="shared" si="1072"/>
        <v>0</v>
      </c>
      <c r="AQ497" s="321">
        <f t="shared" si="1072"/>
        <v>0</v>
      </c>
    </row>
    <row r="498" spans="2:43" s="41" customFormat="1" ht="7.8" customHeight="1" x14ac:dyDescent="0.25">
      <c r="B498" s="282"/>
      <c r="C498" s="295"/>
      <c r="D498" s="296"/>
      <c r="E498" s="297" t="s">
        <v>33</v>
      </c>
      <c r="F498" s="298">
        <f t="shared" si="1064"/>
        <v>1052106.54</v>
      </c>
      <c r="G498" s="298">
        <f t="shared" si="953"/>
        <v>66033</v>
      </c>
      <c r="H498" s="298">
        <f t="shared" si="1065"/>
        <v>38815</v>
      </c>
      <c r="I498" s="299">
        <f t="shared" si="1066"/>
        <v>38815</v>
      </c>
      <c r="J498" s="300">
        <f t="shared" si="1066"/>
        <v>0</v>
      </c>
      <c r="K498" s="300">
        <f t="shared" si="1066"/>
        <v>0</v>
      </c>
      <c r="L498" s="300">
        <f t="shared" si="1066"/>
        <v>0</v>
      </c>
      <c r="M498" s="301">
        <f t="shared" si="1066"/>
        <v>0</v>
      </c>
      <c r="N498" s="298">
        <f t="shared" si="1067"/>
        <v>148434</v>
      </c>
      <c r="O498" s="299">
        <f t="shared" si="1068"/>
        <v>148434</v>
      </c>
      <c r="P498" s="300">
        <f t="shared" si="1068"/>
        <v>0</v>
      </c>
      <c r="Q498" s="300">
        <f t="shared" si="1068"/>
        <v>0</v>
      </c>
      <c r="R498" s="300">
        <f t="shared" si="1068"/>
        <v>0</v>
      </c>
      <c r="S498" s="301">
        <f t="shared" si="1068"/>
        <v>0</v>
      </c>
      <c r="T498" s="298">
        <f t="shared" si="1069"/>
        <v>798824.54</v>
      </c>
      <c r="U498" s="299">
        <f t="shared" si="1070"/>
        <v>798824.54</v>
      </c>
      <c r="V498" s="300">
        <f t="shared" si="1070"/>
        <v>0</v>
      </c>
      <c r="W498" s="300">
        <f t="shared" si="1070"/>
        <v>0</v>
      </c>
      <c r="X498" s="300">
        <f t="shared" si="1070"/>
        <v>0</v>
      </c>
      <c r="Y498" s="302">
        <f t="shared" si="1070"/>
        <v>0</v>
      </c>
      <c r="AA498" s="291"/>
      <c r="AB498" s="303"/>
      <c r="AC498" s="304"/>
      <c r="AD498" s="305" t="s">
        <v>33</v>
      </c>
      <c r="AE498" s="298">
        <f t="shared" si="1071"/>
        <v>944949</v>
      </c>
      <c r="AF498" s="299">
        <f t="shared" si="1072"/>
        <v>107708</v>
      </c>
      <c r="AG498" s="300">
        <f t="shared" si="1072"/>
        <v>143115</v>
      </c>
      <c r="AH498" s="300">
        <f t="shared" si="1072"/>
        <v>63910</v>
      </c>
      <c r="AI498" s="300">
        <f t="shared" si="1072"/>
        <v>100394</v>
      </c>
      <c r="AJ498" s="300">
        <f t="shared" si="1072"/>
        <v>126607</v>
      </c>
      <c r="AK498" s="300">
        <f t="shared" si="1072"/>
        <v>64745</v>
      </c>
      <c r="AL498" s="300">
        <f t="shared" si="1072"/>
        <v>90239</v>
      </c>
      <c r="AM498" s="300">
        <f t="shared" si="1072"/>
        <v>99797</v>
      </c>
      <c r="AN498" s="300">
        <f t="shared" si="1072"/>
        <v>148434</v>
      </c>
      <c r="AO498" s="300">
        <f t="shared" si="1072"/>
        <v>0</v>
      </c>
      <c r="AP498" s="300">
        <f t="shared" si="1072"/>
        <v>0</v>
      </c>
      <c r="AQ498" s="302">
        <f t="shared" si="1072"/>
        <v>0</v>
      </c>
    </row>
    <row r="499" spans="2:43" ht="7.8" customHeight="1" x14ac:dyDescent="0.25">
      <c r="B499" s="282"/>
      <c r="C499" s="295"/>
      <c r="D499" s="306"/>
      <c r="E499" s="307" t="s">
        <v>30</v>
      </c>
      <c r="F499" s="308">
        <f t="shared" ref="F499:Y553" si="1073">IFERROR(F498/F497,0)</f>
        <v>142.91042379788101</v>
      </c>
      <c r="G499" s="308">
        <f t="shared" si="1073"/>
        <v>156.47630331753555</v>
      </c>
      <c r="H499" s="308">
        <f t="shared" si="1073"/>
        <v>142.70220588235293</v>
      </c>
      <c r="I499" s="309">
        <f t="shared" si="1073"/>
        <v>142.70220588235293</v>
      </c>
      <c r="J499" s="310">
        <f t="shared" si="1073"/>
        <v>0</v>
      </c>
      <c r="K499" s="310">
        <f t="shared" si="1073"/>
        <v>0</v>
      </c>
      <c r="L499" s="310">
        <f t="shared" si="1073"/>
        <v>0</v>
      </c>
      <c r="M499" s="311">
        <f t="shared" si="1073"/>
        <v>0</v>
      </c>
      <c r="N499" s="308">
        <f t="shared" si="1073"/>
        <v>147.11000991080277</v>
      </c>
      <c r="O499" s="309">
        <f t="shared" si="1073"/>
        <v>147.11000991080277</v>
      </c>
      <c r="P499" s="310">
        <f t="shared" si="1073"/>
        <v>0</v>
      </c>
      <c r="Q499" s="310">
        <f t="shared" si="1073"/>
        <v>0</v>
      </c>
      <c r="R499" s="310">
        <f t="shared" si="1073"/>
        <v>0</v>
      </c>
      <c r="S499" s="311">
        <f t="shared" si="1073"/>
        <v>0</v>
      </c>
      <c r="T499" s="308">
        <f t="shared" si="1073"/>
        <v>141.1600176709666</v>
      </c>
      <c r="U499" s="309">
        <f t="shared" si="1073"/>
        <v>141.1600176709666</v>
      </c>
      <c r="V499" s="310">
        <f t="shared" si="1073"/>
        <v>0</v>
      </c>
      <c r="W499" s="310">
        <f t="shared" si="1073"/>
        <v>0</v>
      </c>
      <c r="X499" s="310">
        <f t="shared" si="1073"/>
        <v>0</v>
      </c>
      <c r="Y499" s="312">
        <f t="shared" si="1073"/>
        <v>0</v>
      </c>
      <c r="AA499" s="291"/>
      <c r="AB499" s="303"/>
      <c r="AC499" s="313"/>
      <c r="AD499" s="314" t="s">
        <v>30</v>
      </c>
      <c r="AE499" s="308">
        <f t="shared" ref="AE499:AQ499" si="1074">IFERROR(AE498/AE497,0)</f>
        <v>167.3957484499557</v>
      </c>
      <c r="AF499" s="309">
        <f t="shared" si="1074"/>
        <v>189.29349736379612</v>
      </c>
      <c r="AG499" s="310">
        <f t="shared" si="1074"/>
        <v>183.24583866837389</v>
      </c>
      <c r="AH499" s="310">
        <f t="shared" si="1074"/>
        <v>168.62796833773086</v>
      </c>
      <c r="AI499" s="310">
        <f t="shared" si="1074"/>
        <v>152.11212121212122</v>
      </c>
      <c r="AJ499" s="310">
        <f t="shared" si="1074"/>
        <v>154.39878048780488</v>
      </c>
      <c r="AK499" s="310">
        <f t="shared" si="1074"/>
        <v>164.32741116751268</v>
      </c>
      <c r="AL499" s="310">
        <f t="shared" si="1074"/>
        <v>181.20281124497993</v>
      </c>
      <c r="AM499" s="310">
        <f t="shared" si="1074"/>
        <v>186.53644859813085</v>
      </c>
      <c r="AN499" s="310">
        <f t="shared" si="1074"/>
        <v>147.11000991080277</v>
      </c>
      <c r="AO499" s="310">
        <f t="shared" si="1074"/>
        <v>0</v>
      </c>
      <c r="AP499" s="310">
        <f t="shared" si="1074"/>
        <v>0</v>
      </c>
      <c r="AQ499" s="312">
        <f t="shared" si="1074"/>
        <v>0</v>
      </c>
    </row>
    <row r="500" spans="2:43" ht="7.8" customHeight="1" x14ac:dyDescent="0.25">
      <c r="B500" s="282"/>
      <c r="C500" s="295"/>
      <c r="D500" s="324" t="s">
        <v>42</v>
      </c>
      <c r="E500" s="325" t="s">
        <v>32</v>
      </c>
      <c r="F500" s="326">
        <f t="shared" ref="F500:F501" si="1075">SUM(G500,H500,N500,T500)</f>
        <v>7552</v>
      </c>
      <c r="G500" s="326">
        <f t="shared" si="964"/>
        <v>0</v>
      </c>
      <c r="H500" s="326">
        <f t="shared" ref="H500:H501" si="1076">SUM(I500:M500)</f>
        <v>500</v>
      </c>
      <c r="I500" s="327">
        <f t="shared" ref="I500:M501" si="1077">SUM(I518,I536)</f>
        <v>150</v>
      </c>
      <c r="J500" s="328">
        <f t="shared" si="1077"/>
        <v>160</v>
      </c>
      <c r="K500" s="328">
        <f t="shared" si="1077"/>
        <v>100</v>
      </c>
      <c r="L500" s="328">
        <f t="shared" si="1077"/>
        <v>90</v>
      </c>
      <c r="M500" s="329">
        <f t="shared" si="1077"/>
        <v>0</v>
      </c>
      <c r="N500" s="326">
        <f t="shared" ref="N500:N501" si="1078">SUM(O500:S500)</f>
        <v>1780</v>
      </c>
      <c r="O500" s="327">
        <f t="shared" ref="O500:S501" si="1079">SUM(O518,O536)</f>
        <v>900</v>
      </c>
      <c r="P500" s="328">
        <f t="shared" si="1079"/>
        <v>750</v>
      </c>
      <c r="Q500" s="328">
        <f t="shared" si="1079"/>
        <v>130</v>
      </c>
      <c r="R500" s="328">
        <f t="shared" si="1079"/>
        <v>0</v>
      </c>
      <c r="S500" s="329">
        <f t="shared" si="1079"/>
        <v>0</v>
      </c>
      <c r="T500" s="326">
        <f t="shared" ref="T500:T501" si="1080">SUM(U500:Y500)</f>
        <v>5272</v>
      </c>
      <c r="U500" s="327">
        <f t="shared" ref="U500:Y501" si="1081">SUM(U518,U536)</f>
        <v>650</v>
      </c>
      <c r="V500" s="328">
        <f t="shared" si="1081"/>
        <v>2236</v>
      </c>
      <c r="W500" s="328">
        <f t="shared" si="1081"/>
        <v>1736</v>
      </c>
      <c r="X500" s="328">
        <f t="shared" si="1081"/>
        <v>100</v>
      </c>
      <c r="Y500" s="330">
        <f t="shared" si="1081"/>
        <v>550</v>
      </c>
      <c r="AA500" s="291"/>
      <c r="AB500" s="303"/>
      <c r="AC500" s="527" t="s">
        <v>42</v>
      </c>
      <c r="AD500" s="528" t="s">
        <v>32</v>
      </c>
      <c r="AE500" s="333">
        <f t="shared" ref="AE500:AE501" si="1082">SUM(AF500:AQ500)</f>
        <v>7715</v>
      </c>
      <c r="AF500" s="334">
        <f t="shared" ref="AF500:AQ501" si="1083">SUM(AF518,AF536)</f>
        <v>680</v>
      </c>
      <c r="AG500" s="335">
        <f t="shared" si="1083"/>
        <v>900</v>
      </c>
      <c r="AH500" s="335">
        <f t="shared" si="1083"/>
        <v>550</v>
      </c>
      <c r="AI500" s="335">
        <f t="shared" si="1083"/>
        <v>750</v>
      </c>
      <c r="AJ500" s="335">
        <f t="shared" si="1083"/>
        <v>900</v>
      </c>
      <c r="AK500" s="335">
        <f t="shared" si="1083"/>
        <v>435</v>
      </c>
      <c r="AL500" s="335">
        <f t="shared" si="1083"/>
        <v>400</v>
      </c>
      <c r="AM500" s="335">
        <f t="shared" si="1083"/>
        <v>450</v>
      </c>
      <c r="AN500" s="335">
        <f t="shared" si="1083"/>
        <v>900</v>
      </c>
      <c r="AO500" s="335">
        <f t="shared" si="1083"/>
        <v>550</v>
      </c>
      <c r="AP500" s="335">
        <f t="shared" si="1083"/>
        <v>600</v>
      </c>
      <c r="AQ500" s="336">
        <f t="shared" si="1083"/>
        <v>600</v>
      </c>
    </row>
    <row r="501" spans="2:43" s="41" customFormat="1" ht="7.8" customHeight="1" x14ac:dyDescent="0.25">
      <c r="B501" s="282"/>
      <c r="C501" s="295"/>
      <c r="D501" s="337"/>
      <c r="E501" s="338" t="s">
        <v>33</v>
      </c>
      <c r="F501" s="339">
        <f t="shared" si="1075"/>
        <v>1271300</v>
      </c>
      <c r="G501" s="339">
        <f t="shared" si="964"/>
        <v>0</v>
      </c>
      <c r="H501" s="339">
        <f t="shared" si="1076"/>
        <v>72450</v>
      </c>
      <c r="I501" s="340">
        <f t="shared" si="1077"/>
        <v>21750</v>
      </c>
      <c r="J501" s="341">
        <f t="shared" si="1077"/>
        <v>23200</v>
      </c>
      <c r="K501" s="341">
        <f t="shared" si="1077"/>
        <v>14000</v>
      </c>
      <c r="L501" s="341">
        <f t="shared" si="1077"/>
        <v>13500</v>
      </c>
      <c r="M501" s="342">
        <f t="shared" si="1077"/>
        <v>0</v>
      </c>
      <c r="N501" s="339">
        <f t="shared" si="1078"/>
        <v>260450</v>
      </c>
      <c r="O501" s="340">
        <f t="shared" si="1079"/>
        <v>135000</v>
      </c>
      <c r="P501" s="341">
        <f t="shared" si="1079"/>
        <v>107250</v>
      </c>
      <c r="Q501" s="341">
        <f t="shared" si="1079"/>
        <v>18200</v>
      </c>
      <c r="R501" s="341">
        <f t="shared" si="1079"/>
        <v>0</v>
      </c>
      <c r="S501" s="342">
        <f t="shared" si="1079"/>
        <v>0</v>
      </c>
      <c r="T501" s="339">
        <f t="shared" si="1080"/>
        <v>938400</v>
      </c>
      <c r="U501" s="340">
        <f t="shared" si="1081"/>
        <v>117000</v>
      </c>
      <c r="V501" s="341">
        <f t="shared" si="1081"/>
        <v>403200</v>
      </c>
      <c r="W501" s="341">
        <f t="shared" si="1081"/>
        <v>304000</v>
      </c>
      <c r="X501" s="341">
        <f t="shared" si="1081"/>
        <v>18500</v>
      </c>
      <c r="Y501" s="343">
        <f t="shared" si="1081"/>
        <v>95700</v>
      </c>
      <c r="AA501" s="291"/>
      <c r="AB501" s="303"/>
      <c r="AC501" s="522"/>
      <c r="AD501" s="523" t="s">
        <v>33</v>
      </c>
      <c r="AE501" s="346">
        <f t="shared" si="1082"/>
        <v>1244675</v>
      </c>
      <c r="AF501" s="347">
        <f t="shared" si="1083"/>
        <v>119000</v>
      </c>
      <c r="AG501" s="348">
        <f t="shared" si="1083"/>
        <v>153000</v>
      </c>
      <c r="AH501" s="348">
        <f t="shared" si="1083"/>
        <v>90750</v>
      </c>
      <c r="AI501" s="348">
        <f t="shared" si="1083"/>
        <v>112500</v>
      </c>
      <c r="AJ501" s="348">
        <f t="shared" si="1083"/>
        <v>139500</v>
      </c>
      <c r="AK501" s="348">
        <f t="shared" si="1083"/>
        <v>71775</v>
      </c>
      <c r="AL501" s="348">
        <f t="shared" si="1083"/>
        <v>72000</v>
      </c>
      <c r="AM501" s="348">
        <f t="shared" si="1083"/>
        <v>77850</v>
      </c>
      <c r="AN501" s="348">
        <f t="shared" si="1083"/>
        <v>135000</v>
      </c>
      <c r="AO501" s="348">
        <f t="shared" si="1083"/>
        <v>82500</v>
      </c>
      <c r="AP501" s="348">
        <f t="shared" si="1083"/>
        <v>90000</v>
      </c>
      <c r="AQ501" s="349">
        <f t="shared" si="1083"/>
        <v>100800</v>
      </c>
    </row>
    <row r="502" spans="2:43" ht="7.8" customHeight="1" x14ac:dyDescent="0.25">
      <c r="B502" s="282"/>
      <c r="C502" s="295"/>
      <c r="D502" s="350"/>
      <c r="E502" s="351" t="s">
        <v>30</v>
      </c>
      <c r="F502" s="352">
        <f t="shared" ref="F502:Y556" si="1084">IFERROR(F501/F500,0)</f>
        <v>168.33951271186442</v>
      </c>
      <c r="G502" s="352">
        <f t="shared" si="1084"/>
        <v>0</v>
      </c>
      <c r="H502" s="352">
        <f t="shared" si="1084"/>
        <v>144.9</v>
      </c>
      <c r="I502" s="353">
        <f t="shared" si="1084"/>
        <v>145</v>
      </c>
      <c r="J502" s="354">
        <f t="shared" si="1084"/>
        <v>145</v>
      </c>
      <c r="K502" s="354">
        <f t="shared" si="1084"/>
        <v>140</v>
      </c>
      <c r="L502" s="354">
        <f t="shared" si="1084"/>
        <v>150</v>
      </c>
      <c r="M502" s="355">
        <f t="shared" si="1084"/>
        <v>0</v>
      </c>
      <c r="N502" s="352">
        <f t="shared" si="1084"/>
        <v>146.32022471910113</v>
      </c>
      <c r="O502" s="353">
        <f t="shared" si="1084"/>
        <v>150</v>
      </c>
      <c r="P502" s="354">
        <f t="shared" si="1084"/>
        <v>143</v>
      </c>
      <c r="Q502" s="354">
        <f t="shared" si="1084"/>
        <v>140</v>
      </c>
      <c r="R502" s="354">
        <f t="shared" si="1084"/>
        <v>0</v>
      </c>
      <c r="S502" s="355">
        <f t="shared" si="1084"/>
        <v>0</v>
      </c>
      <c r="T502" s="352">
        <f t="shared" si="1084"/>
        <v>177.99696509863429</v>
      </c>
      <c r="U502" s="353">
        <f t="shared" si="1084"/>
        <v>180</v>
      </c>
      <c r="V502" s="354">
        <f t="shared" si="1084"/>
        <v>180.32200357781753</v>
      </c>
      <c r="W502" s="354">
        <f t="shared" si="1084"/>
        <v>175.11520737327189</v>
      </c>
      <c r="X502" s="354">
        <f t="shared" si="1084"/>
        <v>185</v>
      </c>
      <c r="Y502" s="356">
        <f t="shared" si="1084"/>
        <v>174</v>
      </c>
      <c r="AA502" s="291"/>
      <c r="AB502" s="303"/>
      <c r="AC502" s="524"/>
      <c r="AD502" s="525" t="s">
        <v>30</v>
      </c>
      <c r="AE502" s="359">
        <f t="shared" ref="AE502:AQ502" si="1085">IFERROR(AE501/AE500,0)</f>
        <v>161.33182112767335</v>
      </c>
      <c r="AF502" s="360">
        <f t="shared" si="1085"/>
        <v>175</v>
      </c>
      <c r="AG502" s="361">
        <f t="shared" si="1085"/>
        <v>170</v>
      </c>
      <c r="AH502" s="361">
        <f t="shared" si="1085"/>
        <v>165</v>
      </c>
      <c r="AI502" s="361">
        <f t="shared" si="1085"/>
        <v>150</v>
      </c>
      <c r="AJ502" s="361">
        <f t="shared" si="1085"/>
        <v>155</v>
      </c>
      <c r="AK502" s="361">
        <f t="shared" si="1085"/>
        <v>165</v>
      </c>
      <c r="AL502" s="361">
        <f t="shared" si="1085"/>
        <v>180</v>
      </c>
      <c r="AM502" s="361">
        <f t="shared" si="1085"/>
        <v>173</v>
      </c>
      <c r="AN502" s="361">
        <f t="shared" si="1085"/>
        <v>150</v>
      </c>
      <c r="AO502" s="361">
        <f t="shared" si="1085"/>
        <v>150</v>
      </c>
      <c r="AP502" s="361">
        <f t="shared" si="1085"/>
        <v>150</v>
      </c>
      <c r="AQ502" s="362">
        <f t="shared" si="1085"/>
        <v>168</v>
      </c>
    </row>
    <row r="503" spans="2:43" ht="7.8" customHeight="1" x14ac:dyDescent="0.25">
      <c r="B503" s="282"/>
      <c r="C503" s="295"/>
      <c r="D503" s="363" t="s">
        <v>43</v>
      </c>
      <c r="E503" s="316" t="s">
        <v>32</v>
      </c>
      <c r="F503" s="317">
        <f t="shared" ref="F503:Y505" si="1086">F500-F497</f>
        <v>190</v>
      </c>
      <c r="G503" s="317">
        <f t="shared" si="1086"/>
        <v>-422</v>
      </c>
      <c r="H503" s="317">
        <f t="shared" si="1086"/>
        <v>228</v>
      </c>
      <c r="I503" s="318">
        <f t="shared" si="1086"/>
        <v>-122</v>
      </c>
      <c r="J503" s="319">
        <f t="shared" si="1086"/>
        <v>160</v>
      </c>
      <c r="K503" s="319">
        <f t="shared" si="1086"/>
        <v>100</v>
      </c>
      <c r="L503" s="319">
        <f t="shared" si="1086"/>
        <v>90</v>
      </c>
      <c r="M503" s="320">
        <f t="shared" si="1086"/>
        <v>0</v>
      </c>
      <c r="N503" s="317">
        <f t="shared" si="1086"/>
        <v>771</v>
      </c>
      <c r="O503" s="318">
        <f t="shared" si="1086"/>
        <v>-109</v>
      </c>
      <c r="P503" s="319">
        <f t="shared" si="1086"/>
        <v>750</v>
      </c>
      <c r="Q503" s="319">
        <f t="shared" si="1086"/>
        <v>130</v>
      </c>
      <c r="R503" s="319">
        <f t="shared" si="1086"/>
        <v>0</v>
      </c>
      <c r="S503" s="320">
        <f t="shared" si="1086"/>
        <v>0</v>
      </c>
      <c r="T503" s="317">
        <f t="shared" si="1086"/>
        <v>-387</v>
      </c>
      <c r="U503" s="318">
        <f t="shared" si="1086"/>
        <v>-5009</v>
      </c>
      <c r="V503" s="319">
        <f t="shared" si="1086"/>
        <v>2236</v>
      </c>
      <c r="W503" s="319">
        <f t="shared" si="1086"/>
        <v>1736</v>
      </c>
      <c r="X503" s="319">
        <f t="shared" si="1086"/>
        <v>100</v>
      </c>
      <c r="Y503" s="321">
        <f t="shared" si="1086"/>
        <v>550</v>
      </c>
      <c r="AA503" s="291"/>
      <c r="AB503" s="303"/>
      <c r="AC503" s="364" t="s">
        <v>43</v>
      </c>
      <c r="AD503" s="323" t="s">
        <v>32</v>
      </c>
      <c r="AE503" s="317">
        <f t="shared" ref="AE503:AQ505" si="1087">AE500-AE497</f>
        <v>2070</v>
      </c>
      <c r="AF503" s="318">
        <f t="shared" si="1087"/>
        <v>111</v>
      </c>
      <c r="AG503" s="319">
        <f t="shared" si="1087"/>
        <v>119</v>
      </c>
      <c r="AH503" s="319">
        <f t="shared" si="1087"/>
        <v>171</v>
      </c>
      <c r="AI503" s="319">
        <f t="shared" si="1087"/>
        <v>90</v>
      </c>
      <c r="AJ503" s="319">
        <f t="shared" si="1087"/>
        <v>80</v>
      </c>
      <c r="AK503" s="319">
        <f t="shared" si="1087"/>
        <v>41</v>
      </c>
      <c r="AL503" s="319">
        <f t="shared" si="1087"/>
        <v>-98</v>
      </c>
      <c r="AM503" s="319">
        <f t="shared" si="1087"/>
        <v>-85</v>
      </c>
      <c r="AN503" s="319">
        <f t="shared" si="1087"/>
        <v>-109</v>
      </c>
      <c r="AO503" s="319">
        <f t="shared" si="1087"/>
        <v>550</v>
      </c>
      <c r="AP503" s="319">
        <f t="shared" si="1087"/>
        <v>600</v>
      </c>
      <c r="AQ503" s="321">
        <f t="shared" si="1087"/>
        <v>600</v>
      </c>
    </row>
    <row r="504" spans="2:43" s="366" customFormat="1" ht="7.8" customHeight="1" x14ac:dyDescent="0.25">
      <c r="B504" s="282"/>
      <c r="C504" s="295"/>
      <c r="D504" s="296"/>
      <c r="E504" s="365" t="s">
        <v>33</v>
      </c>
      <c r="F504" s="298">
        <f t="shared" si="1086"/>
        <v>219193.45999999996</v>
      </c>
      <c r="G504" s="298">
        <f t="shared" si="1086"/>
        <v>-66033</v>
      </c>
      <c r="H504" s="298">
        <f t="shared" si="1086"/>
        <v>33635</v>
      </c>
      <c r="I504" s="299">
        <f t="shared" si="1086"/>
        <v>-17065</v>
      </c>
      <c r="J504" s="300">
        <f t="shared" si="1086"/>
        <v>23200</v>
      </c>
      <c r="K504" s="300">
        <f t="shared" si="1086"/>
        <v>14000</v>
      </c>
      <c r="L504" s="300">
        <f t="shared" si="1086"/>
        <v>13500</v>
      </c>
      <c r="M504" s="301">
        <f t="shared" si="1086"/>
        <v>0</v>
      </c>
      <c r="N504" s="298">
        <f t="shared" si="1086"/>
        <v>112016</v>
      </c>
      <c r="O504" s="299">
        <f t="shared" si="1086"/>
        <v>-13434</v>
      </c>
      <c r="P504" s="300">
        <f t="shared" si="1086"/>
        <v>107250</v>
      </c>
      <c r="Q504" s="300">
        <f t="shared" si="1086"/>
        <v>18200</v>
      </c>
      <c r="R504" s="300">
        <f t="shared" si="1086"/>
        <v>0</v>
      </c>
      <c r="S504" s="301">
        <f t="shared" si="1086"/>
        <v>0</v>
      </c>
      <c r="T504" s="298">
        <f t="shared" si="1086"/>
        <v>139575.45999999996</v>
      </c>
      <c r="U504" s="299">
        <f t="shared" si="1086"/>
        <v>-681824.54</v>
      </c>
      <c r="V504" s="300">
        <f t="shared" si="1086"/>
        <v>403200</v>
      </c>
      <c r="W504" s="300">
        <f t="shared" si="1086"/>
        <v>304000</v>
      </c>
      <c r="X504" s="300">
        <f t="shared" si="1086"/>
        <v>18500</v>
      </c>
      <c r="Y504" s="302">
        <f t="shared" si="1086"/>
        <v>95700</v>
      </c>
      <c r="AA504" s="291"/>
      <c r="AB504" s="303"/>
      <c r="AC504" s="367"/>
      <c r="AD504" s="368" t="s">
        <v>33</v>
      </c>
      <c r="AE504" s="298">
        <f t="shared" si="1087"/>
        <v>299726</v>
      </c>
      <c r="AF504" s="299">
        <f t="shared" si="1087"/>
        <v>11292</v>
      </c>
      <c r="AG504" s="300">
        <f t="shared" si="1087"/>
        <v>9885</v>
      </c>
      <c r="AH504" s="300">
        <f t="shared" si="1087"/>
        <v>26840</v>
      </c>
      <c r="AI504" s="300">
        <f t="shared" si="1087"/>
        <v>12106</v>
      </c>
      <c r="AJ504" s="300">
        <f t="shared" si="1087"/>
        <v>12893</v>
      </c>
      <c r="AK504" s="300">
        <f t="shared" si="1087"/>
        <v>7030</v>
      </c>
      <c r="AL504" s="300">
        <f t="shared" si="1087"/>
        <v>-18239</v>
      </c>
      <c r="AM504" s="300">
        <f t="shared" si="1087"/>
        <v>-21947</v>
      </c>
      <c r="AN504" s="300">
        <f t="shared" si="1087"/>
        <v>-13434</v>
      </c>
      <c r="AO504" s="300">
        <f t="shared" si="1087"/>
        <v>82500</v>
      </c>
      <c r="AP504" s="300">
        <f t="shared" si="1087"/>
        <v>90000</v>
      </c>
      <c r="AQ504" s="302">
        <f t="shared" si="1087"/>
        <v>100800</v>
      </c>
    </row>
    <row r="505" spans="2:43" ht="7.8" customHeight="1" x14ac:dyDescent="0.25">
      <c r="B505" s="282"/>
      <c r="C505" s="295"/>
      <c r="D505" s="306"/>
      <c r="E505" s="307" t="s">
        <v>30</v>
      </c>
      <c r="F505" s="308">
        <f t="shared" si="1086"/>
        <v>25.429088913983406</v>
      </c>
      <c r="G505" s="308">
        <f t="shared" si="1086"/>
        <v>-156.47630331753555</v>
      </c>
      <c r="H505" s="308">
        <f t="shared" si="1086"/>
        <v>2.1977941176470779</v>
      </c>
      <c r="I505" s="309">
        <f t="shared" si="1086"/>
        <v>2.2977941176470722</v>
      </c>
      <c r="J505" s="310">
        <f t="shared" si="1086"/>
        <v>145</v>
      </c>
      <c r="K505" s="310">
        <f t="shared" si="1086"/>
        <v>140</v>
      </c>
      <c r="L505" s="310">
        <f t="shared" si="1086"/>
        <v>150</v>
      </c>
      <c r="M505" s="311">
        <f t="shared" si="1086"/>
        <v>0</v>
      </c>
      <c r="N505" s="308">
        <f t="shared" si="1086"/>
        <v>-0.78978519170163963</v>
      </c>
      <c r="O505" s="309">
        <f t="shared" si="1086"/>
        <v>2.8899900891972266</v>
      </c>
      <c r="P505" s="310">
        <f t="shared" si="1086"/>
        <v>143</v>
      </c>
      <c r="Q505" s="310">
        <f t="shared" si="1086"/>
        <v>140</v>
      </c>
      <c r="R505" s="310">
        <f t="shared" si="1086"/>
        <v>0</v>
      </c>
      <c r="S505" s="311">
        <f t="shared" si="1086"/>
        <v>0</v>
      </c>
      <c r="T505" s="308">
        <f t="shared" si="1086"/>
        <v>36.836947427667695</v>
      </c>
      <c r="U505" s="309">
        <f t="shared" si="1086"/>
        <v>38.839982329033404</v>
      </c>
      <c r="V505" s="310">
        <f t="shared" si="1086"/>
        <v>180.32200357781753</v>
      </c>
      <c r="W505" s="310">
        <f t="shared" si="1086"/>
        <v>175.11520737327189</v>
      </c>
      <c r="X505" s="310">
        <f t="shared" si="1086"/>
        <v>185</v>
      </c>
      <c r="Y505" s="312">
        <f t="shared" si="1086"/>
        <v>174</v>
      </c>
      <c r="AA505" s="291"/>
      <c r="AB505" s="303"/>
      <c r="AC505" s="369"/>
      <c r="AD505" s="314" t="s">
        <v>30</v>
      </c>
      <c r="AE505" s="308">
        <f t="shared" si="1087"/>
        <v>-6.0639273222823533</v>
      </c>
      <c r="AF505" s="309">
        <f t="shared" si="1087"/>
        <v>-14.293497363796121</v>
      </c>
      <c r="AG505" s="310">
        <f t="shared" si="1087"/>
        <v>-13.245838668373892</v>
      </c>
      <c r="AH505" s="310">
        <f t="shared" si="1087"/>
        <v>-3.6279683377308629</v>
      </c>
      <c r="AI505" s="310">
        <f t="shared" si="1087"/>
        <v>-2.1121212121212238</v>
      </c>
      <c r="AJ505" s="310">
        <f t="shared" si="1087"/>
        <v>0.60121951219511516</v>
      </c>
      <c r="AK505" s="310">
        <f t="shared" si="1087"/>
        <v>0.67258883248732104</v>
      </c>
      <c r="AL505" s="310">
        <f t="shared" si="1087"/>
        <v>-1.2028112449799266</v>
      </c>
      <c r="AM505" s="310">
        <f t="shared" si="1087"/>
        <v>-13.536448598130846</v>
      </c>
      <c r="AN505" s="310">
        <f t="shared" si="1087"/>
        <v>2.8899900891972266</v>
      </c>
      <c r="AO505" s="310">
        <f t="shared" si="1087"/>
        <v>150</v>
      </c>
      <c r="AP505" s="310">
        <f t="shared" si="1087"/>
        <v>150</v>
      </c>
      <c r="AQ505" s="312">
        <f t="shared" si="1087"/>
        <v>168</v>
      </c>
    </row>
    <row r="506" spans="2:43" ht="7.8" customHeight="1" x14ac:dyDescent="0.25">
      <c r="B506" s="282"/>
      <c r="C506" s="295"/>
      <c r="D506" s="363" t="s">
        <v>44</v>
      </c>
      <c r="E506" s="316" t="s">
        <v>32</v>
      </c>
      <c r="F506" s="370">
        <f t="shared" ref="F506:Y508" si="1088">IFERROR((F500-F497)/ABS(F497),"")</f>
        <v>2.580820429231187E-2</v>
      </c>
      <c r="G506" s="370">
        <f t="shared" si="1088"/>
        <v>-1</v>
      </c>
      <c r="H506" s="370">
        <f t="shared" si="1088"/>
        <v>0.83823529411764708</v>
      </c>
      <c r="I506" s="371">
        <f t="shared" si="1088"/>
        <v>-0.4485294117647059</v>
      </c>
      <c r="J506" s="372" t="str">
        <f t="shared" si="1088"/>
        <v/>
      </c>
      <c r="K506" s="372" t="str">
        <f t="shared" si="1088"/>
        <v/>
      </c>
      <c r="L506" s="372" t="str">
        <f t="shared" si="1088"/>
        <v/>
      </c>
      <c r="M506" s="373" t="str">
        <f t="shared" si="1088"/>
        <v/>
      </c>
      <c r="N506" s="370">
        <f t="shared" si="1088"/>
        <v>0.76412289395441035</v>
      </c>
      <c r="O506" s="371">
        <f t="shared" si="1088"/>
        <v>-0.10802775024777007</v>
      </c>
      <c r="P506" s="372" t="str">
        <f t="shared" si="1088"/>
        <v/>
      </c>
      <c r="Q506" s="372" t="str">
        <f t="shared" si="1088"/>
        <v/>
      </c>
      <c r="R506" s="372" t="str">
        <f t="shared" si="1088"/>
        <v/>
      </c>
      <c r="S506" s="373" t="str">
        <f t="shared" si="1088"/>
        <v/>
      </c>
      <c r="T506" s="370">
        <f t="shared" si="1088"/>
        <v>-6.8386640749248981E-2</v>
      </c>
      <c r="U506" s="371">
        <f t="shared" si="1088"/>
        <v>-0.88513871708782466</v>
      </c>
      <c r="V506" s="372" t="str">
        <f t="shared" si="1088"/>
        <v/>
      </c>
      <c r="W506" s="372" t="str">
        <f t="shared" si="1088"/>
        <v/>
      </c>
      <c r="X506" s="372" t="str">
        <f t="shared" si="1088"/>
        <v/>
      </c>
      <c r="Y506" s="374" t="str">
        <f t="shared" si="1088"/>
        <v/>
      </c>
      <c r="AA506" s="291"/>
      <c r="AB506" s="303"/>
      <c r="AC506" s="364" t="s">
        <v>44</v>
      </c>
      <c r="AD506" s="323" t="s">
        <v>32</v>
      </c>
      <c r="AE506" s="370">
        <f t="shared" ref="AE506:AQ508" si="1089">IFERROR((AE500-AE497)/ABS(AE497),"")</f>
        <v>0.36669619131975201</v>
      </c>
      <c r="AF506" s="371">
        <f t="shared" si="1089"/>
        <v>0.19507908611599298</v>
      </c>
      <c r="AG506" s="372">
        <f t="shared" si="1089"/>
        <v>0.15236875800256081</v>
      </c>
      <c r="AH506" s="372">
        <f t="shared" si="1089"/>
        <v>0.45118733509234826</v>
      </c>
      <c r="AI506" s="372">
        <f t="shared" si="1089"/>
        <v>0.13636363636363635</v>
      </c>
      <c r="AJ506" s="372">
        <f t="shared" si="1089"/>
        <v>9.7560975609756101E-2</v>
      </c>
      <c r="AK506" s="372">
        <f t="shared" si="1089"/>
        <v>0.10406091370558376</v>
      </c>
      <c r="AL506" s="372">
        <f t="shared" si="1089"/>
        <v>-0.19678714859437751</v>
      </c>
      <c r="AM506" s="372">
        <f t="shared" si="1089"/>
        <v>-0.15887850467289719</v>
      </c>
      <c r="AN506" s="372">
        <f t="shared" si="1089"/>
        <v>-0.10802775024777007</v>
      </c>
      <c r="AO506" s="372" t="str">
        <f t="shared" si="1089"/>
        <v/>
      </c>
      <c r="AP506" s="372" t="str">
        <f t="shared" si="1089"/>
        <v/>
      </c>
      <c r="AQ506" s="374" t="str">
        <f t="shared" si="1089"/>
        <v/>
      </c>
    </row>
    <row r="507" spans="2:43" ht="7.8" customHeight="1" x14ac:dyDescent="0.25">
      <c r="B507" s="282"/>
      <c r="C507" s="295"/>
      <c r="D507" s="296"/>
      <c r="E507" s="375" t="s">
        <v>33</v>
      </c>
      <c r="F507" s="376">
        <f t="shared" si="1088"/>
        <v>0.20833770313793501</v>
      </c>
      <c r="G507" s="376">
        <f t="shared" si="1088"/>
        <v>-1</v>
      </c>
      <c r="H507" s="376">
        <f t="shared" si="1088"/>
        <v>0.86654643823264199</v>
      </c>
      <c r="I507" s="377">
        <f t="shared" si="1088"/>
        <v>-0.43964961999227103</v>
      </c>
      <c r="J507" s="378" t="str">
        <f t="shared" si="1088"/>
        <v/>
      </c>
      <c r="K507" s="378" t="str">
        <f t="shared" si="1088"/>
        <v/>
      </c>
      <c r="L507" s="378" t="str">
        <f t="shared" si="1088"/>
        <v/>
      </c>
      <c r="M507" s="379" t="str">
        <f t="shared" si="1088"/>
        <v/>
      </c>
      <c r="N507" s="376">
        <f t="shared" si="1088"/>
        <v>0.75465189916056963</v>
      </c>
      <c r="O507" s="377">
        <f t="shared" si="1088"/>
        <v>-9.0504870851691663E-2</v>
      </c>
      <c r="P507" s="378" t="str">
        <f t="shared" si="1088"/>
        <v/>
      </c>
      <c r="Q507" s="378" t="str">
        <f t="shared" si="1088"/>
        <v/>
      </c>
      <c r="R507" s="378" t="str">
        <f t="shared" si="1088"/>
        <v/>
      </c>
      <c r="S507" s="379" t="str">
        <f t="shared" si="1088"/>
        <v/>
      </c>
      <c r="T507" s="376">
        <f t="shared" si="1088"/>
        <v>0.17472605435982219</v>
      </c>
      <c r="U507" s="377">
        <f t="shared" si="1088"/>
        <v>-0.85353479501268203</v>
      </c>
      <c r="V507" s="378" t="str">
        <f t="shared" si="1088"/>
        <v/>
      </c>
      <c r="W507" s="378" t="str">
        <f t="shared" si="1088"/>
        <v/>
      </c>
      <c r="X507" s="378" t="str">
        <f t="shared" si="1088"/>
        <v/>
      </c>
      <c r="Y507" s="380" t="str">
        <f t="shared" si="1088"/>
        <v/>
      </c>
      <c r="AA507" s="291"/>
      <c r="AB507" s="303"/>
      <c r="AC507" s="367"/>
      <c r="AD507" s="381" t="s">
        <v>33</v>
      </c>
      <c r="AE507" s="376">
        <f t="shared" si="1089"/>
        <v>0.31718748842530126</v>
      </c>
      <c r="AF507" s="377">
        <f t="shared" si="1089"/>
        <v>0.10483900917294908</v>
      </c>
      <c r="AG507" s="378">
        <f t="shared" si="1089"/>
        <v>6.9070328057855568E-2</v>
      </c>
      <c r="AH507" s="378">
        <f t="shared" si="1089"/>
        <v>0.41996557659208261</v>
      </c>
      <c r="AI507" s="378">
        <f t="shared" si="1089"/>
        <v>0.12058489551168397</v>
      </c>
      <c r="AJ507" s="378">
        <f t="shared" si="1089"/>
        <v>0.10183481166128255</v>
      </c>
      <c r="AK507" s="378">
        <f t="shared" si="1089"/>
        <v>0.10857981311298169</v>
      </c>
      <c r="AL507" s="378">
        <f t="shared" si="1089"/>
        <v>-0.20211881780604837</v>
      </c>
      <c r="AM507" s="378">
        <f t="shared" si="1089"/>
        <v>-0.21991643035361785</v>
      </c>
      <c r="AN507" s="378">
        <f t="shared" si="1089"/>
        <v>-9.0504870851691663E-2</v>
      </c>
      <c r="AO507" s="378" t="str">
        <f t="shared" si="1089"/>
        <v/>
      </c>
      <c r="AP507" s="378" t="str">
        <f t="shared" si="1089"/>
        <v/>
      </c>
      <c r="AQ507" s="380" t="str">
        <f t="shared" si="1089"/>
        <v/>
      </c>
    </row>
    <row r="508" spans="2:43" ht="7.8" customHeight="1" x14ac:dyDescent="0.25">
      <c r="B508" s="282"/>
      <c r="C508" s="382"/>
      <c r="D508" s="383"/>
      <c r="E508" s="384" t="s">
        <v>30</v>
      </c>
      <c r="F508" s="385">
        <f t="shared" si="1088"/>
        <v>0.17793725774648814</v>
      </c>
      <c r="G508" s="385">
        <f t="shared" si="1088"/>
        <v>-1</v>
      </c>
      <c r="H508" s="385">
        <f t="shared" si="1088"/>
        <v>1.5401262398557394E-2</v>
      </c>
      <c r="I508" s="386">
        <f t="shared" si="1088"/>
        <v>1.6102022414015295E-2</v>
      </c>
      <c r="J508" s="387" t="str">
        <f t="shared" si="1088"/>
        <v/>
      </c>
      <c r="K508" s="387" t="str">
        <f t="shared" si="1088"/>
        <v/>
      </c>
      <c r="L508" s="387" t="str">
        <f t="shared" si="1088"/>
        <v/>
      </c>
      <c r="M508" s="388" t="str">
        <f t="shared" si="1088"/>
        <v/>
      </c>
      <c r="N508" s="385">
        <f t="shared" si="1088"/>
        <v>-5.3686706443736229E-3</v>
      </c>
      <c r="O508" s="386">
        <f t="shared" si="1088"/>
        <v>1.9645094789603471E-2</v>
      </c>
      <c r="P508" s="387" t="str">
        <f t="shared" si="1088"/>
        <v/>
      </c>
      <c r="Q508" s="387" t="str">
        <f t="shared" si="1088"/>
        <v/>
      </c>
      <c r="R508" s="387" t="str">
        <f t="shared" si="1088"/>
        <v/>
      </c>
      <c r="S508" s="388" t="str">
        <f t="shared" si="1088"/>
        <v/>
      </c>
      <c r="T508" s="385">
        <f t="shared" si="1088"/>
        <v>0.26095879014078799</v>
      </c>
      <c r="U508" s="386">
        <f t="shared" si="1088"/>
        <v>0.27514860772805005</v>
      </c>
      <c r="V508" s="387" t="str">
        <f t="shared" si="1088"/>
        <v/>
      </c>
      <c r="W508" s="387" t="str">
        <f t="shared" si="1088"/>
        <v/>
      </c>
      <c r="X508" s="387" t="str">
        <f t="shared" si="1088"/>
        <v/>
      </c>
      <c r="Y508" s="389" t="str">
        <f t="shared" si="1088"/>
        <v/>
      </c>
      <c r="AA508" s="291"/>
      <c r="AB508" s="390"/>
      <c r="AC508" s="391"/>
      <c r="AD508" s="392" t="s">
        <v>30</v>
      </c>
      <c r="AE508" s="385">
        <f t="shared" si="1089"/>
        <v>-3.622509758122807E-2</v>
      </c>
      <c r="AF508" s="386">
        <f t="shared" si="1089"/>
        <v>-7.5509711442046948E-2</v>
      </c>
      <c r="AG508" s="387">
        <f t="shared" si="1089"/>
        <v>-7.2284526429794285E-2</v>
      </c>
      <c r="AH508" s="387">
        <f t="shared" si="1089"/>
        <v>-2.1514629948364842E-2</v>
      </c>
      <c r="AI508" s="387">
        <f t="shared" si="1089"/>
        <v>-1.3885291949718187E-2</v>
      </c>
      <c r="AJ508" s="387">
        <f t="shared" si="1089"/>
        <v>3.8939395136129472E-3</v>
      </c>
      <c r="AK508" s="387">
        <f t="shared" si="1089"/>
        <v>4.0929801529076297E-3</v>
      </c>
      <c r="AL508" s="387">
        <f t="shared" si="1089"/>
        <v>-6.6379281685302743E-3</v>
      </c>
      <c r="AM508" s="387">
        <f t="shared" si="1089"/>
        <v>-7.256731164263458E-2</v>
      </c>
      <c r="AN508" s="387">
        <f t="shared" si="1089"/>
        <v>1.9645094789603471E-2</v>
      </c>
      <c r="AO508" s="387" t="str">
        <f t="shared" si="1089"/>
        <v/>
      </c>
      <c r="AP508" s="387" t="str">
        <f t="shared" si="1089"/>
        <v/>
      </c>
      <c r="AQ508" s="389" t="str">
        <f t="shared" si="1089"/>
        <v/>
      </c>
    </row>
    <row r="509" spans="2:43" ht="7.8" customHeight="1" x14ac:dyDescent="0.25">
      <c r="B509" s="282"/>
      <c r="C509" s="393" t="s">
        <v>48</v>
      </c>
      <c r="D509" s="394" t="s">
        <v>39</v>
      </c>
      <c r="E509" s="395" t="s">
        <v>32</v>
      </c>
      <c r="F509" s="396">
        <f t="shared" ref="F509:F510" si="1090">SUM(G509,H509,N509,T509)</f>
        <v>0</v>
      </c>
      <c r="G509" s="396"/>
      <c r="H509" s="396">
        <f t="shared" ref="H509:H510" si="1091">SUM(I509:M509)</f>
        <v>0</v>
      </c>
      <c r="I509" s="397"/>
      <c r="J509" s="398"/>
      <c r="K509" s="398"/>
      <c r="L509" s="398"/>
      <c r="M509" s="399"/>
      <c r="N509" s="396">
        <f t="shared" ref="N509:N510" si="1092">SUM(O509:S509)</f>
        <v>0</v>
      </c>
      <c r="O509" s="397"/>
      <c r="P509" s="398"/>
      <c r="Q509" s="398"/>
      <c r="R509" s="398"/>
      <c r="S509" s="399"/>
      <c r="T509" s="396">
        <f t="shared" ref="T509:T510" si="1093">SUM(U509:Y509)</f>
        <v>0</v>
      </c>
      <c r="U509" s="397"/>
      <c r="V509" s="398"/>
      <c r="W509" s="398"/>
      <c r="X509" s="398"/>
      <c r="Y509" s="400"/>
      <c r="AA509" s="291"/>
      <c r="AB509" s="401" t="s">
        <v>48</v>
      </c>
      <c r="AC509" s="402" t="s">
        <v>39</v>
      </c>
      <c r="AD509" s="403" t="s">
        <v>32</v>
      </c>
      <c r="AE509" s="396">
        <f t="shared" ref="AE509:AE510" si="1094">SUM(AF509:AQ509)</f>
        <v>0</v>
      </c>
      <c r="AF509" s="397">
        <f>$O$77</f>
        <v>0</v>
      </c>
      <c r="AG509" s="398">
        <f>$O$131</f>
        <v>0</v>
      </c>
      <c r="AH509" s="398">
        <f>$O$185</f>
        <v>0</v>
      </c>
      <c r="AI509" s="398">
        <f>$O$239</f>
        <v>0</v>
      </c>
      <c r="AJ509" s="398">
        <f>$O$293</f>
        <v>0</v>
      </c>
      <c r="AK509" s="398">
        <f>$O$347</f>
        <v>0</v>
      </c>
      <c r="AL509" s="398">
        <f>$O$401</f>
        <v>0</v>
      </c>
      <c r="AM509" s="398">
        <f>$O$455</f>
        <v>0</v>
      </c>
      <c r="AN509" s="398">
        <f>$O$509</f>
        <v>0</v>
      </c>
      <c r="AO509" s="398">
        <f>$O$563</f>
        <v>0</v>
      </c>
      <c r="AP509" s="398">
        <f>$O$617</f>
        <v>0</v>
      </c>
      <c r="AQ509" s="400">
        <f>$O$671</f>
        <v>0</v>
      </c>
    </row>
    <row r="510" spans="2:43" s="41" customFormat="1" ht="7.8" customHeight="1" x14ac:dyDescent="0.25">
      <c r="B510" s="282"/>
      <c r="C510" s="404"/>
      <c r="D510" s="405"/>
      <c r="E510" s="406" t="s">
        <v>33</v>
      </c>
      <c r="F510" s="407">
        <f t="shared" si="1090"/>
        <v>0</v>
      </c>
      <c r="G510" s="407"/>
      <c r="H510" s="407">
        <f t="shared" si="1091"/>
        <v>0</v>
      </c>
      <c r="I510" s="408"/>
      <c r="J510" s="409"/>
      <c r="K510" s="409"/>
      <c r="L510" s="409"/>
      <c r="M510" s="410"/>
      <c r="N510" s="407">
        <f t="shared" si="1092"/>
        <v>0</v>
      </c>
      <c r="O510" s="408"/>
      <c r="P510" s="409"/>
      <c r="Q510" s="409"/>
      <c r="R510" s="409"/>
      <c r="S510" s="410"/>
      <c r="T510" s="407">
        <f t="shared" si="1093"/>
        <v>0</v>
      </c>
      <c r="U510" s="408"/>
      <c r="V510" s="409"/>
      <c r="W510" s="409"/>
      <c r="X510" s="409"/>
      <c r="Y510" s="411"/>
      <c r="AA510" s="291"/>
      <c r="AB510" s="412"/>
      <c r="AC510" s="413"/>
      <c r="AD510" s="414" t="s">
        <v>33</v>
      </c>
      <c r="AE510" s="407">
        <f t="shared" si="1094"/>
        <v>0</v>
      </c>
      <c r="AF510" s="408">
        <f>$O$78</f>
        <v>0</v>
      </c>
      <c r="AG510" s="409">
        <f>$O$132</f>
        <v>0</v>
      </c>
      <c r="AH510" s="409">
        <f>$O$186</f>
        <v>0</v>
      </c>
      <c r="AI510" s="409">
        <f>$O$240</f>
        <v>0</v>
      </c>
      <c r="AJ510" s="409">
        <f>$O$294</f>
        <v>0</v>
      </c>
      <c r="AK510" s="409">
        <f>$O$348</f>
        <v>0</v>
      </c>
      <c r="AL510" s="409">
        <f>$O$402</f>
        <v>0</v>
      </c>
      <c r="AM510" s="409">
        <f>$O$456</f>
        <v>0</v>
      </c>
      <c r="AN510" s="409">
        <f>$O$510</f>
        <v>0</v>
      </c>
      <c r="AO510" s="409">
        <f>$O$564</f>
        <v>0</v>
      </c>
      <c r="AP510" s="409">
        <f>$O$618</f>
        <v>0</v>
      </c>
      <c r="AQ510" s="411">
        <f>$O$672</f>
        <v>0</v>
      </c>
    </row>
    <row r="511" spans="2:43" ht="7.8" customHeight="1" x14ac:dyDescent="0.25">
      <c r="B511" s="282"/>
      <c r="C511" s="404"/>
      <c r="D511" s="415"/>
      <c r="E511" s="416" t="s">
        <v>30</v>
      </c>
      <c r="F511" s="417">
        <f t="shared" ref="F511:Y565" si="1095">IFERROR(F510/F509,0)</f>
        <v>0</v>
      </c>
      <c r="G511" s="417">
        <f t="shared" si="1095"/>
        <v>0</v>
      </c>
      <c r="H511" s="417">
        <f t="shared" si="1095"/>
        <v>0</v>
      </c>
      <c r="I511" s="418">
        <f t="shared" si="1095"/>
        <v>0</v>
      </c>
      <c r="J511" s="419">
        <f t="shared" si="1095"/>
        <v>0</v>
      </c>
      <c r="K511" s="419">
        <f t="shared" si="1095"/>
        <v>0</v>
      </c>
      <c r="L511" s="419">
        <f t="shared" si="1095"/>
        <v>0</v>
      </c>
      <c r="M511" s="420">
        <f t="shared" si="1095"/>
        <v>0</v>
      </c>
      <c r="N511" s="417">
        <f t="shared" si="1095"/>
        <v>0</v>
      </c>
      <c r="O511" s="418">
        <f t="shared" si="1095"/>
        <v>0</v>
      </c>
      <c r="P511" s="419">
        <f t="shared" si="1095"/>
        <v>0</v>
      </c>
      <c r="Q511" s="419">
        <f t="shared" si="1095"/>
        <v>0</v>
      </c>
      <c r="R511" s="419">
        <f t="shared" si="1095"/>
        <v>0</v>
      </c>
      <c r="S511" s="420">
        <f t="shared" si="1095"/>
        <v>0</v>
      </c>
      <c r="T511" s="417">
        <f t="shared" si="1095"/>
        <v>0</v>
      </c>
      <c r="U511" s="418">
        <f t="shared" si="1095"/>
        <v>0</v>
      </c>
      <c r="V511" s="419">
        <f t="shared" si="1095"/>
        <v>0</v>
      </c>
      <c r="W511" s="419">
        <f t="shared" si="1095"/>
        <v>0</v>
      </c>
      <c r="X511" s="419">
        <f t="shared" si="1095"/>
        <v>0</v>
      </c>
      <c r="Y511" s="421">
        <f t="shared" si="1095"/>
        <v>0</v>
      </c>
      <c r="AA511" s="291"/>
      <c r="AB511" s="412"/>
      <c r="AC511" s="422"/>
      <c r="AD511" s="423" t="s">
        <v>30</v>
      </c>
      <c r="AE511" s="417">
        <f t="shared" ref="AE511:AQ511" si="1096">IFERROR(AE510/AE509,0)</f>
        <v>0</v>
      </c>
      <c r="AF511" s="418">
        <f t="shared" si="1096"/>
        <v>0</v>
      </c>
      <c r="AG511" s="419">
        <f t="shared" si="1096"/>
        <v>0</v>
      </c>
      <c r="AH511" s="419">
        <f t="shared" si="1096"/>
        <v>0</v>
      </c>
      <c r="AI511" s="419">
        <f t="shared" si="1096"/>
        <v>0</v>
      </c>
      <c r="AJ511" s="419">
        <f t="shared" si="1096"/>
        <v>0</v>
      </c>
      <c r="AK511" s="419">
        <f t="shared" si="1096"/>
        <v>0</v>
      </c>
      <c r="AL511" s="419">
        <f t="shared" si="1096"/>
        <v>0</v>
      </c>
      <c r="AM511" s="419">
        <f t="shared" si="1096"/>
        <v>0</v>
      </c>
      <c r="AN511" s="419">
        <f t="shared" si="1096"/>
        <v>0</v>
      </c>
      <c r="AO511" s="419">
        <f t="shared" si="1096"/>
        <v>0</v>
      </c>
      <c r="AP511" s="419">
        <f t="shared" si="1096"/>
        <v>0</v>
      </c>
      <c r="AQ511" s="421">
        <f t="shared" si="1096"/>
        <v>0</v>
      </c>
    </row>
    <row r="512" spans="2:43" ht="7.8" customHeight="1" x14ac:dyDescent="0.25">
      <c r="B512" s="282"/>
      <c r="C512" s="404"/>
      <c r="D512" s="424" t="s">
        <v>40</v>
      </c>
      <c r="E512" s="425" t="s">
        <v>32</v>
      </c>
      <c r="F512" s="426">
        <f t="shared" ref="F512:F513" si="1097">SUM(G512,H512,N512,T512)</f>
        <v>4895</v>
      </c>
      <c r="G512" s="426">
        <v>732</v>
      </c>
      <c r="H512" s="426">
        <f t="shared" ref="H512:H513" si="1098">SUM(I512:M512)</f>
        <v>236</v>
      </c>
      <c r="I512" s="427">
        <v>89</v>
      </c>
      <c r="J512" s="428">
        <v>52</v>
      </c>
      <c r="K512" s="428">
        <v>51</v>
      </c>
      <c r="L512" s="428">
        <v>0</v>
      </c>
      <c r="M512" s="429">
        <v>44</v>
      </c>
      <c r="N512" s="426">
        <f t="shared" ref="N512:N513" si="1099">SUM(O512:S512)</f>
        <v>1095</v>
      </c>
      <c r="O512" s="427">
        <v>472</v>
      </c>
      <c r="P512" s="428">
        <v>498</v>
      </c>
      <c r="Q512" s="428">
        <v>115</v>
      </c>
      <c r="R512" s="428">
        <v>0</v>
      </c>
      <c r="S512" s="429">
        <v>10</v>
      </c>
      <c r="T512" s="426">
        <f t="shared" ref="T512:T513" si="1100">SUM(U512:Y512)</f>
        <v>2832</v>
      </c>
      <c r="U512" s="427">
        <v>276</v>
      </c>
      <c r="V512" s="428">
        <v>1114</v>
      </c>
      <c r="W512" s="428">
        <v>1208</v>
      </c>
      <c r="X512" s="428">
        <v>136</v>
      </c>
      <c r="Y512" s="430">
        <v>98</v>
      </c>
      <c r="AA512" s="291"/>
      <c r="AB512" s="412"/>
      <c r="AC512" s="431" t="s">
        <v>40</v>
      </c>
      <c r="AD512" s="432" t="s">
        <v>32</v>
      </c>
      <c r="AE512" s="426">
        <f t="shared" ref="AE512:AE513" si="1101">SUM(AF512:AQ512)</f>
        <v>5431</v>
      </c>
      <c r="AF512" s="427">
        <f>$O$80</f>
        <v>779</v>
      </c>
      <c r="AG512" s="428">
        <f>$O$134</f>
        <v>677</v>
      </c>
      <c r="AH512" s="428">
        <f>$O$188</f>
        <v>367</v>
      </c>
      <c r="AI512" s="428">
        <f>$O$242</f>
        <v>357</v>
      </c>
      <c r="AJ512" s="428">
        <f>$O$296</f>
        <v>614</v>
      </c>
      <c r="AK512" s="428">
        <f>$O$350</f>
        <v>289</v>
      </c>
      <c r="AL512" s="428">
        <f>$O$404</f>
        <v>339</v>
      </c>
      <c r="AM512" s="428">
        <f>$O$458</f>
        <v>247</v>
      </c>
      <c r="AN512" s="428">
        <f>$O$512</f>
        <v>472</v>
      </c>
      <c r="AO512" s="428">
        <f>$O$566</f>
        <v>390</v>
      </c>
      <c r="AP512" s="428">
        <f>$O$620</f>
        <v>448</v>
      </c>
      <c r="AQ512" s="430">
        <f>$O$674</f>
        <v>452</v>
      </c>
    </row>
    <row r="513" spans="2:43" s="41" customFormat="1" ht="7.8" customHeight="1" x14ac:dyDescent="0.25">
      <c r="B513" s="282"/>
      <c r="C513" s="404"/>
      <c r="D513" s="405"/>
      <c r="E513" s="406" t="s">
        <v>33</v>
      </c>
      <c r="F513" s="407">
        <f t="shared" si="1097"/>
        <v>786320.02</v>
      </c>
      <c r="G513" s="407">
        <v>114036</v>
      </c>
      <c r="H513" s="407">
        <f t="shared" si="1098"/>
        <v>35356</v>
      </c>
      <c r="I513" s="408">
        <v>13235</v>
      </c>
      <c r="J513" s="409">
        <v>7440</v>
      </c>
      <c r="K513" s="409">
        <v>7905</v>
      </c>
      <c r="L513" s="409">
        <v>0</v>
      </c>
      <c r="M513" s="410">
        <v>6776</v>
      </c>
      <c r="N513" s="407">
        <f t="shared" si="1099"/>
        <v>158846</v>
      </c>
      <c r="O513" s="408">
        <v>71005</v>
      </c>
      <c r="P513" s="409">
        <v>69601</v>
      </c>
      <c r="Q513" s="409">
        <v>16840</v>
      </c>
      <c r="R513" s="409">
        <v>0</v>
      </c>
      <c r="S513" s="410">
        <v>1400</v>
      </c>
      <c r="T513" s="407">
        <f t="shared" si="1100"/>
        <v>478082.02</v>
      </c>
      <c r="U513" s="408">
        <v>53170.430000000022</v>
      </c>
      <c r="V513" s="409">
        <v>177844.66999999998</v>
      </c>
      <c r="W513" s="409">
        <v>192300.91999999998</v>
      </c>
      <c r="X513" s="409">
        <v>21416</v>
      </c>
      <c r="Y513" s="411">
        <v>33350</v>
      </c>
      <c r="AA513" s="291"/>
      <c r="AB513" s="412"/>
      <c r="AC513" s="413"/>
      <c r="AD513" s="414" t="s">
        <v>33</v>
      </c>
      <c r="AE513" s="407">
        <f t="shared" si="1101"/>
        <v>900540.14</v>
      </c>
      <c r="AF513" s="408">
        <f>$O$81</f>
        <v>145420</v>
      </c>
      <c r="AG513" s="409">
        <f>$O$135</f>
        <v>123633</v>
      </c>
      <c r="AH513" s="409">
        <f>$O$189</f>
        <v>62020</v>
      </c>
      <c r="AI513" s="409">
        <f>$O$243</f>
        <v>53355</v>
      </c>
      <c r="AJ513" s="409">
        <f>$O$297</f>
        <v>88710</v>
      </c>
      <c r="AK513" s="409">
        <f>$O$351</f>
        <v>47120</v>
      </c>
      <c r="AL513" s="409">
        <f>$O$405</f>
        <v>62973</v>
      </c>
      <c r="AM513" s="409">
        <f>$O$459</f>
        <v>42850</v>
      </c>
      <c r="AN513" s="409">
        <f>$O$513</f>
        <v>71005</v>
      </c>
      <c r="AO513" s="409">
        <f>$O$567</f>
        <v>56885</v>
      </c>
      <c r="AP513" s="409">
        <f>$O$621</f>
        <v>69584.140000000014</v>
      </c>
      <c r="AQ513" s="411">
        <f>$O$675</f>
        <v>76985</v>
      </c>
    </row>
    <row r="514" spans="2:43" ht="7.8" customHeight="1" x14ac:dyDescent="0.25">
      <c r="B514" s="282"/>
      <c r="C514" s="404"/>
      <c r="D514" s="415"/>
      <c r="E514" s="416" t="s">
        <v>30</v>
      </c>
      <c r="F514" s="417">
        <f t="shared" ref="F514:Y568" si="1102">IFERROR(F513/F512,0)</f>
        <v>160.63738917262512</v>
      </c>
      <c r="G514" s="417">
        <f t="shared" si="1102"/>
        <v>155.78688524590163</v>
      </c>
      <c r="H514" s="417">
        <f t="shared" si="1102"/>
        <v>149.81355932203391</v>
      </c>
      <c r="I514" s="418">
        <f t="shared" si="1102"/>
        <v>148.70786516853931</v>
      </c>
      <c r="J514" s="419">
        <f t="shared" si="1102"/>
        <v>143.07692307692307</v>
      </c>
      <c r="K514" s="419">
        <f t="shared" si="1102"/>
        <v>155</v>
      </c>
      <c r="L514" s="419">
        <f t="shared" si="1102"/>
        <v>0</v>
      </c>
      <c r="M514" s="420">
        <f t="shared" si="1102"/>
        <v>154</v>
      </c>
      <c r="N514" s="417">
        <f t="shared" si="1102"/>
        <v>145.0648401826484</v>
      </c>
      <c r="O514" s="418">
        <f t="shared" si="1102"/>
        <v>150.4343220338983</v>
      </c>
      <c r="P514" s="419">
        <f t="shared" si="1102"/>
        <v>139.76104417670683</v>
      </c>
      <c r="Q514" s="419">
        <f t="shared" si="1102"/>
        <v>146.43478260869566</v>
      </c>
      <c r="R514" s="419">
        <f t="shared" si="1102"/>
        <v>0</v>
      </c>
      <c r="S514" s="420">
        <f t="shared" si="1102"/>
        <v>140</v>
      </c>
      <c r="T514" s="417">
        <f t="shared" si="1102"/>
        <v>168.81427259887008</v>
      </c>
      <c r="U514" s="418">
        <f t="shared" si="1102"/>
        <v>192.64648550724647</v>
      </c>
      <c r="V514" s="419">
        <f t="shared" si="1102"/>
        <v>159.64512567324954</v>
      </c>
      <c r="W514" s="419">
        <f t="shared" si="1102"/>
        <v>159.18950331125828</v>
      </c>
      <c r="X514" s="419">
        <f t="shared" si="1102"/>
        <v>157.47058823529412</v>
      </c>
      <c r="Y514" s="421">
        <f t="shared" si="1102"/>
        <v>340.30612244897958</v>
      </c>
      <c r="AA514" s="291"/>
      <c r="AB514" s="412"/>
      <c r="AC514" s="422"/>
      <c r="AD514" s="423" t="s">
        <v>30</v>
      </c>
      <c r="AE514" s="417">
        <f t="shared" ref="AE514:AQ514" si="1103">IFERROR(AE513/AE512,0)</f>
        <v>165.81479285582765</v>
      </c>
      <c r="AF514" s="418">
        <f t="shared" si="1103"/>
        <v>186.67522464698331</v>
      </c>
      <c r="AG514" s="419">
        <f t="shared" si="1103"/>
        <v>182.6189069423929</v>
      </c>
      <c r="AH514" s="419">
        <f t="shared" si="1103"/>
        <v>168.99182561307902</v>
      </c>
      <c r="AI514" s="419">
        <f t="shared" si="1103"/>
        <v>149.45378151260505</v>
      </c>
      <c r="AJ514" s="419">
        <f t="shared" si="1103"/>
        <v>144.47882736156353</v>
      </c>
      <c r="AK514" s="419">
        <f t="shared" si="1103"/>
        <v>163.04498269896195</v>
      </c>
      <c r="AL514" s="419">
        <f t="shared" si="1103"/>
        <v>185.76106194690266</v>
      </c>
      <c r="AM514" s="419">
        <f t="shared" si="1103"/>
        <v>173.48178137651823</v>
      </c>
      <c r="AN514" s="419">
        <f t="shared" si="1103"/>
        <v>150.4343220338983</v>
      </c>
      <c r="AO514" s="419">
        <f t="shared" si="1103"/>
        <v>145.85897435897436</v>
      </c>
      <c r="AP514" s="419">
        <f t="shared" si="1103"/>
        <v>155.32174107142859</v>
      </c>
      <c r="AQ514" s="421">
        <f t="shared" si="1103"/>
        <v>170.32079646017698</v>
      </c>
    </row>
    <row r="515" spans="2:43" ht="7.8" customHeight="1" x14ac:dyDescent="0.25">
      <c r="B515" s="282"/>
      <c r="C515" s="404"/>
      <c r="D515" s="424" t="s">
        <v>41</v>
      </c>
      <c r="E515" s="425" t="s">
        <v>32</v>
      </c>
      <c r="F515" s="426">
        <f t="shared" ref="F515:F516" si="1104">SUM(G515,H515,N515,T515)</f>
        <v>7362</v>
      </c>
      <c r="G515" s="426">
        <v>422</v>
      </c>
      <c r="H515" s="426">
        <f t="shared" ref="H515:H516" si="1105">SUM(I515:M515)</f>
        <v>272</v>
      </c>
      <c r="I515" s="427">
        <v>272</v>
      </c>
      <c r="J515" s="428"/>
      <c r="K515" s="428"/>
      <c r="L515" s="428"/>
      <c r="M515" s="429"/>
      <c r="N515" s="426">
        <f t="shared" ref="N515:N516" si="1106">SUM(O515:S515)</f>
        <v>1009</v>
      </c>
      <c r="O515" s="427">
        <v>1009</v>
      </c>
      <c r="P515" s="428"/>
      <c r="Q515" s="428"/>
      <c r="R515" s="428"/>
      <c r="S515" s="429"/>
      <c r="T515" s="426">
        <f t="shared" ref="T515:T516" si="1107">SUM(U515:Y515)</f>
        <v>5659</v>
      </c>
      <c r="U515" s="427">
        <v>5659</v>
      </c>
      <c r="V515" s="428"/>
      <c r="W515" s="428"/>
      <c r="X515" s="428"/>
      <c r="Y515" s="430"/>
      <c r="AA515" s="291"/>
      <c r="AB515" s="412"/>
      <c r="AC515" s="431" t="s">
        <v>41</v>
      </c>
      <c r="AD515" s="432" t="s">
        <v>32</v>
      </c>
      <c r="AE515" s="426">
        <f t="shared" ref="AE515:AE516" si="1108">SUM(AF515:AQ515)</f>
        <v>4275</v>
      </c>
      <c r="AF515" s="427">
        <f>$O$83</f>
        <v>431</v>
      </c>
      <c r="AG515" s="428">
        <f>$O$137</f>
        <v>541</v>
      </c>
      <c r="AH515" s="428">
        <f>$O$191</f>
        <v>268</v>
      </c>
      <c r="AI515" s="428">
        <f>$O$245</f>
        <v>459</v>
      </c>
      <c r="AJ515" s="428">
        <f>$O$299</f>
        <v>524</v>
      </c>
      <c r="AK515" s="428">
        <f>$O$353</f>
        <v>291</v>
      </c>
      <c r="AL515" s="428">
        <f>$O$407</f>
        <v>387</v>
      </c>
      <c r="AM515" s="428">
        <f>$O$461</f>
        <v>365</v>
      </c>
      <c r="AN515" s="428">
        <f>$O$515</f>
        <v>1009</v>
      </c>
      <c r="AO515" s="428">
        <f>$O$569</f>
        <v>0</v>
      </c>
      <c r="AP515" s="428">
        <f>$O$623</f>
        <v>0</v>
      </c>
      <c r="AQ515" s="430">
        <f>$O$677</f>
        <v>0</v>
      </c>
    </row>
    <row r="516" spans="2:43" s="41" customFormat="1" ht="7.8" customHeight="1" x14ac:dyDescent="0.25">
      <c r="B516" s="282"/>
      <c r="C516" s="404"/>
      <c r="D516" s="405"/>
      <c r="E516" s="406" t="s">
        <v>33</v>
      </c>
      <c r="F516" s="407">
        <f t="shared" si="1104"/>
        <v>1052106.54</v>
      </c>
      <c r="G516" s="407">
        <v>66033</v>
      </c>
      <c r="H516" s="407">
        <f t="shared" si="1105"/>
        <v>38815</v>
      </c>
      <c r="I516" s="408">
        <v>38815</v>
      </c>
      <c r="J516" s="409"/>
      <c r="K516" s="409"/>
      <c r="L516" s="409"/>
      <c r="M516" s="410"/>
      <c r="N516" s="407">
        <f t="shared" si="1106"/>
        <v>148434</v>
      </c>
      <c r="O516" s="408">
        <v>148434</v>
      </c>
      <c r="P516" s="409"/>
      <c r="Q516" s="409"/>
      <c r="R516" s="409"/>
      <c r="S516" s="410"/>
      <c r="T516" s="407">
        <f t="shared" si="1107"/>
        <v>798824.54</v>
      </c>
      <c r="U516" s="408">
        <v>798824.54</v>
      </c>
      <c r="V516" s="409"/>
      <c r="W516" s="409"/>
      <c r="X516" s="409"/>
      <c r="Y516" s="411"/>
      <c r="AA516" s="291"/>
      <c r="AB516" s="412"/>
      <c r="AC516" s="413"/>
      <c r="AD516" s="414" t="s">
        <v>33</v>
      </c>
      <c r="AE516" s="407">
        <f t="shared" si="1108"/>
        <v>713035</v>
      </c>
      <c r="AF516" s="408">
        <f>$O$84</f>
        <v>81810</v>
      </c>
      <c r="AG516" s="409">
        <f>$O$138</f>
        <v>99297</v>
      </c>
      <c r="AH516" s="409">
        <f>$O$192</f>
        <v>45410</v>
      </c>
      <c r="AI516" s="409">
        <f>$O$246</f>
        <v>70082</v>
      </c>
      <c r="AJ516" s="409">
        <f>$O$300</f>
        <v>80856</v>
      </c>
      <c r="AK516" s="409">
        <f>$O$354</f>
        <v>47740</v>
      </c>
      <c r="AL516" s="409">
        <f>$O$408</f>
        <v>69972</v>
      </c>
      <c r="AM516" s="409">
        <f>$O$462</f>
        <v>69434</v>
      </c>
      <c r="AN516" s="409">
        <f>$O$516</f>
        <v>148434</v>
      </c>
      <c r="AO516" s="409">
        <f>$O$570</f>
        <v>0</v>
      </c>
      <c r="AP516" s="409">
        <f>$O$624</f>
        <v>0</v>
      </c>
      <c r="AQ516" s="411">
        <f>$O$678</f>
        <v>0</v>
      </c>
    </row>
    <row r="517" spans="2:43" ht="7.8" customHeight="1" x14ac:dyDescent="0.25">
      <c r="B517" s="282"/>
      <c r="C517" s="404"/>
      <c r="D517" s="415"/>
      <c r="E517" s="416" t="s">
        <v>30</v>
      </c>
      <c r="F517" s="417">
        <f t="shared" ref="F517:Y571" si="1109">IFERROR(F516/F515,0)</f>
        <v>142.91042379788101</v>
      </c>
      <c r="G517" s="417">
        <f t="shared" si="1109"/>
        <v>156.47630331753555</v>
      </c>
      <c r="H517" s="417">
        <f t="shared" si="1109"/>
        <v>142.70220588235293</v>
      </c>
      <c r="I517" s="418">
        <f t="shared" si="1109"/>
        <v>142.70220588235293</v>
      </c>
      <c r="J517" s="419">
        <f t="shared" si="1109"/>
        <v>0</v>
      </c>
      <c r="K517" s="419">
        <f t="shared" si="1109"/>
        <v>0</v>
      </c>
      <c r="L517" s="419">
        <f t="shared" si="1109"/>
        <v>0</v>
      </c>
      <c r="M517" s="420">
        <f t="shared" si="1109"/>
        <v>0</v>
      </c>
      <c r="N517" s="417">
        <f t="shared" si="1109"/>
        <v>147.11000991080277</v>
      </c>
      <c r="O517" s="418">
        <f t="shared" si="1109"/>
        <v>147.11000991080277</v>
      </c>
      <c r="P517" s="419">
        <f t="shared" si="1109"/>
        <v>0</v>
      </c>
      <c r="Q517" s="419">
        <f t="shared" si="1109"/>
        <v>0</v>
      </c>
      <c r="R517" s="419">
        <f t="shared" si="1109"/>
        <v>0</v>
      </c>
      <c r="S517" s="420">
        <f t="shared" si="1109"/>
        <v>0</v>
      </c>
      <c r="T517" s="417">
        <f t="shared" si="1109"/>
        <v>141.1600176709666</v>
      </c>
      <c r="U517" s="418">
        <f t="shared" si="1109"/>
        <v>141.1600176709666</v>
      </c>
      <c r="V517" s="419">
        <f t="shared" si="1109"/>
        <v>0</v>
      </c>
      <c r="W517" s="419">
        <f t="shared" si="1109"/>
        <v>0</v>
      </c>
      <c r="X517" s="419">
        <f t="shared" si="1109"/>
        <v>0</v>
      </c>
      <c r="Y517" s="421">
        <f t="shared" si="1109"/>
        <v>0</v>
      </c>
      <c r="AA517" s="291"/>
      <c r="AB517" s="412"/>
      <c r="AC517" s="422"/>
      <c r="AD517" s="423" t="s">
        <v>30</v>
      </c>
      <c r="AE517" s="417">
        <f t="shared" ref="AE517:AQ517" si="1110">IFERROR(AE516/AE515,0)</f>
        <v>166.79181286549706</v>
      </c>
      <c r="AF517" s="418">
        <f t="shared" si="1110"/>
        <v>189.81438515081206</v>
      </c>
      <c r="AG517" s="419">
        <f t="shared" si="1110"/>
        <v>183.54343807763402</v>
      </c>
      <c r="AH517" s="419">
        <f t="shared" si="1110"/>
        <v>169.4402985074627</v>
      </c>
      <c r="AI517" s="419">
        <f t="shared" si="1110"/>
        <v>152.68409586056646</v>
      </c>
      <c r="AJ517" s="419">
        <f t="shared" si="1110"/>
        <v>154.30534351145039</v>
      </c>
      <c r="AK517" s="419">
        <f t="shared" si="1110"/>
        <v>164.05498281786942</v>
      </c>
      <c r="AL517" s="419">
        <f t="shared" si="1110"/>
        <v>180.80620155038758</v>
      </c>
      <c r="AM517" s="419">
        <f t="shared" si="1110"/>
        <v>190.23013698630137</v>
      </c>
      <c r="AN517" s="419">
        <f t="shared" si="1110"/>
        <v>147.11000991080277</v>
      </c>
      <c r="AO517" s="419">
        <f t="shared" si="1110"/>
        <v>0</v>
      </c>
      <c r="AP517" s="419">
        <f t="shared" si="1110"/>
        <v>0</v>
      </c>
      <c r="AQ517" s="421">
        <f t="shared" si="1110"/>
        <v>0</v>
      </c>
    </row>
    <row r="518" spans="2:43" ht="7.8" customHeight="1" x14ac:dyDescent="0.25">
      <c r="B518" s="282"/>
      <c r="C518" s="404"/>
      <c r="D518" s="433" t="s">
        <v>42</v>
      </c>
      <c r="E518" s="434" t="s">
        <v>32</v>
      </c>
      <c r="F518" s="435">
        <f t="shared" ref="F518:F519" si="1111">SUM(G518,H518,N518,T518)</f>
        <v>5520</v>
      </c>
      <c r="G518" s="435">
        <v>0</v>
      </c>
      <c r="H518" s="435">
        <v>340</v>
      </c>
      <c r="I518" s="436">
        <v>120</v>
      </c>
      <c r="J518" s="437">
        <v>100</v>
      </c>
      <c r="K518" s="437">
        <v>70</v>
      </c>
      <c r="L518" s="437">
        <v>50</v>
      </c>
      <c r="M518" s="438">
        <v>0</v>
      </c>
      <c r="N518" s="435">
        <f t="shared" ref="N518:N519" si="1112">SUM(O518:S518)</f>
        <v>1180</v>
      </c>
      <c r="O518" s="436">
        <v>600</v>
      </c>
      <c r="P518" s="437">
        <v>500</v>
      </c>
      <c r="Q518" s="437">
        <v>80</v>
      </c>
      <c r="R518" s="437">
        <v>0</v>
      </c>
      <c r="S518" s="438">
        <v>0</v>
      </c>
      <c r="T518" s="435">
        <f t="shared" ref="T518:T519" si="1113">SUM(U518:Y518)</f>
        <v>4000</v>
      </c>
      <c r="U518" s="436">
        <v>444</v>
      </c>
      <c r="V518" s="437">
        <v>1776</v>
      </c>
      <c r="W518" s="437">
        <v>1294</v>
      </c>
      <c r="X518" s="437">
        <v>71</v>
      </c>
      <c r="Y518" s="439">
        <v>415</v>
      </c>
      <c r="AA518" s="291"/>
      <c r="AB518" s="412"/>
      <c r="AC518" s="568" t="s">
        <v>42</v>
      </c>
      <c r="AD518" s="569" t="s">
        <v>32</v>
      </c>
      <c r="AE518" s="442">
        <f t="shared" ref="AE518:AE519" si="1114">SUM(AF518:AQ518)</f>
        <v>5320</v>
      </c>
      <c r="AF518" s="443">
        <f>$O$86</f>
        <v>500</v>
      </c>
      <c r="AG518" s="444">
        <f>$O$140</f>
        <v>650</v>
      </c>
      <c r="AH518" s="444">
        <f>$O$194</f>
        <v>350</v>
      </c>
      <c r="AI518" s="444">
        <f>$O$248</f>
        <v>500</v>
      </c>
      <c r="AJ518" s="444">
        <f>$O$302</f>
        <v>600</v>
      </c>
      <c r="AK518" s="444">
        <f>$O$356</f>
        <v>290</v>
      </c>
      <c r="AL518" s="444">
        <f>$O$410</f>
        <v>300</v>
      </c>
      <c r="AM518" s="444">
        <f>$O$464</f>
        <v>330</v>
      </c>
      <c r="AN518" s="444">
        <f>$O$518</f>
        <v>600</v>
      </c>
      <c r="AO518" s="444">
        <f>$O$572</f>
        <v>350</v>
      </c>
      <c r="AP518" s="444">
        <f>$O$626</f>
        <v>400</v>
      </c>
      <c r="AQ518" s="445">
        <f>$O$680</f>
        <v>450</v>
      </c>
    </row>
    <row r="519" spans="2:43" s="41" customFormat="1" ht="7.8" customHeight="1" x14ac:dyDescent="0.25">
      <c r="B519" s="282"/>
      <c r="C519" s="404"/>
      <c r="D519" s="446"/>
      <c r="E519" s="447" t="s">
        <v>33</v>
      </c>
      <c r="F519" s="448">
        <f t="shared" si="1111"/>
        <v>919469</v>
      </c>
      <c r="G519" s="448">
        <v>0</v>
      </c>
      <c r="H519" s="448">
        <v>49200</v>
      </c>
      <c r="I519" s="449">
        <v>17400</v>
      </c>
      <c r="J519" s="450">
        <v>14500</v>
      </c>
      <c r="K519" s="450">
        <v>9800</v>
      </c>
      <c r="L519" s="450">
        <v>7500</v>
      </c>
      <c r="M519" s="451">
        <v>0</v>
      </c>
      <c r="N519" s="448">
        <f t="shared" si="1112"/>
        <v>172700</v>
      </c>
      <c r="O519" s="449">
        <v>90000</v>
      </c>
      <c r="P519" s="450">
        <v>71500</v>
      </c>
      <c r="Q519" s="450">
        <v>11200</v>
      </c>
      <c r="R519" s="450">
        <v>0</v>
      </c>
      <c r="S519" s="451">
        <v>0</v>
      </c>
      <c r="T519" s="448">
        <f t="shared" si="1113"/>
        <v>697569</v>
      </c>
      <c r="U519" s="449">
        <v>79920</v>
      </c>
      <c r="V519" s="450">
        <v>312144</v>
      </c>
      <c r="W519" s="450">
        <v>220160</v>
      </c>
      <c r="X519" s="450">
        <v>13135</v>
      </c>
      <c r="Y519" s="452">
        <v>72210</v>
      </c>
      <c r="AA519" s="291"/>
      <c r="AB519" s="412"/>
      <c r="AC519" s="564"/>
      <c r="AD519" s="565" t="s">
        <v>33</v>
      </c>
      <c r="AE519" s="455">
        <f t="shared" si="1114"/>
        <v>860790</v>
      </c>
      <c r="AF519" s="456">
        <f>$O$87</f>
        <v>87500</v>
      </c>
      <c r="AG519" s="457">
        <f>$O$141</f>
        <v>110500</v>
      </c>
      <c r="AH519" s="457">
        <f>$O$195</f>
        <v>57750</v>
      </c>
      <c r="AI519" s="457">
        <f>$O$249</f>
        <v>75000</v>
      </c>
      <c r="AJ519" s="457">
        <f>$O$303</f>
        <v>93000</v>
      </c>
      <c r="AK519" s="457">
        <f>$O$357</f>
        <v>47850</v>
      </c>
      <c r="AL519" s="457">
        <f>$O$411</f>
        <v>54000</v>
      </c>
      <c r="AM519" s="457">
        <f>$O$465</f>
        <v>57090</v>
      </c>
      <c r="AN519" s="457">
        <f>$O$519</f>
        <v>90000</v>
      </c>
      <c r="AO519" s="457">
        <f>$O$573</f>
        <v>52500</v>
      </c>
      <c r="AP519" s="457">
        <f>$O$627</f>
        <v>60000</v>
      </c>
      <c r="AQ519" s="458">
        <f>$O$681</f>
        <v>75600</v>
      </c>
    </row>
    <row r="520" spans="2:43" ht="7.8" customHeight="1" x14ac:dyDescent="0.25">
      <c r="B520" s="282"/>
      <c r="C520" s="404"/>
      <c r="D520" s="459"/>
      <c r="E520" s="460" t="s">
        <v>30</v>
      </c>
      <c r="F520" s="461">
        <f t="shared" ref="F520:L574" si="1115">IFERROR(F519/F518,0)</f>
        <v>166.57047101449277</v>
      </c>
      <c r="G520" s="461">
        <f t="shared" si="1115"/>
        <v>0</v>
      </c>
      <c r="H520" s="461">
        <f t="shared" si="1115"/>
        <v>144.70588235294119</v>
      </c>
      <c r="I520" s="462">
        <f t="shared" si="1115"/>
        <v>145</v>
      </c>
      <c r="J520" s="463">
        <f t="shared" si="1115"/>
        <v>145</v>
      </c>
      <c r="K520" s="463">
        <f t="shared" si="1115"/>
        <v>140</v>
      </c>
      <c r="L520" s="463">
        <f t="shared" si="1115"/>
        <v>150</v>
      </c>
      <c r="M520" s="464"/>
      <c r="N520" s="461">
        <f t="shared" ref="N520:Y574" si="1116">IFERROR(N519/N518,0)</f>
        <v>146.35593220338984</v>
      </c>
      <c r="O520" s="462">
        <f t="shared" si="1116"/>
        <v>150</v>
      </c>
      <c r="P520" s="463">
        <f t="shared" si="1116"/>
        <v>143</v>
      </c>
      <c r="Q520" s="463">
        <f t="shared" si="1116"/>
        <v>140</v>
      </c>
      <c r="R520" s="463">
        <f t="shared" si="1116"/>
        <v>0</v>
      </c>
      <c r="S520" s="464">
        <f t="shared" si="1116"/>
        <v>0</v>
      </c>
      <c r="T520" s="461">
        <f t="shared" si="1116"/>
        <v>174.39224999999999</v>
      </c>
      <c r="U520" s="462">
        <f t="shared" si="1116"/>
        <v>180</v>
      </c>
      <c r="V520" s="463">
        <f t="shared" si="1116"/>
        <v>175.75675675675674</v>
      </c>
      <c r="W520" s="463">
        <f t="shared" si="1116"/>
        <v>170.13910355486863</v>
      </c>
      <c r="X520" s="463">
        <f t="shared" si="1116"/>
        <v>185</v>
      </c>
      <c r="Y520" s="465">
        <f t="shared" si="1116"/>
        <v>174</v>
      </c>
      <c r="AA520" s="291"/>
      <c r="AB520" s="412"/>
      <c r="AC520" s="566"/>
      <c r="AD520" s="567" t="s">
        <v>30</v>
      </c>
      <c r="AE520" s="468">
        <f t="shared" ref="AE520:AQ520" si="1117">IFERROR(AE519/AE518,0)</f>
        <v>161.80263157894737</v>
      </c>
      <c r="AF520" s="469">
        <f t="shared" si="1117"/>
        <v>175</v>
      </c>
      <c r="AG520" s="470">
        <f t="shared" si="1117"/>
        <v>170</v>
      </c>
      <c r="AH520" s="470">
        <f t="shared" si="1117"/>
        <v>165</v>
      </c>
      <c r="AI520" s="470">
        <f t="shared" si="1117"/>
        <v>150</v>
      </c>
      <c r="AJ520" s="470">
        <f t="shared" si="1117"/>
        <v>155</v>
      </c>
      <c r="AK520" s="470">
        <f t="shared" si="1117"/>
        <v>165</v>
      </c>
      <c r="AL520" s="470">
        <f t="shared" si="1117"/>
        <v>180</v>
      </c>
      <c r="AM520" s="470">
        <f t="shared" si="1117"/>
        <v>173</v>
      </c>
      <c r="AN520" s="470">
        <f t="shared" si="1117"/>
        <v>150</v>
      </c>
      <c r="AO520" s="470">
        <f t="shared" si="1117"/>
        <v>150</v>
      </c>
      <c r="AP520" s="470">
        <f t="shared" si="1117"/>
        <v>150</v>
      </c>
      <c r="AQ520" s="471">
        <f t="shared" si="1117"/>
        <v>168</v>
      </c>
    </row>
    <row r="521" spans="2:43" ht="7.8" customHeight="1" x14ac:dyDescent="0.25">
      <c r="B521" s="282"/>
      <c r="C521" s="404"/>
      <c r="D521" s="472" t="s">
        <v>43</v>
      </c>
      <c r="E521" s="425" t="s">
        <v>32</v>
      </c>
      <c r="F521" s="426">
        <f t="shared" ref="F521:Y523" si="1118">F518-F515</f>
        <v>-1842</v>
      </c>
      <c r="G521" s="426">
        <f t="shared" si="1118"/>
        <v>-422</v>
      </c>
      <c r="H521" s="426">
        <f t="shared" si="1118"/>
        <v>68</v>
      </c>
      <c r="I521" s="427">
        <f t="shared" si="1118"/>
        <v>-152</v>
      </c>
      <c r="J521" s="428">
        <f t="shared" si="1118"/>
        <v>100</v>
      </c>
      <c r="K521" s="428">
        <f t="shared" si="1118"/>
        <v>70</v>
      </c>
      <c r="L521" s="428">
        <f t="shared" si="1118"/>
        <v>50</v>
      </c>
      <c r="M521" s="429">
        <f t="shared" si="1118"/>
        <v>0</v>
      </c>
      <c r="N521" s="426">
        <f t="shared" si="1118"/>
        <v>171</v>
      </c>
      <c r="O521" s="427">
        <f t="shared" si="1118"/>
        <v>-409</v>
      </c>
      <c r="P521" s="428">
        <f t="shared" si="1118"/>
        <v>500</v>
      </c>
      <c r="Q521" s="428">
        <f t="shared" si="1118"/>
        <v>80</v>
      </c>
      <c r="R521" s="428">
        <f t="shared" si="1118"/>
        <v>0</v>
      </c>
      <c r="S521" s="429">
        <f t="shared" si="1118"/>
        <v>0</v>
      </c>
      <c r="T521" s="426">
        <f t="shared" si="1118"/>
        <v>-1659</v>
      </c>
      <c r="U521" s="427">
        <f t="shared" si="1118"/>
        <v>-5215</v>
      </c>
      <c r="V521" s="428">
        <f t="shared" si="1118"/>
        <v>1776</v>
      </c>
      <c r="W521" s="428">
        <f t="shared" si="1118"/>
        <v>1294</v>
      </c>
      <c r="X521" s="428">
        <f t="shared" si="1118"/>
        <v>71</v>
      </c>
      <c r="Y521" s="430">
        <f t="shared" si="1118"/>
        <v>415</v>
      </c>
      <c r="AA521" s="291"/>
      <c r="AB521" s="412"/>
      <c r="AC521" s="473" t="s">
        <v>43</v>
      </c>
      <c r="AD521" s="432" t="s">
        <v>32</v>
      </c>
      <c r="AE521" s="426">
        <f t="shared" ref="AE521:AQ523" si="1119">AE518-AE515</f>
        <v>1045</v>
      </c>
      <c r="AF521" s="427">
        <f t="shared" si="1119"/>
        <v>69</v>
      </c>
      <c r="AG521" s="428">
        <f t="shared" si="1119"/>
        <v>109</v>
      </c>
      <c r="AH521" s="428">
        <f t="shared" si="1119"/>
        <v>82</v>
      </c>
      <c r="AI521" s="428">
        <f t="shared" si="1119"/>
        <v>41</v>
      </c>
      <c r="AJ521" s="428">
        <f t="shared" si="1119"/>
        <v>76</v>
      </c>
      <c r="AK521" s="428">
        <f t="shared" si="1119"/>
        <v>-1</v>
      </c>
      <c r="AL521" s="428">
        <f t="shared" si="1119"/>
        <v>-87</v>
      </c>
      <c r="AM521" s="428">
        <f t="shared" si="1119"/>
        <v>-35</v>
      </c>
      <c r="AN521" s="428">
        <f t="shared" si="1119"/>
        <v>-409</v>
      </c>
      <c r="AO521" s="428">
        <f t="shared" si="1119"/>
        <v>350</v>
      </c>
      <c r="AP521" s="428">
        <f t="shared" si="1119"/>
        <v>400</v>
      </c>
      <c r="AQ521" s="430">
        <f t="shared" si="1119"/>
        <v>450</v>
      </c>
    </row>
    <row r="522" spans="2:43" s="366" customFormat="1" ht="7.8" customHeight="1" x14ac:dyDescent="0.25">
      <c r="B522" s="282"/>
      <c r="C522" s="404"/>
      <c r="D522" s="405"/>
      <c r="E522" s="474" t="s">
        <v>33</v>
      </c>
      <c r="F522" s="407">
        <f t="shared" si="1118"/>
        <v>-132637.54000000004</v>
      </c>
      <c r="G522" s="407">
        <f t="shared" si="1118"/>
        <v>-66033</v>
      </c>
      <c r="H522" s="407">
        <f t="shared" si="1118"/>
        <v>10385</v>
      </c>
      <c r="I522" s="408">
        <f t="shared" si="1118"/>
        <v>-21415</v>
      </c>
      <c r="J522" s="409">
        <f t="shared" si="1118"/>
        <v>14500</v>
      </c>
      <c r="K522" s="409">
        <f t="shared" si="1118"/>
        <v>9800</v>
      </c>
      <c r="L522" s="409">
        <f t="shared" si="1118"/>
        <v>7500</v>
      </c>
      <c r="M522" s="410">
        <f t="shared" si="1118"/>
        <v>0</v>
      </c>
      <c r="N522" s="407">
        <f t="shared" si="1118"/>
        <v>24266</v>
      </c>
      <c r="O522" s="408">
        <f t="shared" si="1118"/>
        <v>-58434</v>
      </c>
      <c r="P522" s="409">
        <f t="shared" si="1118"/>
        <v>71500</v>
      </c>
      <c r="Q522" s="409">
        <f t="shared" si="1118"/>
        <v>11200</v>
      </c>
      <c r="R522" s="409">
        <f t="shared" si="1118"/>
        <v>0</v>
      </c>
      <c r="S522" s="410">
        <f t="shared" si="1118"/>
        <v>0</v>
      </c>
      <c r="T522" s="407">
        <f t="shared" si="1118"/>
        <v>-101255.54000000004</v>
      </c>
      <c r="U522" s="408">
        <f t="shared" si="1118"/>
        <v>-718904.54</v>
      </c>
      <c r="V522" s="409">
        <f t="shared" si="1118"/>
        <v>312144</v>
      </c>
      <c r="W522" s="409">
        <f t="shared" si="1118"/>
        <v>220160</v>
      </c>
      <c r="X522" s="409">
        <f t="shared" si="1118"/>
        <v>13135</v>
      </c>
      <c r="Y522" s="411">
        <f t="shared" si="1118"/>
        <v>72210</v>
      </c>
      <c r="AA522" s="291"/>
      <c r="AB522" s="412"/>
      <c r="AC522" s="475"/>
      <c r="AD522" s="476" t="s">
        <v>33</v>
      </c>
      <c r="AE522" s="407">
        <f t="shared" si="1119"/>
        <v>147755</v>
      </c>
      <c r="AF522" s="408">
        <f t="shared" si="1119"/>
        <v>5690</v>
      </c>
      <c r="AG522" s="409">
        <f t="shared" si="1119"/>
        <v>11203</v>
      </c>
      <c r="AH522" s="409">
        <f t="shared" si="1119"/>
        <v>12340</v>
      </c>
      <c r="AI522" s="409">
        <f t="shared" si="1119"/>
        <v>4918</v>
      </c>
      <c r="AJ522" s="409">
        <f t="shared" si="1119"/>
        <v>12144</v>
      </c>
      <c r="AK522" s="409">
        <f t="shared" si="1119"/>
        <v>110</v>
      </c>
      <c r="AL522" s="409">
        <f t="shared" si="1119"/>
        <v>-15972</v>
      </c>
      <c r="AM522" s="409">
        <f t="shared" si="1119"/>
        <v>-12344</v>
      </c>
      <c r="AN522" s="409">
        <f t="shared" si="1119"/>
        <v>-58434</v>
      </c>
      <c r="AO522" s="409">
        <f t="shared" si="1119"/>
        <v>52500</v>
      </c>
      <c r="AP522" s="409">
        <f t="shared" si="1119"/>
        <v>60000</v>
      </c>
      <c r="AQ522" s="411">
        <f t="shared" si="1119"/>
        <v>75600</v>
      </c>
    </row>
    <row r="523" spans="2:43" ht="7.8" customHeight="1" x14ac:dyDescent="0.25">
      <c r="B523" s="282"/>
      <c r="C523" s="404"/>
      <c r="D523" s="415"/>
      <c r="E523" s="416" t="s">
        <v>30</v>
      </c>
      <c r="F523" s="417">
        <f t="shared" si="1118"/>
        <v>23.660047216611758</v>
      </c>
      <c r="G523" s="417">
        <f t="shared" si="1118"/>
        <v>-156.47630331753555</v>
      </c>
      <c r="H523" s="417">
        <f t="shared" si="1118"/>
        <v>2.0036764705882604</v>
      </c>
      <c r="I523" s="418">
        <f t="shared" si="1118"/>
        <v>2.2977941176470722</v>
      </c>
      <c r="J523" s="419">
        <f t="shared" si="1118"/>
        <v>145</v>
      </c>
      <c r="K523" s="419">
        <f t="shared" si="1118"/>
        <v>140</v>
      </c>
      <c r="L523" s="419">
        <f t="shared" si="1118"/>
        <v>150</v>
      </c>
      <c r="M523" s="420">
        <f t="shared" si="1118"/>
        <v>0</v>
      </c>
      <c r="N523" s="417">
        <f t="shared" si="1118"/>
        <v>-0.75407770741293234</v>
      </c>
      <c r="O523" s="418">
        <f t="shared" si="1118"/>
        <v>2.8899900891972266</v>
      </c>
      <c r="P523" s="419">
        <f t="shared" si="1118"/>
        <v>143</v>
      </c>
      <c r="Q523" s="419">
        <f t="shared" si="1118"/>
        <v>140</v>
      </c>
      <c r="R523" s="419">
        <f t="shared" si="1118"/>
        <v>0</v>
      </c>
      <c r="S523" s="420">
        <f t="shared" si="1118"/>
        <v>0</v>
      </c>
      <c r="T523" s="417">
        <f t="shared" si="1118"/>
        <v>33.232232329033394</v>
      </c>
      <c r="U523" s="418">
        <f t="shared" si="1118"/>
        <v>38.839982329033404</v>
      </c>
      <c r="V523" s="419">
        <f t="shared" si="1118"/>
        <v>175.75675675675674</v>
      </c>
      <c r="W523" s="419">
        <f t="shared" si="1118"/>
        <v>170.13910355486863</v>
      </c>
      <c r="X523" s="419">
        <f t="shared" si="1118"/>
        <v>185</v>
      </c>
      <c r="Y523" s="421">
        <f t="shared" si="1118"/>
        <v>174</v>
      </c>
      <c r="AA523" s="291"/>
      <c r="AB523" s="412"/>
      <c r="AC523" s="477"/>
      <c r="AD523" s="423" t="s">
        <v>30</v>
      </c>
      <c r="AE523" s="417">
        <f t="shared" si="1119"/>
        <v>-4.9891812865496945</v>
      </c>
      <c r="AF523" s="418">
        <f t="shared" si="1119"/>
        <v>-14.814385150812058</v>
      </c>
      <c r="AG523" s="419">
        <f t="shared" si="1119"/>
        <v>-13.543438077634022</v>
      </c>
      <c r="AH523" s="419">
        <f t="shared" si="1119"/>
        <v>-4.4402985074626997</v>
      </c>
      <c r="AI523" s="419">
        <f t="shared" si="1119"/>
        <v>-2.6840958605664582</v>
      </c>
      <c r="AJ523" s="419">
        <f t="shared" si="1119"/>
        <v>0.69465648854961159</v>
      </c>
      <c r="AK523" s="419">
        <f t="shared" si="1119"/>
        <v>0.94501718213058439</v>
      </c>
      <c r="AL523" s="419">
        <f t="shared" si="1119"/>
        <v>-0.80620155038758412</v>
      </c>
      <c r="AM523" s="419">
        <f t="shared" si="1119"/>
        <v>-17.230136986301375</v>
      </c>
      <c r="AN523" s="419">
        <f t="shared" si="1119"/>
        <v>2.8899900891972266</v>
      </c>
      <c r="AO523" s="419">
        <f t="shared" si="1119"/>
        <v>150</v>
      </c>
      <c r="AP523" s="419">
        <f t="shared" si="1119"/>
        <v>150</v>
      </c>
      <c r="AQ523" s="421">
        <f t="shared" si="1119"/>
        <v>168</v>
      </c>
    </row>
    <row r="524" spans="2:43" ht="7.8" customHeight="1" x14ac:dyDescent="0.25">
      <c r="B524" s="282"/>
      <c r="C524" s="404"/>
      <c r="D524" s="472" t="s">
        <v>44</v>
      </c>
      <c r="E524" s="425" t="s">
        <v>32</v>
      </c>
      <c r="F524" s="478">
        <f t="shared" ref="F524:Y526" si="1120">IFERROR((F518-F515)/ABS(F515),"")</f>
        <v>-0.25020374898125508</v>
      </c>
      <c r="G524" s="478">
        <f t="shared" si="1120"/>
        <v>-1</v>
      </c>
      <c r="H524" s="478">
        <f t="shared" si="1120"/>
        <v>0.25</v>
      </c>
      <c r="I524" s="479">
        <f t="shared" si="1120"/>
        <v>-0.55882352941176472</v>
      </c>
      <c r="J524" s="480" t="str">
        <f t="shared" si="1120"/>
        <v/>
      </c>
      <c r="K524" s="480" t="str">
        <f t="shared" si="1120"/>
        <v/>
      </c>
      <c r="L524" s="480" t="str">
        <f t="shared" si="1120"/>
        <v/>
      </c>
      <c r="M524" s="481" t="str">
        <f t="shared" si="1120"/>
        <v/>
      </c>
      <c r="N524" s="478">
        <f t="shared" si="1120"/>
        <v>0.16947472745292369</v>
      </c>
      <c r="O524" s="479">
        <f t="shared" si="1120"/>
        <v>-0.40535183349851339</v>
      </c>
      <c r="P524" s="480" t="str">
        <f t="shared" si="1120"/>
        <v/>
      </c>
      <c r="Q524" s="480" t="str">
        <f t="shared" si="1120"/>
        <v/>
      </c>
      <c r="R524" s="480" t="str">
        <f t="shared" si="1120"/>
        <v/>
      </c>
      <c r="S524" s="481" t="str">
        <f t="shared" si="1120"/>
        <v/>
      </c>
      <c r="T524" s="478">
        <f t="shared" si="1120"/>
        <v>-0.29316133592507509</v>
      </c>
      <c r="U524" s="479">
        <f t="shared" si="1120"/>
        <v>-0.92154090828768331</v>
      </c>
      <c r="V524" s="480" t="str">
        <f t="shared" si="1120"/>
        <v/>
      </c>
      <c r="W524" s="480" t="str">
        <f t="shared" si="1120"/>
        <v/>
      </c>
      <c r="X524" s="480" t="str">
        <f t="shared" si="1120"/>
        <v/>
      </c>
      <c r="Y524" s="482" t="str">
        <f t="shared" si="1120"/>
        <v/>
      </c>
      <c r="AA524" s="291"/>
      <c r="AB524" s="412"/>
      <c r="AC524" s="473" t="s">
        <v>44</v>
      </c>
      <c r="AD524" s="432" t="s">
        <v>32</v>
      </c>
      <c r="AE524" s="478">
        <f t="shared" ref="AE524:AQ526" si="1121">IFERROR((AE518-AE515)/ABS(AE515),"")</f>
        <v>0.24444444444444444</v>
      </c>
      <c r="AF524" s="479">
        <f t="shared" si="1121"/>
        <v>0.16009280742459397</v>
      </c>
      <c r="AG524" s="480">
        <f t="shared" si="1121"/>
        <v>0.20147874306839186</v>
      </c>
      <c r="AH524" s="480">
        <f t="shared" si="1121"/>
        <v>0.30597014925373134</v>
      </c>
      <c r="AI524" s="480">
        <f t="shared" si="1121"/>
        <v>8.9324618736383449E-2</v>
      </c>
      <c r="AJ524" s="480">
        <f t="shared" si="1121"/>
        <v>0.14503816793893129</v>
      </c>
      <c r="AK524" s="480">
        <f t="shared" si="1121"/>
        <v>-3.4364261168384879E-3</v>
      </c>
      <c r="AL524" s="480">
        <f t="shared" si="1121"/>
        <v>-0.22480620155038761</v>
      </c>
      <c r="AM524" s="480">
        <f t="shared" si="1121"/>
        <v>-9.5890410958904104E-2</v>
      </c>
      <c r="AN524" s="480">
        <f t="shared" si="1121"/>
        <v>-0.40535183349851339</v>
      </c>
      <c r="AO524" s="480" t="str">
        <f t="shared" si="1121"/>
        <v/>
      </c>
      <c r="AP524" s="480" t="str">
        <f t="shared" si="1121"/>
        <v/>
      </c>
      <c r="AQ524" s="482" t="str">
        <f t="shared" si="1121"/>
        <v/>
      </c>
    </row>
    <row r="525" spans="2:43" ht="7.8" customHeight="1" x14ac:dyDescent="0.25">
      <c r="B525" s="282"/>
      <c r="C525" s="404"/>
      <c r="D525" s="405"/>
      <c r="E525" s="483" t="s">
        <v>33</v>
      </c>
      <c r="F525" s="484">
        <f t="shared" si="1120"/>
        <v>-0.12606854435103124</v>
      </c>
      <c r="G525" s="484">
        <f t="shared" si="1120"/>
        <v>-1</v>
      </c>
      <c r="H525" s="484">
        <f t="shared" si="1120"/>
        <v>0.26755120443127656</v>
      </c>
      <c r="I525" s="485">
        <f t="shared" si="1120"/>
        <v>-0.55171969599381687</v>
      </c>
      <c r="J525" s="486" t="str">
        <f t="shared" si="1120"/>
        <v/>
      </c>
      <c r="K525" s="486" t="str">
        <f t="shared" si="1120"/>
        <v/>
      </c>
      <c r="L525" s="486" t="str">
        <f t="shared" si="1120"/>
        <v/>
      </c>
      <c r="M525" s="487" t="str">
        <f t="shared" si="1120"/>
        <v/>
      </c>
      <c r="N525" s="484">
        <f t="shared" si="1120"/>
        <v>0.16348006521416927</v>
      </c>
      <c r="O525" s="485">
        <f t="shared" si="1120"/>
        <v>-0.39366991390112777</v>
      </c>
      <c r="P525" s="486" t="str">
        <f t="shared" si="1120"/>
        <v/>
      </c>
      <c r="Q525" s="486" t="str">
        <f t="shared" si="1120"/>
        <v/>
      </c>
      <c r="R525" s="486" t="str">
        <f t="shared" si="1120"/>
        <v/>
      </c>
      <c r="S525" s="487" t="str">
        <f t="shared" si="1120"/>
        <v/>
      </c>
      <c r="T525" s="484">
        <f t="shared" si="1120"/>
        <v>-0.12675567027522719</v>
      </c>
      <c r="U525" s="485">
        <f t="shared" si="1120"/>
        <v>-0.89995299843943199</v>
      </c>
      <c r="V525" s="486" t="str">
        <f t="shared" si="1120"/>
        <v/>
      </c>
      <c r="W525" s="486" t="str">
        <f t="shared" si="1120"/>
        <v/>
      </c>
      <c r="X525" s="486" t="str">
        <f t="shared" si="1120"/>
        <v/>
      </c>
      <c r="Y525" s="488" t="str">
        <f t="shared" si="1120"/>
        <v/>
      </c>
      <c r="AA525" s="291"/>
      <c r="AB525" s="412"/>
      <c r="AC525" s="475"/>
      <c r="AD525" s="489" t="s">
        <v>33</v>
      </c>
      <c r="AE525" s="484">
        <f t="shared" si="1121"/>
        <v>0.20721984194324261</v>
      </c>
      <c r="AF525" s="485">
        <f t="shared" si="1121"/>
        <v>6.9551399584402887E-2</v>
      </c>
      <c r="AG525" s="486">
        <f t="shared" si="1121"/>
        <v>0.1128231467214518</v>
      </c>
      <c r="AH525" s="486">
        <f t="shared" si="1121"/>
        <v>0.27174631138515748</v>
      </c>
      <c r="AI525" s="486">
        <f t="shared" si="1121"/>
        <v>7.0174937929853604E-2</v>
      </c>
      <c r="AJ525" s="486">
        <f t="shared" si="1121"/>
        <v>0.15019293558919561</v>
      </c>
      <c r="AK525" s="486">
        <f t="shared" si="1121"/>
        <v>2.304147465437788E-3</v>
      </c>
      <c r="AL525" s="486">
        <f t="shared" si="1121"/>
        <v>-0.22826273366489452</v>
      </c>
      <c r="AM525" s="486">
        <f t="shared" si="1121"/>
        <v>-0.17778033816285971</v>
      </c>
      <c r="AN525" s="486">
        <f t="shared" si="1121"/>
        <v>-0.39366991390112777</v>
      </c>
      <c r="AO525" s="486" t="str">
        <f t="shared" si="1121"/>
        <v/>
      </c>
      <c r="AP525" s="486" t="str">
        <f t="shared" si="1121"/>
        <v/>
      </c>
      <c r="AQ525" s="488" t="str">
        <f t="shared" si="1121"/>
        <v/>
      </c>
    </row>
    <row r="526" spans="2:43" ht="7.8" customHeight="1" x14ac:dyDescent="0.25">
      <c r="B526" s="282"/>
      <c r="C526" s="490"/>
      <c r="D526" s="405"/>
      <c r="E526" s="483" t="s">
        <v>30</v>
      </c>
      <c r="F526" s="484">
        <f t="shared" si="1120"/>
        <v>0.16555858269704868</v>
      </c>
      <c r="G526" s="484">
        <f t="shared" si="1120"/>
        <v>-1</v>
      </c>
      <c r="H526" s="484">
        <f t="shared" si="1120"/>
        <v>1.4040963545021433E-2</v>
      </c>
      <c r="I526" s="485">
        <f t="shared" si="1120"/>
        <v>1.6102022414015295E-2</v>
      </c>
      <c r="J526" s="486" t="str">
        <f t="shared" si="1120"/>
        <v/>
      </c>
      <c r="K526" s="486" t="str">
        <f t="shared" si="1120"/>
        <v/>
      </c>
      <c r="L526" s="486" t="str">
        <f t="shared" si="1120"/>
        <v/>
      </c>
      <c r="M526" s="487" t="str">
        <f t="shared" si="1120"/>
        <v/>
      </c>
      <c r="N526" s="484">
        <f t="shared" si="1120"/>
        <v>-5.1259442363585754E-3</v>
      </c>
      <c r="O526" s="485">
        <f t="shared" si="1120"/>
        <v>1.9645094789603471E-2</v>
      </c>
      <c r="P526" s="486" t="str">
        <f t="shared" si="1120"/>
        <v/>
      </c>
      <c r="Q526" s="486" t="str">
        <f t="shared" si="1120"/>
        <v/>
      </c>
      <c r="R526" s="486" t="str">
        <f t="shared" si="1120"/>
        <v/>
      </c>
      <c r="S526" s="487" t="str">
        <f t="shared" si="1120"/>
        <v/>
      </c>
      <c r="T526" s="484">
        <f t="shared" si="1120"/>
        <v>0.23542241547812237</v>
      </c>
      <c r="U526" s="485">
        <f t="shared" si="1120"/>
        <v>0.27514860772805005</v>
      </c>
      <c r="V526" s="486" t="str">
        <f t="shared" si="1120"/>
        <v/>
      </c>
      <c r="W526" s="486" t="str">
        <f t="shared" si="1120"/>
        <v/>
      </c>
      <c r="X526" s="486" t="str">
        <f t="shared" si="1120"/>
        <v/>
      </c>
      <c r="Y526" s="488" t="str">
        <f t="shared" si="1120"/>
        <v/>
      </c>
      <c r="AA526" s="291"/>
      <c r="AB526" s="412"/>
      <c r="AC526" s="475"/>
      <c r="AD526" s="489" t="s">
        <v>30</v>
      </c>
      <c r="AE526" s="484">
        <f t="shared" si="1121"/>
        <v>-2.9912627009894249E-2</v>
      </c>
      <c r="AF526" s="485">
        <f t="shared" si="1121"/>
        <v>-7.8046693558244673E-2</v>
      </c>
      <c r="AG526" s="486">
        <f t="shared" si="1121"/>
        <v>-7.3788734805684014E-2</v>
      </c>
      <c r="AH526" s="486">
        <f t="shared" si="1121"/>
        <v>-2.6205681567936654E-2</v>
      </c>
      <c r="AI526" s="486">
        <f t="shared" si="1121"/>
        <v>-1.7579406980394455E-2</v>
      </c>
      <c r="AJ526" s="486">
        <f t="shared" si="1121"/>
        <v>4.5018304145641201E-3</v>
      </c>
      <c r="AK526" s="486">
        <f t="shared" si="1121"/>
        <v>5.7603686635944711E-3</v>
      </c>
      <c r="AL526" s="486">
        <f t="shared" si="1121"/>
        <v>-4.4589264277138723E-3</v>
      </c>
      <c r="AM526" s="486">
        <f t="shared" si="1121"/>
        <v>-9.0575222513466044E-2</v>
      </c>
      <c r="AN526" s="486">
        <f t="shared" si="1121"/>
        <v>1.9645094789603471E-2</v>
      </c>
      <c r="AO526" s="486" t="str">
        <f t="shared" si="1121"/>
        <v/>
      </c>
      <c r="AP526" s="486" t="str">
        <f t="shared" si="1121"/>
        <v/>
      </c>
      <c r="AQ526" s="488" t="str">
        <f t="shared" si="1121"/>
        <v/>
      </c>
    </row>
    <row r="527" spans="2:43" ht="7.8" customHeight="1" x14ac:dyDescent="0.25">
      <c r="B527" s="282"/>
      <c r="C527" s="491" t="s">
        <v>49</v>
      </c>
      <c r="D527" s="492" t="s">
        <v>39</v>
      </c>
      <c r="E527" s="493" t="s">
        <v>32</v>
      </c>
      <c r="F527" s="494">
        <f t="shared" ref="F527:F528" si="1122">SUM(G527,H527,N527,T527)</f>
        <v>0</v>
      </c>
      <c r="G527" s="494"/>
      <c r="H527" s="494">
        <f t="shared" ref="H527:H528" si="1123">SUM(I527:M527)</f>
        <v>0</v>
      </c>
      <c r="I527" s="495"/>
      <c r="J527" s="496"/>
      <c r="K527" s="496"/>
      <c r="L527" s="496"/>
      <c r="M527" s="497"/>
      <c r="N527" s="494">
        <f t="shared" ref="N527:N528" si="1124">SUM(O527:S527)</f>
        <v>0</v>
      </c>
      <c r="O527" s="495"/>
      <c r="P527" s="496"/>
      <c r="Q527" s="496"/>
      <c r="R527" s="496"/>
      <c r="S527" s="497"/>
      <c r="T527" s="494">
        <f t="shared" ref="T527:T528" si="1125">SUM(U527:Y527)</f>
        <v>0</v>
      </c>
      <c r="U527" s="495"/>
      <c r="V527" s="496"/>
      <c r="W527" s="496"/>
      <c r="X527" s="496"/>
      <c r="Y527" s="498"/>
      <c r="AA527" s="291"/>
      <c r="AB527" s="499" t="s">
        <v>49</v>
      </c>
      <c r="AC527" s="500" t="s">
        <v>39</v>
      </c>
      <c r="AD527" s="501" t="s">
        <v>32</v>
      </c>
      <c r="AE527" s="494">
        <f t="shared" ref="AE527:AE528" si="1126">SUM(AF527:AQ527)</f>
        <v>0</v>
      </c>
      <c r="AF527" s="495">
        <f>$O$95</f>
        <v>0</v>
      </c>
      <c r="AG527" s="496">
        <f>$O$149</f>
        <v>0</v>
      </c>
      <c r="AH527" s="496">
        <f>$O$203</f>
        <v>0</v>
      </c>
      <c r="AI527" s="496">
        <f>$O$257</f>
        <v>0</v>
      </c>
      <c r="AJ527" s="496">
        <f>$O$311</f>
        <v>0</v>
      </c>
      <c r="AK527" s="496">
        <f>$O$365</f>
        <v>0</v>
      </c>
      <c r="AL527" s="496">
        <f>$O$419</f>
        <v>0</v>
      </c>
      <c r="AM527" s="496">
        <f>$O$473</f>
        <v>0</v>
      </c>
      <c r="AN527" s="496">
        <f>$O$527</f>
        <v>0</v>
      </c>
      <c r="AO527" s="496">
        <f>$O$581</f>
        <v>0</v>
      </c>
      <c r="AP527" s="496">
        <f>$O$635</f>
        <v>0</v>
      </c>
      <c r="AQ527" s="498">
        <f>$O$689</f>
        <v>0</v>
      </c>
    </row>
    <row r="528" spans="2:43" s="41" customFormat="1" ht="7.8" customHeight="1" x14ac:dyDescent="0.25">
      <c r="B528" s="282"/>
      <c r="C528" s="404"/>
      <c r="D528" s="405"/>
      <c r="E528" s="406" t="s">
        <v>33</v>
      </c>
      <c r="F528" s="407">
        <f t="shared" si="1122"/>
        <v>0</v>
      </c>
      <c r="G528" s="407"/>
      <c r="H528" s="407">
        <f t="shared" si="1123"/>
        <v>0</v>
      </c>
      <c r="I528" s="408"/>
      <c r="J528" s="409"/>
      <c r="K528" s="409"/>
      <c r="L528" s="409"/>
      <c r="M528" s="410"/>
      <c r="N528" s="407">
        <f t="shared" si="1124"/>
        <v>0</v>
      </c>
      <c r="O528" s="408"/>
      <c r="P528" s="409"/>
      <c r="Q528" s="409"/>
      <c r="R528" s="409"/>
      <c r="S528" s="410"/>
      <c r="T528" s="407">
        <f t="shared" si="1125"/>
        <v>0</v>
      </c>
      <c r="U528" s="408"/>
      <c r="V528" s="409"/>
      <c r="W528" s="409"/>
      <c r="X528" s="409"/>
      <c r="Y528" s="411"/>
      <c r="AA528" s="291"/>
      <c r="AB528" s="412"/>
      <c r="AC528" s="413"/>
      <c r="AD528" s="414" t="s">
        <v>33</v>
      </c>
      <c r="AE528" s="407">
        <f t="shared" si="1126"/>
        <v>0</v>
      </c>
      <c r="AF528" s="408">
        <f>$O$96</f>
        <v>0</v>
      </c>
      <c r="AG528" s="409">
        <f>$O$150</f>
        <v>0</v>
      </c>
      <c r="AH528" s="409">
        <f>$O$204</f>
        <v>0</v>
      </c>
      <c r="AI528" s="409">
        <f>$O$258</f>
        <v>0</v>
      </c>
      <c r="AJ528" s="409">
        <f>$O$312</f>
        <v>0</v>
      </c>
      <c r="AK528" s="409">
        <f>$O$366</f>
        <v>0</v>
      </c>
      <c r="AL528" s="409">
        <f>$O$420</f>
        <v>0</v>
      </c>
      <c r="AM528" s="409">
        <f>$O$474</f>
        <v>0</v>
      </c>
      <c r="AN528" s="409">
        <f>$O$528</f>
        <v>0</v>
      </c>
      <c r="AO528" s="409">
        <f>$O$582</f>
        <v>0</v>
      </c>
      <c r="AP528" s="409">
        <f>$O$636</f>
        <v>0</v>
      </c>
      <c r="AQ528" s="411">
        <f>$O$690</f>
        <v>0</v>
      </c>
    </row>
    <row r="529" spans="2:43" ht="7.8" customHeight="1" x14ac:dyDescent="0.25">
      <c r="B529" s="282"/>
      <c r="C529" s="404"/>
      <c r="D529" s="415"/>
      <c r="E529" s="416" t="s">
        <v>30</v>
      </c>
      <c r="F529" s="417">
        <f t="shared" ref="F529:Y583" si="1127">IFERROR(F528/F527,0)</f>
        <v>0</v>
      </c>
      <c r="G529" s="417">
        <f t="shared" si="1127"/>
        <v>0</v>
      </c>
      <c r="H529" s="417">
        <f t="shared" si="1127"/>
        <v>0</v>
      </c>
      <c r="I529" s="418">
        <f t="shared" si="1127"/>
        <v>0</v>
      </c>
      <c r="J529" s="419">
        <f t="shared" si="1127"/>
        <v>0</v>
      </c>
      <c r="K529" s="419">
        <f t="shared" si="1127"/>
        <v>0</v>
      </c>
      <c r="L529" s="419">
        <f t="shared" si="1127"/>
        <v>0</v>
      </c>
      <c r="M529" s="420">
        <f t="shared" si="1127"/>
        <v>0</v>
      </c>
      <c r="N529" s="417">
        <f t="shared" si="1127"/>
        <v>0</v>
      </c>
      <c r="O529" s="418">
        <f t="shared" si="1127"/>
        <v>0</v>
      </c>
      <c r="P529" s="419">
        <f t="shared" si="1127"/>
        <v>0</v>
      </c>
      <c r="Q529" s="419">
        <f t="shared" si="1127"/>
        <v>0</v>
      </c>
      <c r="R529" s="419">
        <f t="shared" si="1127"/>
        <v>0</v>
      </c>
      <c r="S529" s="420">
        <f t="shared" si="1127"/>
        <v>0</v>
      </c>
      <c r="T529" s="417">
        <f t="shared" si="1127"/>
        <v>0</v>
      </c>
      <c r="U529" s="418">
        <f t="shared" si="1127"/>
        <v>0</v>
      </c>
      <c r="V529" s="419">
        <f t="shared" si="1127"/>
        <v>0</v>
      </c>
      <c r="W529" s="419">
        <f t="shared" si="1127"/>
        <v>0</v>
      </c>
      <c r="X529" s="419">
        <f t="shared" si="1127"/>
        <v>0</v>
      </c>
      <c r="Y529" s="421">
        <f t="shared" si="1127"/>
        <v>0</v>
      </c>
      <c r="AA529" s="291"/>
      <c r="AB529" s="412"/>
      <c r="AC529" s="422"/>
      <c r="AD529" s="423" t="s">
        <v>30</v>
      </c>
      <c r="AE529" s="417">
        <f t="shared" ref="AE529:AQ529" si="1128">IFERROR(AE528/AE527,0)</f>
        <v>0</v>
      </c>
      <c r="AF529" s="418">
        <f t="shared" si="1128"/>
        <v>0</v>
      </c>
      <c r="AG529" s="419">
        <f t="shared" si="1128"/>
        <v>0</v>
      </c>
      <c r="AH529" s="419">
        <f t="shared" si="1128"/>
        <v>0</v>
      </c>
      <c r="AI529" s="419">
        <f t="shared" si="1128"/>
        <v>0</v>
      </c>
      <c r="AJ529" s="419">
        <f t="shared" si="1128"/>
        <v>0</v>
      </c>
      <c r="AK529" s="419">
        <f t="shared" si="1128"/>
        <v>0</v>
      </c>
      <c r="AL529" s="419">
        <f t="shared" si="1128"/>
        <v>0</v>
      </c>
      <c r="AM529" s="419">
        <f t="shared" si="1128"/>
        <v>0</v>
      </c>
      <c r="AN529" s="419">
        <f t="shared" si="1128"/>
        <v>0</v>
      </c>
      <c r="AO529" s="419">
        <f t="shared" si="1128"/>
        <v>0</v>
      </c>
      <c r="AP529" s="419">
        <f t="shared" si="1128"/>
        <v>0</v>
      </c>
      <c r="AQ529" s="421">
        <f t="shared" si="1128"/>
        <v>0</v>
      </c>
    </row>
    <row r="530" spans="2:43" ht="7.8" customHeight="1" x14ac:dyDescent="0.25">
      <c r="B530" s="282"/>
      <c r="C530" s="404"/>
      <c r="D530" s="424" t="s">
        <v>40</v>
      </c>
      <c r="E530" s="425" t="s">
        <v>32</v>
      </c>
      <c r="F530" s="426">
        <f t="shared" ref="F530:F531" si="1129">SUM(G530,H530,N530,T530)</f>
        <v>1788</v>
      </c>
      <c r="G530" s="426">
        <v>269</v>
      </c>
      <c r="H530" s="426">
        <f t="shared" ref="H530:H531" si="1130">SUM(I530:M530)</f>
        <v>94</v>
      </c>
      <c r="I530" s="427">
        <v>25</v>
      </c>
      <c r="J530" s="428">
        <v>25</v>
      </c>
      <c r="K530" s="428">
        <v>0</v>
      </c>
      <c r="L530" s="428">
        <v>0</v>
      </c>
      <c r="M530" s="429">
        <v>44</v>
      </c>
      <c r="N530" s="426">
        <f t="shared" ref="N530:N531" si="1131">SUM(O530:S530)</f>
        <v>424</v>
      </c>
      <c r="O530" s="427">
        <v>191</v>
      </c>
      <c r="P530" s="428">
        <v>200</v>
      </c>
      <c r="Q530" s="428">
        <v>32</v>
      </c>
      <c r="R530" s="428">
        <v>0</v>
      </c>
      <c r="S530" s="429">
        <v>1</v>
      </c>
      <c r="T530" s="426">
        <f t="shared" ref="T530:T531" si="1132">SUM(U530:Y530)</f>
        <v>1001</v>
      </c>
      <c r="U530" s="427">
        <v>128</v>
      </c>
      <c r="V530" s="428">
        <v>325</v>
      </c>
      <c r="W530" s="428">
        <v>460</v>
      </c>
      <c r="X530" s="428">
        <v>56</v>
      </c>
      <c r="Y530" s="430">
        <v>32</v>
      </c>
      <c r="AA530" s="291"/>
      <c r="AB530" s="412"/>
      <c r="AC530" s="431" t="s">
        <v>40</v>
      </c>
      <c r="AD530" s="432" t="s">
        <v>32</v>
      </c>
      <c r="AE530" s="426">
        <f t="shared" ref="AE530:AE531" si="1133">SUM(AF530:AQ530)</f>
        <v>2402</v>
      </c>
      <c r="AF530" s="427">
        <f>$O$98</f>
        <v>267</v>
      </c>
      <c r="AG530" s="428">
        <f>$O$152</f>
        <v>308</v>
      </c>
      <c r="AH530" s="428">
        <f>$O$206</f>
        <v>245</v>
      </c>
      <c r="AI530" s="428">
        <f>$O$260</f>
        <v>157</v>
      </c>
      <c r="AJ530" s="428">
        <f>$O$314</f>
        <v>275</v>
      </c>
      <c r="AK530" s="428">
        <f>$O$368</f>
        <v>143</v>
      </c>
      <c r="AL530" s="428">
        <f>$O$422</f>
        <v>117</v>
      </c>
      <c r="AM530" s="428">
        <f>$O$476</f>
        <v>112</v>
      </c>
      <c r="AN530" s="428">
        <f>$O$530</f>
        <v>191</v>
      </c>
      <c r="AO530" s="428">
        <f>$O$584</f>
        <v>166</v>
      </c>
      <c r="AP530" s="428">
        <f>$O$638</f>
        <v>242</v>
      </c>
      <c r="AQ530" s="430">
        <f>$O$692</f>
        <v>179</v>
      </c>
    </row>
    <row r="531" spans="2:43" s="41" customFormat="1" ht="7.8" customHeight="1" x14ac:dyDescent="0.25">
      <c r="B531" s="282"/>
      <c r="C531" s="404"/>
      <c r="D531" s="405"/>
      <c r="E531" s="406" t="s">
        <v>33</v>
      </c>
      <c r="F531" s="407">
        <f t="shared" si="1129"/>
        <v>304778.98</v>
      </c>
      <c r="G531" s="407">
        <v>41964</v>
      </c>
      <c r="H531" s="407">
        <f t="shared" si="1130"/>
        <v>14101</v>
      </c>
      <c r="I531" s="408">
        <v>3745</v>
      </c>
      <c r="J531" s="409">
        <v>3580</v>
      </c>
      <c r="K531" s="409">
        <v>0</v>
      </c>
      <c r="L531" s="409">
        <v>0</v>
      </c>
      <c r="M531" s="410">
        <v>6776</v>
      </c>
      <c r="N531" s="407">
        <f t="shared" si="1131"/>
        <v>61256</v>
      </c>
      <c r="O531" s="408">
        <v>28825</v>
      </c>
      <c r="P531" s="409">
        <v>27676</v>
      </c>
      <c r="Q531" s="409">
        <v>4615</v>
      </c>
      <c r="R531" s="409">
        <v>0</v>
      </c>
      <c r="S531" s="410">
        <v>140</v>
      </c>
      <c r="T531" s="407">
        <f t="shared" si="1132"/>
        <v>187457.97999999998</v>
      </c>
      <c r="U531" s="408">
        <v>26098.300000000003</v>
      </c>
      <c r="V531" s="409">
        <v>55192.759999999995</v>
      </c>
      <c r="W531" s="409">
        <v>85281.919999999998</v>
      </c>
      <c r="X531" s="409">
        <v>8936</v>
      </c>
      <c r="Y531" s="411">
        <v>11949</v>
      </c>
      <c r="AA531" s="291"/>
      <c r="AB531" s="412"/>
      <c r="AC531" s="413"/>
      <c r="AD531" s="414" t="s">
        <v>33</v>
      </c>
      <c r="AE531" s="407">
        <f t="shared" si="1133"/>
        <v>396444</v>
      </c>
      <c r="AF531" s="408">
        <f>$O$99</f>
        <v>49384</v>
      </c>
      <c r="AG531" s="409">
        <f>$O$153</f>
        <v>56320</v>
      </c>
      <c r="AH531" s="409">
        <f>$O$207</f>
        <v>41145</v>
      </c>
      <c r="AI531" s="409">
        <f>$O$261</f>
        <v>22810</v>
      </c>
      <c r="AJ531" s="409">
        <f>$O$315</f>
        <v>40370</v>
      </c>
      <c r="AK531" s="409">
        <f>$O$369</f>
        <v>23394</v>
      </c>
      <c r="AL531" s="409">
        <f>$O$423</f>
        <v>21960</v>
      </c>
      <c r="AM531" s="409">
        <f>$O$477</f>
        <v>19616</v>
      </c>
      <c r="AN531" s="409">
        <f>$O$531</f>
        <v>28825</v>
      </c>
      <c r="AO531" s="409">
        <f>$O$585</f>
        <v>24505</v>
      </c>
      <c r="AP531" s="409">
        <f>$O$639</f>
        <v>37980</v>
      </c>
      <c r="AQ531" s="411">
        <f>$O$693</f>
        <v>30135</v>
      </c>
    </row>
    <row r="532" spans="2:43" ht="7.8" customHeight="1" x14ac:dyDescent="0.25">
      <c r="B532" s="282"/>
      <c r="C532" s="404"/>
      <c r="D532" s="415"/>
      <c r="E532" s="416" t="s">
        <v>30</v>
      </c>
      <c r="F532" s="417">
        <f t="shared" ref="F532:Y586" si="1134">IFERROR(F531/F530,0)</f>
        <v>170.45804250559283</v>
      </c>
      <c r="G532" s="417">
        <f t="shared" si="1134"/>
        <v>156</v>
      </c>
      <c r="H532" s="417">
        <f t="shared" si="1134"/>
        <v>150.01063829787233</v>
      </c>
      <c r="I532" s="418">
        <f t="shared" si="1134"/>
        <v>149.80000000000001</v>
      </c>
      <c r="J532" s="419">
        <f t="shared" si="1134"/>
        <v>143.19999999999999</v>
      </c>
      <c r="K532" s="419">
        <f t="shared" si="1134"/>
        <v>0</v>
      </c>
      <c r="L532" s="419">
        <f t="shared" si="1134"/>
        <v>0</v>
      </c>
      <c r="M532" s="420">
        <f t="shared" si="1134"/>
        <v>154</v>
      </c>
      <c r="N532" s="417">
        <f t="shared" si="1134"/>
        <v>144.47169811320754</v>
      </c>
      <c r="O532" s="418">
        <f t="shared" si="1134"/>
        <v>150.91623036649216</v>
      </c>
      <c r="P532" s="419">
        <f t="shared" si="1134"/>
        <v>138.38</v>
      </c>
      <c r="Q532" s="419">
        <f t="shared" si="1134"/>
        <v>144.21875</v>
      </c>
      <c r="R532" s="419">
        <f t="shared" si="1134"/>
        <v>0</v>
      </c>
      <c r="S532" s="420">
        <f t="shared" si="1134"/>
        <v>140</v>
      </c>
      <c r="T532" s="417">
        <f t="shared" si="1134"/>
        <v>187.27070929070928</v>
      </c>
      <c r="U532" s="418">
        <f t="shared" si="1134"/>
        <v>203.89296875000002</v>
      </c>
      <c r="V532" s="419">
        <f t="shared" si="1134"/>
        <v>169.82387692307691</v>
      </c>
      <c r="W532" s="419">
        <f t="shared" si="1134"/>
        <v>185.39547826086957</v>
      </c>
      <c r="X532" s="419">
        <f t="shared" si="1134"/>
        <v>159.57142857142858</v>
      </c>
      <c r="Y532" s="421">
        <f t="shared" si="1134"/>
        <v>373.40625</v>
      </c>
      <c r="AA532" s="291"/>
      <c r="AB532" s="412"/>
      <c r="AC532" s="422"/>
      <c r="AD532" s="423" t="s">
        <v>30</v>
      </c>
      <c r="AE532" s="417">
        <f t="shared" ref="AE532:AQ532" si="1135">IFERROR(AE531/AE530,0)</f>
        <v>165.04746044962531</v>
      </c>
      <c r="AF532" s="418">
        <f t="shared" si="1135"/>
        <v>184.95880149812734</v>
      </c>
      <c r="AG532" s="419">
        <f t="shared" si="1135"/>
        <v>182.85714285714286</v>
      </c>
      <c r="AH532" s="419">
        <f t="shared" si="1135"/>
        <v>167.9387755102041</v>
      </c>
      <c r="AI532" s="419">
        <f t="shared" si="1135"/>
        <v>145.28662420382165</v>
      </c>
      <c r="AJ532" s="419">
        <f t="shared" si="1135"/>
        <v>146.80000000000001</v>
      </c>
      <c r="AK532" s="419">
        <f t="shared" si="1135"/>
        <v>163.5944055944056</v>
      </c>
      <c r="AL532" s="419">
        <f t="shared" si="1135"/>
        <v>187.69230769230768</v>
      </c>
      <c r="AM532" s="419">
        <f t="shared" si="1135"/>
        <v>175.14285714285714</v>
      </c>
      <c r="AN532" s="419">
        <f t="shared" si="1135"/>
        <v>150.91623036649216</v>
      </c>
      <c r="AO532" s="419">
        <f t="shared" si="1135"/>
        <v>147.62048192771084</v>
      </c>
      <c r="AP532" s="419">
        <f t="shared" si="1135"/>
        <v>156.94214876033058</v>
      </c>
      <c r="AQ532" s="421">
        <f t="shared" si="1135"/>
        <v>168.35195530726256</v>
      </c>
    </row>
    <row r="533" spans="2:43" ht="7.8" customHeight="1" x14ac:dyDescent="0.25">
      <c r="B533" s="282"/>
      <c r="C533" s="404"/>
      <c r="D533" s="424" t="s">
        <v>41</v>
      </c>
      <c r="E533" s="425" t="s">
        <v>32</v>
      </c>
      <c r="F533" s="426">
        <f t="shared" ref="F533:F534" si="1136">SUM(G533,H533,N533,T533)</f>
        <v>0</v>
      </c>
      <c r="G533" s="426"/>
      <c r="H533" s="426">
        <f t="shared" ref="H533:H534" si="1137">SUM(I533:M533)</f>
        <v>0</v>
      </c>
      <c r="I533" s="427"/>
      <c r="J533" s="428"/>
      <c r="K533" s="428"/>
      <c r="L533" s="428"/>
      <c r="M533" s="429"/>
      <c r="N533" s="426">
        <f t="shared" ref="N533:N534" si="1138">SUM(O533:S533)</f>
        <v>0</v>
      </c>
      <c r="O533" s="427"/>
      <c r="P533" s="428"/>
      <c r="Q533" s="428"/>
      <c r="R533" s="428"/>
      <c r="S533" s="429"/>
      <c r="T533" s="426">
        <f t="shared" ref="T533:T534" si="1139">SUM(U533:Y533)</f>
        <v>0</v>
      </c>
      <c r="U533" s="427"/>
      <c r="V533" s="428"/>
      <c r="W533" s="428"/>
      <c r="X533" s="428"/>
      <c r="Y533" s="430"/>
      <c r="AA533" s="291"/>
      <c r="AB533" s="412"/>
      <c r="AC533" s="431" t="s">
        <v>41</v>
      </c>
      <c r="AD533" s="432" t="s">
        <v>32</v>
      </c>
      <c r="AE533" s="426">
        <f t="shared" ref="AE533:AE534" si="1140">SUM(AF533:AQ533)</f>
        <v>1370</v>
      </c>
      <c r="AF533" s="427">
        <f>$O$101</f>
        <v>138</v>
      </c>
      <c r="AG533" s="428">
        <f>$O$155</f>
        <v>240</v>
      </c>
      <c r="AH533" s="428">
        <f>$O$209</f>
        <v>111</v>
      </c>
      <c r="AI533" s="428">
        <f>$O$263</f>
        <v>201</v>
      </c>
      <c r="AJ533" s="428">
        <f>$O$317</f>
        <v>296</v>
      </c>
      <c r="AK533" s="428">
        <f>$O$371</f>
        <v>103</v>
      </c>
      <c r="AL533" s="428">
        <f>$O$425</f>
        <v>111</v>
      </c>
      <c r="AM533" s="428">
        <f>$O$479</f>
        <v>170</v>
      </c>
      <c r="AN533" s="428">
        <f>$O$533</f>
        <v>0</v>
      </c>
      <c r="AO533" s="428">
        <f>$O$587</f>
        <v>0</v>
      </c>
      <c r="AP533" s="428">
        <f>$O$641</f>
        <v>0</v>
      </c>
      <c r="AQ533" s="430">
        <f>$O$695</f>
        <v>0</v>
      </c>
    </row>
    <row r="534" spans="2:43" s="41" customFormat="1" ht="7.8" customHeight="1" x14ac:dyDescent="0.25">
      <c r="B534" s="282"/>
      <c r="C534" s="404"/>
      <c r="D534" s="405"/>
      <c r="E534" s="406" t="s">
        <v>33</v>
      </c>
      <c r="F534" s="407">
        <f t="shared" si="1136"/>
        <v>0</v>
      </c>
      <c r="G534" s="407"/>
      <c r="H534" s="407">
        <f t="shared" si="1137"/>
        <v>0</v>
      </c>
      <c r="I534" s="408"/>
      <c r="J534" s="409"/>
      <c r="K534" s="409"/>
      <c r="L534" s="409"/>
      <c r="M534" s="410"/>
      <c r="N534" s="407">
        <f t="shared" si="1138"/>
        <v>0</v>
      </c>
      <c r="O534" s="408"/>
      <c r="P534" s="409"/>
      <c r="Q534" s="409"/>
      <c r="R534" s="409"/>
      <c r="S534" s="410"/>
      <c r="T534" s="407">
        <f t="shared" si="1139"/>
        <v>0</v>
      </c>
      <c r="U534" s="408"/>
      <c r="V534" s="409"/>
      <c r="W534" s="409"/>
      <c r="X534" s="409"/>
      <c r="Y534" s="411"/>
      <c r="AA534" s="291"/>
      <c r="AB534" s="412"/>
      <c r="AC534" s="413"/>
      <c r="AD534" s="414" t="s">
        <v>33</v>
      </c>
      <c r="AE534" s="407">
        <f t="shared" si="1140"/>
        <v>231914</v>
      </c>
      <c r="AF534" s="408">
        <f>$O$102</f>
        <v>25898</v>
      </c>
      <c r="AG534" s="409">
        <f>$O$156</f>
        <v>43818</v>
      </c>
      <c r="AH534" s="409">
        <f>$O$210</f>
        <v>18500</v>
      </c>
      <c r="AI534" s="409">
        <f>$O$264</f>
        <v>30312</v>
      </c>
      <c r="AJ534" s="409">
        <f>$O$318</f>
        <v>45751</v>
      </c>
      <c r="AK534" s="409">
        <f>$O$372</f>
        <v>17005</v>
      </c>
      <c r="AL534" s="409">
        <f>$O$426</f>
        <v>20267</v>
      </c>
      <c r="AM534" s="409">
        <f>$O$480</f>
        <v>30363</v>
      </c>
      <c r="AN534" s="409">
        <f>$O$534</f>
        <v>0</v>
      </c>
      <c r="AO534" s="409">
        <f>$O$588</f>
        <v>0</v>
      </c>
      <c r="AP534" s="409">
        <f>$O$642</f>
        <v>0</v>
      </c>
      <c r="AQ534" s="411">
        <f>$O$696</f>
        <v>0</v>
      </c>
    </row>
    <row r="535" spans="2:43" ht="7.8" customHeight="1" x14ac:dyDescent="0.25">
      <c r="B535" s="282"/>
      <c r="C535" s="404"/>
      <c r="D535" s="415"/>
      <c r="E535" s="416" t="s">
        <v>30</v>
      </c>
      <c r="F535" s="417">
        <f t="shared" ref="F535:Y589" si="1141">IFERROR(F534/F533,0)</f>
        <v>0</v>
      </c>
      <c r="G535" s="417">
        <f t="shared" si="1141"/>
        <v>0</v>
      </c>
      <c r="H535" s="417">
        <f t="shared" si="1141"/>
        <v>0</v>
      </c>
      <c r="I535" s="418">
        <f t="shared" si="1141"/>
        <v>0</v>
      </c>
      <c r="J535" s="419">
        <f t="shared" si="1141"/>
        <v>0</v>
      </c>
      <c r="K535" s="419">
        <f t="shared" si="1141"/>
        <v>0</v>
      </c>
      <c r="L535" s="419">
        <f t="shared" si="1141"/>
        <v>0</v>
      </c>
      <c r="M535" s="420">
        <f t="shared" si="1141"/>
        <v>0</v>
      </c>
      <c r="N535" s="417">
        <f t="shared" si="1141"/>
        <v>0</v>
      </c>
      <c r="O535" s="418">
        <f t="shared" si="1141"/>
        <v>0</v>
      </c>
      <c r="P535" s="419">
        <f t="shared" si="1141"/>
        <v>0</v>
      </c>
      <c r="Q535" s="419">
        <f t="shared" si="1141"/>
        <v>0</v>
      </c>
      <c r="R535" s="419">
        <f t="shared" si="1141"/>
        <v>0</v>
      </c>
      <c r="S535" s="420">
        <f t="shared" si="1141"/>
        <v>0</v>
      </c>
      <c r="T535" s="417">
        <f t="shared" si="1141"/>
        <v>0</v>
      </c>
      <c r="U535" s="418">
        <f t="shared" si="1141"/>
        <v>0</v>
      </c>
      <c r="V535" s="419">
        <f t="shared" si="1141"/>
        <v>0</v>
      </c>
      <c r="W535" s="419">
        <f t="shared" si="1141"/>
        <v>0</v>
      </c>
      <c r="X535" s="419">
        <f t="shared" si="1141"/>
        <v>0</v>
      </c>
      <c r="Y535" s="421">
        <f t="shared" si="1141"/>
        <v>0</v>
      </c>
      <c r="AA535" s="291"/>
      <c r="AB535" s="412"/>
      <c r="AC535" s="422"/>
      <c r="AD535" s="423" t="s">
        <v>30</v>
      </c>
      <c r="AE535" s="417">
        <f t="shared" ref="AE535:AQ535" si="1142">IFERROR(AE534/AE533,0)</f>
        <v>169.28029197080292</v>
      </c>
      <c r="AF535" s="418">
        <f t="shared" si="1142"/>
        <v>187.66666666666666</v>
      </c>
      <c r="AG535" s="419">
        <f t="shared" si="1142"/>
        <v>182.57499999999999</v>
      </c>
      <c r="AH535" s="419">
        <f t="shared" si="1142"/>
        <v>166.66666666666666</v>
      </c>
      <c r="AI535" s="419">
        <f t="shared" si="1142"/>
        <v>150.80597014925374</v>
      </c>
      <c r="AJ535" s="419">
        <f t="shared" si="1142"/>
        <v>154.56418918918919</v>
      </c>
      <c r="AK535" s="419">
        <f t="shared" si="1142"/>
        <v>165.09708737864077</v>
      </c>
      <c r="AL535" s="419">
        <f t="shared" si="1142"/>
        <v>182.58558558558559</v>
      </c>
      <c r="AM535" s="419">
        <f t="shared" si="1142"/>
        <v>178.60588235294117</v>
      </c>
      <c r="AN535" s="419">
        <f t="shared" si="1142"/>
        <v>0</v>
      </c>
      <c r="AO535" s="419">
        <f t="shared" si="1142"/>
        <v>0</v>
      </c>
      <c r="AP535" s="419">
        <f t="shared" si="1142"/>
        <v>0</v>
      </c>
      <c r="AQ535" s="421">
        <f t="shared" si="1142"/>
        <v>0</v>
      </c>
    </row>
    <row r="536" spans="2:43" ht="7.8" customHeight="1" x14ac:dyDescent="0.25">
      <c r="B536" s="282"/>
      <c r="C536" s="404"/>
      <c r="D536" s="433" t="s">
        <v>42</v>
      </c>
      <c r="E536" s="434" t="s">
        <v>32</v>
      </c>
      <c r="F536" s="435">
        <f t="shared" ref="F536:F537" si="1143">SUM(G536,H536,N536,T536)</f>
        <v>2032</v>
      </c>
      <c r="G536" s="435">
        <v>0</v>
      </c>
      <c r="H536" s="435">
        <v>160</v>
      </c>
      <c r="I536" s="436">
        <v>30</v>
      </c>
      <c r="J536" s="437">
        <v>60</v>
      </c>
      <c r="K536" s="437">
        <v>30</v>
      </c>
      <c r="L536" s="437">
        <v>40</v>
      </c>
      <c r="M536" s="438">
        <v>0</v>
      </c>
      <c r="N536" s="435">
        <f t="shared" ref="N536:N537" si="1144">SUM(O536:S536)</f>
        <v>600</v>
      </c>
      <c r="O536" s="436">
        <v>300</v>
      </c>
      <c r="P536" s="437">
        <v>250</v>
      </c>
      <c r="Q536" s="437">
        <v>50</v>
      </c>
      <c r="R536" s="437">
        <v>0</v>
      </c>
      <c r="S536" s="438">
        <v>0</v>
      </c>
      <c r="T536" s="435">
        <f t="shared" ref="T536:T537" si="1145">SUM(U536:Y536)</f>
        <v>1272</v>
      </c>
      <c r="U536" s="436">
        <v>206</v>
      </c>
      <c r="V536" s="437">
        <v>460</v>
      </c>
      <c r="W536" s="437">
        <v>442</v>
      </c>
      <c r="X536" s="437">
        <v>29</v>
      </c>
      <c r="Y536" s="439">
        <v>135</v>
      </c>
      <c r="AA536" s="291"/>
      <c r="AB536" s="412"/>
      <c r="AC536" s="568" t="s">
        <v>42</v>
      </c>
      <c r="AD536" s="569" t="s">
        <v>32</v>
      </c>
      <c r="AE536" s="442">
        <f t="shared" ref="AE536:AE537" si="1146">SUM(AF536:AQ536)</f>
        <v>2395</v>
      </c>
      <c r="AF536" s="443">
        <f>$O$104</f>
        <v>180</v>
      </c>
      <c r="AG536" s="444">
        <f>$O$158</f>
        <v>250</v>
      </c>
      <c r="AH536" s="444">
        <f>$O$212</f>
        <v>200</v>
      </c>
      <c r="AI536" s="444">
        <f>$O$266</f>
        <v>250</v>
      </c>
      <c r="AJ536" s="444">
        <f>$O$320</f>
        <v>300</v>
      </c>
      <c r="AK536" s="444">
        <f>$O$374</f>
        <v>145</v>
      </c>
      <c r="AL536" s="444">
        <f>$O$428</f>
        <v>100</v>
      </c>
      <c r="AM536" s="444">
        <f>$O$482</f>
        <v>120</v>
      </c>
      <c r="AN536" s="444">
        <f>$O$536</f>
        <v>300</v>
      </c>
      <c r="AO536" s="444">
        <f>$O$590</f>
        <v>200</v>
      </c>
      <c r="AP536" s="444">
        <f>$O$644</f>
        <v>200</v>
      </c>
      <c r="AQ536" s="445">
        <f>$O$698</f>
        <v>150</v>
      </c>
    </row>
    <row r="537" spans="2:43" s="41" customFormat="1" ht="7.8" customHeight="1" x14ac:dyDescent="0.25">
      <c r="B537" s="282"/>
      <c r="C537" s="404"/>
      <c r="D537" s="446"/>
      <c r="E537" s="447" t="s">
        <v>33</v>
      </c>
      <c r="F537" s="448">
        <f t="shared" si="1143"/>
        <v>351831</v>
      </c>
      <c r="G537" s="448">
        <v>0</v>
      </c>
      <c r="H537" s="448">
        <v>23250</v>
      </c>
      <c r="I537" s="449">
        <v>4350</v>
      </c>
      <c r="J537" s="450">
        <v>8700</v>
      </c>
      <c r="K537" s="450">
        <v>4200</v>
      </c>
      <c r="L537" s="450">
        <v>6000</v>
      </c>
      <c r="M537" s="451">
        <v>0</v>
      </c>
      <c r="N537" s="448">
        <f t="shared" si="1144"/>
        <v>87750</v>
      </c>
      <c r="O537" s="449">
        <v>45000</v>
      </c>
      <c r="P537" s="450">
        <v>35750</v>
      </c>
      <c r="Q537" s="450">
        <v>7000</v>
      </c>
      <c r="R537" s="450">
        <v>0</v>
      </c>
      <c r="S537" s="451">
        <v>0</v>
      </c>
      <c r="T537" s="448">
        <f t="shared" si="1145"/>
        <v>240831</v>
      </c>
      <c r="U537" s="449">
        <v>37080</v>
      </c>
      <c r="V537" s="450">
        <v>91056</v>
      </c>
      <c r="W537" s="450">
        <v>83840</v>
      </c>
      <c r="X537" s="450">
        <v>5365</v>
      </c>
      <c r="Y537" s="452">
        <v>23490</v>
      </c>
      <c r="AA537" s="291"/>
      <c r="AB537" s="412"/>
      <c r="AC537" s="564"/>
      <c r="AD537" s="565" t="s">
        <v>33</v>
      </c>
      <c r="AE537" s="455">
        <f t="shared" si="1146"/>
        <v>383885</v>
      </c>
      <c r="AF537" s="456">
        <f>$O$105</f>
        <v>31500</v>
      </c>
      <c r="AG537" s="457">
        <f>$O$159</f>
        <v>42500</v>
      </c>
      <c r="AH537" s="457">
        <f>$O$213</f>
        <v>33000</v>
      </c>
      <c r="AI537" s="457">
        <f>$O$267</f>
        <v>37500</v>
      </c>
      <c r="AJ537" s="457">
        <f>$O$321</f>
        <v>46500</v>
      </c>
      <c r="AK537" s="457">
        <f>$O$375</f>
        <v>23925</v>
      </c>
      <c r="AL537" s="457">
        <f>$O$429</f>
        <v>18000</v>
      </c>
      <c r="AM537" s="457">
        <f>$O$483</f>
        <v>20760</v>
      </c>
      <c r="AN537" s="457">
        <f>$O$537</f>
        <v>45000</v>
      </c>
      <c r="AO537" s="457">
        <f>$O$591</f>
        <v>30000</v>
      </c>
      <c r="AP537" s="457">
        <f>$O$645</f>
        <v>30000</v>
      </c>
      <c r="AQ537" s="458">
        <f>$O$699</f>
        <v>25200</v>
      </c>
    </row>
    <row r="538" spans="2:43" ht="7.8" customHeight="1" x14ac:dyDescent="0.25">
      <c r="B538" s="282"/>
      <c r="C538" s="404"/>
      <c r="D538" s="459"/>
      <c r="E538" s="460" t="s">
        <v>30</v>
      </c>
      <c r="F538" s="461">
        <f t="shared" ref="F538:Y592" si="1147">IFERROR(F537/F536,0)</f>
        <v>173.14517716535434</v>
      </c>
      <c r="G538" s="461">
        <f t="shared" si="1147"/>
        <v>0</v>
      </c>
      <c r="H538" s="461">
        <f t="shared" si="1147"/>
        <v>145.3125</v>
      </c>
      <c r="I538" s="462">
        <f t="shared" si="1147"/>
        <v>145</v>
      </c>
      <c r="J538" s="463">
        <f t="shared" si="1147"/>
        <v>145</v>
      </c>
      <c r="K538" s="463">
        <f t="shared" si="1147"/>
        <v>140</v>
      </c>
      <c r="L538" s="463">
        <f t="shared" si="1147"/>
        <v>150</v>
      </c>
      <c r="M538" s="464">
        <f t="shared" si="1147"/>
        <v>0</v>
      </c>
      <c r="N538" s="461">
        <f t="shared" si="1147"/>
        <v>146.25</v>
      </c>
      <c r="O538" s="462">
        <f t="shared" si="1147"/>
        <v>150</v>
      </c>
      <c r="P538" s="463">
        <f t="shared" si="1147"/>
        <v>143</v>
      </c>
      <c r="Q538" s="463">
        <f t="shared" si="1147"/>
        <v>140</v>
      </c>
      <c r="R538" s="463">
        <f t="shared" si="1147"/>
        <v>0</v>
      </c>
      <c r="S538" s="464">
        <f t="shared" si="1147"/>
        <v>0</v>
      </c>
      <c r="T538" s="461">
        <f t="shared" si="1147"/>
        <v>189.33254716981133</v>
      </c>
      <c r="U538" s="462">
        <f t="shared" si="1147"/>
        <v>180</v>
      </c>
      <c r="V538" s="463">
        <f t="shared" si="1147"/>
        <v>197.94782608695652</v>
      </c>
      <c r="W538" s="463">
        <f t="shared" si="1147"/>
        <v>189.68325791855204</v>
      </c>
      <c r="X538" s="463">
        <f t="shared" si="1147"/>
        <v>185</v>
      </c>
      <c r="Y538" s="465">
        <f t="shared" si="1147"/>
        <v>174</v>
      </c>
      <c r="AA538" s="291"/>
      <c r="AB538" s="412"/>
      <c r="AC538" s="566"/>
      <c r="AD538" s="567" t="s">
        <v>30</v>
      </c>
      <c r="AE538" s="468">
        <f t="shared" ref="AE538:AQ538" si="1148">IFERROR(AE537/AE536,0)</f>
        <v>160.28601252609604</v>
      </c>
      <c r="AF538" s="469">
        <f t="shared" si="1148"/>
        <v>175</v>
      </c>
      <c r="AG538" s="470">
        <f t="shared" si="1148"/>
        <v>170</v>
      </c>
      <c r="AH538" s="470">
        <f t="shared" si="1148"/>
        <v>165</v>
      </c>
      <c r="AI538" s="470">
        <f t="shared" si="1148"/>
        <v>150</v>
      </c>
      <c r="AJ538" s="470">
        <f t="shared" si="1148"/>
        <v>155</v>
      </c>
      <c r="AK538" s="470">
        <f t="shared" si="1148"/>
        <v>165</v>
      </c>
      <c r="AL538" s="470">
        <f t="shared" si="1148"/>
        <v>180</v>
      </c>
      <c r="AM538" s="470">
        <f t="shared" si="1148"/>
        <v>173</v>
      </c>
      <c r="AN538" s="470">
        <f t="shared" si="1148"/>
        <v>150</v>
      </c>
      <c r="AO538" s="470">
        <f t="shared" si="1148"/>
        <v>150</v>
      </c>
      <c r="AP538" s="470">
        <f t="shared" si="1148"/>
        <v>150</v>
      </c>
      <c r="AQ538" s="471">
        <f t="shared" si="1148"/>
        <v>168</v>
      </c>
    </row>
    <row r="539" spans="2:43" ht="7.8" customHeight="1" x14ac:dyDescent="0.25">
      <c r="B539" s="282"/>
      <c r="C539" s="404"/>
      <c r="D539" s="472" t="s">
        <v>43</v>
      </c>
      <c r="E539" s="425" t="s">
        <v>32</v>
      </c>
      <c r="F539" s="426">
        <f t="shared" ref="F539:Y541" si="1149">F536-F533</f>
        <v>2032</v>
      </c>
      <c r="G539" s="426">
        <f t="shared" si="1149"/>
        <v>0</v>
      </c>
      <c r="H539" s="426">
        <f t="shared" si="1149"/>
        <v>160</v>
      </c>
      <c r="I539" s="427">
        <f t="shared" si="1149"/>
        <v>30</v>
      </c>
      <c r="J539" s="428">
        <f t="shared" si="1149"/>
        <v>60</v>
      </c>
      <c r="K539" s="428">
        <f t="shared" si="1149"/>
        <v>30</v>
      </c>
      <c r="L539" s="428">
        <f t="shared" si="1149"/>
        <v>40</v>
      </c>
      <c r="M539" s="429">
        <f t="shared" si="1149"/>
        <v>0</v>
      </c>
      <c r="N539" s="426">
        <f t="shared" si="1149"/>
        <v>600</v>
      </c>
      <c r="O539" s="427">
        <f t="shared" si="1149"/>
        <v>300</v>
      </c>
      <c r="P539" s="428">
        <f t="shared" si="1149"/>
        <v>250</v>
      </c>
      <c r="Q539" s="428">
        <f t="shared" si="1149"/>
        <v>50</v>
      </c>
      <c r="R539" s="428">
        <f t="shared" si="1149"/>
        <v>0</v>
      </c>
      <c r="S539" s="429">
        <f t="shared" si="1149"/>
        <v>0</v>
      </c>
      <c r="T539" s="426">
        <f t="shared" si="1149"/>
        <v>1272</v>
      </c>
      <c r="U539" s="427">
        <f t="shared" si="1149"/>
        <v>206</v>
      </c>
      <c r="V539" s="428">
        <f t="shared" si="1149"/>
        <v>460</v>
      </c>
      <c r="W539" s="428">
        <f t="shared" si="1149"/>
        <v>442</v>
      </c>
      <c r="X539" s="428">
        <f t="shared" si="1149"/>
        <v>29</v>
      </c>
      <c r="Y539" s="430">
        <f t="shared" si="1149"/>
        <v>135</v>
      </c>
      <c r="AA539" s="291"/>
      <c r="AB539" s="412"/>
      <c r="AC539" s="473" t="s">
        <v>43</v>
      </c>
      <c r="AD539" s="432" t="s">
        <v>32</v>
      </c>
      <c r="AE539" s="426">
        <f t="shared" ref="AE539:AQ541" si="1150">AE536-AE533</f>
        <v>1025</v>
      </c>
      <c r="AF539" s="427">
        <f t="shared" si="1150"/>
        <v>42</v>
      </c>
      <c r="AG539" s="428">
        <f t="shared" si="1150"/>
        <v>10</v>
      </c>
      <c r="AH539" s="428">
        <f t="shared" si="1150"/>
        <v>89</v>
      </c>
      <c r="AI539" s="428">
        <f t="shared" si="1150"/>
        <v>49</v>
      </c>
      <c r="AJ539" s="428">
        <f t="shared" si="1150"/>
        <v>4</v>
      </c>
      <c r="AK539" s="428">
        <f t="shared" si="1150"/>
        <v>42</v>
      </c>
      <c r="AL539" s="428">
        <f t="shared" si="1150"/>
        <v>-11</v>
      </c>
      <c r="AM539" s="428">
        <f t="shared" si="1150"/>
        <v>-50</v>
      </c>
      <c r="AN539" s="428">
        <f t="shared" si="1150"/>
        <v>300</v>
      </c>
      <c r="AO539" s="428">
        <f t="shared" si="1150"/>
        <v>200</v>
      </c>
      <c r="AP539" s="428">
        <f t="shared" si="1150"/>
        <v>200</v>
      </c>
      <c r="AQ539" s="430">
        <f t="shared" si="1150"/>
        <v>150</v>
      </c>
    </row>
    <row r="540" spans="2:43" s="366" customFormat="1" ht="7.8" customHeight="1" x14ac:dyDescent="0.25">
      <c r="B540" s="282"/>
      <c r="C540" s="404"/>
      <c r="D540" s="405"/>
      <c r="E540" s="474" t="s">
        <v>33</v>
      </c>
      <c r="F540" s="407">
        <f t="shared" si="1149"/>
        <v>351831</v>
      </c>
      <c r="G540" s="407">
        <f t="shared" si="1149"/>
        <v>0</v>
      </c>
      <c r="H540" s="407">
        <f t="shared" si="1149"/>
        <v>23250</v>
      </c>
      <c r="I540" s="408">
        <f t="shared" si="1149"/>
        <v>4350</v>
      </c>
      <c r="J540" s="409">
        <f t="shared" si="1149"/>
        <v>8700</v>
      </c>
      <c r="K540" s="409">
        <f t="shared" si="1149"/>
        <v>4200</v>
      </c>
      <c r="L540" s="409">
        <f t="shared" si="1149"/>
        <v>6000</v>
      </c>
      <c r="M540" s="410">
        <f t="shared" si="1149"/>
        <v>0</v>
      </c>
      <c r="N540" s="407">
        <f t="shared" si="1149"/>
        <v>87750</v>
      </c>
      <c r="O540" s="408">
        <f t="shared" si="1149"/>
        <v>45000</v>
      </c>
      <c r="P540" s="409">
        <f t="shared" si="1149"/>
        <v>35750</v>
      </c>
      <c r="Q540" s="409">
        <f t="shared" si="1149"/>
        <v>7000</v>
      </c>
      <c r="R540" s="409">
        <f t="shared" si="1149"/>
        <v>0</v>
      </c>
      <c r="S540" s="410">
        <f t="shared" si="1149"/>
        <v>0</v>
      </c>
      <c r="T540" s="407">
        <f t="shared" si="1149"/>
        <v>240831</v>
      </c>
      <c r="U540" s="408">
        <f t="shared" si="1149"/>
        <v>37080</v>
      </c>
      <c r="V540" s="409">
        <f t="shared" si="1149"/>
        <v>91056</v>
      </c>
      <c r="W540" s="409">
        <f t="shared" si="1149"/>
        <v>83840</v>
      </c>
      <c r="X540" s="409">
        <f t="shared" si="1149"/>
        <v>5365</v>
      </c>
      <c r="Y540" s="411">
        <f t="shared" si="1149"/>
        <v>23490</v>
      </c>
      <c r="AA540" s="291"/>
      <c r="AB540" s="412"/>
      <c r="AC540" s="475"/>
      <c r="AD540" s="476" t="s">
        <v>33</v>
      </c>
      <c r="AE540" s="407">
        <f t="shared" si="1150"/>
        <v>151971</v>
      </c>
      <c r="AF540" s="408">
        <f t="shared" si="1150"/>
        <v>5602</v>
      </c>
      <c r="AG540" s="409">
        <f t="shared" si="1150"/>
        <v>-1318</v>
      </c>
      <c r="AH540" s="409">
        <f t="shared" si="1150"/>
        <v>14500</v>
      </c>
      <c r="AI540" s="409">
        <f t="shared" si="1150"/>
        <v>7188</v>
      </c>
      <c r="AJ540" s="409">
        <f t="shared" si="1150"/>
        <v>749</v>
      </c>
      <c r="AK540" s="409">
        <f t="shared" si="1150"/>
        <v>6920</v>
      </c>
      <c r="AL540" s="409">
        <f t="shared" si="1150"/>
        <v>-2267</v>
      </c>
      <c r="AM540" s="409">
        <f t="shared" si="1150"/>
        <v>-9603</v>
      </c>
      <c r="AN540" s="409">
        <f t="shared" si="1150"/>
        <v>45000</v>
      </c>
      <c r="AO540" s="409">
        <f t="shared" si="1150"/>
        <v>30000</v>
      </c>
      <c r="AP540" s="409">
        <f t="shared" si="1150"/>
        <v>30000</v>
      </c>
      <c r="AQ540" s="411">
        <f t="shared" si="1150"/>
        <v>25200</v>
      </c>
    </row>
    <row r="541" spans="2:43" ht="7.8" customHeight="1" x14ac:dyDescent="0.25">
      <c r="B541" s="282"/>
      <c r="C541" s="404"/>
      <c r="D541" s="415"/>
      <c r="E541" s="416" t="s">
        <v>30</v>
      </c>
      <c r="F541" s="417">
        <f t="shared" si="1149"/>
        <v>173.14517716535434</v>
      </c>
      <c r="G541" s="417">
        <f t="shared" si="1149"/>
        <v>0</v>
      </c>
      <c r="H541" s="417">
        <f t="shared" si="1149"/>
        <v>145.3125</v>
      </c>
      <c r="I541" s="418">
        <f t="shared" si="1149"/>
        <v>145</v>
      </c>
      <c r="J541" s="419">
        <f t="shared" si="1149"/>
        <v>145</v>
      </c>
      <c r="K541" s="419">
        <f t="shared" si="1149"/>
        <v>140</v>
      </c>
      <c r="L541" s="419">
        <f t="shared" si="1149"/>
        <v>150</v>
      </c>
      <c r="M541" s="420">
        <f t="shared" si="1149"/>
        <v>0</v>
      </c>
      <c r="N541" s="417">
        <f t="shared" si="1149"/>
        <v>146.25</v>
      </c>
      <c r="O541" s="418">
        <f t="shared" si="1149"/>
        <v>150</v>
      </c>
      <c r="P541" s="419">
        <f t="shared" si="1149"/>
        <v>143</v>
      </c>
      <c r="Q541" s="419">
        <f t="shared" si="1149"/>
        <v>140</v>
      </c>
      <c r="R541" s="419">
        <f t="shared" si="1149"/>
        <v>0</v>
      </c>
      <c r="S541" s="420">
        <f t="shared" si="1149"/>
        <v>0</v>
      </c>
      <c r="T541" s="417">
        <f t="shared" si="1149"/>
        <v>189.33254716981133</v>
      </c>
      <c r="U541" s="418">
        <f t="shared" si="1149"/>
        <v>180</v>
      </c>
      <c r="V541" s="419">
        <f t="shared" si="1149"/>
        <v>197.94782608695652</v>
      </c>
      <c r="W541" s="419">
        <f t="shared" si="1149"/>
        <v>189.68325791855204</v>
      </c>
      <c r="X541" s="419">
        <f t="shared" si="1149"/>
        <v>185</v>
      </c>
      <c r="Y541" s="421">
        <f t="shared" si="1149"/>
        <v>174</v>
      </c>
      <c r="AA541" s="291"/>
      <c r="AB541" s="412"/>
      <c r="AC541" s="477"/>
      <c r="AD541" s="423" t="s">
        <v>30</v>
      </c>
      <c r="AE541" s="417">
        <f t="shared" si="1150"/>
        <v>-8.9942794447068763</v>
      </c>
      <c r="AF541" s="418">
        <f t="shared" si="1150"/>
        <v>-12.666666666666657</v>
      </c>
      <c r="AG541" s="419">
        <f t="shared" si="1150"/>
        <v>-12.574999999999989</v>
      </c>
      <c r="AH541" s="419">
        <f t="shared" si="1150"/>
        <v>-1.6666666666666572</v>
      </c>
      <c r="AI541" s="419">
        <f t="shared" si="1150"/>
        <v>-0.80597014925373855</v>
      </c>
      <c r="AJ541" s="419">
        <f t="shared" si="1150"/>
        <v>0.43581081081080697</v>
      </c>
      <c r="AK541" s="419">
        <f t="shared" si="1150"/>
        <v>-9.708737864076511E-2</v>
      </c>
      <c r="AL541" s="419">
        <f t="shared" si="1150"/>
        <v>-2.5855855855855907</v>
      </c>
      <c r="AM541" s="419">
        <f t="shared" si="1150"/>
        <v>-5.6058823529411654</v>
      </c>
      <c r="AN541" s="419">
        <f t="shared" si="1150"/>
        <v>150</v>
      </c>
      <c r="AO541" s="419">
        <f t="shared" si="1150"/>
        <v>150</v>
      </c>
      <c r="AP541" s="419">
        <f t="shared" si="1150"/>
        <v>150</v>
      </c>
      <c r="AQ541" s="421">
        <f t="shared" si="1150"/>
        <v>168</v>
      </c>
    </row>
    <row r="542" spans="2:43" ht="7.8" customHeight="1" x14ac:dyDescent="0.25">
      <c r="B542" s="282"/>
      <c r="C542" s="404"/>
      <c r="D542" s="472" t="s">
        <v>44</v>
      </c>
      <c r="E542" s="425" t="s">
        <v>32</v>
      </c>
      <c r="F542" s="478" t="str">
        <f t="shared" ref="F542:Y544" si="1151">IFERROR((F536-F533)/ABS(F533),"")</f>
        <v/>
      </c>
      <c r="G542" s="478" t="str">
        <f t="shared" si="1151"/>
        <v/>
      </c>
      <c r="H542" s="478" t="str">
        <f t="shared" si="1151"/>
        <v/>
      </c>
      <c r="I542" s="479" t="str">
        <f t="shared" si="1151"/>
        <v/>
      </c>
      <c r="J542" s="480" t="str">
        <f t="shared" si="1151"/>
        <v/>
      </c>
      <c r="K542" s="480" t="str">
        <f t="shared" si="1151"/>
        <v/>
      </c>
      <c r="L542" s="480" t="str">
        <f t="shared" si="1151"/>
        <v/>
      </c>
      <c r="M542" s="481" t="str">
        <f t="shared" si="1151"/>
        <v/>
      </c>
      <c r="N542" s="478" t="str">
        <f t="shared" si="1151"/>
        <v/>
      </c>
      <c r="O542" s="479" t="str">
        <f t="shared" si="1151"/>
        <v/>
      </c>
      <c r="P542" s="480" t="str">
        <f t="shared" si="1151"/>
        <v/>
      </c>
      <c r="Q542" s="480" t="str">
        <f t="shared" si="1151"/>
        <v/>
      </c>
      <c r="R542" s="480" t="str">
        <f t="shared" si="1151"/>
        <v/>
      </c>
      <c r="S542" s="481" t="str">
        <f t="shared" si="1151"/>
        <v/>
      </c>
      <c r="T542" s="478" t="str">
        <f t="shared" si="1151"/>
        <v/>
      </c>
      <c r="U542" s="479" t="str">
        <f t="shared" si="1151"/>
        <v/>
      </c>
      <c r="V542" s="480" t="str">
        <f t="shared" si="1151"/>
        <v/>
      </c>
      <c r="W542" s="480" t="str">
        <f t="shared" si="1151"/>
        <v/>
      </c>
      <c r="X542" s="480" t="str">
        <f t="shared" si="1151"/>
        <v/>
      </c>
      <c r="Y542" s="482" t="str">
        <f t="shared" si="1151"/>
        <v/>
      </c>
      <c r="AA542" s="291"/>
      <c r="AB542" s="412"/>
      <c r="AC542" s="473" t="s">
        <v>44</v>
      </c>
      <c r="AD542" s="432" t="s">
        <v>32</v>
      </c>
      <c r="AE542" s="478">
        <f t="shared" ref="AE542:AQ544" si="1152">IFERROR((AE536-AE533)/ABS(AE533),"")</f>
        <v>0.74817518248175185</v>
      </c>
      <c r="AF542" s="479">
        <f t="shared" si="1152"/>
        <v>0.30434782608695654</v>
      </c>
      <c r="AG542" s="480">
        <f t="shared" si="1152"/>
        <v>4.1666666666666664E-2</v>
      </c>
      <c r="AH542" s="480">
        <f t="shared" si="1152"/>
        <v>0.80180180180180183</v>
      </c>
      <c r="AI542" s="480">
        <f t="shared" si="1152"/>
        <v>0.24378109452736318</v>
      </c>
      <c r="AJ542" s="480">
        <f t="shared" si="1152"/>
        <v>1.3513513513513514E-2</v>
      </c>
      <c r="AK542" s="480">
        <f t="shared" si="1152"/>
        <v>0.40776699029126212</v>
      </c>
      <c r="AL542" s="480">
        <f t="shared" si="1152"/>
        <v>-9.90990990990991E-2</v>
      </c>
      <c r="AM542" s="480">
        <f t="shared" si="1152"/>
        <v>-0.29411764705882354</v>
      </c>
      <c r="AN542" s="480" t="str">
        <f t="shared" si="1152"/>
        <v/>
      </c>
      <c r="AO542" s="480" t="str">
        <f t="shared" si="1152"/>
        <v/>
      </c>
      <c r="AP542" s="480" t="str">
        <f t="shared" si="1152"/>
        <v/>
      </c>
      <c r="AQ542" s="482" t="str">
        <f t="shared" si="1152"/>
        <v/>
      </c>
    </row>
    <row r="543" spans="2:43" ht="7.8" customHeight="1" x14ac:dyDescent="0.25">
      <c r="B543" s="282"/>
      <c r="C543" s="404"/>
      <c r="D543" s="405"/>
      <c r="E543" s="483" t="s">
        <v>33</v>
      </c>
      <c r="F543" s="484" t="str">
        <f t="shared" si="1151"/>
        <v/>
      </c>
      <c r="G543" s="484" t="str">
        <f t="shared" si="1151"/>
        <v/>
      </c>
      <c r="H543" s="484" t="str">
        <f t="shared" si="1151"/>
        <v/>
      </c>
      <c r="I543" s="485" t="str">
        <f t="shared" si="1151"/>
        <v/>
      </c>
      <c r="J543" s="486" t="str">
        <f t="shared" si="1151"/>
        <v/>
      </c>
      <c r="K543" s="486" t="str">
        <f t="shared" si="1151"/>
        <v/>
      </c>
      <c r="L543" s="486" t="str">
        <f t="shared" si="1151"/>
        <v/>
      </c>
      <c r="M543" s="487" t="str">
        <f t="shared" si="1151"/>
        <v/>
      </c>
      <c r="N543" s="484" t="str">
        <f t="shared" si="1151"/>
        <v/>
      </c>
      <c r="O543" s="485" t="str">
        <f t="shared" si="1151"/>
        <v/>
      </c>
      <c r="P543" s="486" t="str">
        <f t="shared" si="1151"/>
        <v/>
      </c>
      <c r="Q543" s="486" t="str">
        <f t="shared" si="1151"/>
        <v/>
      </c>
      <c r="R543" s="486" t="str">
        <f t="shared" si="1151"/>
        <v/>
      </c>
      <c r="S543" s="487" t="str">
        <f t="shared" si="1151"/>
        <v/>
      </c>
      <c r="T543" s="484" t="str">
        <f t="shared" si="1151"/>
        <v/>
      </c>
      <c r="U543" s="485" t="str">
        <f t="shared" si="1151"/>
        <v/>
      </c>
      <c r="V543" s="486" t="str">
        <f t="shared" si="1151"/>
        <v/>
      </c>
      <c r="W543" s="486" t="str">
        <f t="shared" si="1151"/>
        <v/>
      </c>
      <c r="X543" s="486" t="str">
        <f t="shared" si="1151"/>
        <v/>
      </c>
      <c r="Y543" s="488" t="str">
        <f t="shared" si="1151"/>
        <v/>
      </c>
      <c r="AA543" s="291"/>
      <c r="AB543" s="412"/>
      <c r="AC543" s="475"/>
      <c r="AD543" s="489" t="s">
        <v>33</v>
      </c>
      <c r="AE543" s="484">
        <f t="shared" si="1152"/>
        <v>0.65529032313702495</v>
      </c>
      <c r="AF543" s="485">
        <f t="shared" si="1152"/>
        <v>0.21631013977913352</v>
      </c>
      <c r="AG543" s="486">
        <f t="shared" si="1152"/>
        <v>-3.0078962983248893E-2</v>
      </c>
      <c r="AH543" s="486">
        <f t="shared" si="1152"/>
        <v>0.78378378378378377</v>
      </c>
      <c r="AI543" s="486">
        <f t="shared" si="1152"/>
        <v>0.23713380839271575</v>
      </c>
      <c r="AJ543" s="486">
        <f t="shared" si="1152"/>
        <v>1.6371226858429323E-2</v>
      </c>
      <c r="AK543" s="486">
        <f t="shared" si="1152"/>
        <v>0.40693913554836814</v>
      </c>
      <c r="AL543" s="486">
        <f t="shared" si="1152"/>
        <v>-0.11185671288301179</v>
      </c>
      <c r="AM543" s="486">
        <f t="shared" si="1152"/>
        <v>-0.31627309554391858</v>
      </c>
      <c r="AN543" s="486" t="str">
        <f t="shared" si="1152"/>
        <v/>
      </c>
      <c r="AO543" s="486" t="str">
        <f t="shared" si="1152"/>
        <v/>
      </c>
      <c r="AP543" s="486" t="str">
        <f t="shared" si="1152"/>
        <v/>
      </c>
      <c r="AQ543" s="488" t="str">
        <f t="shared" si="1152"/>
        <v/>
      </c>
    </row>
    <row r="544" spans="2:43" ht="7.8" customHeight="1" x14ac:dyDescent="0.25">
      <c r="B544" s="282"/>
      <c r="C544" s="502"/>
      <c r="D544" s="503"/>
      <c r="E544" s="504" t="s">
        <v>30</v>
      </c>
      <c r="F544" s="505" t="str">
        <f t="shared" si="1151"/>
        <v/>
      </c>
      <c r="G544" s="505" t="str">
        <f t="shared" si="1151"/>
        <v/>
      </c>
      <c r="H544" s="505" t="str">
        <f t="shared" si="1151"/>
        <v/>
      </c>
      <c r="I544" s="506" t="str">
        <f t="shared" si="1151"/>
        <v/>
      </c>
      <c r="J544" s="507" t="str">
        <f t="shared" si="1151"/>
        <v/>
      </c>
      <c r="K544" s="507" t="str">
        <f t="shared" si="1151"/>
        <v/>
      </c>
      <c r="L544" s="507" t="str">
        <f t="shared" si="1151"/>
        <v/>
      </c>
      <c r="M544" s="508" t="str">
        <f t="shared" si="1151"/>
        <v/>
      </c>
      <c r="N544" s="505" t="str">
        <f t="shared" si="1151"/>
        <v/>
      </c>
      <c r="O544" s="506" t="str">
        <f t="shared" si="1151"/>
        <v/>
      </c>
      <c r="P544" s="507" t="str">
        <f t="shared" si="1151"/>
        <v/>
      </c>
      <c r="Q544" s="507" t="str">
        <f t="shared" si="1151"/>
        <v/>
      </c>
      <c r="R544" s="507" t="str">
        <f t="shared" si="1151"/>
        <v/>
      </c>
      <c r="S544" s="508" t="str">
        <f t="shared" si="1151"/>
        <v/>
      </c>
      <c r="T544" s="505" t="str">
        <f t="shared" si="1151"/>
        <v/>
      </c>
      <c r="U544" s="506" t="str">
        <f t="shared" si="1151"/>
        <v/>
      </c>
      <c r="V544" s="507" t="str">
        <f t="shared" si="1151"/>
        <v/>
      </c>
      <c r="W544" s="507" t="str">
        <f t="shared" si="1151"/>
        <v/>
      </c>
      <c r="X544" s="507" t="str">
        <f t="shared" si="1151"/>
        <v/>
      </c>
      <c r="Y544" s="509" t="str">
        <f t="shared" si="1151"/>
        <v/>
      </c>
      <c r="AA544" s="291"/>
      <c r="AB544" s="510"/>
      <c r="AC544" s="511"/>
      <c r="AD544" s="512" t="s">
        <v>30</v>
      </c>
      <c r="AE544" s="505">
        <f t="shared" si="1152"/>
        <v>-5.3132466514520124E-2</v>
      </c>
      <c r="AF544" s="506">
        <f t="shared" si="1152"/>
        <v>-6.7495559502664254E-2</v>
      </c>
      <c r="AG544" s="507">
        <f t="shared" si="1152"/>
        <v>-6.8875804463918874E-2</v>
      </c>
      <c r="AH544" s="507">
        <f t="shared" si="1152"/>
        <v>-9.999999999999943E-3</v>
      </c>
      <c r="AI544" s="507">
        <f t="shared" si="1152"/>
        <v>-5.3444180522565794E-3</v>
      </c>
      <c r="AJ544" s="507">
        <f t="shared" si="1152"/>
        <v>2.8196105003169079E-3</v>
      </c>
      <c r="AK544" s="507">
        <f t="shared" si="1152"/>
        <v>-5.8806233460739819E-4</v>
      </c>
      <c r="AL544" s="507">
        <f t="shared" si="1152"/>
        <v>-1.4160951300143117E-2</v>
      </c>
      <c r="AM544" s="507">
        <f t="shared" si="1152"/>
        <v>-3.1386885353884605E-2</v>
      </c>
      <c r="AN544" s="507" t="str">
        <f t="shared" si="1152"/>
        <v/>
      </c>
      <c r="AO544" s="507" t="str">
        <f t="shared" si="1152"/>
        <v/>
      </c>
      <c r="AP544" s="507" t="str">
        <f t="shared" si="1152"/>
        <v/>
      </c>
      <c r="AQ544" s="509" t="str">
        <f t="shared" si="1152"/>
        <v/>
      </c>
    </row>
    <row r="545" spans="1:43" ht="7.8" customHeight="1" x14ac:dyDescent="0.25">
      <c r="B545" s="282" t="s">
        <v>66</v>
      </c>
      <c r="C545" s="283" t="s">
        <v>9</v>
      </c>
      <c r="D545" s="284" t="s">
        <v>39</v>
      </c>
      <c r="E545" s="285" t="s">
        <v>32</v>
      </c>
      <c r="F545" s="286">
        <f t="shared" ref="F545:F546" si="1153">SUM(G545,H545,N545,T545)</f>
        <v>0</v>
      </c>
      <c r="G545" s="286">
        <f t="shared" si="1042"/>
        <v>0</v>
      </c>
      <c r="H545" s="286">
        <f t="shared" ref="H545:H546" si="1154">SUM(I545:M545)</f>
        <v>0</v>
      </c>
      <c r="I545" s="287">
        <f t="shared" ref="I545:M546" si="1155">SUM(I563,I581)</f>
        <v>0</v>
      </c>
      <c r="J545" s="288">
        <f t="shared" si="1155"/>
        <v>0</v>
      </c>
      <c r="K545" s="288">
        <f t="shared" si="1155"/>
        <v>0</v>
      </c>
      <c r="L545" s="288">
        <f t="shared" si="1155"/>
        <v>0</v>
      </c>
      <c r="M545" s="289">
        <f t="shared" si="1155"/>
        <v>0</v>
      </c>
      <c r="N545" s="286">
        <f t="shared" ref="N545:N546" si="1156">SUM(O545:S545)</f>
        <v>0</v>
      </c>
      <c r="O545" s="287">
        <f t="shared" ref="O545:S546" si="1157">SUM(O563,O581)</f>
        <v>0</v>
      </c>
      <c r="P545" s="288">
        <f t="shared" si="1157"/>
        <v>0</v>
      </c>
      <c r="Q545" s="288">
        <f t="shared" si="1157"/>
        <v>0</v>
      </c>
      <c r="R545" s="288">
        <f t="shared" si="1157"/>
        <v>0</v>
      </c>
      <c r="S545" s="289">
        <f t="shared" si="1157"/>
        <v>0</v>
      </c>
      <c r="T545" s="286">
        <f t="shared" ref="T545:T546" si="1158">SUM(U545:Y545)</f>
        <v>0</v>
      </c>
      <c r="U545" s="287">
        <f t="shared" ref="U545:Y546" si="1159">SUM(U563,U581)</f>
        <v>0</v>
      </c>
      <c r="V545" s="288">
        <f t="shared" si="1159"/>
        <v>0</v>
      </c>
      <c r="W545" s="288">
        <f t="shared" si="1159"/>
        <v>0</v>
      </c>
      <c r="X545" s="288">
        <f t="shared" si="1159"/>
        <v>0</v>
      </c>
      <c r="Y545" s="290">
        <f t="shared" si="1159"/>
        <v>0</v>
      </c>
      <c r="AA545" s="291" t="s">
        <v>67</v>
      </c>
      <c r="AB545" s="292" t="s">
        <v>9</v>
      </c>
      <c r="AC545" s="293" t="s">
        <v>39</v>
      </c>
      <c r="AD545" s="294" t="s">
        <v>32</v>
      </c>
      <c r="AE545" s="286">
        <f t="shared" ref="AE545:AE546" si="1160">SUM(AF545:AQ545)</f>
        <v>0</v>
      </c>
      <c r="AF545" s="287">
        <f t="shared" ref="AF545:AQ546" si="1161">SUM(AF563,AF581)</f>
        <v>0</v>
      </c>
      <c r="AG545" s="288">
        <f t="shared" si="1161"/>
        <v>0</v>
      </c>
      <c r="AH545" s="288">
        <f t="shared" si="1161"/>
        <v>0</v>
      </c>
      <c r="AI545" s="288">
        <f t="shared" si="1161"/>
        <v>0</v>
      </c>
      <c r="AJ545" s="288">
        <f t="shared" si="1161"/>
        <v>0</v>
      </c>
      <c r="AK545" s="288">
        <f t="shared" si="1161"/>
        <v>0</v>
      </c>
      <c r="AL545" s="288">
        <f t="shared" si="1161"/>
        <v>0</v>
      </c>
      <c r="AM545" s="288">
        <f t="shared" si="1161"/>
        <v>0</v>
      </c>
      <c r="AN545" s="288">
        <f t="shared" si="1161"/>
        <v>0</v>
      </c>
      <c r="AO545" s="288">
        <f t="shared" si="1161"/>
        <v>0</v>
      </c>
      <c r="AP545" s="288">
        <f t="shared" si="1161"/>
        <v>0</v>
      </c>
      <c r="AQ545" s="290">
        <f t="shared" si="1161"/>
        <v>0</v>
      </c>
    </row>
    <row r="546" spans="1:43" s="41" customFormat="1" ht="7.8" customHeight="1" x14ac:dyDescent="0.25">
      <c r="B546" s="282"/>
      <c r="C546" s="295"/>
      <c r="D546" s="296"/>
      <c r="E546" s="297" t="s">
        <v>33</v>
      </c>
      <c r="F546" s="298">
        <f t="shared" si="1153"/>
        <v>0</v>
      </c>
      <c r="G546" s="298">
        <f t="shared" si="1042"/>
        <v>0</v>
      </c>
      <c r="H546" s="298">
        <f t="shared" si="1154"/>
        <v>0</v>
      </c>
      <c r="I546" s="299">
        <f t="shared" si="1155"/>
        <v>0</v>
      </c>
      <c r="J546" s="300">
        <f t="shared" si="1155"/>
        <v>0</v>
      </c>
      <c r="K546" s="300">
        <f t="shared" si="1155"/>
        <v>0</v>
      </c>
      <c r="L546" s="300">
        <f t="shared" si="1155"/>
        <v>0</v>
      </c>
      <c r="M546" s="301">
        <f t="shared" si="1155"/>
        <v>0</v>
      </c>
      <c r="N546" s="298">
        <f t="shared" si="1156"/>
        <v>0</v>
      </c>
      <c r="O546" s="299">
        <f t="shared" si="1157"/>
        <v>0</v>
      </c>
      <c r="P546" s="300">
        <f t="shared" si="1157"/>
        <v>0</v>
      </c>
      <c r="Q546" s="300">
        <f t="shared" si="1157"/>
        <v>0</v>
      </c>
      <c r="R546" s="300">
        <f t="shared" si="1157"/>
        <v>0</v>
      </c>
      <c r="S546" s="301">
        <f t="shared" si="1157"/>
        <v>0</v>
      </c>
      <c r="T546" s="298">
        <f t="shared" si="1158"/>
        <v>0</v>
      </c>
      <c r="U546" s="299">
        <f t="shared" si="1159"/>
        <v>0</v>
      </c>
      <c r="V546" s="300">
        <f t="shared" si="1159"/>
        <v>0</v>
      </c>
      <c r="W546" s="300">
        <f t="shared" si="1159"/>
        <v>0</v>
      </c>
      <c r="X546" s="300">
        <f t="shared" si="1159"/>
        <v>0</v>
      </c>
      <c r="Y546" s="302">
        <f t="shared" si="1159"/>
        <v>0</v>
      </c>
      <c r="AA546" s="291"/>
      <c r="AB546" s="303"/>
      <c r="AC546" s="304"/>
      <c r="AD546" s="305" t="s">
        <v>33</v>
      </c>
      <c r="AE546" s="298">
        <f t="shared" si="1160"/>
        <v>0</v>
      </c>
      <c r="AF546" s="299">
        <f t="shared" si="1161"/>
        <v>0</v>
      </c>
      <c r="AG546" s="300">
        <f t="shared" si="1161"/>
        <v>0</v>
      </c>
      <c r="AH546" s="300">
        <f t="shared" si="1161"/>
        <v>0</v>
      </c>
      <c r="AI546" s="300">
        <f t="shared" si="1161"/>
        <v>0</v>
      </c>
      <c r="AJ546" s="300">
        <f t="shared" si="1161"/>
        <v>0</v>
      </c>
      <c r="AK546" s="300">
        <f t="shared" si="1161"/>
        <v>0</v>
      </c>
      <c r="AL546" s="300">
        <f t="shared" si="1161"/>
        <v>0</v>
      </c>
      <c r="AM546" s="300">
        <f t="shared" si="1161"/>
        <v>0</v>
      </c>
      <c r="AN546" s="300">
        <f t="shared" si="1161"/>
        <v>0</v>
      </c>
      <c r="AO546" s="300">
        <f t="shared" si="1161"/>
        <v>0</v>
      </c>
      <c r="AP546" s="300">
        <f t="shared" si="1161"/>
        <v>0</v>
      </c>
      <c r="AQ546" s="302">
        <f t="shared" si="1161"/>
        <v>0</v>
      </c>
    </row>
    <row r="547" spans="1:43" ht="7.8" customHeight="1" x14ac:dyDescent="0.25">
      <c r="B547" s="282"/>
      <c r="C547" s="295"/>
      <c r="D547" s="306"/>
      <c r="E547" s="307" t="s">
        <v>30</v>
      </c>
      <c r="F547" s="308">
        <f t="shared" si="1051"/>
        <v>0</v>
      </c>
      <c r="G547" s="308">
        <f t="shared" si="1051"/>
        <v>0</v>
      </c>
      <c r="H547" s="308">
        <f t="shared" si="1051"/>
        <v>0</v>
      </c>
      <c r="I547" s="309">
        <f t="shared" si="1051"/>
        <v>0</v>
      </c>
      <c r="J547" s="310">
        <f t="shared" si="1051"/>
        <v>0</v>
      </c>
      <c r="K547" s="310">
        <f t="shared" si="1051"/>
        <v>0</v>
      </c>
      <c r="L547" s="310">
        <f t="shared" si="1051"/>
        <v>0</v>
      </c>
      <c r="M547" s="311">
        <f t="shared" si="1051"/>
        <v>0</v>
      </c>
      <c r="N547" s="308">
        <f t="shared" si="1051"/>
        <v>0</v>
      </c>
      <c r="O547" s="309">
        <f t="shared" si="1051"/>
        <v>0</v>
      </c>
      <c r="P547" s="310">
        <f t="shared" si="1051"/>
        <v>0</v>
      </c>
      <c r="Q547" s="310">
        <f t="shared" si="1051"/>
        <v>0</v>
      </c>
      <c r="R547" s="310">
        <f t="shared" si="1051"/>
        <v>0</v>
      </c>
      <c r="S547" s="311">
        <f t="shared" si="1051"/>
        <v>0</v>
      </c>
      <c r="T547" s="308">
        <f t="shared" si="1051"/>
        <v>0</v>
      </c>
      <c r="U547" s="309">
        <f t="shared" si="1051"/>
        <v>0</v>
      </c>
      <c r="V547" s="310">
        <f t="shared" si="1051"/>
        <v>0</v>
      </c>
      <c r="W547" s="310">
        <f t="shared" si="1051"/>
        <v>0</v>
      </c>
      <c r="X547" s="310">
        <f t="shared" si="1051"/>
        <v>0</v>
      </c>
      <c r="Y547" s="312">
        <f t="shared" si="1051"/>
        <v>0</v>
      </c>
      <c r="AA547" s="291"/>
      <c r="AB547" s="303"/>
      <c r="AC547" s="313"/>
      <c r="AD547" s="314" t="s">
        <v>30</v>
      </c>
      <c r="AE547" s="308">
        <f t="shared" ref="AE547:AQ547" si="1162">IFERROR(AE546/AE545,0)</f>
        <v>0</v>
      </c>
      <c r="AF547" s="309">
        <f t="shared" si="1162"/>
        <v>0</v>
      </c>
      <c r="AG547" s="310">
        <f t="shared" si="1162"/>
        <v>0</v>
      </c>
      <c r="AH547" s="310">
        <f t="shared" si="1162"/>
        <v>0</v>
      </c>
      <c r="AI547" s="310">
        <f t="shared" si="1162"/>
        <v>0</v>
      </c>
      <c r="AJ547" s="310">
        <f t="shared" si="1162"/>
        <v>0</v>
      </c>
      <c r="AK547" s="310">
        <f t="shared" si="1162"/>
        <v>0</v>
      </c>
      <c r="AL547" s="310">
        <f t="shared" si="1162"/>
        <v>0</v>
      </c>
      <c r="AM547" s="310">
        <f t="shared" si="1162"/>
        <v>0</v>
      </c>
      <c r="AN547" s="310">
        <f t="shared" si="1162"/>
        <v>0</v>
      </c>
      <c r="AO547" s="310">
        <f t="shared" si="1162"/>
        <v>0</v>
      </c>
      <c r="AP547" s="310">
        <f t="shared" si="1162"/>
        <v>0</v>
      </c>
      <c r="AQ547" s="312">
        <f t="shared" si="1162"/>
        <v>0</v>
      </c>
    </row>
    <row r="548" spans="1:43" ht="7.8" customHeight="1" x14ac:dyDescent="0.25">
      <c r="A548" s="526"/>
      <c r="B548" s="282"/>
      <c r="C548" s="295"/>
      <c r="D548" s="315" t="s">
        <v>40</v>
      </c>
      <c r="E548" s="316" t="s">
        <v>32</v>
      </c>
      <c r="F548" s="317">
        <f t="shared" ref="F548:F549" si="1163">SUM(G548,H548,N548,T548)</f>
        <v>7094</v>
      </c>
      <c r="G548" s="317">
        <f t="shared" ref="G548:G603" si="1164">SUM(G566,G584)</f>
        <v>918</v>
      </c>
      <c r="H548" s="317">
        <f t="shared" ref="H548:H549" si="1165">SUM(I548:M548)</f>
        <v>972</v>
      </c>
      <c r="I548" s="318">
        <f t="shared" ref="I548:M549" si="1166">SUM(I566,I584)</f>
        <v>80</v>
      </c>
      <c r="J548" s="319">
        <f t="shared" si="1166"/>
        <v>892</v>
      </c>
      <c r="K548" s="319">
        <f t="shared" si="1166"/>
        <v>0</v>
      </c>
      <c r="L548" s="319">
        <f t="shared" si="1166"/>
        <v>0</v>
      </c>
      <c r="M548" s="320">
        <f t="shared" si="1166"/>
        <v>0</v>
      </c>
      <c r="N548" s="317">
        <f t="shared" ref="N548:N549" si="1167">SUM(O548:S548)</f>
        <v>1309</v>
      </c>
      <c r="O548" s="318">
        <f t="shared" ref="O548:S549" si="1168">SUM(O566,O584)</f>
        <v>556</v>
      </c>
      <c r="P548" s="319">
        <f t="shared" si="1168"/>
        <v>567</v>
      </c>
      <c r="Q548" s="319">
        <f t="shared" si="1168"/>
        <v>183</v>
      </c>
      <c r="R548" s="319">
        <f t="shared" si="1168"/>
        <v>0</v>
      </c>
      <c r="S548" s="320">
        <f t="shared" si="1168"/>
        <v>3</v>
      </c>
      <c r="T548" s="317">
        <f t="shared" ref="T548:T549" si="1169">SUM(U548:Y548)</f>
        <v>3895</v>
      </c>
      <c r="U548" s="318">
        <f t="shared" ref="U548:Y549" si="1170">SUM(U566,U584)</f>
        <v>328</v>
      </c>
      <c r="V548" s="319">
        <f t="shared" si="1170"/>
        <v>1850</v>
      </c>
      <c r="W548" s="319">
        <f t="shared" si="1170"/>
        <v>1459</v>
      </c>
      <c r="X548" s="319">
        <f t="shared" si="1170"/>
        <v>168</v>
      </c>
      <c r="Y548" s="321">
        <f t="shared" si="1170"/>
        <v>90</v>
      </c>
      <c r="Z548" s="526"/>
      <c r="AA548" s="291"/>
      <c r="AB548" s="303"/>
      <c r="AC548" s="322" t="s">
        <v>40</v>
      </c>
      <c r="AD548" s="323" t="s">
        <v>32</v>
      </c>
      <c r="AE548" s="317">
        <f t="shared" ref="AE548:AE549" si="1171">SUM(AF548:AQ548)</f>
        <v>5199</v>
      </c>
      <c r="AF548" s="318">
        <f t="shared" ref="AF548:AQ549" si="1172">SUM(AF566,AF584)</f>
        <v>226</v>
      </c>
      <c r="AG548" s="319">
        <f t="shared" si="1172"/>
        <v>350</v>
      </c>
      <c r="AH548" s="319">
        <f t="shared" si="1172"/>
        <v>462</v>
      </c>
      <c r="AI548" s="319">
        <f t="shared" si="1172"/>
        <v>380</v>
      </c>
      <c r="AJ548" s="319">
        <f t="shared" si="1172"/>
        <v>645</v>
      </c>
      <c r="AK548" s="319">
        <f t="shared" si="1172"/>
        <v>726</v>
      </c>
      <c r="AL548" s="319">
        <f t="shared" si="1172"/>
        <v>404</v>
      </c>
      <c r="AM548" s="319">
        <f t="shared" si="1172"/>
        <v>236</v>
      </c>
      <c r="AN548" s="319">
        <f t="shared" si="1172"/>
        <v>698</v>
      </c>
      <c r="AO548" s="319">
        <f t="shared" si="1172"/>
        <v>567</v>
      </c>
      <c r="AP548" s="319">
        <f t="shared" si="1172"/>
        <v>252</v>
      </c>
      <c r="AQ548" s="321">
        <f t="shared" si="1172"/>
        <v>253</v>
      </c>
    </row>
    <row r="549" spans="1:43" s="41" customFormat="1" ht="7.8" customHeight="1" x14ac:dyDescent="0.25">
      <c r="A549" s="529"/>
      <c r="B549" s="282"/>
      <c r="C549" s="295"/>
      <c r="D549" s="296"/>
      <c r="E549" s="297" t="s">
        <v>33</v>
      </c>
      <c r="F549" s="298">
        <f t="shared" si="1163"/>
        <v>1092510</v>
      </c>
      <c r="G549" s="298">
        <f t="shared" si="1164"/>
        <v>143208</v>
      </c>
      <c r="H549" s="298">
        <f t="shared" si="1165"/>
        <v>163725</v>
      </c>
      <c r="I549" s="299">
        <f t="shared" si="1166"/>
        <v>12270</v>
      </c>
      <c r="J549" s="300">
        <f t="shared" si="1166"/>
        <v>151455</v>
      </c>
      <c r="K549" s="300">
        <f t="shared" si="1166"/>
        <v>0</v>
      </c>
      <c r="L549" s="300">
        <f t="shared" si="1166"/>
        <v>0</v>
      </c>
      <c r="M549" s="301">
        <f t="shared" si="1166"/>
        <v>0</v>
      </c>
      <c r="N549" s="298">
        <f t="shared" si="1167"/>
        <v>187699</v>
      </c>
      <c r="O549" s="299">
        <f t="shared" si="1168"/>
        <v>81390</v>
      </c>
      <c r="P549" s="300">
        <f t="shared" si="1168"/>
        <v>78744</v>
      </c>
      <c r="Q549" s="300">
        <f t="shared" si="1168"/>
        <v>27145</v>
      </c>
      <c r="R549" s="300">
        <f t="shared" si="1168"/>
        <v>0</v>
      </c>
      <c r="S549" s="301">
        <f t="shared" si="1168"/>
        <v>420</v>
      </c>
      <c r="T549" s="298">
        <f t="shared" si="1169"/>
        <v>597878</v>
      </c>
      <c r="U549" s="299">
        <f t="shared" si="1170"/>
        <v>66332.02</v>
      </c>
      <c r="V549" s="300">
        <f t="shared" si="1170"/>
        <v>269252.16000000003</v>
      </c>
      <c r="W549" s="300">
        <f t="shared" si="1170"/>
        <v>224879.81999999992</v>
      </c>
      <c r="X549" s="300">
        <f t="shared" si="1170"/>
        <v>25860</v>
      </c>
      <c r="Y549" s="302">
        <f t="shared" si="1170"/>
        <v>11554</v>
      </c>
      <c r="Z549" s="529"/>
      <c r="AA549" s="291"/>
      <c r="AB549" s="303"/>
      <c r="AC549" s="304"/>
      <c r="AD549" s="305" t="s">
        <v>33</v>
      </c>
      <c r="AE549" s="298">
        <f t="shared" si="1171"/>
        <v>805171</v>
      </c>
      <c r="AF549" s="299">
        <f t="shared" si="1172"/>
        <v>40795</v>
      </c>
      <c r="AG549" s="300">
        <f t="shared" si="1172"/>
        <v>62695</v>
      </c>
      <c r="AH549" s="300">
        <f t="shared" si="1172"/>
        <v>83530</v>
      </c>
      <c r="AI549" s="300">
        <f t="shared" si="1172"/>
        <v>55015</v>
      </c>
      <c r="AJ549" s="300">
        <f t="shared" si="1172"/>
        <v>91410</v>
      </c>
      <c r="AK549" s="300">
        <f t="shared" si="1172"/>
        <v>111265</v>
      </c>
      <c r="AL549" s="300">
        <f t="shared" si="1172"/>
        <v>72920</v>
      </c>
      <c r="AM549" s="300">
        <f t="shared" si="1172"/>
        <v>37130</v>
      </c>
      <c r="AN549" s="300">
        <f t="shared" si="1172"/>
        <v>97277</v>
      </c>
      <c r="AO549" s="300">
        <f t="shared" si="1172"/>
        <v>78744</v>
      </c>
      <c r="AP549" s="300">
        <f t="shared" si="1172"/>
        <v>36693</v>
      </c>
      <c r="AQ549" s="302">
        <f t="shared" si="1172"/>
        <v>37697</v>
      </c>
    </row>
    <row r="550" spans="1:43" ht="7.8" customHeight="1" x14ac:dyDescent="0.25">
      <c r="A550" s="526"/>
      <c r="B550" s="282"/>
      <c r="C550" s="295"/>
      <c r="D550" s="306"/>
      <c r="E550" s="307" t="s">
        <v>30</v>
      </c>
      <c r="F550" s="308">
        <f t="shared" si="1062"/>
        <v>154.00479278263322</v>
      </c>
      <c r="G550" s="308">
        <f t="shared" si="1062"/>
        <v>156</v>
      </c>
      <c r="H550" s="308">
        <f t="shared" si="1062"/>
        <v>168.44135802469137</v>
      </c>
      <c r="I550" s="309">
        <f t="shared" si="1062"/>
        <v>153.375</v>
      </c>
      <c r="J550" s="310">
        <f t="shared" si="1062"/>
        <v>169.79260089686099</v>
      </c>
      <c r="K550" s="310">
        <f t="shared" si="1062"/>
        <v>0</v>
      </c>
      <c r="L550" s="310">
        <f t="shared" si="1062"/>
        <v>0</v>
      </c>
      <c r="M550" s="311">
        <f t="shared" si="1062"/>
        <v>0</v>
      </c>
      <c r="N550" s="308">
        <f t="shared" si="1062"/>
        <v>143.39113827349121</v>
      </c>
      <c r="O550" s="309">
        <f t="shared" si="1062"/>
        <v>146.38489208633092</v>
      </c>
      <c r="P550" s="310">
        <f t="shared" si="1062"/>
        <v>138.87830687830689</v>
      </c>
      <c r="Q550" s="310">
        <f t="shared" si="1062"/>
        <v>148.33333333333334</v>
      </c>
      <c r="R550" s="310">
        <f t="shared" si="1062"/>
        <v>0</v>
      </c>
      <c r="S550" s="311">
        <f t="shared" si="1062"/>
        <v>140</v>
      </c>
      <c r="T550" s="308">
        <f t="shared" si="1062"/>
        <v>153.49884467265724</v>
      </c>
      <c r="U550" s="309">
        <f t="shared" si="1062"/>
        <v>202.23176829268294</v>
      </c>
      <c r="V550" s="310">
        <f t="shared" si="1062"/>
        <v>145.54170810810814</v>
      </c>
      <c r="W550" s="310">
        <f t="shared" si="1062"/>
        <v>154.13284441398213</v>
      </c>
      <c r="X550" s="310">
        <f t="shared" si="1062"/>
        <v>153.92857142857142</v>
      </c>
      <c r="Y550" s="312">
        <f t="shared" si="1062"/>
        <v>128.37777777777777</v>
      </c>
      <c r="Z550" s="526"/>
      <c r="AA550" s="291"/>
      <c r="AB550" s="303"/>
      <c r="AC550" s="313"/>
      <c r="AD550" s="314" t="s">
        <v>30</v>
      </c>
      <c r="AE550" s="308">
        <f t="shared" ref="AE550:AQ550" si="1173">IFERROR(AE549/AE548,0)</f>
        <v>154.87035968455473</v>
      </c>
      <c r="AF550" s="309">
        <f t="shared" si="1173"/>
        <v>180.50884955752213</v>
      </c>
      <c r="AG550" s="310">
        <f t="shared" si="1173"/>
        <v>179.12857142857143</v>
      </c>
      <c r="AH550" s="310">
        <f t="shared" si="1173"/>
        <v>180.80086580086581</v>
      </c>
      <c r="AI550" s="310">
        <f t="shared" si="1173"/>
        <v>144.77631578947367</v>
      </c>
      <c r="AJ550" s="310">
        <f t="shared" si="1173"/>
        <v>141.72093023255815</v>
      </c>
      <c r="AK550" s="310">
        <f t="shared" si="1173"/>
        <v>153.25757575757575</v>
      </c>
      <c r="AL550" s="310">
        <f t="shared" si="1173"/>
        <v>180.49504950495049</v>
      </c>
      <c r="AM550" s="310">
        <f t="shared" si="1173"/>
        <v>157.33050847457628</v>
      </c>
      <c r="AN550" s="310">
        <f t="shared" si="1173"/>
        <v>139.36532951289399</v>
      </c>
      <c r="AO550" s="310">
        <f t="shared" si="1173"/>
        <v>138.87830687830689</v>
      </c>
      <c r="AP550" s="310">
        <f t="shared" si="1173"/>
        <v>145.60714285714286</v>
      </c>
      <c r="AQ550" s="312">
        <f t="shared" si="1173"/>
        <v>149</v>
      </c>
    </row>
    <row r="551" spans="1:43" ht="7.8" customHeight="1" x14ac:dyDescent="0.25">
      <c r="B551" s="282"/>
      <c r="C551" s="295"/>
      <c r="D551" s="315" t="s">
        <v>41</v>
      </c>
      <c r="E551" s="316" t="s">
        <v>32</v>
      </c>
      <c r="F551" s="317">
        <f t="shared" ref="F551:F552" si="1174">SUM(G551,H551,N551,T551)</f>
        <v>0</v>
      </c>
      <c r="G551" s="317">
        <f t="shared" ref="G551:G606" si="1175">SUM(G569,G587)</f>
        <v>0</v>
      </c>
      <c r="H551" s="317">
        <f t="shared" ref="H551:H552" si="1176">SUM(I551:M551)</f>
        <v>0</v>
      </c>
      <c r="I551" s="318">
        <f t="shared" ref="I551:M552" si="1177">SUM(I569,I587)</f>
        <v>0</v>
      </c>
      <c r="J551" s="319">
        <f t="shared" si="1177"/>
        <v>0</v>
      </c>
      <c r="K551" s="319">
        <f t="shared" si="1177"/>
        <v>0</v>
      </c>
      <c r="L551" s="319">
        <f t="shared" si="1177"/>
        <v>0</v>
      </c>
      <c r="M551" s="320">
        <f t="shared" si="1177"/>
        <v>0</v>
      </c>
      <c r="N551" s="317">
        <f t="shared" ref="N551:N552" si="1178">SUM(O551:S551)</f>
        <v>0</v>
      </c>
      <c r="O551" s="318">
        <f t="shared" ref="O551:S552" si="1179">SUM(O569,O587)</f>
        <v>0</v>
      </c>
      <c r="P551" s="319">
        <f t="shared" si="1179"/>
        <v>0</v>
      </c>
      <c r="Q551" s="319">
        <f t="shared" si="1179"/>
        <v>0</v>
      </c>
      <c r="R551" s="319">
        <f t="shared" si="1179"/>
        <v>0</v>
      </c>
      <c r="S551" s="320">
        <f t="shared" si="1179"/>
        <v>0</v>
      </c>
      <c r="T551" s="317">
        <f t="shared" ref="T551:T552" si="1180">SUM(U551:Y551)</f>
        <v>0</v>
      </c>
      <c r="U551" s="318">
        <f t="shared" ref="U551:Y552" si="1181">SUM(U569,U587)</f>
        <v>0</v>
      </c>
      <c r="V551" s="319">
        <f t="shared" si="1181"/>
        <v>0</v>
      </c>
      <c r="W551" s="319">
        <f t="shared" si="1181"/>
        <v>0</v>
      </c>
      <c r="X551" s="319">
        <f t="shared" si="1181"/>
        <v>0</v>
      </c>
      <c r="Y551" s="321">
        <f t="shared" si="1181"/>
        <v>0</v>
      </c>
      <c r="AA551" s="291"/>
      <c r="AB551" s="303"/>
      <c r="AC551" s="322" t="s">
        <v>41</v>
      </c>
      <c r="AD551" s="323" t="s">
        <v>32</v>
      </c>
      <c r="AE551" s="317">
        <f t="shared" ref="AE551:AE552" si="1182">SUM(AF551:AQ551)</f>
        <v>1494</v>
      </c>
      <c r="AF551" s="318">
        <f t="shared" ref="AF551:AQ552" si="1183">SUM(AF569,AF587)</f>
        <v>189</v>
      </c>
      <c r="AG551" s="319">
        <f t="shared" si="1183"/>
        <v>211</v>
      </c>
      <c r="AH551" s="319">
        <f t="shared" si="1183"/>
        <v>217</v>
      </c>
      <c r="AI551" s="319">
        <f t="shared" si="1183"/>
        <v>175</v>
      </c>
      <c r="AJ551" s="319">
        <f t="shared" si="1183"/>
        <v>209</v>
      </c>
      <c r="AK551" s="319">
        <f t="shared" si="1183"/>
        <v>242</v>
      </c>
      <c r="AL551" s="319">
        <f t="shared" si="1183"/>
        <v>194</v>
      </c>
      <c r="AM551" s="319">
        <f t="shared" si="1183"/>
        <v>57</v>
      </c>
      <c r="AN551" s="319">
        <f t="shared" si="1183"/>
        <v>0</v>
      </c>
      <c r="AO551" s="319">
        <f t="shared" si="1183"/>
        <v>0</v>
      </c>
      <c r="AP551" s="319">
        <f t="shared" si="1183"/>
        <v>0</v>
      </c>
      <c r="AQ551" s="321">
        <f t="shared" si="1183"/>
        <v>0</v>
      </c>
    </row>
    <row r="552" spans="1:43" s="41" customFormat="1" ht="7.8" customHeight="1" x14ac:dyDescent="0.25">
      <c r="B552" s="282"/>
      <c r="C552" s="295"/>
      <c r="D552" s="296"/>
      <c r="E552" s="297" t="s">
        <v>33</v>
      </c>
      <c r="F552" s="298">
        <f t="shared" si="1174"/>
        <v>0</v>
      </c>
      <c r="G552" s="298">
        <f t="shared" si="1175"/>
        <v>0</v>
      </c>
      <c r="H552" s="298">
        <f t="shared" si="1176"/>
        <v>0</v>
      </c>
      <c r="I552" s="299">
        <f t="shared" si="1177"/>
        <v>0</v>
      </c>
      <c r="J552" s="300">
        <f t="shared" si="1177"/>
        <v>0</v>
      </c>
      <c r="K552" s="300">
        <f t="shared" si="1177"/>
        <v>0</v>
      </c>
      <c r="L552" s="300">
        <f t="shared" si="1177"/>
        <v>0</v>
      </c>
      <c r="M552" s="301">
        <f t="shared" si="1177"/>
        <v>0</v>
      </c>
      <c r="N552" s="298">
        <f t="shared" si="1178"/>
        <v>0</v>
      </c>
      <c r="O552" s="299">
        <f t="shared" si="1179"/>
        <v>0</v>
      </c>
      <c r="P552" s="300">
        <f t="shared" si="1179"/>
        <v>0</v>
      </c>
      <c r="Q552" s="300">
        <f t="shared" si="1179"/>
        <v>0</v>
      </c>
      <c r="R552" s="300">
        <f t="shared" si="1179"/>
        <v>0</v>
      </c>
      <c r="S552" s="301">
        <f t="shared" si="1179"/>
        <v>0</v>
      </c>
      <c r="T552" s="298">
        <f t="shared" si="1180"/>
        <v>0</v>
      </c>
      <c r="U552" s="299">
        <f t="shared" si="1181"/>
        <v>0</v>
      </c>
      <c r="V552" s="300">
        <f t="shared" si="1181"/>
        <v>0</v>
      </c>
      <c r="W552" s="300">
        <f t="shared" si="1181"/>
        <v>0</v>
      </c>
      <c r="X552" s="300">
        <f t="shared" si="1181"/>
        <v>0</v>
      </c>
      <c r="Y552" s="302">
        <f t="shared" si="1181"/>
        <v>0</v>
      </c>
      <c r="AA552" s="291"/>
      <c r="AB552" s="303"/>
      <c r="AC552" s="304"/>
      <c r="AD552" s="305" t="s">
        <v>33</v>
      </c>
      <c r="AE552" s="298">
        <f t="shared" si="1182"/>
        <v>249754</v>
      </c>
      <c r="AF552" s="299">
        <f t="shared" si="1183"/>
        <v>38837</v>
      </c>
      <c r="AG552" s="300">
        <f t="shared" si="1183"/>
        <v>38108</v>
      </c>
      <c r="AH552" s="300">
        <f t="shared" si="1183"/>
        <v>36007</v>
      </c>
      <c r="AI552" s="300">
        <f t="shared" si="1183"/>
        <v>25435</v>
      </c>
      <c r="AJ552" s="300">
        <f t="shared" si="1183"/>
        <v>30900</v>
      </c>
      <c r="AK552" s="300">
        <f t="shared" si="1183"/>
        <v>38160</v>
      </c>
      <c r="AL552" s="300">
        <f t="shared" si="1183"/>
        <v>32552</v>
      </c>
      <c r="AM552" s="300">
        <f t="shared" si="1183"/>
        <v>9755</v>
      </c>
      <c r="AN552" s="300">
        <f t="shared" si="1183"/>
        <v>0</v>
      </c>
      <c r="AO552" s="300">
        <f t="shared" si="1183"/>
        <v>0</v>
      </c>
      <c r="AP552" s="300">
        <f t="shared" si="1183"/>
        <v>0</v>
      </c>
      <c r="AQ552" s="302">
        <f t="shared" si="1183"/>
        <v>0</v>
      </c>
    </row>
    <row r="553" spans="1:43" ht="7.8" customHeight="1" x14ac:dyDescent="0.25">
      <c r="B553" s="282"/>
      <c r="C553" s="295"/>
      <c r="D553" s="306"/>
      <c r="E553" s="307" t="s">
        <v>30</v>
      </c>
      <c r="F553" s="308">
        <f t="shared" si="1073"/>
        <v>0</v>
      </c>
      <c r="G553" s="308">
        <f t="shared" si="1073"/>
        <v>0</v>
      </c>
      <c r="H553" s="308">
        <f t="shared" si="1073"/>
        <v>0</v>
      </c>
      <c r="I553" s="309">
        <f t="shared" si="1073"/>
        <v>0</v>
      </c>
      <c r="J553" s="310">
        <f t="shared" si="1073"/>
        <v>0</v>
      </c>
      <c r="K553" s="310">
        <f t="shared" si="1073"/>
        <v>0</v>
      </c>
      <c r="L553" s="310">
        <f t="shared" si="1073"/>
        <v>0</v>
      </c>
      <c r="M553" s="311">
        <f t="shared" si="1073"/>
        <v>0</v>
      </c>
      <c r="N553" s="308">
        <f t="shared" si="1073"/>
        <v>0</v>
      </c>
      <c r="O553" s="309">
        <f t="shared" si="1073"/>
        <v>0</v>
      </c>
      <c r="P553" s="310">
        <f t="shared" si="1073"/>
        <v>0</v>
      </c>
      <c r="Q553" s="310">
        <f t="shared" si="1073"/>
        <v>0</v>
      </c>
      <c r="R553" s="310">
        <f t="shared" si="1073"/>
        <v>0</v>
      </c>
      <c r="S553" s="311">
        <f t="shared" si="1073"/>
        <v>0</v>
      </c>
      <c r="T553" s="308">
        <f t="shared" si="1073"/>
        <v>0</v>
      </c>
      <c r="U553" s="309">
        <f t="shared" si="1073"/>
        <v>0</v>
      </c>
      <c r="V553" s="310">
        <f t="shared" si="1073"/>
        <v>0</v>
      </c>
      <c r="W553" s="310">
        <f t="shared" si="1073"/>
        <v>0</v>
      </c>
      <c r="X553" s="310">
        <f t="shared" si="1073"/>
        <v>0</v>
      </c>
      <c r="Y553" s="312">
        <f t="shared" si="1073"/>
        <v>0</v>
      </c>
      <c r="AA553" s="291"/>
      <c r="AB553" s="303"/>
      <c r="AC553" s="313"/>
      <c r="AD553" s="314" t="s">
        <v>30</v>
      </c>
      <c r="AE553" s="308">
        <f t="shared" ref="AE553:AQ553" si="1184">IFERROR(AE552/AE551,0)</f>
        <v>167.17135207496653</v>
      </c>
      <c r="AF553" s="309">
        <f t="shared" si="1184"/>
        <v>205.48677248677248</v>
      </c>
      <c r="AG553" s="310">
        <f t="shared" si="1184"/>
        <v>180.60663507109004</v>
      </c>
      <c r="AH553" s="310">
        <f t="shared" si="1184"/>
        <v>165.93087557603687</v>
      </c>
      <c r="AI553" s="310">
        <f t="shared" si="1184"/>
        <v>145.34285714285716</v>
      </c>
      <c r="AJ553" s="310">
        <f t="shared" si="1184"/>
        <v>147.84688995215311</v>
      </c>
      <c r="AK553" s="310">
        <f t="shared" si="1184"/>
        <v>157.68595041322314</v>
      </c>
      <c r="AL553" s="310">
        <f t="shared" si="1184"/>
        <v>167.79381443298968</v>
      </c>
      <c r="AM553" s="310">
        <f t="shared" si="1184"/>
        <v>171.14035087719299</v>
      </c>
      <c r="AN553" s="310">
        <f t="shared" si="1184"/>
        <v>0</v>
      </c>
      <c r="AO553" s="310">
        <f t="shared" si="1184"/>
        <v>0</v>
      </c>
      <c r="AP553" s="310">
        <f t="shared" si="1184"/>
        <v>0</v>
      </c>
      <c r="AQ553" s="312">
        <f t="shared" si="1184"/>
        <v>0</v>
      </c>
    </row>
    <row r="554" spans="1:43" ht="7.8" customHeight="1" x14ac:dyDescent="0.25">
      <c r="B554" s="282"/>
      <c r="C554" s="295"/>
      <c r="D554" s="324" t="s">
        <v>42</v>
      </c>
      <c r="E554" s="325" t="s">
        <v>32</v>
      </c>
      <c r="F554" s="326">
        <f t="shared" ref="F554:F555" si="1185">SUM(G554,H554,N554,T554)</f>
        <v>7835</v>
      </c>
      <c r="G554" s="326">
        <f t="shared" ref="G554:G609" si="1186">SUM(G572,G590)</f>
        <v>0</v>
      </c>
      <c r="H554" s="326">
        <f t="shared" ref="H554:H555" si="1187">SUM(I554:M554)</f>
        <v>890</v>
      </c>
      <c r="I554" s="327">
        <f t="shared" ref="I554:M555" si="1188">SUM(I572,I590)</f>
        <v>295</v>
      </c>
      <c r="J554" s="328">
        <f t="shared" si="1188"/>
        <v>450</v>
      </c>
      <c r="K554" s="328">
        <f t="shared" si="1188"/>
        <v>75</v>
      </c>
      <c r="L554" s="328">
        <f t="shared" si="1188"/>
        <v>70</v>
      </c>
      <c r="M554" s="329">
        <f t="shared" si="1188"/>
        <v>0</v>
      </c>
      <c r="N554" s="326">
        <f t="shared" ref="N554:N555" si="1189">SUM(O554:S554)</f>
        <v>1545</v>
      </c>
      <c r="O554" s="327">
        <f t="shared" ref="O554:S555" si="1190">SUM(O572,O590)</f>
        <v>550</v>
      </c>
      <c r="P554" s="328">
        <f t="shared" si="1190"/>
        <v>920</v>
      </c>
      <c r="Q554" s="328">
        <f t="shared" si="1190"/>
        <v>75</v>
      </c>
      <c r="R554" s="328">
        <f t="shared" si="1190"/>
        <v>0</v>
      </c>
      <c r="S554" s="329">
        <f t="shared" si="1190"/>
        <v>0</v>
      </c>
      <c r="T554" s="326">
        <f t="shared" ref="T554:T555" si="1191">SUM(U554:Y554)</f>
        <v>5400</v>
      </c>
      <c r="U554" s="327">
        <f t="shared" ref="U554:Y555" si="1192">SUM(U572,U590)</f>
        <v>700</v>
      </c>
      <c r="V554" s="328">
        <f t="shared" si="1192"/>
        <v>2200</v>
      </c>
      <c r="W554" s="328">
        <f t="shared" si="1192"/>
        <v>1800</v>
      </c>
      <c r="X554" s="328">
        <f t="shared" si="1192"/>
        <v>100</v>
      </c>
      <c r="Y554" s="330">
        <f t="shared" si="1192"/>
        <v>600</v>
      </c>
      <c r="AA554" s="291"/>
      <c r="AB554" s="303"/>
      <c r="AC554" s="331" t="s">
        <v>42</v>
      </c>
      <c r="AD554" s="332" t="s">
        <v>32</v>
      </c>
      <c r="AE554" s="333">
        <f t="shared" ref="AE554:AE555" si="1193">SUM(AF554:AQ554)</f>
        <v>6150</v>
      </c>
      <c r="AF554" s="334">
        <f t="shared" ref="AF554:AQ555" si="1194">SUM(AF572,AF590)</f>
        <v>500</v>
      </c>
      <c r="AG554" s="335">
        <f t="shared" si="1194"/>
        <v>800</v>
      </c>
      <c r="AH554" s="335">
        <f t="shared" si="1194"/>
        <v>600</v>
      </c>
      <c r="AI554" s="335">
        <f t="shared" si="1194"/>
        <v>350</v>
      </c>
      <c r="AJ554" s="335">
        <f t="shared" si="1194"/>
        <v>400</v>
      </c>
      <c r="AK554" s="335">
        <f t="shared" si="1194"/>
        <v>500</v>
      </c>
      <c r="AL554" s="335">
        <f t="shared" si="1194"/>
        <v>355</v>
      </c>
      <c r="AM554" s="335">
        <f t="shared" si="1194"/>
        <v>250</v>
      </c>
      <c r="AN554" s="335">
        <f t="shared" si="1194"/>
        <v>750</v>
      </c>
      <c r="AO554" s="335">
        <f t="shared" si="1194"/>
        <v>920</v>
      </c>
      <c r="AP554" s="335">
        <f t="shared" si="1194"/>
        <v>450</v>
      </c>
      <c r="AQ554" s="336">
        <f t="shared" si="1194"/>
        <v>275</v>
      </c>
    </row>
    <row r="555" spans="1:43" s="41" customFormat="1" ht="7.8" customHeight="1" x14ac:dyDescent="0.25">
      <c r="B555" s="282"/>
      <c r="C555" s="295"/>
      <c r="D555" s="337"/>
      <c r="E555" s="338" t="s">
        <v>33</v>
      </c>
      <c r="F555" s="339">
        <f t="shared" si="1185"/>
        <v>1254200</v>
      </c>
      <c r="G555" s="339">
        <f t="shared" si="1186"/>
        <v>0</v>
      </c>
      <c r="H555" s="339">
        <f t="shared" si="1187"/>
        <v>127365</v>
      </c>
      <c r="I555" s="340">
        <f t="shared" si="1188"/>
        <v>41300</v>
      </c>
      <c r="J555" s="341">
        <f t="shared" si="1188"/>
        <v>65250</v>
      </c>
      <c r="K555" s="341">
        <f t="shared" si="1188"/>
        <v>10875</v>
      </c>
      <c r="L555" s="341">
        <f t="shared" si="1188"/>
        <v>9940</v>
      </c>
      <c r="M555" s="342">
        <f t="shared" si="1188"/>
        <v>0</v>
      </c>
      <c r="N555" s="339">
        <f t="shared" si="1189"/>
        <v>220335</v>
      </c>
      <c r="O555" s="340">
        <f t="shared" si="1190"/>
        <v>82500</v>
      </c>
      <c r="P555" s="341">
        <f t="shared" si="1190"/>
        <v>126960</v>
      </c>
      <c r="Q555" s="341">
        <f t="shared" si="1190"/>
        <v>10875</v>
      </c>
      <c r="R555" s="341">
        <f t="shared" si="1190"/>
        <v>0</v>
      </c>
      <c r="S555" s="342">
        <f t="shared" si="1190"/>
        <v>0</v>
      </c>
      <c r="T555" s="339">
        <f t="shared" si="1191"/>
        <v>906500</v>
      </c>
      <c r="U555" s="340">
        <f t="shared" si="1192"/>
        <v>126000</v>
      </c>
      <c r="V555" s="341">
        <f t="shared" si="1192"/>
        <v>369600</v>
      </c>
      <c r="W555" s="341">
        <f t="shared" si="1192"/>
        <v>288000</v>
      </c>
      <c r="X555" s="341">
        <f t="shared" si="1192"/>
        <v>18500</v>
      </c>
      <c r="Y555" s="343">
        <f t="shared" si="1192"/>
        <v>104400</v>
      </c>
      <c r="AA555" s="291"/>
      <c r="AB555" s="303"/>
      <c r="AC555" s="344"/>
      <c r="AD555" s="345" t="s">
        <v>33</v>
      </c>
      <c r="AE555" s="346">
        <f t="shared" si="1193"/>
        <v>933660</v>
      </c>
      <c r="AF555" s="347">
        <f t="shared" si="1194"/>
        <v>85000</v>
      </c>
      <c r="AG555" s="348">
        <f t="shared" si="1194"/>
        <v>136000</v>
      </c>
      <c r="AH555" s="348">
        <f t="shared" si="1194"/>
        <v>94800</v>
      </c>
      <c r="AI555" s="348">
        <f t="shared" si="1194"/>
        <v>49500</v>
      </c>
      <c r="AJ555" s="348">
        <f t="shared" si="1194"/>
        <v>56800</v>
      </c>
      <c r="AK555" s="348">
        <f t="shared" si="1194"/>
        <v>76500</v>
      </c>
      <c r="AL555" s="348">
        <f t="shared" si="1194"/>
        <v>60350</v>
      </c>
      <c r="AM555" s="348">
        <f t="shared" si="1194"/>
        <v>41250</v>
      </c>
      <c r="AN555" s="348">
        <f t="shared" si="1194"/>
        <v>107250</v>
      </c>
      <c r="AO555" s="348">
        <f t="shared" si="1194"/>
        <v>126960</v>
      </c>
      <c r="AP555" s="348">
        <f t="shared" si="1194"/>
        <v>60750</v>
      </c>
      <c r="AQ555" s="349">
        <f t="shared" si="1194"/>
        <v>38500</v>
      </c>
    </row>
    <row r="556" spans="1:43" ht="7.8" customHeight="1" x14ac:dyDescent="0.25">
      <c r="B556" s="282"/>
      <c r="C556" s="295"/>
      <c r="D556" s="350"/>
      <c r="E556" s="351" t="s">
        <v>30</v>
      </c>
      <c r="F556" s="352">
        <f t="shared" si="1084"/>
        <v>160.07657945118061</v>
      </c>
      <c r="G556" s="352">
        <f t="shared" si="1084"/>
        <v>0</v>
      </c>
      <c r="H556" s="352">
        <f t="shared" si="1084"/>
        <v>143.1067415730337</v>
      </c>
      <c r="I556" s="353">
        <f t="shared" si="1084"/>
        <v>140</v>
      </c>
      <c r="J556" s="354">
        <f t="shared" si="1084"/>
        <v>145</v>
      </c>
      <c r="K556" s="354">
        <f t="shared" si="1084"/>
        <v>145</v>
      </c>
      <c r="L556" s="354">
        <f t="shared" si="1084"/>
        <v>142</v>
      </c>
      <c r="M556" s="355">
        <f t="shared" si="1084"/>
        <v>0</v>
      </c>
      <c r="N556" s="352">
        <f t="shared" si="1084"/>
        <v>142.61165048543688</v>
      </c>
      <c r="O556" s="353">
        <f t="shared" si="1084"/>
        <v>150</v>
      </c>
      <c r="P556" s="354">
        <f t="shared" si="1084"/>
        <v>138</v>
      </c>
      <c r="Q556" s="354">
        <f t="shared" si="1084"/>
        <v>145</v>
      </c>
      <c r="R556" s="354">
        <f t="shared" si="1084"/>
        <v>0</v>
      </c>
      <c r="S556" s="355">
        <f t="shared" si="1084"/>
        <v>0</v>
      </c>
      <c r="T556" s="352">
        <f t="shared" si="1084"/>
        <v>167.87037037037038</v>
      </c>
      <c r="U556" s="353">
        <f t="shared" si="1084"/>
        <v>180</v>
      </c>
      <c r="V556" s="354">
        <f t="shared" si="1084"/>
        <v>168</v>
      </c>
      <c r="W556" s="354">
        <f t="shared" si="1084"/>
        <v>160</v>
      </c>
      <c r="X556" s="354">
        <f t="shared" si="1084"/>
        <v>185</v>
      </c>
      <c r="Y556" s="356">
        <f t="shared" si="1084"/>
        <v>174</v>
      </c>
      <c r="AA556" s="291"/>
      <c r="AB556" s="303"/>
      <c r="AC556" s="357"/>
      <c r="AD556" s="358" t="s">
        <v>30</v>
      </c>
      <c r="AE556" s="359">
        <f t="shared" ref="AE556:AQ556" si="1195">IFERROR(AE555/AE554,0)</f>
        <v>151.81463414634146</v>
      </c>
      <c r="AF556" s="360">
        <f t="shared" si="1195"/>
        <v>170</v>
      </c>
      <c r="AG556" s="361">
        <f t="shared" si="1195"/>
        <v>170</v>
      </c>
      <c r="AH556" s="361">
        <f t="shared" si="1195"/>
        <v>158</v>
      </c>
      <c r="AI556" s="361">
        <f t="shared" si="1195"/>
        <v>141.42857142857142</v>
      </c>
      <c r="AJ556" s="361">
        <f t="shared" si="1195"/>
        <v>142</v>
      </c>
      <c r="AK556" s="361">
        <f t="shared" si="1195"/>
        <v>153</v>
      </c>
      <c r="AL556" s="361">
        <f t="shared" si="1195"/>
        <v>170</v>
      </c>
      <c r="AM556" s="361">
        <f t="shared" si="1195"/>
        <v>165</v>
      </c>
      <c r="AN556" s="361">
        <f t="shared" si="1195"/>
        <v>143</v>
      </c>
      <c r="AO556" s="361">
        <f t="shared" si="1195"/>
        <v>138</v>
      </c>
      <c r="AP556" s="361">
        <f t="shared" si="1195"/>
        <v>135</v>
      </c>
      <c r="AQ556" s="362">
        <f t="shared" si="1195"/>
        <v>140</v>
      </c>
    </row>
    <row r="557" spans="1:43" ht="7.8" customHeight="1" x14ac:dyDescent="0.25">
      <c r="B557" s="282"/>
      <c r="C557" s="295"/>
      <c r="D557" s="363" t="s">
        <v>43</v>
      </c>
      <c r="E557" s="316" t="s">
        <v>32</v>
      </c>
      <c r="F557" s="317">
        <f t="shared" ref="F557:Y559" si="1196">F554-F551</f>
        <v>7835</v>
      </c>
      <c r="G557" s="317">
        <f t="shared" si="1196"/>
        <v>0</v>
      </c>
      <c r="H557" s="317">
        <f t="shared" si="1196"/>
        <v>890</v>
      </c>
      <c r="I557" s="318">
        <f t="shared" si="1196"/>
        <v>295</v>
      </c>
      <c r="J557" s="319">
        <f t="shared" si="1196"/>
        <v>450</v>
      </c>
      <c r="K557" s="319">
        <f t="shared" si="1196"/>
        <v>75</v>
      </c>
      <c r="L557" s="319">
        <f t="shared" si="1196"/>
        <v>70</v>
      </c>
      <c r="M557" s="320">
        <f t="shared" si="1196"/>
        <v>0</v>
      </c>
      <c r="N557" s="317">
        <f t="shared" si="1196"/>
        <v>1545</v>
      </c>
      <c r="O557" s="318">
        <f t="shared" si="1196"/>
        <v>550</v>
      </c>
      <c r="P557" s="319">
        <f t="shared" si="1196"/>
        <v>920</v>
      </c>
      <c r="Q557" s="319">
        <f t="shared" si="1196"/>
        <v>75</v>
      </c>
      <c r="R557" s="319">
        <f t="shared" si="1196"/>
        <v>0</v>
      </c>
      <c r="S557" s="320">
        <f t="shared" si="1196"/>
        <v>0</v>
      </c>
      <c r="T557" s="317">
        <f t="shared" si="1196"/>
        <v>5400</v>
      </c>
      <c r="U557" s="318">
        <f t="shared" si="1196"/>
        <v>700</v>
      </c>
      <c r="V557" s="319">
        <f t="shared" si="1196"/>
        <v>2200</v>
      </c>
      <c r="W557" s="319">
        <f t="shared" si="1196"/>
        <v>1800</v>
      </c>
      <c r="X557" s="319">
        <f t="shared" si="1196"/>
        <v>100</v>
      </c>
      <c r="Y557" s="321">
        <f t="shared" si="1196"/>
        <v>600</v>
      </c>
      <c r="AA557" s="291"/>
      <c r="AB557" s="303"/>
      <c r="AC557" s="364" t="s">
        <v>43</v>
      </c>
      <c r="AD557" s="323" t="s">
        <v>32</v>
      </c>
      <c r="AE557" s="317">
        <f t="shared" ref="AE557:AQ559" si="1197">AE554-AE551</f>
        <v>4656</v>
      </c>
      <c r="AF557" s="318">
        <f t="shared" si="1197"/>
        <v>311</v>
      </c>
      <c r="AG557" s="319">
        <f t="shared" si="1197"/>
        <v>589</v>
      </c>
      <c r="AH557" s="319">
        <f t="shared" si="1197"/>
        <v>383</v>
      </c>
      <c r="AI557" s="319">
        <f t="shared" si="1197"/>
        <v>175</v>
      </c>
      <c r="AJ557" s="319">
        <f t="shared" si="1197"/>
        <v>191</v>
      </c>
      <c r="AK557" s="319">
        <f t="shared" si="1197"/>
        <v>258</v>
      </c>
      <c r="AL557" s="319">
        <f t="shared" si="1197"/>
        <v>161</v>
      </c>
      <c r="AM557" s="319">
        <f t="shared" si="1197"/>
        <v>193</v>
      </c>
      <c r="AN557" s="319">
        <f t="shared" si="1197"/>
        <v>750</v>
      </c>
      <c r="AO557" s="319">
        <f t="shared" si="1197"/>
        <v>920</v>
      </c>
      <c r="AP557" s="319">
        <f t="shared" si="1197"/>
        <v>450</v>
      </c>
      <c r="AQ557" s="321">
        <f t="shared" si="1197"/>
        <v>275</v>
      </c>
    </row>
    <row r="558" spans="1:43" s="366" customFormat="1" ht="7.8" customHeight="1" x14ac:dyDescent="0.25">
      <c r="B558" s="282"/>
      <c r="C558" s="295"/>
      <c r="D558" s="296"/>
      <c r="E558" s="365" t="s">
        <v>33</v>
      </c>
      <c r="F558" s="298">
        <f t="shared" si="1196"/>
        <v>1254200</v>
      </c>
      <c r="G558" s="298">
        <f t="shared" si="1196"/>
        <v>0</v>
      </c>
      <c r="H558" s="298">
        <f t="shared" si="1196"/>
        <v>127365</v>
      </c>
      <c r="I558" s="299">
        <f t="shared" si="1196"/>
        <v>41300</v>
      </c>
      <c r="J558" s="300">
        <f t="shared" si="1196"/>
        <v>65250</v>
      </c>
      <c r="K558" s="300">
        <f t="shared" si="1196"/>
        <v>10875</v>
      </c>
      <c r="L558" s="300">
        <f t="shared" si="1196"/>
        <v>9940</v>
      </c>
      <c r="M558" s="301">
        <f t="shared" si="1196"/>
        <v>0</v>
      </c>
      <c r="N558" s="298">
        <f t="shared" si="1196"/>
        <v>220335</v>
      </c>
      <c r="O558" s="299">
        <f t="shared" si="1196"/>
        <v>82500</v>
      </c>
      <c r="P558" s="300">
        <f t="shared" si="1196"/>
        <v>126960</v>
      </c>
      <c r="Q558" s="300">
        <f t="shared" si="1196"/>
        <v>10875</v>
      </c>
      <c r="R558" s="300">
        <f t="shared" si="1196"/>
        <v>0</v>
      </c>
      <c r="S558" s="301">
        <f t="shared" si="1196"/>
        <v>0</v>
      </c>
      <c r="T558" s="298">
        <f t="shared" si="1196"/>
        <v>906500</v>
      </c>
      <c r="U558" s="299">
        <f t="shared" si="1196"/>
        <v>126000</v>
      </c>
      <c r="V558" s="300">
        <f t="shared" si="1196"/>
        <v>369600</v>
      </c>
      <c r="W558" s="300">
        <f t="shared" si="1196"/>
        <v>288000</v>
      </c>
      <c r="X558" s="300">
        <f t="shared" si="1196"/>
        <v>18500</v>
      </c>
      <c r="Y558" s="302">
        <f t="shared" si="1196"/>
        <v>104400</v>
      </c>
      <c r="AA558" s="291"/>
      <c r="AB558" s="303"/>
      <c r="AC558" s="367"/>
      <c r="AD558" s="368" t="s">
        <v>33</v>
      </c>
      <c r="AE558" s="298">
        <f t="shared" si="1197"/>
        <v>683906</v>
      </c>
      <c r="AF558" s="299">
        <f t="shared" si="1197"/>
        <v>46163</v>
      </c>
      <c r="AG558" s="300">
        <f t="shared" si="1197"/>
        <v>97892</v>
      </c>
      <c r="AH558" s="300">
        <f t="shared" si="1197"/>
        <v>58793</v>
      </c>
      <c r="AI558" s="300">
        <f t="shared" si="1197"/>
        <v>24065</v>
      </c>
      <c r="AJ558" s="300">
        <f t="shared" si="1197"/>
        <v>25900</v>
      </c>
      <c r="AK558" s="300">
        <f t="shared" si="1197"/>
        <v>38340</v>
      </c>
      <c r="AL558" s="300">
        <f t="shared" si="1197"/>
        <v>27798</v>
      </c>
      <c r="AM558" s="300">
        <f t="shared" si="1197"/>
        <v>31495</v>
      </c>
      <c r="AN558" s="300">
        <f t="shared" si="1197"/>
        <v>107250</v>
      </c>
      <c r="AO558" s="300">
        <f t="shared" si="1197"/>
        <v>126960</v>
      </c>
      <c r="AP558" s="300">
        <f t="shared" si="1197"/>
        <v>60750</v>
      </c>
      <c r="AQ558" s="302">
        <f t="shared" si="1197"/>
        <v>38500</v>
      </c>
    </row>
    <row r="559" spans="1:43" ht="7.8" customHeight="1" x14ac:dyDescent="0.25">
      <c r="B559" s="282"/>
      <c r="C559" s="295"/>
      <c r="D559" s="306"/>
      <c r="E559" s="307" t="s">
        <v>30</v>
      </c>
      <c r="F559" s="308">
        <f t="shared" si="1196"/>
        <v>160.07657945118061</v>
      </c>
      <c r="G559" s="308">
        <f t="shared" si="1196"/>
        <v>0</v>
      </c>
      <c r="H559" s="308">
        <f t="shared" si="1196"/>
        <v>143.1067415730337</v>
      </c>
      <c r="I559" s="309">
        <f t="shared" si="1196"/>
        <v>140</v>
      </c>
      <c r="J559" s="310">
        <f t="shared" si="1196"/>
        <v>145</v>
      </c>
      <c r="K559" s="310">
        <f t="shared" si="1196"/>
        <v>145</v>
      </c>
      <c r="L559" s="310">
        <f t="shared" si="1196"/>
        <v>142</v>
      </c>
      <c r="M559" s="311">
        <f t="shared" si="1196"/>
        <v>0</v>
      </c>
      <c r="N559" s="308">
        <f t="shared" si="1196"/>
        <v>142.61165048543688</v>
      </c>
      <c r="O559" s="309">
        <f t="shared" si="1196"/>
        <v>150</v>
      </c>
      <c r="P559" s="310">
        <f t="shared" si="1196"/>
        <v>138</v>
      </c>
      <c r="Q559" s="310">
        <f t="shared" si="1196"/>
        <v>145</v>
      </c>
      <c r="R559" s="310">
        <f t="shared" si="1196"/>
        <v>0</v>
      </c>
      <c r="S559" s="311">
        <f t="shared" si="1196"/>
        <v>0</v>
      </c>
      <c r="T559" s="308">
        <f t="shared" si="1196"/>
        <v>167.87037037037038</v>
      </c>
      <c r="U559" s="309">
        <f t="shared" si="1196"/>
        <v>180</v>
      </c>
      <c r="V559" s="310">
        <f t="shared" si="1196"/>
        <v>168</v>
      </c>
      <c r="W559" s="310">
        <f t="shared" si="1196"/>
        <v>160</v>
      </c>
      <c r="X559" s="310">
        <f t="shared" si="1196"/>
        <v>185</v>
      </c>
      <c r="Y559" s="312">
        <f t="shared" si="1196"/>
        <v>174</v>
      </c>
      <c r="AA559" s="291"/>
      <c r="AB559" s="303"/>
      <c r="AC559" s="369"/>
      <c r="AD559" s="314" t="s">
        <v>30</v>
      </c>
      <c r="AE559" s="308">
        <f t="shared" si="1197"/>
        <v>-15.356717928625073</v>
      </c>
      <c r="AF559" s="309">
        <f t="shared" si="1197"/>
        <v>-35.48677248677248</v>
      </c>
      <c r="AG559" s="310">
        <f t="shared" si="1197"/>
        <v>-10.606635071090039</v>
      </c>
      <c r="AH559" s="310">
        <f t="shared" si="1197"/>
        <v>-7.9308755760368683</v>
      </c>
      <c r="AI559" s="310">
        <f t="shared" si="1197"/>
        <v>-3.9142857142857395</v>
      </c>
      <c r="AJ559" s="310">
        <f t="shared" si="1197"/>
        <v>-5.8468899521531057</v>
      </c>
      <c r="AK559" s="310">
        <f t="shared" si="1197"/>
        <v>-4.6859504132231393</v>
      </c>
      <c r="AL559" s="310">
        <f t="shared" si="1197"/>
        <v>2.2061855670103228</v>
      </c>
      <c r="AM559" s="310">
        <f t="shared" si="1197"/>
        <v>-6.1403508771929864</v>
      </c>
      <c r="AN559" s="310">
        <f t="shared" si="1197"/>
        <v>143</v>
      </c>
      <c r="AO559" s="310">
        <f t="shared" si="1197"/>
        <v>138</v>
      </c>
      <c r="AP559" s="310">
        <f t="shared" si="1197"/>
        <v>135</v>
      </c>
      <c r="AQ559" s="312">
        <f t="shared" si="1197"/>
        <v>140</v>
      </c>
    </row>
    <row r="560" spans="1:43" ht="7.8" customHeight="1" x14ac:dyDescent="0.25">
      <c r="B560" s="282"/>
      <c r="C560" s="295"/>
      <c r="D560" s="363" t="s">
        <v>44</v>
      </c>
      <c r="E560" s="316" t="s">
        <v>32</v>
      </c>
      <c r="F560" s="370" t="str">
        <f t="shared" ref="F560:Y562" si="1198">IFERROR((F554-F551)/ABS(F551),"")</f>
        <v/>
      </c>
      <c r="G560" s="370" t="str">
        <f t="shared" si="1198"/>
        <v/>
      </c>
      <c r="H560" s="370" t="str">
        <f t="shared" si="1198"/>
        <v/>
      </c>
      <c r="I560" s="371" t="str">
        <f t="shared" si="1198"/>
        <v/>
      </c>
      <c r="J560" s="372" t="str">
        <f t="shared" si="1198"/>
        <v/>
      </c>
      <c r="K560" s="372" t="str">
        <f t="shared" si="1198"/>
        <v/>
      </c>
      <c r="L560" s="372" t="str">
        <f t="shared" si="1198"/>
        <v/>
      </c>
      <c r="M560" s="373" t="str">
        <f t="shared" si="1198"/>
        <v/>
      </c>
      <c r="N560" s="370" t="str">
        <f t="shared" si="1198"/>
        <v/>
      </c>
      <c r="O560" s="371" t="str">
        <f t="shared" si="1198"/>
        <v/>
      </c>
      <c r="P560" s="372" t="str">
        <f t="shared" si="1198"/>
        <v/>
      </c>
      <c r="Q560" s="372" t="str">
        <f t="shared" si="1198"/>
        <v/>
      </c>
      <c r="R560" s="372" t="str">
        <f t="shared" si="1198"/>
        <v/>
      </c>
      <c r="S560" s="373" t="str">
        <f t="shared" si="1198"/>
        <v/>
      </c>
      <c r="T560" s="370" t="str">
        <f t="shared" si="1198"/>
        <v/>
      </c>
      <c r="U560" s="371" t="str">
        <f t="shared" si="1198"/>
        <v/>
      </c>
      <c r="V560" s="372" t="str">
        <f t="shared" si="1198"/>
        <v/>
      </c>
      <c r="W560" s="372" t="str">
        <f t="shared" si="1198"/>
        <v/>
      </c>
      <c r="X560" s="372" t="str">
        <f t="shared" si="1198"/>
        <v/>
      </c>
      <c r="Y560" s="374" t="str">
        <f t="shared" si="1198"/>
        <v/>
      </c>
      <c r="AA560" s="291"/>
      <c r="AB560" s="303"/>
      <c r="AC560" s="364" t="s">
        <v>44</v>
      </c>
      <c r="AD560" s="323" t="s">
        <v>32</v>
      </c>
      <c r="AE560" s="370">
        <f t="shared" ref="AE560:AQ562" si="1199">IFERROR((AE554-AE551)/ABS(AE551),"")</f>
        <v>3.1164658634538154</v>
      </c>
      <c r="AF560" s="371">
        <f t="shared" si="1199"/>
        <v>1.6455026455026456</v>
      </c>
      <c r="AG560" s="372">
        <f t="shared" si="1199"/>
        <v>2.7914691943127963</v>
      </c>
      <c r="AH560" s="372">
        <f t="shared" si="1199"/>
        <v>1.7649769585253456</v>
      </c>
      <c r="AI560" s="372">
        <f t="shared" si="1199"/>
        <v>1</v>
      </c>
      <c r="AJ560" s="372">
        <f t="shared" si="1199"/>
        <v>0.9138755980861244</v>
      </c>
      <c r="AK560" s="372">
        <f t="shared" si="1199"/>
        <v>1.0661157024793388</v>
      </c>
      <c r="AL560" s="372">
        <f t="shared" si="1199"/>
        <v>0.82989690721649489</v>
      </c>
      <c r="AM560" s="372">
        <f t="shared" si="1199"/>
        <v>3.3859649122807016</v>
      </c>
      <c r="AN560" s="372" t="str">
        <f t="shared" si="1199"/>
        <v/>
      </c>
      <c r="AO560" s="372" t="str">
        <f t="shared" si="1199"/>
        <v/>
      </c>
      <c r="AP560" s="372" t="str">
        <f t="shared" si="1199"/>
        <v/>
      </c>
      <c r="AQ560" s="374" t="str">
        <f t="shared" si="1199"/>
        <v/>
      </c>
    </row>
    <row r="561" spans="2:43" ht="7.8" customHeight="1" x14ac:dyDescent="0.25">
      <c r="B561" s="282"/>
      <c r="C561" s="295"/>
      <c r="D561" s="296"/>
      <c r="E561" s="375" t="s">
        <v>33</v>
      </c>
      <c r="F561" s="376" t="str">
        <f t="shared" si="1198"/>
        <v/>
      </c>
      <c r="G561" s="376" t="str">
        <f t="shared" si="1198"/>
        <v/>
      </c>
      <c r="H561" s="376" t="str">
        <f t="shared" si="1198"/>
        <v/>
      </c>
      <c r="I561" s="377" t="str">
        <f t="shared" si="1198"/>
        <v/>
      </c>
      <c r="J561" s="378" t="str">
        <f t="shared" si="1198"/>
        <v/>
      </c>
      <c r="K561" s="378" t="str">
        <f t="shared" si="1198"/>
        <v/>
      </c>
      <c r="L561" s="378" t="str">
        <f t="shared" si="1198"/>
        <v/>
      </c>
      <c r="M561" s="379" t="str">
        <f t="shared" si="1198"/>
        <v/>
      </c>
      <c r="N561" s="376" t="str">
        <f t="shared" si="1198"/>
        <v/>
      </c>
      <c r="O561" s="377" t="str">
        <f t="shared" si="1198"/>
        <v/>
      </c>
      <c r="P561" s="378" t="str">
        <f t="shared" si="1198"/>
        <v/>
      </c>
      <c r="Q561" s="378" t="str">
        <f t="shared" si="1198"/>
        <v/>
      </c>
      <c r="R561" s="378" t="str">
        <f t="shared" si="1198"/>
        <v/>
      </c>
      <c r="S561" s="379" t="str">
        <f t="shared" si="1198"/>
        <v/>
      </c>
      <c r="T561" s="376" t="str">
        <f t="shared" si="1198"/>
        <v/>
      </c>
      <c r="U561" s="377" t="str">
        <f t="shared" si="1198"/>
        <v/>
      </c>
      <c r="V561" s="378" t="str">
        <f t="shared" si="1198"/>
        <v/>
      </c>
      <c r="W561" s="378" t="str">
        <f t="shared" si="1198"/>
        <v/>
      </c>
      <c r="X561" s="378" t="str">
        <f t="shared" si="1198"/>
        <v/>
      </c>
      <c r="Y561" s="380" t="str">
        <f t="shared" si="1198"/>
        <v/>
      </c>
      <c r="AA561" s="291"/>
      <c r="AB561" s="303"/>
      <c r="AC561" s="367"/>
      <c r="AD561" s="381" t="s">
        <v>33</v>
      </c>
      <c r="AE561" s="376">
        <f t="shared" si="1199"/>
        <v>2.7383185054093229</v>
      </c>
      <c r="AF561" s="377">
        <f t="shared" si="1199"/>
        <v>1.1886345495275124</v>
      </c>
      <c r="AG561" s="378">
        <f t="shared" si="1199"/>
        <v>2.5688044505090795</v>
      </c>
      <c r="AH561" s="378">
        <f t="shared" si="1199"/>
        <v>1.6328213958396978</v>
      </c>
      <c r="AI561" s="378">
        <f t="shared" si="1199"/>
        <v>0.94613721250245719</v>
      </c>
      <c r="AJ561" s="378">
        <f t="shared" si="1199"/>
        <v>0.8381877022653722</v>
      </c>
      <c r="AK561" s="378">
        <f t="shared" si="1199"/>
        <v>1.0047169811320755</v>
      </c>
      <c r="AL561" s="378">
        <f t="shared" si="1199"/>
        <v>0.85395674612927008</v>
      </c>
      <c r="AM561" s="378">
        <f t="shared" si="1199"/>
        <v>3.2286007175807279</v>
      </c>
      <c r="AN561" s="378" t="str">
        <f t="shared" si="1199"/>
        <v/>
      </c>
      <c r="AO561" s="378" t="str">
        <f t="shared" si="1199"/>
        <v/>
      </c>
      <c r="AP561" s="378" t="str">
        <f t="shared" si="1199"/>
        <v/>
      </c>
      <c r="AQ561" s="380" t="str">
        <f t="shared" si="1199"/>
        <v/>
      </c>
    </row>
    <row r="562" spans="2:43" ht="7.8" customHeight="1" x14ac:dyDescent="0.25">
      <c r="B562" s="282"/>
      <c r="C562" s="382"/>
      <c r="D562" s="383"/>
      <c r="E562" s="384" t="s">
        <v>30</v>
      </c>
      <c r="F562" s="385" t="str">
        <f t="shared" si="1198"/>
        <v/>
      </c>
      <c r="G562" s="385" t="str">
        <f t="shared" si="1198"/>
        <v/>
      </c>
      <c r="H562" s="385" t="str">
        <f t="shared" si="1198"/>
        <v/>
      </c>
      <c r="I562" s="386" t="str">
        <f t="shared" si="1198"/>
        <v/>
      </c>
      <c r="J562" s="387" t="str">
        <f t="shared" si="1198"/>
        <v/>
      </c>
      <c r="K562" s="387" t="str">
        <f t="shared" si="1198"/>
        <v/>
      </c>
      <c r="L562" s="387" t="str">
        <f t="shared" si="1198"/>
        <v/>
      </c>
      <c r="M562" s="388" t="str">
        <f t="shared" si="1198"/>
        <v/>
      </c>
      <c r="N562" s="385" t="str">
        <f t="shared" si="1198"/>
        <v/>
      </c>
      <c r="O562" s="386" t="str">
        <f t="shared" si="1198"/>
        <v/>
      </c>
      <c r="P562" s="387" t="str">
        <f t="shared" si="1198"/>
        <v/>
      </c>
      <c r="Q562" s="387" t="str">
        <f t="shared" si="1198"/>
        <v/>
      </c>
      <c r="R562" s="387" t="str">
        <f t="shared" si="1198"/>
        <v/>
      </c>
      <c r="S562" s="388" t="str">
        <f t="shared" si="1198"/>
        <v/>
      </c>
      <c r="T562" s="385" t="str">
        <f t="shared" si="1198"/>
        <v/>
      </c>
      <c r="U562" s="386" t="str">
        <f t="shared" si="1198"/>
        <v/>
      </c>
      <c r="V562" s="387" t="str">
        <f t="shared" si="1198"/>
        <v/>
      </c>
      <c r="W562" s="387" t="str">
        <f t="shared" si="1198"/>
        <v/>
      </c>
      <c r="X562" s="387" t="str">
        <f t="shared" si="1198"/>
        <v/>
      </c>
      <c r="Y562" s="389" t="str">
        <f t="shared" si="1198"/>
        <v/>
      </c>
      <c r="AA562" s="291"/>
      <c r="AB562" s="390"/>
      <c r="AC562" s="391"/>
      <c r="AD562" s="392" t="s">
        <v>30</v>
      </c>
      <c r="AE562" s="385">
        <f t="shared" si="1199"/>
        <v>-9.1862138685930392E-2</v>
      </c>
      <c r="AF562" s="386">
        <f t="shared" si="1199"/>
        <v>-0.17269614027860028</v>
      </c>
      <c r="AG562" s="387">
        <f t="shared" si="1199"/>
        <v>-5.8727826178230254E-2</v>
      </c>
      <c r="AH562" s="387">
        <f t="shared" si="1199"/>
        <v>-4.7796261837975959E-2</v>
      </c>
      <c r="AI562" s="387">
        <f t="shared" si="1199"/>
        <v>-2.693139374877155E-2</v>
      </c>
      <c r="AJ562" s="387">
        <f t="shared" si="1199"/>
        <v>-3.9546925566343011E-2</v>
      </c>
      <c r="AK562" s="387">
        <f t="shared" si="1199"/>
        <v>-2.9716981132075465E-2</v>
      </c>
      <c r="AL562" s="387">
        <f t="shared" si="1199"/>
        <v>1.314819365937585E-2</v>
      </c>
      <c r="AM562" s="387">
        <f t="shared" si="1199"/>
        <v>-3.587903639159408E-2</v>
      </c>
      <c r="AN562" s="387" t="str">
        <f t="shared" si="1199"/>
        <v/>
      </c>
      <c r="AO562" s="387" t="str">
        <f t="shared" si="1199"/>
        <v/>
      </c>
      <c r="AP562" s="387" t="str">
        <f t="shared" si="1199"/>
        <v/>
      </c>
      <c r="AQ562" s="389" t="str">
        <f t="shared" si="1199"/>
        <v/>
      </c>
    </row>
    <row r="563" spans="2:43" ht="7.8" customHeight="1" x14ac:dyDescent="0.25">
      <c r="B563" s="282"/>
      <c r="C563" s="393" t="s">
        <v>48</v>
      </c>
      <c r="D563" s="394" t="s">
        <v>39</v>
      </c>
      <c r="E563" s="395" t="s">
        <v>32</v>
      </c>
      <c r="F563" s="396">
        <f t="shared" ref="F563:F564" si="1200">SUM(G563,H563,N563,T563)</f>
        <v>0</v>
      </c>
      <c r="G563" s="396"/>
      <c r="H563" s="396">
        <f t="shared" ref="H563:H564" si="1201">SUM(I563:M563)</f>
        <v>0</v>
      </c>
      <c r="I563" s="397"/>
      <c r="J563" s="398"/>
      <c r="K563" s="398"/>
      <c r="L563" s="398"/>
      <c r="M563" s="399"/>
      <c r="N563" s="396">
        <f t="shared" ref="N563:N564" si="1202">SUM(O563:S563)</f>
        <v>0</v>
      </c>
      <c r="O563" s="397"/>
      <c r="P563" s="398"/>
      <c r="Q563" s="398"/>
      <c r="R563" s="398"/>
      <c r="S563" s="399"/>
      <c r="T563" s="396">
        <f t="shared" ref="T563:T564" si="1203">SUM(U563:Y563)</f>
        <v>0</v>
      </c>
      <c r="U563" s="397"/>
      <c r="V563" s="398"/>
      <c r="W563" s="398"/>
      <c r="X563" s="398"/>
      <c r="Y563" s="400"/>
      <c r="AA563" s="291"/>
      <c r="AB563" s="401" t="s">
        <v>48</v>
      </c>
      <c r="AC563" s="402" t="s">
        <v>39</v>
      </c>
      <c r="AD563" s="403" t="s">
        <v>32</v>
      </c>
      <c r="AE563" s="396">
        <f t="shared" ref="AE563:AE564" si="1204">SUM(AF563:AQ563)</f>
        <v>0</v>
      </c>
      <c r="AF563" s="397">
        <f>$P$77</f>
        <v>0</v>
      </c>
      <c r="AG563" s="398">
        <f>$P$131</f>
        <v>0</v>
      </c>
      <c r="AH563" s="398">
        <f>$P$185</f>
        <v>0</v>
      </c>
      <c r="AI563" s="398">
        <f>$P$239</f>
        <v>0</v>
      </c>
      <c r="AJ563" s="398">
        <f>$P$293</f>
        <v>0</v>
      </c>
      <c r="AK563" s="398">
        <f>$P$347</f>
        <v>0</v>
      </c>
      <c r="AL563" s="398">
        <f>$P$401</f>
        <v>0</v>
      </c>
      <c r="AM563" s="398">
        <f>$P$455</f>
        <v>0</v>
      </c>
      <c r="AN563" s="398">
        <f>$P$509</f>
        <v>0</v>
      </c>
      <c r="AO563" s="398">
        <f>$P$563</f>
        <v>0</v>
      </c>
      <c r="AP563" s="398">
        <f>$P$617</f>
        <v>0</v>
      </c>
      <c r="AQ563" s="400">
        <f>$P$671</f>
        <v>0</v>
      </c>
    </row>
    <row r="564" spans="2:43" s="41" customFormat="1" ht="7.8" customHeight="1" x14ac:dyDescent="0.25">
      <c r="B564" s="282"/>
      <c r="C564" s="404"/>
      <c r="D564" s="405"/>
      <c r="E564" s="406" t="s">
        <v>33</v>
      </c>
      <c r="F564" s="407">
        <f t="shared" si="1200"/>
        <v>0</v>
      </c>
      <c r="G564" s="407"/>
      <c r="H564" s="407">
        <f t="shared" si="1201"/>
        <v>0</v>
      </c>
      <c r="I564" s="408"/>
      <c r="J564" s="409"/>
      <c r="K564" s="409"/>
      <c r="L564" s="409"/>
      <c r="M564" s="410"/>
      <c r="N564" s="407">
        <f t="shared" si="1202"/>
        <v>0</v>
      </c>
      <c r="O564" s="408"/>
      <c r="P564" s="409"/>
      <c r="Q564" s="409"/>
      <c r="R564" s="409"/>
      <c r="S564" s="410"/>
      <c r="T564" s="407">
        <f t="shared" si="1203"/>
        <v>0</v>
      </c>
      <c r="U564" s="408"/>
      <c r="V564" s="409"/>
      <c r="W564" s="409"/>
      <c r="X564" s="409"/>
      <c r="Y564" s="411"/>
      <c r="AA564" s="291"/>
      <c r="AB564" s="412"/>
      <c r="AC564" s="413"/>
      <c r="AD564" s="414" t="s">
        <v>33</v>
      </c>
      <c r="AE564" s="407">
        <f t="shared" si="1204"/>
        <v>0</v>
      </c>
      <c r="AF564" s="408">
        <f>$P$78</f>
        <v>0</v>
      </c>
      <c r="AG564" s="409">
        <f>$P$132</f>
        <v>0</v>
      </c>
      <c r="AH564" s="409">
        <f>$P$186</f>
        <v>0</v>
      </c>
      <c r="AI564" s="409">
        <f>$P$240</f>
        <v>0</v>
      </c>
      <c r="AJ564" s="409">
        <f>$P$294</f>
        <v>0</v>
      </c>
      <c r="AK564" s="409">
        <f>$P$348</f>
        <v>0</v>
      </c>
      <c r="AL564" s="409">
        <f>$P$402</f>
        <v>0</v>
      </c>
      <c r="AM564" s="409">
        <f>$P$456</f>
        <v>0</v>
      </c>
      <c r="AN564" s="409">
        <f>$P$510</f>
        <v>0</v>
      </c>
      <c r="AO564" s="409">
        <f>$P$564</f>
        <v>0</v>
      </c>
      <c r="AP564" s="409">
        <f>$P$618</f>
        <v>0</v>
      </c>
      <c r="AQ564" s="411">
        <f>$P$672</f>
        <v>0</v>
      </c>
    </row>
    <row r="565" spans="2:43" ht="7.8" customHeight="1" x14ac:dyDescent="0.25">
      <c r="B565" s="282"/>
      <c r="C565" s="404"/>
      <c r="D565" s="415"/>
      <c r="E565" s="416" t="s">
        <v>30</v>
      </c>
      <c r="F565" s="417">
        <f t="shared" si="1095"/>
        <v>0</v>
      </c>
      <c r="G565" s="417">
        <f t="shared" si="1095"/>
        <v>0</v>
      </c>
      <c r="H565" s="417">
        <f t="shared" si="1095"/>
        <v>0</v>
      </c>
      <c r="I565" s="418">
        <f t="shared" si="1095"/>
        <v>0</v>
      </c>
      <c r="J565" s="419">
        <f t="shared" si="1095"/>
        <v>0</v>
      </c>
      <c r="K565" s="419">
        <f t="shared" si="1095"/>
        <v>0</v>
      </c>
      <c r="L565" s="419">
        <f t="shared" si="1095"/>
        <v>0</v>
      </c>
      <c r="M565" s="420">
        <f t="shared" si="1095"/>
        <v>0</v>
      </c>
      <c r="N565" s="417">
        <f t="shared" si="1095"/>
        <v>0</v>
      </c>
      <c r="O565" s="418">
        <f t="shared" si="1095"/>
        <v>0</v>
      </c>
      <c r="P565" s="419">
        <f t="shared" si="1095"/>
        <v>0</v>
      </c>
      <c r="Q565" s="419">
        <f t="shared" si="1095"/>
        <v>0</v>
      </c>
      <c r="R565" s="419">
        <f t="shared" si="1095"/>
        <v>0</v>
      </c>
      <c r="S565" s="420">
        <f t="shared" si="1095"/>
        <v>0</v>
      </c>
      <c r="T565" s="417">
        <f t="shared" si="1095"/>
        <v>0</v>
      </c>
      <c r="U565" s="418">
        <f t="shared" si="1095"/>
        <v>0</v>
      </c>
      <c r="V565" s="419">
        <f t="shared" si="1095"/>
        <v>0</v>
      </c>
      <c r="W565" s="419">
        <f t="shared" si="1095"/>
        <v>0</v>
      </c>
      <c r="X565" s="419">
        <f t="shared" si="1095"/>
        <v>0</v>
      </c>
      <c r="Y565" s="421">
        <f t="shared" si="1095"/>
        <v>0</v>
      </c>
      <c r="AA565" s="291"/>
      <c r="AB565" s="412"/>
      <c r="AC565" s="422"/>
      <c r="AD565" s="423" t="s">
        <v>30</v>
      </c>
      <c r="AE565" s="417">
        <f t="shared" ref="AE565:AQ565" si="1205">IFERROR(AE564/AE563,0)</f>
        <v>0</v>
      </c>
      <c r="AF565" s="418">
        <f t="shared" si="1205"/>
        <v>0</v>
      </c>
      <c r="AG565" s="419">
        <f t="shared" si="1205"/>
        <v>0</v>
      </c>
      <c r="AH565" s="419">
        <f t="shared" si="1205"/>
        <v>0</v>
      </c>
      <c r="AI565" s="419">
        <f t="shared" si="1205"/>
        <v>0</v>
      </c>
      <c r="AJ565" s="419">
        <f t="shared" si="1205"/>
        <v>0</v>
      </c>
      <c r="AK565" s="419">
        <f t="shared" si="1205"/>
        <v>0</v>
      </c>
      <c r="AL565" s="419">
        <f t="shared" si="1205"/>
        <v>0</v>
      </c>
      <c r="AM565" s="419">
        <f t="shared" si="1205"/>
        <v>0</v>
      </c>
      <c r="AN565" s="419">
        <f t="shared" si="1205"/>
        <v>0</v>
      </c>
      <c r="AO565" s="419">
        <f t="shared" si="1205"/>
        <v>0</v>
      </c>
      <c r="AP565" s="419">
        <f t="shared" si="1205"/>
        <v>0</v>
      </c>
      <c r="AQ565" s="421">
        <f t="shared" si="1205"/>
        <v>0</v>
      </c>
    </row>
    <row r="566" spans="2:43" ht="7.8" customHeight="1" x14ac:dyDescent="0.25">
      <c r="B566" s="282"/>
      <c r="C566" s="404"/>
      <c r="D566" s="424" t="s">
        <v>40</v>
      </c>
      <c r="E566" s="425" t="s">
        <v>32</v>
      </c>
      <c r="F566" s="426">
        <f t="shared" ref="F566:F567" si="1206">SUM(G566,H566,N566,T566)</f>
        <v>5297</v>
      </c>
      <c r="G566" s="426">
        <v>674</v>
      </c>
      <c r="H566" s="426">
        <f t="shared" ref="H566:H567" si="1207">SUM(I566:M566)</f>
        <v>931</v>
      </c>
      <c r="I566" s="427">
        <v>80</v>
      </c>
      <c r="J566" s="428">
        <v>851</v>
      </c>
      <c r="K566" s="428">
        <v>0</v>
      </c>
      <c r="L566" s="428">
        <v>0</v>
      </c>
      <c r="M566" s="429">
        <v>0</v>
      </c>
      <c r="N566" s="426">
        <f t="shared" ref="N566:N567" si="1208">SUM(O566:S566)</f>
        <v>925</v>
      </c>
      <c r="O566" s="427">
        <v>390</v>
      </c>
      <c r="P566" s="428">
        <v>392</v>
      </c>
      <c r="Q566" s="428">
        <v>141</v>
      </c>
      <c r="R566" s="428">
        <v>0</v>
      </c>
      <c r="S566" s="429">
        <v>2</v>
      </c>
      <c r="T566" s="426">
        <f t="shared" ref="T566:T567" si="1209">SUM(U566:Y566)</f>
        <v>2767</v>
      </c>
      <c r="U566" s="427">
        <v>233</v>
      </c>
      <c r="V566" s="428">
        <v>1317</v>
      </c>
      <c r="W566" s="428">
        <v>1039</v>
      </c>
      <c r="X566" s="428">
        <v>117</v>
      </c>
      <c r="Y566" s="430">
        <v>61</v>
      </c>
      <c r="AA566" s="291"/>
      <c r="AB566" s="412"/>
      <c r="AC566" s="431" t="s">
        <v>40</v>
      </c>
      <c r="AD566" s="432" t="s">
        <v>32</v>
      </c>
      <c r="AE566" s="426">
        <f t="shared" ref="AE566:AE567" si="1210">SUM(AF566:AQ566)</f>
        <v>3580</v>
      </c>
      <c r="AF566" s="427">
        <f>$P$80</f>
        <v>154</v>
      </c>
      <c r="AG566" s="428">
        <f>$P$134</f>
        <v>280</v>
      </c>
      <c r="AH566" s="428">
        <f>$P$188</f>
        <v>291</v>
      </c>
      <c r="AI566" s="428">
        <f>$P$242</f>
        <v>260</v>
      </c>
      <c r="AJ566" s="428">
        <f>$P$296</f>
        <v>443</v>
      </c>
      <c r="AK566" s="428">
        <f>$P$350</f>
        <v>490</v>
      </c>
      <c r="AL566" s="428">
        <f>$P$404</f>
        <v>291</v>
      </c>
      <c r="AM566" s="428">
        <f>$P$458</f>
        <v>147</v>
      </c>
      <c r="AN566" s="428">
        <f>$P$512</f>
        <v>498</v>
      </c>
      <c r="AO566" s="428">
        <f>$P$566</f>
        <v>392</v>
      </c>
      <c r="AP566" s="428">
        <f>$P$620</f>
        <v>148</v>
      </c>
      <c r="AQ566" s="430">
        <f>$P$674</f>
        <v>186</v>
      </c>
    </row>
    <row r="567" spans="2:43" s="41" customFormat="1" ht="7.8" customHeight="1" x14ac:dyDescent="0.25">
      <c r="B567" s="282"/>
      <c r="C567" s="404"/>
      <c r="D567" s="405"/>
      <c r="E567" s="406" t="s">
        <v>33</v>
      </c>
      <c r="F567" s="407">
        <f t="shared" si="1206"/>
        <v>812740.12</v>
      </c>
      <c r="G567" s="407">
        <v>105099</v>
      </c>
      <c r="H567" s="407">
        <f t="shared" si="1207"/>
        <v>157182</v>
      </c>
      <c r="I567" s="408">
        <v>12270</v>
      </c>
      <c r="J567" s="409">
        <v>144912</v>
      </c>
      <c r="K567" s="409">
        <v>0</v>
      </c>
      <c r="L567" s="409">
        <v>0</v>
      </c>
      <c r="M567" s="410">
        <v>0</v>
      </c>
      <c r="N567" s="407">
        <f t="shared" si="1208"/>
        <v>132647</v>
      </c>
      <c r="O567" s="408">
        <v>56885</v>
      </c>
      <c r="P567" s="409">
        <v>54482</v>
      </c>
      <c r="Q567" s="409">
        <v>21000</v>
      </c>
      <c r="R567" s="409">
        <v>0</v>
      </c>
      <c r="S567" s="410">
        <v>280</v>
      </c>
      <c r="T567" s="407">
        <f t="shared" si="1209"/>
        <v>417812.12</v>
      </c>
      <c r="U567" s="408">
        <v>47378.33</v>
      </c>
      <c r="V567" s="409">
        <v>189954.16000000003</v>
      </c>
      <c r="W567" s="409">
        <v>154795.62999999992</v>
      </c>
      <c r="X567" s="409">
        <v>17982</v>
      </c>
      <c r="Y567" s="411">
        <v>7702</v>
      </c>
      <c r="AA567" s="291"/>
      <c r="AB567" s="412"/>
      <c r="AC567" s="413"/>
      <c r="AD567" s="414" t="s">
        <v>33</v>
      </c>
      <c r="AE567" s="407">
        <f t="shared" si="1210"/>
        <v>555467</v>
      </c>
      <c r="AF567" s="408">
        <f>$P$81</f>
        <v>27930</v>
      </c>
      <c r="AG567" s="409">
        <f>$P$135</f>
        <v>50130</v>
      </c>
      <c r="AH567" s="409">
        <f>$P$189</f>
        <v>52515</v>
      </c>
      <c r="AI567" s="409">
        <f>$P$243</f>
        <v>37485</v>
      </c>
      <c r="AJ567" s="409">
        <f>$P$297</f>
        <v>62795</v>
      </c>
      <c r="AK567" s="409">
        <f>$P$351</f>
        <v>75735</v>
      </c>
      <c r="AL567" s="409">
        <f>$P$405</f>
        <v>52115</v>
      </c>
      <c r="AM567" s="409">
        <f>$P$459</f>
        <v>23650</v>
      </c>
      <c r="AN567" s="409">
        <f>$P$513</f>
        <v>69601</v>
      </c>
      <c r="AO567" s="409">
        <f>$P$567</f>
        <v>54482</v>
      </c>
      <c r="AP567" s="409">
        <f>$P$621</f>
        <v>21532</v>
      </c>
      <c r="AQ567" s="411">
        <f>$P$675</f>
        <v>27497</v>
      </c>
    </row>
    <row r="568" spans="2:43" ht="7.8" customHeight="1" x14ac:dyDescent="0.25">
      <c r="B568" s="282"/>
      <c r="C568" s="404"/>
      <c r="D568" s="415"/>
      <c r="E568" s="416" t="s">
        <v>30</v>
      </c>
      <c r="F568" s="417">
        <f t="shared" si="1102"/>
        <v>153.43404191051539</v>
      </c>
      <c r="G568" s="417">
        <f t="shared" si="1102"/>
        <v>155.93323442136497</v>
      </c>
      <c r="H568" s="417">
        <f t="shared" si="1102"/>
        <v>168.8313641245972</v>
      </c>
      <c r="I568" s="418">
        <f t="shared" si="1102"/>
        <v>153.375</v>
      </c>
      <c r="J568" s="419">
        <f t="shared" si="1102"/>
        <v>170.28437132784958</v>
      </c>
      <c r="K568" s="419">
        <f t="shared" si="1102"/>
        <v>0</v>
      </c>
      <c r="L568" s="419">
        <f t="shared" si="1102"/>
        <v>0</v>
      </c>
      <c r="M568" s="420">
        <f t="shared" si="1102"/>
        <v>0</v>
      </c>
      <c r="N568" s="417">
        <f t="shared" si="1102"/>
        <v>143.40216216216217</v>
      </c>
      <c r="O568" s="418">
        <f t="shared" si="1102"/>
        <v>145.85897435897436</v>
      </c>
      <c r="P568" s="419">
        <f t="shared" si="1102"/>
        <v>138.98469387755102</v>
      </c>
      <c r="Q568" s="419">
        <f t="shared" si="1102"/>
        <v>148.93617021276594</v>
      </c>
      <c r="R568" s="419">
        <f t="shared" si="1102"/>
        <v>0</v>
      </c>
      <c r="S568" s="420">
        <f t="shared" si="1102"/>
        <v>140</v>
      </c>
      <c r="T568" s="417">
        <f t="shared" si="1102"/>
        <v>150.99823635706542</v>
      </c>
      <c r="U568" s="418">
        <f t="shared" si="1102"/>
        <v>203.34047210300429</v>
      </c>
      <c r="V568" s="419">
        <f t="shared" si="1102"/>
        <v>144.23246772968872</v>
      </c>
      <c r="W568" s="419">
        <f t="shared" si="1102"/>
        <v>148.98520692974006</v>
      </c>
      <c r="X568" s="419">
        <f t="shared" si="1102"/>
        <v>153.69230769230768</v>
      </c>
      <c r="Y568" s="421">
        <f t="shared" si="1102"/>
        <v>126.26229508196721</v>
      </c>
      <c r="AA568" s="291"/>
      <c r="AB568" s="412"/>
      <c r="AC568" s="422"/>
      <c r="AD568" s="423" t="s">
        <v>30</v>
      </c>
      <c r="AE568" s="417">
        <f t="shared" ref="AE568:AQ568" si="1211">IFERROR(AE567/AE566,0)</f>
        <v>155.15837988826814</v>
      </c>
      <c r="AF568" s="418">
        <f t="shared" si="1211"/>
        <v>181.36363636363637</v>
      </c>
      <c r="AG568" s="419">
        <f t="shared" si="1211"/>
        <v>179.03571428571428</v>
      </c>
      <c r="AH568" s="419">
        <f t="shared" si="1211"/>
        <v>180.46391752577318</v>
      </c>
      <c r="AI568" s="419">
        <f t="shared" si="1211"/>
        <v>144.17307692307693</v>
      </c>
      <c r="AJ568" s="419">
        <f t="shared" si="1211"/>
        <v>141.74943566591423</v>
      </c>
      <c r="AK568" s="419">
        <f t="shared" si="1211"/>
        <v>154.5612244897959</v>
      </c>
      <c r="AL568" s="419">
        <f t="shared" si="1211"/>
        <v>179.08934707903779</v>
      </c>
      <c r="AM568" s="419">
        <f t="shared" si="1211"/>
        <v>160.8843537414966</v>
      </c>
      <c r="AN568" s="419">
        <f t="shared" si="1211"/>
        <v>139.76104417670683</v>
      </c>
      <c r="AO568" s="419">
        <f t="shared" si="1211"/>
        <v>138.98469387755102</v>
      </c>
      <c r="AP568" s="419">
        <f t="shared" si="1211"/>
        <v>145.48648648648648</v>
      </c>
      <c r="AQ568" s="421">
        <f t="shared" si="1211"/>
        <v>147.83333333333334</v>
      </c>
    </row>
    <row r="569" spans="2:43" ht="7.8" customHeight="1" x14ac:dyDescent="0.25">
      <c r="B569" s="282"/>
      <c r="C569" s="404"/>
      <c r="D569" s="424" t="s">
        <v>41</v>
      </c>
      <c r="E569" s="425" t="s">
        <v>32</v>
      </c>
      <c r="F569" s="426">
        <f t="shared" ref="F569:F570" si="1212">SUM(G569,H569,N569,T569)</f>
        <v>0</v>
      </c>
      <c r="G569" s="426"/>
      <c r="H569" s="426">
        <f t="shared" ref="H569:H570" si="1213">SUM(I569:M569)</f>
        <v>0</v>
      </c>
      <c r="I569" s="427"/>
      <c r="J569" s="428"/>
      <c r="K569" s="428"/>
      <c r="L569" s="428"/>
      <c r="M569" s="429"/>
      <c r="N569" s="426">
        <f t="shared" ref="N569:N570" si="1214">SUM(O569:S569)</f>
        <v>0</v>
      </c>
      <c r="O569" s="427"/>
      <c r="P569" s="428"/>
      <c r="Q569" s="428"/>
      <c r="R569" s="428"/>
      <c r="S569" s="429"/>
      <c r="T569" s="426">
        <f t="shared" ref="T569:T570" si="1215">SUM(U569:Y569)</f>
        <v>0</v>
      </c>
      <c r="U569" s="427"/>
      <c r="V569" s="428"/>
      <c r="W569" s="428"/>
      <c r="X569" s="428"/>
      <c r="Y569" s="430"/>
      <c r="AA569" s="291"/>
      <c r="AB569" s="412"/>
      <c r="AC569" s="431" t="s">
        <v>41</v>
      </c>
      <c r="AD569" s="432" t="s">
        <v>32</v>
      </c>
      <c r="AE569" s="426">
        <f t="shared" ref="AE569:AE570" si="1216">SUM(AF569:AQ569)</f>
        <v>1038</v>
      </c>
      <c r="AF569" s="427">
        <f>$P$83</f>
        <v>134</v>
      </c>
      <c r="AG569" s="428">
        <f>$P$137</f>
        <v>146</v>
      </c>
      <c r="AH569" s="428">
        <f>$P$191</f>
        <v>137</v>
      </c>
      <c r="AI569" s="428">
        <f>$P$245</f>
        <v>129</v>
      </c>
      <c r="AJ569" s="428">
        <f>$P$299</f>
        <v>143</v>
      </c>
      <c r="AK569" s="428">
        <f>$P$353</f>
        <v>163</v>
      </c>
      <c r="AL569" s="428">
        <f>$P$407</f>
        <v>151</v>
      </c>
      <c r="AM569" s="428">
        <f>$P$461</f>
        <v>35</v>
      </c>
      <c r="AN569" s="428">
        <f>$P$515</f>
        <v>0</v>
      </c>
      <c r="AO569" s="428">
        <f>$P$569</f>
        <v>0</v>
      </c>
      <c r="AP569" s="428">
        <f>$P$623</f>
        <v>0</v>
      </c>
      <c r="AQ569" s="430">
        <f>$P$677</f>
        <v>0</v>
      </c>
    </row>
    <row r="570" spans="2:43" s="41" customFormat="1" ht="7.8" customHeight="1" x14ac:dyDescent="0.25">
      <c r="B570" s="282"/>
      <c r="C570" s="404"/>
      <c r="D570" s="405"/>
      <c r="E570" s="406" t="s">
        <v>33</v>
      </c>
      <c r="F570" s="407">
        <f t="shared" si="1212"/>
        <v>0</v>
      </c>
      <c r="G570" s="407"/>
      <c r="H570" s="407">
        <f t="shared" si="1213"/>
        <v>0</v>
      </c>
      <c r="I570" s="408"/>
      <c r="J570" s="409"/>
      <c r="K570" s="409"/>
      <c r="L570" s="409"/>
      <c r="M570" s="410"/>
      <c r="N570" s="407">
        <f t="shared" si="1214"/>
        <v>0</v>
      </c>
      <c r="O570" s="408"/>
      <c r="P570" s="409"/>
      <c r="Q570" s="409"/>
      <c r="R570" s="409"/>
      <c r="S570" s="410"/>
      <c r="T570" s="407">
        <f t="shared" si="1215"/>
        <v>0</v>
      </c>
      <c r="U570" s="408"/>
      <c r="V570" s="409"/>
      <c r="W570" s="409"/>
      <c r="X570" s="409"/>
      <c r="Y570" s="411"/>
      <c r="AA570" s="291"/>
      <c r="AB570" s="412"/>
      <c r="AC570" s="413"/>
      <c r="AD570" s="414" t="s">
        <v>33</v>
      </c>
      <c r="AE570" s="407">
        <f t="shared" si="1216"/>
        <v>173310</v>
      </c>
      <c r="AF570" s="408">
        <f>$P$84</f>
        <v>27088</v>
      </c>
      <c r="AG570" s="409">
        <f>$P$138</f>
        <v>26535</v>
      </c>
      <c r="AH570" s="409">
        <f>$P$192</f>
        <v>22869</v>
      </c>
      <c r="AI570" s="409">
        <f>$P$246</f>
        <v>18605</v>
      </c>
      <c r="AJ570" s="409">
        <f>$P$300</f>
        <v>21150</v>
      </c>
      <c r="AK570" s="409">
        <f>$P$354</f>
        <v>25690</v>
      </c>
      <c r="AL570" s="409">
        <f>$P$408</f>
        <v>25403</v>
      </c>
      <c r="AM570" s="409">
        <f>$P$462</f>
        <v>5970</v>
      </c>
      <c r="AN570" s="409">
        <f>$P$516</f>
        <v>0</v>
      </c>
      <c r="AO570" s="409">
        <f>$P$570</f>
        <v>0</v>
      </c>
      <c r="AP570" s="409">
        <f>$P$624</f>
        <v>0</v>
      </c>
      <c r="AQ570" s="411">
        <f>$P$678</f>
        <v>0</v>
      </c>
    </row>
    <row r="571" spans="2:43" ht="7.8" customHeight="1" x14ac:dyDescent="0.25">
      <c r="B571" s="282"/>
      <c r="C571" s="404"/>
      <c r="D571" s="415"/>
      <c r="E571" s="416" t="s">
        <v>30</v>
      </c>
      <c r="F571" s="417">
        <f t="shared" si="1109"/>
        <v>0</v>
      </c>
      <c r="G571" s="417">
        <f t="shared" si="1109"/>
        <v>0</v>
      </c>
      <c r="H571" s="417">
        <f t="shared" si="1109"/>
        <v>0</v>
      </c>
      <c r="I571" s="418">
        <f t="shared" si="1109"/>
        <v>0</v>
      </c>
      <c r="J571" s="419">
        <f t="shared" si="1109"/>
        <v>0</v>
      </c>
      <c r="K571" s="419">
        <f t="shared" si="1109"/>
        <v>0</v>
      </c>
      <c r="L571" s="419">
        <f t="shared" si="1109"/>
        <v>0</v>
      </c>
      <c r="M571" s="420">
        <f t="shared" si="1109"/>
        <v>0</v>
      </c>
      <c r="N571" s="417">
        <f t="shared" si="1109"/>
        <v>0</v>
      </c>
      <c r="O571" s="418">
        <f t="shared" si="1109"/>
        <v>0</v>
      </c>
      <c r="P571" s="419">
        <f t="shared" si="1109"/>
        <v>0</v>
      </c>
      <c r="Q571" s="419">
        <f t="shared" si="1109"/>
        <v>0</v>
      </c>
      <c r="R571" s="419">
        <f t="shared" si="1109"/>
        <v>0</v>
      </c>
      <c r="S571" s="420">
        <f t="shared" si="1109"/>
        <v>0</v>
      </c>
      <c r="T571" s="417">
        <f t="shared" si="1109"/>
        <v>0</v>
      </c>
      <c r="U571" s="418">
        <f t="shared" si="1109"/>
        <v>0</v>
      </c>
      <c r="V571" s="419">
        <f t="shared" si="1109"/>
        <v>0</v>
      </c>
      <c r="W571" s="419">
        <f t="shared" si="1109"/>
        <v>0</v>
      </c>
      <c r="X571" s="419">
        <f t="shared" si="1109"/>
        <v>0</v>
      </c>
      <c r="Y571" s="421">
        <f t="shared" si="1109"/>
        <v>0</v>
      </c>
      <c r="AA571" s="291"/>
      <c r="AB571" s="412"/>
      <c r="AC571" s="422"/>
      <c r="AD571" s="423" t="s">
        <v>30</v>
      </c>
      <c r="AE571" s="417">
        <f t="shared" ref="AE571:AQ571" si="1217">IFERROR(AE570/AE569,0)</f>
        <v>166.96531791907515</v>
      </c>
      <c r="AF571" s="418">
        <f t="shared" si="1217"/>
        <v>202.14925373134329</v>
      </c>
      <c r="AG571" s="419">
        <f t="shared" si="1217"/>
        <v>181.74657534246575</v>
      </c>
      <c r="AH571" s="419">
        <f t="shared" si="1217"/>
        <v>166.92700729927006</v>
      </c>
      <c r="AI571" s="419">
        <f t="shared" si="1217"/>
        <v>144.22480620155039</v>
      </c>
      <c r="AJ571" s="419">
        <f t="shared" si="1217"/>
        <v>147.90209790209789</v>
      </c>
      <c r="AK571" s="419">
        <f t="shared" si="1217"/>
        <v>157.60736196319019</v>
      </c>
      <c r="AL571" s="419">
        <f t="shared" si="1217"/>
        <v>168.23178807947019</v>
      </c>
      <c r="AM571" s="419">
        <f t="shared" si="1217"/>
        <v>170.57142857142858</v>
      </c>
      <c r="AN571" s="419">
        <f t="shared" si="1217"/>
        <v>0</v>
      </c>
      <c r="AO571" s="419">
        <f t="shared" si="1217"/>
        <v>0</v>
      </c>
      <c r="AP571" s="419">
        <f t="shared" si="1217"/>
        <v>0</v>
      </c>
      <c r="AQ571" s="421">
        <f t="shared" si="1217"/>
        <v>0</v>
      </c>
    </row>
    <row r="572" spans="2:43" ht="7.8" customHeight="1" x14ac:dyDescent="0.25">
      <c r="B572" s="282"/>
      <c r="C572" s="404"/>
      <c r="D572" s="433" t="s">
        <v>42</v>
      </c>
      <c r="E572" s="434" t="s">
        <v>32</v>
      </c>
      <c r="F572" s="435">
        <f t="shared" ref="F572:F573" si="1218">SUM(G572,H572,N572,T572)</f>
        <v>5637</v>
      </c>
      <c r="G572" s="435">
        <v>0</v>
      </c>
      <c r="H572" s="435">
        <v>690</v>
      </c>
      <c r="I572" s="436">
        <v>220</v>
      </c>
      <c r="J572" s="437">
        <v>350</v>
      </c>
      <c r="K572" s="437">
        <v>60</v>
      </c>
      <c r="L572" s="437">
        <v>60</v>
      </c>
      <c r="M572" s="438">
        <v>0</v>
      </c>
      <c r="N572" s="435">
        <f t="shared" ref="N572:N573" si="1219">SUM(O572:S572)</f>
        <v>1020</v>
      </c>
      <c r="O572" s="436">
        <v>350</v>
      </c>
      <c r="P572" s="437">
        <v>620</v>
      </c>
      <c r="Q572" s="437">
        <v>50</v>
      </c>
      <c r="R572" s="437">
        <v>0</v>
      </c>
      <c r="S572" s="438">
        <v>0</v>
      </c>
      <c r="T572" s="435">
        <f t="shared" ref="T572:T573" si="1220">SUM(U572:Y572)</f>
        <v>3927</v>
      </c>
      <c r="U572" s="436">
        <v>452</v>
      </c>
      <c r="V572" s="437">
        <v>1765</v>
      </c>
      <c r="W572" s="437">
        <v>1248</v>
      </c>
      <c r="X572" s="437">
        <v>68</v>
      </c>
      <c r="Y572" s="439">
        <v>394</v>
      </c>
      <c r="AA572" s="291"/>
      <c r="AB572" s="412"/>
      <c r="AC572" s="440" t="s">
        <v>42</v>
      </c>
      <c r="AD572" s="441" t="s">
        <v>32</v>
      </c>
      <c r="AE572" s="442">
        <f t="shared" ref="AE572:AE573" si="1221">SUM(AF572:AQ572)</f>
        <v>3920</v>
      </c>
      <c r="AF572" s="443">
        <f>$P$86</f>
        <v>300</v>
      </c>
      <c r="AG572" s="444">
        <f>$P$140</f>
        <v>450</v>
      </c>
      <c r="AH572" s="444">
        <f>$P$194</f>
        <v>300</v>
      </c>
      <c r="AI572" s="444">
        <f>$P$248</f>
        <v>250</v>
      </c>
      <c r="AJ572" s="444">
        <f>$P$302</f>
        <v>300</v>
      </c>
      <c r="AK572" s="444">
        <f>$P$356</f>
        <v>300</v>
      </c>
      <c r="AL572" s="444">
        <f>$P$410</f>
        <v>250</v>
      </c>
      <c r="AM572" s="444">
        <f>$P$464</f>
        <v>150</v>
      </c>
      <c r="AN572" s="444">
        <f>$P$518</f>
        <v>500</v>
      </c>
      <c r="AO572" s="444">
        <f>$P$572</f>
        <v>620</v>
      </c>
      <c r="AP572" s="444">
        <f>$P$626</f>
        <v>300</v>
      </c>
      <c r="AQ572" s="445">
        <f>$P$680</f>
        <v>200</v>
      </c>
    </row>
    <row r="573" spans="2:43" s="41" customFormat="1" ht="7.8" customHeight="1" x14ac:dyDescent="0.25">
      <c r="B573" s="282"/>
      <c r="C573" s="404"/>
      <c r="D573" s="446"/>
      <c r="E573" s="447" t="s">
        <v>33</v>
      </c>
      <c r="F573" s="448">
        <f t="shared" si="1218"/>
        <v>902776</v>
      </c>
      <c r="G573" s="448">
        <v>0</v>
      </c>
      <c r="H573" s="448">
        <v>98770</v>
      </c>
      <c r="I573" s="449">
        <v>30800</v>
      </c>
      <c r="J573" s="450">
        <v>50750</v>
      </c>
      <c r="K573" s="450">
        <v>8700</v>
      </c>
      <c r="L573" s="450">
        <v>8520</v>
      </c>
      <c r="M573" s="451">
        <v>0</v>
      </c>
      <c r="N573" s="448">
        <f t="shared" si="1219"/>
        <v>145310</v>
      </c>
      <c r="O573" s="449">
        <v>52500</v>
      </c>
      <c r="P573" s="450">
        <v>85560</v>
      </c>
      <c r="Q573" s="450">
        <v>7250</v>
      </c>
      <c r="R573" s="450">
        <v>0</v>
      </c>
      <c r="S573" s="451">
        <v>0</v>
      </c>
      <c r="T573" s="448">
        <f t="shared" si="1220"/>
        <v>658696</v>
      </c>
      <c r="U573" s="449">
        <v>81360</v>
      </c>
      <c r="V573" s="450">
        <v>296520</v>
      </c>
      <c r="W573" s="450">
        <v>199680</v>
      </c>
      <c r="X573" s="450">
        <v>12580</v>
      </c>
      <c r="Y573" s="452">
        <v>68556</v>
      </c>
      <c r="AA573" s="291"/>
      <c r="AB573" s="412"/>
      <c r="AC573" s="453"/>
      <c r="AD573" s="454" t="s">
        <v>33</v>
      </c>
      <c r="AE573" s="455">
        <f t="shared" si="1221"/>
        <v>591810</v>
      </c>
      <c r="AF573" s="456">
        <f>$P$87</f>
        <v>51000</v>
      </c>
      <c r="AG573" s="457">
        <f>$P$141</f>
        <v>76500</v>
      </c>
      <c r="AH573" s="457">
        <f>$P$195</f>
        <v>47400</v>
      </c>
      <c r="AI573" s="457">
        <f>$P$249</f>
        <v>35000</v>
      </c>
      <c r="AJ573" s="457">
        <f>$P$303</f>
        <v>42600</v>
      </c>
      <c r="AK573" s="457">
        <f>$P$357</f>
        <v>46500</v>
      </c>
      <c r="AL573" s="457">
        <f>$P$411</f>
        <v>42500</v>
      </c>
      <c r="AM573" s="457">
        <f>$P$465</f>
        <v>24750</v>
      </c>
      <c r="AN573" s="457">
        <f>$P$519</f>
        <v>71500</v>
      </c>
      <c r="AO573" s="457">
        <f>$P$573</f>
        <v>85560</v>
      </c>
      <c r="AP573" s="457">
        <f>$P$627</f>
        <v>40500</v>
      </c>
      <c r="AQ573" s="458">
        <f>$P$681</f>
        <v>28000</v>
      </c>
    </row>
    <row r="574" spans="2:43" ht="7.8" customHeight="1" x14ac:dyDescent="0.25">
      <c r="B574" s="282"/>
      <c r="C574" s="404"/>
      <c r="D574" s="459"/>
      <c r="E574" s="460" t="s">
        <v>30</v>
      </c>
      <c r="F574" s="461">
        <f t="shared" si="1115"/>
        <v>160.15185382295547</v>
      </c>
      <c r="G574" s="461">
        <f t="shared" si="1115"/>
        <v>0</v>
      </c>
      <c r="H574" s="461">
        <f t="shared" si="1115"/>
        <v>143.14492753623188</v>
      </c>
      <c r="I574" s="462">
        <f t="shared" si="1115"/>
        <v>140</v>
      </c>
      <c r="J574" s="463">
        <f t="shared" si="1115"/>
        <v>145</v>
      </c>
      <c r="K574" s="463">
        <f t="shared" si="1115"/>
        <v>145</v>
      </c>
      <c r="L574" s="463">
        <f t="shared" si="1115"/>
        <v>142</v>
      </c>
      <c r="M574" s="464"/>
      <c r="N574" s="461">
        <f t="shared" si="1116"/>
        <v>142.4607843137255</v>
      </c>
      <c r="O574" s="462">
        <f t="shared" si="1116"/>
        <v>150</v>
      </c>
      <c r="P574" s="463">
        <f t="shared" si="1116"/>
        <v>138</v>
      </c>
      <c r="Q574" s="463">
        <f t="shared" si="1116"/>
        <v>145</v>
      </c>
      <c r="R574" s="463">
        <f t="shared" si="1116"/>
        <v>0</v>
      </c>
      <c r="S574" s="464">
        <f t="shared" si="1116"/>
        <v>0</v>
      </c>
      <c r="T574" s="461">
        <f t="shared" si="1116"/>
        <v>167.73516679399032</v>
      </c>
      <c r="U574" s="462">
        <f t="shared" si="1116"/>
        <v>180</v>
      </c>
      <c r="V574" s="463">
        <f t="shared" si="1116"/>
        <v>168</v>
      </c>
      <c r="W574" s="463">
        <f t="shared" si="1116"/>
        <v>160</v>
      </c>
      <c r="X574" s="463">
        <f t="shared" si="1116"/>
        <v>185</v>
      </c>
      <c r="Y574" s="465">
        <f t="shared" si="1116"/>
        <v>174</v>
      </c>
      <c r="AA574" s="291"/>
      <c r="AB574" s="412"/>
      <c r="AC574" s="466"/>
      <c r="AD574" s="467" t="s">
        <v>30</v>
      </c>
      <c r="AE574" s="468">
        <f t="shared" ref="AE574:AQ574" si="1222">IFERROR(AE573/AE572,0)</f>
        <v>150.97193877551021</v>
      </c>
      <c r="AF574" s="469">
        <f t="shared" si="1222"/>
        <v>170</v>
      </c>
      <c r="AG574" s="470">
        <f t="shared" si="1222"/>
        <v>170</v>
      </c>
      <c r="AH574" s="470">
        <f t="shared" si="1222"/>
        <v>158</v>
      </c>
      <c r="AI574" s="470">
        <f t="shared" si="1222"/>
        <v>140</v>
      </c>
      <c r="AJ574" s="470">
        <f t="shared" si="1222"/>
        <v>142</v>
      </c>
      <c r="AK574" s="470">
        <f t="shared" si="1222"/>
        <v>155</v>
      </c>
      <c r="AL574" s="470">
        <f t="shared" si="1222"/>
        <v>170</v>
      </c>
      <c r="AM574" s="470">
        <f t="shared" si="1222"/>
        <v>165</v>
      </c>
      <c r="AN574" s="470">
        <f t="shared" si="1222"/>
        <v>143</v>
      </c>
      <c r="AO574" s="470">
        <f t="shared" si="1222"/>
        <v>138</v>
      </c>
      <c r="AP574" s="470">
        <f t="shared" si="1222"/>
        <v>135</v>
      </c>
      <c r="AQ574" s="471">
        <f t="shared" si="1222"/>
        <v>140</v>
      </c>
    </row>
    <row r="575" spans="2:43" ht="7.8" customHeight="1" x14ac:dyDescent="0.25">
      <c r="B575" s="282"/>
      <c r="C575" s="404"/>
      <c r="D575" s="472" t="s">
        <v>43</v>
      </c>
      <c r="E575" s="425" t="s">
        <v>32</v>
      </c>
      <c r="F575" s="426">
        <f t="shared" ref="F575:Y577" si="1223">F572-F569</f>
        <v>5637</v>
      </c>
      <c r="G575" s="426">
        <f t="shared" si="1223"/>
        <v>0</v>
      </c>
      <c r="H575" s="426">
        <f t="shared" si="1223"/>
        <v>690</v>
      </c>
      <c r="I575" s="427">
        <f t="shared" si="1223"/>
        <v>220</v>
      </c>
      <c r="J575" s="428">
        <f t="shared" si="1223"/>
        <v>350</v>
      </c>
      <c r="K575" s="428">
        <f t="shared" si="1223"/>
        <v>60</v>
      </c>
      <c r="L575" s="428">
        <f t="shared" si="1223"/>
        <v>60</v>
      </c>
      <c r="M575" s="429">
        <f t="shared" si="1223"/>
        <v>0</v>
      </c>
      <c r="N575" s="426">
        <f t="shared" si="1223"/>
        <v>1020</v>
      </c>
      <c r="O575" s="427">
        <f t="shared" si="1223"/>
        <v>350</v>
      </c>
      <c r="P575" s="428">
        <f t="shared" si="1223"/>
        <v>620</v>
      </c>
      <c r="Q575" s="428">
        <f t="shared" si="1223"/>
        <v>50</v>
      </c>
      <c r="R575" s="428">
        <f t="shared" si="1223"/>
        <v>0</v>
      </c>
      <c r="S575" s="429">
        <f t="shared" si="1223"/>
        <v>0</v>
      </c>
      <c r="T575" s="426">
        <f t="shared" si="1223"/>
        <v>3927</v>
      </c>
      <c r="U575" s="427">
        <f t="shared" si="1223"/>
        <v>452</v>
      </c>
      <c r="V575" s="428">
        <f t="shared" si="1223"/>
        <v>1765</v>
      </c>
      <c r="W575" s="428">
        <f t="shared" si="1223"/>
        <v>1248</v>
      </c>
      <c r="X575" s="428">
        <f t="shared" si="1223"/>
        <v>68</v>
      </c>
      <c r="Y575" s="430">
        <f t="shared" si="1223"/>
        <v>394</v>
      </c>
      <c r="AA575" s="291"/>
      <c r="AB575" s="412"/>
      <c r="AC575" s="473" t="s">
        <v>43</v>
      </c>
      <c r="AD575" s="432" t="s">
        <v>32</v>
      </c>
      <c r="AE575" s="426">
        <f t="shared" ref="AE575:AQ577" si="1224">AE572-AE569</f>
        <v>2882</v>
      </c>
      <c r="AF575" s="427">
        <f t="shared" si="1224"/>
        <v>166</v>
      </c>
      <c r="AG575" s="428">
        <f t="shared" si="1224"/>
        <v>304</v>
      </c>
      <c r="AH575" s="428">
        <f t="shared" si="1224"/>
        <v>163</v>
      </c>
      <c r="AI575" s="428">
        <f t="shared" si="1224"/>
        <v>121</v>
      </c>
      <c r="AJ575" s="428">
        <f t="shared" si="1224"/>
        <v>157</v>
      </c>
      <c r="AK575" s="428">
        <f t="shared" si="1224"/>
        <v>137</v>
      </c>
      <c r="AL575" s="428">
        <f t="shared" si="1224"/>
        <v>99</v>
      </c>
      <c r="AM575" s="428">
        <f t="shared" si="1224"/>
        <v>115</v>
      </c>
      <c r="AN575" s="428">
        <f t="shared" si="1224"/>
        <v>500</v>
      </c>
      <c r="AO575" s="428">
        <f t="shared" si="1224"/>
        <v>620</v>
      </c>
      <c r="AP575" s="428">
        <f t="shared" si="1224"/>
        <v>300</v>
      </c>
      <c r="AQ575" s="430">
        <f t="shared" si="1224"/>
        <v>200</v>
      </c>
    </row>
    <row r="576" spans="2:43" s="366" customFormat="1" ht="7.8" customHeight="1" x14ac:dyDescent="0.25">
      <c r="B576" s="282"/>
      <c r="C576" s="404"/>
      <c r="D576" s="405"/>
      <c r="E576" s="474" t="s">
        <v>33</v>
      </c>
      <c r="F576" s="407">
        <f t="shared" si="1223"/>
        <v>902776</v>
      </c>
      <c r="G576" s="407">
        <f t="shared" si="1223"/>
        <v>0</v>
      </c>
      <c r="H576" s="407">
        <f t="shared" si="1223"/>
        <v>98770</v>
      </c>
      <c r="I576" s="408">
        <f t="shared" si="1223"/>
        <v>30800</v>
      </c>
      <c r="J576" s="409">
        <f t="shared" si="1223"/>
        <v>50750</v>
      </c>
      <c r="K576" s="409">
        <f t="shared" si="1223"/>
        <v>8700</v>
      </c>
      <c r="L576" s="409">
        <f t="shared" si="1223"/>
        <v>8520</v>
      </c>
      <c r="M576" s="410">
        <f t="shared" si="1223"/>
        <v>0</v>
      </c>
      <c r="N576" s="407">
        <f t="shared" si="1223"/>
        <v>145310</v>
      </c>
      <c r="O576" s="408">
        <f t="shared" si="1223"/>
        <v>52500</v>
      </c>
      <c r="P576" s="409">
        <f t="shared" si="1223"/>
        <v>85560</v>
      </c>
      <c r="Q576" s="409">
        <f t="shared" si="1223"/>
        <v>7250</v>
      </c>
      <c r="R576" s="409">
        <f t="shared" si="1223"/>
        <v>0</v>
      </c>
      <c r="S576" s="410">
        <f t="shared" si="1223"/>
        <v>0</v>
      </c>
      <c r="T576" s="407">
        <f t="shared" si="1223"/>
        <v>658696</v>
      </c>
      <c r="U576" s="408">
        <f t="shared" si="1223"/>
        <v>81360</v>
      </c>
      <c r="V576" s="409">
        <f t="shared" si="1223"/>
        <v>296520</v>
      </c>
      <c r="W576" s="409">
        <f t="shared" si="1223"/>
        <v>199680</v>
      </c>
      <c r="X576" s="409">
        <f t="shared" si="1223"/>
        <v>12580</v>
      </c>
      <c r="Y576" s="411">
        <f t="shared" si="1223"/>
        <v>68556</v>
      </c>
      <c r="AA576" s="291"/>
      <c r="AB576" s="412"/>
      <c r="AC576" s="475"/>
      <c r="AD576" s="476" t="s">
        <v>33</v>
      </c>
      <c r="AE576" s="407">
        <f t="shared" si="1224"/>
        <v>418500</v>
      </c>
      <c r="AF576" s="408">
        <f t="shared" si="1224"/>
        <v>23912</v>
      </c>
      <c r="AG576" s="409">
        <f t="shared" si="1224"/>
        <v>49965</v>
      </c>
      <c r="AH576" s="409">
        <f t="shared" si="1224"/>
        <v>24531</v>
      </c>
      <c r="AI576" s="409">
        <f t="shared" si="1224"/>
        <v>16395</v>
      </c>
      <c r="AJ576" s="409">
        <f t="shared" si="1224"/>
        <v>21450</v>
      </c>
      <c r="AK576" s="409">
        <f t="shared" si="1224"/>
        <v>20810</v>
      </c>
      <c r="AL576" s="409">
        <f t="shared" si="1224"/>
        <v>17097</v>
      </c>
      <c r="AM576" s="409">
        <f t="shared" si="1224"/>
        <v>18780</v>
      </c>
      <c r="AN576" s="409">
        <f t="shared" si="1224"/>
        <v>71500</v>
      </c>
      <c r="AO576" s="409">
        <f t="shared" si="1224"/>
        <v>85560</v>
      </c>
      <c r="AP576" s="409">
        <f t="shared" si="1224"/>
        <v>40500</v>
      </c>
      <c r="AQ576" s="411">
        <f t="shared" si="1224"/>
        <v>28000</v>
      </c>
    </row>
    <row r="577" spans="2:43" ht="7.8" customHeight="1" x14ac:dyDescent="0.25">
      <c r="B577" s="282"/>
      <c r="C577" s="404"/>
      <c r="D577" s="415"/>
      <c r="E577" s="416" t="s">
        <v>30</v>
      </c>
      <c r="F577" s="417">
        <f t="shared" si="1223"/>
        <v>160.15185382295547</v>
      </c>
      <c r="G577" s="417">
        <f t="shared" si="1223"/>
        <v>0</v>
      </c>
      <c r="H577" s="417">
        <f t="shared" si="1223"/>
        <v>143.14492753623188</v>
      </c>
      <c r="I577" s="418">
        <f t="shared" si="1223"/>
        <v>140</v>
      </c>
      <c r="J577" s="419">
        <f t="shared" si="1223"/>
        <v>145</v>
      </c>
      <c r="K577" s="419">
        <f t="shared" si="1223"/>
        <v>145</v>
      </c>
      <c r="L577" s="419">
        <f t="shared" si="1223"/>
        <v>142</v>
      </c>
      <c r="M577" s="420">
        <f t="shared" si="1223"/>
        <v>0</v>
      </c>
      <c r="N577" s="417">
        <f t="shared" si="1223"/>
        <v>142.4607843137255</v>
      </c>
      <c r="O577" s="418">
        <f t="shared" si="1223"/>
        <v>150</v>
      </c>
      <c r="P577" s="419">
        <f t="shared" si="1223"/>
        <v>138</v>
      </c>
      <c r="Q577" s="419">
        <f t="shared" si="1223"/>
        <v>145</v>
      </c>
      <c r="R577" s="419">
        <f t="shared" si="1223"/>
        <v>0</v>
      </c>
      <c r="S577" s="420">
        <f t="shared" si="1223"/>
        <v>0</v>
      </c>
      <c r="T577" s="417">
        <f t="shared" si="1223"/>
        <v>167.73516679399032</v>
      </c>
      <c r="U577" s="418">
        <f t="shared" si="1223"/>
        <v>180</v>
      </c>
      <c r="V577" s="419">
        <f t="shared" si="1223"/>
        <v>168</v>
      </c>
      <c r="W577" s="419">
        <f t="shared" si="1223"/>
        <v>160</v>
      </c>
      <c r="X577" s="419">
        <f t="shared" si="1223"/>
        <v>185</v>
      </c>
      <c r="Y577" s="421">
        <f t="shared" si="1223"/>
        <v>174</v>
      </c>
      <c r="AA577" s="291"/>
      <c r="AB577" s="412"/>
      <c r="AC577" s="477"/>
      <c r="AD577" s="423" t="s">
        <v>30</v>
      </c>
      <c r="AE577" s="417">
        <f t="shared" si="1224"/>
        <v>-15.993379143564937</v>
      </c>
      <c r="AF577" s="418">
        <f t="shared" si="1224"/>
        <v>-32.149253731343293</v>
      </c>
      <c r="AG577" s="419">
        <f t="shared" si="1224"/>
        <v>-11.746575342465746</v>
      </c>
      <c r="AH577" s="419">
        <f t="shared" si="1224"/>
        <v>-8.9270072992700591</v>
      </c>
      <c r="AI577" s="419">
        <f t="shared" si="1224"/>
        <v>-4.2248062015503933</v>
      </c>
      <c r="AJ577" s="419">
        <f t="shared" si="1224"/>
        <v>-5.9020979020978928</v>
      </c>
      <c r="AK577" s="419">
        <f t="shared" si="1224"/>
        <v>-2.6073619631901863</v>
      </c>
      <c r="AL577" s="419">
        <f t="shared" si="1224"/>
        <v>1.7682119205298079</v>
      </c>
      <c r="AM577" s="419">
        <f t="shared" si="1224"/>
        <v>-5.5714285714285836</v>
      </c>
      <c r="AN577" s="419">
        <f t="shared" si="1224"/>
        <v>143</v>
      </c>
      <c r="AO577" s="419">
        <f t="shared" si="1224"/>
        <v>138</v>
      </c>
      <c r="AP577" s="419">
        <f t="shared" si="1224"/>
        <v>135</v>
      </c>
      <c r="AQ577" s="421">
        <f t="shared" si="1224"/>
        <v>140</v>
      </c>
    </row>
    <row r="578" spans="2:43" ht="7.8" customHeight="1" x14ac:dyDescent="0.25">
      <c r="B578" s="282"/>
      <c r="C578" s="404"/>
      <c r="D578" s="472" t="s">
        <v>44</v>
      </c>
      <c r="E578" s="425" t="s">
        <v>32</v>
      </c>
      <c r="F578" s="478" t="str">
        <f t="shared" ref="F578:Y580" si="1225">IFERROR((F572-F569)/ABS(F569),"")</f>
        <v/>
      </c>
      <c r="G578" s="478" t="str">
        <f t="shared" si="1225"/>
        <v/>
      </c>
      <c r="H578" s="478" t="str">
        <f t="shared" si="1225"/>
        <v/>
      </c>
      <c r="I578" s="479" t="str">
        <f t="shared" si="1225"/>
        <v/>
      </c>
      <c r="J578" s="480" t="str">
        <f t="shared" si="1225"/>
        <v/>
      </c>
      <c r="K578" s="480" t="str">
        <f t="shared" si="1225"/>
        <v/>
      </c>
      <c r="L578" s="480" t="str">
        <f t="shared" si="1225"/>
        <v/>
      </c>
      <c r="M578" s="481" t="str">
        <f t="shared" si="1225"/>
        <v/>
      </c>
      <c r="N578" s="478" t="str">
        <f t="shared" si="1225"/>
        <v/>
      </c>
      <c r="O578" s="479" t="str">
        <f t="shared" si="1225"/>
        <v/>
      </c>
      <c r="P578" s="480" t="str">
        <f t="shared" si="1225"/>
        <v/>
      </c>
      <c r="Q578" s="480" t="str">
        <f t="shared" si="1225"/>
        <v/>
      </c>
      <c r="R578" s="480" t="str">
        <f t="shared" si="1225"/>
        <v/>
      </c>
      <c r="S578" s="481" t="str">
        <f t="shared" si="1225"/>
        <v/>
      </c>
      <c r="T578" s="478" t="str">
        <f t="shared" si="1225"/>
        <v/>
      </c>
      <c r="U578" s="479" t="str">
        <f t="shared" si="1225"/>
        <v/>
      </c>
      <c r="V578" s="480" t="str">
        <f t="shared" si="1225"/>
        <v/>
      </c>
      <c r="W578" s="480" t="str">
        <f t="shared" si="1225"/>
        <v/>
      </c>
      <c r="X578" s="480" t="str">
        <f t="shared" si="1225"/>
        <v/>
      </c>
      <c r="Y578" s="482" t="str">
        <f t="shared" si="1225"/>
        <v/>
      </c>
      <c r="AA578" s="291"/>
      <c r="AB578" s="412"/>
      <c r="AC578" s="473" t="s">
        <v>44</v>
      </c>
      <c r="AD578" s="432" t="s">
        <v>32</v>
      </c>
      <c r="AE578" s="478">
        <f t="shared" ref="AE578:AQ580" si="1226">IFERROR((AE572-AE569)/ABS(AE569),"")</f>
        <v>2.7764932562620426</v>
      </c>
      <c r="AF578" s="479">
        <f t="shared" si="1226"/>
        <v>1.2388059701492538</v>
      </c>
      <c r="AG578" s="480">
        <f t="shared" si="1226"/>
        <v>2.0821917808219177</v>
      </c>
      <c r="AH578" s="480">
        <f t="shared" si="1226"/>
        <v>1.1897810218978102</v>
      </c>
      <c r="AI578" s="480">
        <f t="shared" si="1226"/>
        <v>0.93798449612403101</v>
      </c>
      <c r="AJ578" s="480">
        <f t="shared" si="1226"/>
        <v>1.0979020979020979</v>
      </c>
      <c r="AK578" s="480">
        <f t="shared" si="1226"/>
        <v>0.8404907975460123</v>
      </c>
      <c r="AL578" s="480">
        <f t="shared" si="1226"/>
        <v>0.6556291390728477</v>
      </c>
      <c r="AM578" s="480">
        <f t="shared" si="1226"/>
        <v>3.2857142857142856</v>
      </c>
      <c r="AN578" s="480" t="str">
        <f t="shared" si="1226"/>
        <v/>
      </c>
      <c r="AO578" s="480" t="str">
        <f t="shared" si="1226"/>
        <v/>
      </c>
      <c r="AP578" s="480" t="str">
        <f t="shared" si="1226"/>
        <v/>
      </c>
      <c r="AQ578" s="482" t="str">
        <f t="shared" si="1226"/>
        <v/>
      </c>
    </row>
    <row r="579" spans="2:43" ht="7.8" customHeight="1" x14ac:dyDescent="0.25">
      <c r="B579" s="282"/>
      <c r="C579" s="404"/>
      <c r="D579" s="405"/>
      <c r="E579" s="483" t="s">
        <v>33</v>
      </c>
      <c r="F579" s="484" t="str">
        <f t="shared" si="1225"/>
        <v/>
      </c>
      <c r="G579" s="484" t="str">
        <f t="shared" si="1225"/>
        <v/>
      </c>
      <c r="H579" s="484" t="str">
        <f t="shared" si="1225"/>
        <v/>
      </c>
      <c r="I579" s="485" t="str">
        <f t="shared" si="1225"/>
        <v/>
      </c>
      <c r="J579" s="486" t="str">
        <f t="shared" si="1225"/>
        <v/>
      </c>
      <c r="K579" s="486" t="str">
        <f t="shared" si="1225"/>
        <v/>
      </c>
      <c r="L579" s="486" t="str">
        <f t="shared" si="1225"/>
        <v/>
      </c>
      <c r="M579" s="487" t="str">
        <f t="shared" si="1225"/>
        <v/>
      </c>
      <c r="N579" s="484" t="str">
        <f t="shared" si="1225"/>
        <v/>
      </c>
      <c r="O579" s="485" t="str">
        <f t="shared" si="1225"/>
        <v/>
      </c>
      <c r="P579" s="486" t="str">
        <f t="shared" si="1225"/>
        <v/>
      </c>
      <c r="Q579" s="486" t="str">
        <f t="shared" si="1225"/>
        <v/>
      </c>
      <c r="R579" s="486" t="str">
        <f t="shared" si="1225"/>
        <v/>
      </c>
      <c r="S579" s="487" t="str">
        <f t="shared" si="1225"/>
        <v/>
      </c>
      <c r="T579" s="484" t="str">
        <f t="shared" si="1225"/>
        <v/>
      </c>
      <c r="U579" s="485" t="str">
        <f t="shared" si="1225"/>
        <v/>
      </c>
      <c r="V579" s="486" t="str">
        <f t="shared" si="1225"/>
        <v/>
      </c>
      <c r="W579" s="486" t="str">
        <f t="shared" si="1225"/>
        <v/>
      </c>
      <c r="X579" s="486" t="str">
        <f t="shared" si="1225"/>
        <v/>
      </c>
      <c r="Y579" s="488" t="str">
        <f t="shared" si="1225"/>
        <v/>
      </c>
      <c r="AA579" s="291"/>
      <c r="AB579" s="412"/>
      <c r="AC579" s="475"/>
      <c r="AD579" s="489" t="s">
        <v>33</v>
      </c>
      <c r="AE579" s="484">
        <f t="shared" si="1226"/>
        <v>2.4147481391725809</v>
      </c>
      <c r="AF579" s="485">
        <f t="shared" si="1226"/>
        <v>0.88275251033668045</v>
      </c>
      <c r="AG579" s="486">
        <f t="shared" si="1226"/>
        <v>1.8829847371396269</v>
      </c>
      <c r="AH579" s="486">
        <f t="shared" si="1226"/>
        <v>1.0726747999475272</v>
      </c>
      <c r="AI579" s="486">
        <f t="shared" si="1226"/>
        <v>0.88121472722386451</v>
      </c>
      <c r="AJ579" s="486">
        <f t="shared" si="1226"/>
        <v>1.0141843971631206</v>
      </c>
      <c r="AK579" s="486">
        <f t="shared" si="1226"/>
        <v>0.81004281821720514</v>
      </c>
      <c r="AL579" s="486">
        <f t="shared" si="1226"/>
        <v>0.67303074440026767</v>
      </c>
      <c r="AM579" s="486">
        <f t="shared" si="1226"/>
        <v>3.1457286432160805</v>
      </c>
      <c r="AN579" s="486" t="str">
        <f t="shared" si="1226"/>
        <v/>
      </c>
      <c r="AO579" s="486" t="str">
        <f t="shared" si="1226"/>
        <v/>
      </c>
      <c r="AP579" s="486" t="str">
        <f t="shared" si="1226"/>
        <v/>
      </c>
      <c r="AQ579" s="488" t="str">
        <f t="shared" si="1226"/>
        <v/>
      </c>
    </row>
    <row r="580" spans="2:43" ht="7.8" customHeight="1" x14ac:dyDescent="0.25">
      <c r="B580" s="282"/>
      <c r="C580" s="490"/>
      <c r="D580" s="405"/>
      <c r="E580" s="483" t="s">
        <v>30</v>
      </c>
      <c r="F580" s="484" t="str">
        <f t="shared" si="1225"/>
        <v/>
      </c>
      <c r="G580" s="484" t="str">
        <f t="shared" si="1225"/>
        <v/>
      </c>
      <c r="H580" s="484" t="str">
        <f t="shared" si="1225"/>
        <v/>
      </c>
      <c r="I580" s="485" t="str">
        <f t="shared" si="1225"/>
        <v/>
      </c>
      <c r="J580" s="486" t="str">
        <f t="shared" si="1225"/>
        <v/>
      </c>
      <c r="K580" s="486" t="str">
        <f t="shared" si="1225"/>
        <v/>
      </c>
      <c r="L580" s="486" t="str">
        <f t="shared" si="1225"/>
        <v/>
      </c>
      <c r="M580" s="487" t="str">
        <f t="shared" si="1225"/>
        <v/>
      </c>
      <c r="N580" s="484" t="str">
        <f t="shared" si="1225"/>
        <v/>
      </c>
      <c r="O580" s="485" t="str">
        <f t="shared" si="1225"/>
        <v/>
      </c>
      <c r="P580" s="486" t="str">
        <f t="shared" si="1225"/>
        <v/>
      </c>
      <c r="Q580" s="486" t="str">
        <f t="shared" si="1225"/>
        <v/>
      </c>
      <c r="R580" s="486" t="str">
        <f t="shared" si="1225"/>
        <v/>
      </c>
      <c r="S580" s="487" t="str">
        <f t="shared" si="1225"/>
        <v/>
      </c>
      <c r="T580" s="484" t="str">
        <f t="shared" si="1225"/>
        <v/>
      </c>
      <c r="U580" s="485" t="str">
        <f t="shared" si="1225"/>
        <v/>
      </c>
      <c r="V580" s="486" t="str">
        <f t="shared" si="1225"/>
        <v/>
      </c>
      <c r="W580" s="486" t="str">
        <f t="shared" si="1225"/>
        <v/>
      </c>
      <c r="X580" s="486" t="str">
        <f t="shared" si="1225"/>
        <v/>
      </c>
      <c r="Y580" s="488" t="str">
        <f t="shared" si="1225"/>
        <v/>
      </c>
      <c r="AA580" s="291"/>
      <c r="AB580" s="412"/>
      <c r="AC580" s="475"/>
      <c r="AD580" s="489" t="s">
        <v>30</v>
      </c>
      <c r="AE580" s="484">
        <f t="shared" si="1226"/>
        <v>-9.5788630494607369E-2</v>
      </c>
      <c r="AF580" s="485">
        <f t="shared" si="1226"/>
        <v>-0.1590372120496161</v>
      </c>
      <c r="AG580" s="486">
        <f t="shared" si="1226"/>
        <v>-6.4631618616921016E-2</v>
      </c>
      <c r="AH580" s="486">
        <f t="shared" si="1226"/>
        <v>-5.3478508023962493E-2</v>
      </c>
      <c r="AI580" s="486">
        <f t="shared" si="1226"/>
        <v>-2.929320075248593E-2</v>
      </c>
      <c r="AJ580" s="486">
        <f t="shared" si="1226"/>
        <v>-3.9905437352245804E-2</v>
      </c>
      <c r="AK580" s="486">
        <f t="shared" si="1226"/>
        <v>-1.6543402101985221E-2</v>
      </c>
      <c r="AL580" s="486">
        <f t="shared" si="1226"/>
        <v>1.0510569617761721E-2</v>
      </c>
      <c r="AM580" s="486">
        <f t="shared" si="1226"/>
        <v>-3.2663316582914645E-2</v>
      </c>
      <c r="AN580" s="486" t="str">
        <f t="shared" si="1226"/>
        <v/>
      </c>
      <c r="AO580" s="486" t="str">
        <f t="shared" si="1226"/>
        <v/>
      </c>
      <c r="AP580" s="486" t="str">
        <f t="shared" si="1226"/>
        <v/>
      </c>
      <c r="AQ580" s="488" t="str">
        <f t="shared" si="1226"/>
        <v/>
      </c>
    </row>
    <row r="581" spans="2:43" ht="7.8" customHeight="1" x14ac:dyDescent="0.25">
      <c r="B581" s="282"/>
      <c r="C581" s="491" t="s">
        <v>49</v>
      </c>
      <c r="D581" s="492" t="s">
        <v>39</v>
      </c>
      <c r="E581" s="493" t="s">
        <v>32</v>
      </c>
      <c r="F581" s="494">
        <f t="shared" ref="F581:F582" si="1227">SUM(G581,H581,N581,T581)</f>
        <v>0</v>
      </c>
      <c r="G581" s="494"/>
      <c r="H581" s="494">
        <f t="shared" ref="H581:H582" si="1228">SUM(I581:M581)</f>
        <v>0</v>
      </c>
      <c r="I581" s="495"/>
      <c r="J581" s="496"/>
      <c r="K581" s="496"/>
      <c r="L581" s="496"/>
      <c r="M581" s="497"/>
      <c r="N581" s="494">
        <f t="shared" ref="N581:N582" si="1229">SUM(O581:S581)</f>
        <v>0</v>
      </c>
      <c r="O581" s="495"/>
      <c r="P581" s="496"/>
      <c r="Q581" s="496"/>
      <c r="R581" s="496"/>
      <c r="S581" s="497"/>
      <c r="T581" s="494">
        <f t="shared" ref="T581:T582" si="1230">SUM(U581:Y581)</f>
        <v>0</v>
      </c>
      <c r="U581" s="495"/>
      <c r="V581" s="496"/>
      <c r="W581" s="496"/>
      <c r="X581" s="496"/>
      <c r="Y581" s="498"/>
      <c r="AA581" s="291"/>
      <c r="AB581" s="499" t="s">
        <v>49</v>
      </c>
      <c r="AC581" s="500" t="s">
        <v>39</v>
      </c>
      <c r="AD581" s="501" t="s">
        <v>32</v>
      </c>
      <c r="AE581" s="494">
        <f t="shared" ref="AE581:AE582" si="1231">SUM(AF581:AQ581)</f>
        <v>0</v>
      </c>
      <c r="AF581" s="495">
        <f>$P$95</f>
        <v>0</v>
      </c>
      <c r="AG581" s="496">
        <f>$P$149</f>
        <v>0</v>
      </c>
      <c r="AH581" s="496">
        <f>$P$203</f>
        <v>0</v>
      </c>
      <c r="AI581" s="496">
        <f>$P$257</f>
        <v>0</v>
      </c>
      <c r="AJ581" s="496">
        <f>$P$311</f>
        <v>0</v>
      </c>
      <c r="AK581" s="496">
        <f>$P$365</f>
        <v>0</v>
      </c>
      <c r="AL581" s="496">
        <f>$P$419</f>
        <v>0</v>
      </c>
      <c r="AM581" s="496">
        <f>$P$473</f>
        <v>0</v>
      </c>
      <c r="AN581" s="496">
        <f>$P$527</f>
        <v>0</v>
      </c>
      <c r="AO581" s="496">
        <f>$P$581</f>
        <v>0</v>
      </c>
      <c r="AP581" s="496">
        <f>$P$635</f>
        <v>0</v>
      </c>
      <c r="AQ581" s="498">
        <f>$P$689</f>
        <v>0</v>
      </c>
    </row>
    <row r="582" spans="2:43" s="41" customFormat="1" ht="7.8" customHeight="1" x14ac:dyDescent="0.25">
      <c r="B582" s="282"/>
      <c r="C582" s="404"/>
      <c r="D582" s="405"/>
      <c r="E582" s="406" t="s">
        <v>33</v>
      </c>
      <c r="F582" s="407">
        <f t="shared" si="1227"/>
        <v>0</v>
      </c>
      <c r="G582" s="407"/>
      <c r="H582" s="407">
        <f t="shared" si="1228"/>
        <v>0</v>
      </c>
      <c r="I582" s="408"/>
      <c r="J582" s="409"/>
      <c r="K582" s="409"/>
      <c r="L582" s="409"/>
      <c r="M582" s="410"/>
      <c r="N582" s="407">
        <f t="shared" si="1229"/>
        <v>0</v>
      </c>
      <c r="O582" s="408"/>
      <c r="P582" s="409"/>
      <c r="Q582" s="409"/>
      <c r="R582" s="409"/>
      <c r="S582" s="410"/>
      <c r="T582" s="407">
        <f t="shared" si="1230"/>
        <v>0</v>
      </c>
      <c r="U582" s="408"/>
      <c r="V582" s="409"/>
      <c r="W582" s="409"/>
      <c r="X582" s="409"/>
      <c r="Y582" s="411"/>
      <c r="AA582" s="291"/>
      <c r="AB582" s="412"/>
      <c r="AC582" s="413"/>
      <c r="AD582" s="414" t="s">
        <v>33</v>
      </c>
      <c r="AE582" s="407">
        <f t="shared" si="1231"/>
        <v>0</v>
      </c>
      <c r="AF582" s="408">
        <f>$P$96</f>
        <v>0</v>
      </c>
      <c r="AG582" s="409">
        <f>$P$150</f>
        <v>0</v>
      </c>
      <c r="AH582" s="409">
        <f>$P$204</f>
        <v>0</v>
      </c>
      <c r="AI582" s="409">
        <f>$P$258</f>
        <v>0</v>
      </c>
      <c r="AJ582" s="409">
        <f>$P$312</f>
        <v>0</v>
      </c>
      <c r="AK582" s="409">
        <f>$P$366</f>
        <v>0</v>
      </c>
      <c r="AL582" s="409">
        <f>$P$420</f>
        <v>0</v>
      </c>
      <c r="AM582" s="409">
        <f>$P$474</f>
        <v>0</v>
      </c>
      <c r="AN582" s="409">
        <f>$P$528</f>
        <v>0</v>
      </c>
      <c r="AO582" s="409">
        <f>$P$582</f>
        <v>0</v>
      </c>
      <c r="AP582" s="409">
        <f>$P$636</f>
        <v>0</v>
      </c>
      <c r="AQ582" s="411">
        <f>$P$690</f>
        <v>0</v>
      </c>
    </row>
    <row r="583" spans="2:43" ht="7.8" customHeight="1" x14ac:dyDescent="0.25">
      <c r="B583" s="282"/>
      <c r="C583" s="404"/>
      <c r="D583" s="415"/>
      <c r="E583" s="416" t="s">
        <v>30</v>
      </c>
      <c r="F583" s="417">
        <f t="shared" si="1127"/>
        <v>0</v>
      </c>
      <c r="G583" s="417">
        <f t="shared" si="1127"/>
        <v>0</v>
      </c>
      <c r="H583" s="417">
        <f t="shared" si="1127"/>
        <v>0</v>
      </c>
      <c r="I583" s="418">
        <f t="shared" si="1127"/>
        <v>0</v>
      </c>
      <c r="J583" s="419">
        <f t="shared" si="1127"/>
        <v>0</v>
      </c>
      <c r="K583" s="419">
        <f t="shared" si="1127"/>
        <v>0</v>
      </c>
      <c r="L583" s="419">
        <f t="shared" si="1127"/>
        <v>0</v>
      </c>
      <c r="M583" s="420">
        <f t="shared" si="1127"/>
        <v>0</v>
      </c>
      <c r="N583" s="417">
        <f t="shared" si="1127"/>
        <v>0</v>
      </c>
      <c r="O583" s="418">
        <f t="shared" si="1127"/>
        <v>0</v>
      </c>
      <c r="P583" s="419">
        <f t="shared" si="1127"/>
        <v>0</v>
      </c>
      <c r="Q583" s="419">
        <f t="shared" si="1127"/>
        <v>0</v>
      </c>
      <c r="R583" s="419">
        <f t="shared" si="1127"/>
        <v>0</v>
      </c>
      <c r="S583" s="420">
        <f t="shared" si="1127"/>
        <v>0</v>
      </c>
      <c r="T583" s="417">
        <f t="shared" si="1127"/>
        <v>0</v>
      </c>
      <c r="U583" s="418">
        <f t="shared" si="1127"/>
        <v>0</v>
      </c>
      <c r="V583" s="419">
        <f t="shared" si="1127"/>
        <v>0</v>
      </c>
      <c r="W583" s="419">
        <f t="shared" si="1127"/>
        <v>0</v>
      </c>
      <c r="X583" s="419">
        <f t="shared" si="1127"/>
        <v>0</v>
      </c>
      <c r="Y583" s="421">
        <f t="shared" si="1127"/>
        <v>0</v>
      </c>
      <c r="AA583" s="291"/>
      <c r="AB583" s="412"/>
      <c r="AC583" s="422"/>
      <c r="AD583" s="423" t="s">
        <v>30</v>
      </c>
      <c r="AE583" s="417">
        <f t="shared" ref="AE583:AQ583" si="1232">IFERROR(AE582/AE581,0)</f>
        <v>0</v>
      </c>
      <c r="AF583" s="418">
        <f t="shared" si="1232"/>
        <v>0</v>
      </c>
      <c r="AG583" s="419">
        <f t="shared" si="1232"/>
        <v>0</v>
      </c>
      <c r="AH583" s="419">
        <f t="shared" si="1232"/>
        <v>0</v>
      </c>
      <c r="AI583" s="419">
        <f t="shared" si="1232"/>
        <v>0</v>
      </c>
      <c r="AJ583" s="419">
        <f t="shared" si="1232"/>
        <v>0</v>
      </c>
      <c r="AK583" s="419">
        <f t="shared" si="1232"/>
        <v>0</v>
      </c>
      <c r="AL583" s="419">
        <f t="shared" si="1232"/>
        <v>0</v>
      </c>
      <c r="AM583" s="419">
        <f t="shared" si="1232"/>
        <v>0</v>
      </c>
      <c r="AN583" s="419">
        <f t="shared" si="1232"/>
        <v>0</v>
      </c>
      <c r="AO583" s="419">
        <f t="shared" si="1232"/>
        <v>0</v>
      </c>
      <c r="AP583" s="419">
        <f t="shared" si="1232"/>
        <v>0</v>
      </c>
      <c r="AQ583" s="421">
        <f t="shared" si="1232"/>
        <v>0</v>
      </c>
    </row>
    <row r="584" spans="2:43" ht="7.8" customHeight="1" x14ac:dyDescent="0.25">
      <c r="B584" s="282"/>
      <c r="C584" s="404"/>
      <c r="D584" s="424" t="s">
        <v>40</v>
      </c>
      <c r="E584" s="425" t="s">
        <v>32</v>
      </c>
      <c r="F584" s="426">
        <f t="shared" ref="F584:F585" si="1233">SUM(G584,H584,N584,T584)</f>
        <v>1797</v>
      </c>
      <c r="G584" s="426">
        <v>244</v>
      </c>
      <c r="H584" s="426">
        <f t="shared" ref="H584:H585" si="1234">SUM(I584:M584)</f>
        <v>41</v>
      </c>
      <c r="I584" s="427">
        <v>0</v>
      </c>
      <c r="J584" s="428">
        <v>41</v>
      </c>
      <c r="K584" s="428">
        <v>0</v>
      </c>
      <c r="L584" s="428">
        <v>0</v>
      </c>
      <c r="M584" s="429">
        <v>0</v>
      </c>
      <c r="N584" s="426">
        <f t="shared" ref="N584:N585" si="1235">SUM(O584:S584)</f>
        <v>384</v>
      </c>
      <c r="O584" s="427">
        <v>166</v>
      </c>
      <c r="P584" s="428">
        <v>175</v>
      </c>
      <c r="Q584" s="428">
        <v>42</v>
      </c>
      <c r="R584" s="428">
        <v>0</v>
      </c>
      <c r="S584" s="429">
        <v>1</v>
      </c>
      <c r="T584" s="426">
        <f t="shared" ref="T584:T585" si="1236">SUM(U584:Y584)</f>
        <v>1128</v>
      </c>
      <c r="U584" s="427">
        <v>95</v>
      </c>
      <c r="V584" s="428">
        <v>533</v>
      </c>
      <c r="W584" s="428">
        <v>420</v>
      </c>
      <c r="X584" s="428">
        <v>51</v>
      </c>
      <c r="Y584" s="430">
        <v>29</v>
      </c>
      <c r="AA584" s="291"/>
      <c r="AB584" s="412"/>
      <c r="AC584" s="431" t="s">
        <v>40</v>
      </c>
      <c r="AD584" s="432" t="s">
        <v>32</v>
      </c>
      <c r="AE584" s="426">
        <f t="shared" ref="AE584:AE585" si="1237">SUM(AF584:AQ584)</f>
        <v>1619</v>
      </c>
      <c r="AF584" s="427">
        <f>$P$98</f>
        <v>72</v>
      </c>
      <c r="AG584" s="428">
        <f>$P$152</f>
        <v>70</v>
      </c>
      <c r="AH584" s="428">
        <f>$P$206</f>
        <v>171</v>
      </c>
      <c r="AI584" s="428">
        <f>$P$260</f>
        <v>120</v>
      </c>
      <c r="AJ584" s="428">
        <f>$P$314</f>
        <v>202</v>
      </c>
      <c r="AK584" s="428">
        <f>$P$368</f>
        <v>236</v>
      </c>
      <c r="AL584" s="428">
        <f>$P$422</f>
        <v>113</v>
      </c>
      <c r="AM584" s="428">
        <f>$P$476</f>
        <v>89</v>
      </c>
      <c r="AN584" s="428">
        <f>$P$530</f>
        <v>200</v>
      </c>
      <c r="AO584" s="428">
        <f>$P$584</f>
        <v>175</v>
      </c>
      <c r="AP584" s="428">
        <f>$P$638</f>
        <v>104</v>
      </c>
      <c r="AQ584" s="430">
        <f>$P$692</f>
        <v>67</v>
      </c>
    </row>
    <row r="585" spans="2:43" s="41" customFormat="1" ht="7.8" customHeight="1" x14ac:dyDescent="0.25">
      <c r="B585" s="282"/>
      <c r="C585" s="404"/>
      <c r="D585" s="405"/>
      <c r="E585" s="406" t="s">
        <v>33</v>
      </c>
      <c r="F585" s="407">
        <f t="shared" si="1233"/>
        <v>279769.88</v>
      </c>
      <c r="G585" s="407">
        <v>38109</v>
      </c>
      <c r="H585" s="407">
        <f t="shared" si="1234"/>
        <v>6543</v>
      </c>
      <c r="I585" s="408">
        <v>0</v>
      </c>
      <c r="J585" s="409">
        <v>6543</v>
      </c>
      <c r="K585" s="409">
        <v>0</v>
      </c>
      <c r="L585" s="409">
        <v>0</v>
      </c>
      <c r="M585" s="410">
        <v>0</v>
      </c>
      <c r="N585" s="407">
        <f t="shared" si="1235"/>
        <v>55052</v>
      </c>
      <c r="O585" s="408">
        <v>24505</v>
      </c>
      <c r="P585" s="409">
        <v>24262</v>
      </c>
      <c r="Q585" s="409">
        <v>6145</v>
      </c>
      <c r="R585" s="409">
        <v>0</v>
      </c>
      <c r="S585" s="410">
        <v>140</v>
      </c>
      <c r="T585" s="407">
        <f t="shared" si="1236"/>
        <v>180065.88</v>
      </c>
      <c r="U585" s="408">
        <v>18953.689999999999</v>
      </c>
      <c r="V585" s="409">
        <v>79298</v>
      </c>
      <c r="W585" s="409">
        <v>70084.19</v>
      </c>
      <c r="X585" s="409">
        <v>7878</v>
      </c>
      <c r="Y585" s="411">
        <v>3852</v>
      </c>
      <c r="AA585" s="291"/>
      <c r="AB585" s="412"/>
      <c r="AC585" s="413"/>
      <c r="AD585" s="414" t="s">
        <v>33</v>
      </c>
      <c r="AE585" s="407">
        <f t="shared" si="1237"/>
        <v>249704</v>
      </c>
      <c r="AF585" s="408">
        <f>$P$99</f>
        <v>12865</v>
      </c>
      <c r="AG585" s="409">
        <f>$P$153</f>
        <v>12565</v>
      </c>
      <c r="AH585" s="409">
        <f>$P$207</f>
        <v>31015</v>
      </c>
      <c r="AI585" s="409">
        <f>$P$261</f>
        <v>17530</v>
      </c>
      <c r="AJ585" s="409">
        <f>$P$315</f>
        <v>28615</v>
      </c>
      <c r="AK585" s="409">
        <f>$P$369</f>
        <v>35530</v>
      </c>
      <c r="AL585" s="409">
        <f>$P$423</f>
        <v>20805</v>
      </c>
      <c r="AM585" s="409">
        <f>$P$477</f>
        <v>13480</v>
      </c>
      <c r="AN585" s="409">
        <f>$P$531</f>
        <v>27676</v>
      </c>
      <c r="AO585" s="409">
        <f>$P$585</f>
        <v>24262</v>
      </c>
      <c r="AP585" s="409">
        <f>$P$639</f>
        <v>15161</v>
      </c>
      <c r="AQ585" s="411">
        <f>$P$693</f>
        <v>10200</v>
      </c>
    </row>
    <row r="586" spans="2:43" ht="7.8" customHeight="1" x14ac:dyDescent="0.25">
      <c r="B586" s="282"/>
      <c r="C586" s="404"/>
      <c r="D586" s="415"/>
      <c r="E586" s="416" t="s">
        <v>30</v>
      </c>
      <c r="F586" s="417">
        <f t="shared" si="1134"/>
        <v>155.6871897607123</v>
      </c>
      <c r="G586" s="417">
        <f t="shared" si="1134"/>
        <v>156.1844262295082</v>
      </c>
      <c r="H586" s="417">
        <f t="shared" si="1134"/>
        <v>159.58536585365854</v>
      </c>
      <c r="I586" s="418">
        <f t="shared" si="1134"/>
        <v>0</v>
      </c>
      <c r="J586" s="419">
        <f t="shared" si="1134"/>
        <v>159.58536585365854</v>
      </c>
      <c r="K586" s="419">
        <f t="shared" si="1134"/>
        <v>0</v>
      </c>
      <c r="L586" s="419">
        <f t="shared" si="1134"/>
        <v>0</v>
      </c>
      <c r="M586" s="420">
        <f t="shared" si="1134"/>
        <v>0</v>
      </c>
      <c r="N586" s="417">
        <f t="shared" si="1134"/>
        <v>143.36458333333334</v>
      </c>
      <c r="O586" s="418">
        <f t="shared" si="1134"/>
        <v>147.62048192771084</v>
      </c>
      <c r="P586" s="419">
        <f t="shared" si="1134"/>
        <v>138.63999999999999</v>
      </c>
      <c r="Q586" s="419">
        <f t="shared" si="1134"/>
        <v>146.3095238095238</v>
      </c>
      <c r="R586" s="419">
        <f t="shared" si="1134"/>
        <v>0</v>
      </c>
      <c r="S586" s="420">
        <f t="shared" si="1134"/>
        <v>140</v>
      </c>
      <c r="T586" s="417">
        <f t="shared" si="1134"/>
        <v>159.63287234042554</v>
      </c>
      <c r="U586" s="418">
        <f t="shared" si="1134"/>
        <v>199.51252631578947</v>
      </c>
      <c r="V586" s="419">
        <f t="shared" si="1134"/>
        <v>148.77673545966229</v>
      </c>
      <c r="W586" s="419">
        <f t="shared" si="1134"/>
        <v>166.86711904761904</v>
      </c>
      <c r="X586" s="419">
        <f t="shared" si="1134"/>
        <v>154.47058823529412</v>
      </c>
      <c r="Y586" s="421">
        <f t="shared" si="1134"/>
        <v>132.82758620689654</v>
      </c>
      <c r="AA586" s="291"/>
      <c r="AB586" s="412"/>
      <c r="AC586" s="422"/>
      <c r="AD586" s="423" t="s">
        <v>30</v>
      </c>
      <c r="AE586" s="417">
        <f t="shared" ref="AE586:AQ586" si="1238">IFERROR(AE585/AE584,0)</f>
        <v>154.23347745521926</v>
      </c>
      <c r="AF586" s="418">
        <f t="shared" si="1238"/>
        <v>178.68055555555554</v>
      </c>
      <c r="AG586" s="419">
        <f t="shared" si="1238"/>
        <v>179.5</v>
      </c>
      <c r="AH586" s="419">
        <f t="shared" si="1238"/>
        <v>181.37426900584796</v>
      </c>
      <c r="AI586" s="419">
        <f t="shared" si="1238"/>
        <v>146.08333333333334</v>
      </c>
      <c r="AJ586" s="419">
        <f t="shared" si="1238"/>
        <v>141.65841584158414</v>
      </c>
      <c r="AK586" s="419">
        <f t="shared" si="1238"/>
        <v>150.55084745762713</v>
      </c>
      <c r="AL586" s="419">
        <f t="shared" si="1238"/>
        <v>184.11504424778761</v>
      </c>
      <c r="AM586" s="419">
        <f t="shared" si="1238"/>
        <v>151.46067415730337</v>
      </c>
      <c r="AN586" s="419">
        <f t="shared" si="1238"/>
        <v>138.38</v>
      </c>
      <c r="AO586" s="419">
        <f t="shared" si="1238"/>
        <v>138.63999999999999</v>
      </c>
      <c r="AP586" s="419">
        <f t="shared" si="1238"/>
        <v>145.77884615384616</v>
      </c>
      <c r="AQ586" s="421">
        <f t="shared" si="1238"/>
        <v>152.23880597014926</v>
      </c>
    </row>
    <row r="587" spans="2:43" ht="7.8" customHeight="1" x14ac:dyDescent="0.25">
      <c r="B587" s="282"/>
      <c r="C587" s="404"/>
      <c r="D587" s="424" t="s">
        <v>41</v>
      </c>
      <c r="E587" s="425" t="s">
        <v>32</v>
      </c>
      <c r="F587" s="426">
        <f t="shared" ref="F587:F588" si="1239">SUM(G587,H587,N587,T587)</f>
        <v>0</v>
      </c>
      <c r="G587" s="426"/>
      <c r="H587" s="426">
        <f t="shared" ref="H587:H588" si="1240">SUM(I587:M587)</f>
        <v>0</v>
      </c>
      <c r="I587" s="427"/>
      <c r="J587" s="428"/>
      <c r="K587" s="428"/>
      <c r="L587" s="428"/>
      <c r="M587" s="429"/>
      <c r="N587" s="426">
        <f t="shared" ref="N587:N588" si="1241">SUM(O587:S587)</f>
        <v>0</v>
      </c>
      <c r="O587" s="427"/>
      <c r="P587" s="428"/>
      <c r="Q587" s="428"/>
      <c r="R587" s="428"/>
      <c r="S587" s="429"/>
      <c r="T587" s="426">
        <f t="shared" ref="T587:T588" si="1242">SUM(U587:Y587)</f>
        <v>0</v>
      </c>
      <c r="U587" s="427"/>
      <c r="V587" s="428"/>
      <c r="W587" s="428"/>
      <c r="X587" s="428"/>
      <c r="Y587" s="430"/>
      <c r="AA587" s="291"/>
      <c r="AB587" s="412"/>
      <c r="AC587" s="431" t="s">
        <v>41</v>
      </c>
      <c r="AD587" s="432" t="s">
        <v>32</v>
      </c>
      <c r="AE587" s="426">
        <f t="shared" ref="AE587:AE588" si="1243">SUM(AF587:AQ587)</f>
        <v>456</v>
      </c>
      <c r="AF587" s="427">
        <f>$P$101</f>
        <v>55</v>
      </c>
      <c r="AG587" s="428">
        <f>$P$155</f>
        <v>65</v>
      </c>
      <c r="AH587" s="428">
        <f>$P$209</f>
        <v>80</v>
      </c>
      <c r="AI587" s="428">
        <f>$P$263</f>
        <v>46</v>
      </c>
      <c r="AJ587" s="428">
        <f>$P$317</f>
        <v>66</v>
      </c>
      <c r="AK587" s="428">
        <f>$P$371</f>
        <v>79</v>
      </c>
      <c r="AL587" s="428">
        <f>$P$425</f>
        <v>43</v>
      </c>
      <c r="AM587" s="428">
        <f>$P$479</f>
        <v>22</v>
      </c>
      <c r="AN587" s="428">
        <f>$P$533</f>
        <v>0</v>
      </c>
      <c r="AO587" s="428">
        <f>$P$587</f>
        <v>0</v>
      </c>
      <c r="AP587" s="428">
        <f>$P$641</f>
        <v>0</v>
      </c>
      <c r="AQ587" s="430">
        <f>$P$695</f>
        <v>0</v>
      </c>
    </row>
    <row r="588" spans="2:43" s="41" customFormat="1" ht="7.8" customHeight="1" x14ac:dyDescent="0.25">
      <c r="B588" s="282"/>
      <c r="C588" s="404"/>
      <c r="D588" s="405"/>
      <c r="E588" s="406" t="s">
        <v>33</v>
      </c>
      <c r="F588" s="407">
        <f t="shared" si="1239"/>
        <v>0</v>
      </c>
      <c r="G588" s="407"/>
      <c r="H588" s="407">
        <f t="shared" si="1240"/>
        <v>0</v>
      </c>
      <c r="I588" s="408"/>
      <c r="J588" s="409"/>
      <c r="K588" s="409"/>
      <c r="L588" s="409"/>
      <c r="M588" s="410"/>
      <c r="N588" s="407">
        <f t="shared" si="1241"/>
        <v>0</v>
      </c>
      <c r="O588" s="408"/>
      <c r="P588" s="409"/>
      <c r="Q588" s="409"/>
      <c r="R588" s="409"/>
      <c r="S588" s="410"/>
      <c r="T588" s="407">
        <f t="shared" si="1242"/>
        <v>0</v>
      </c>
      <c r="U588" s="408"/>
      <c r="V588" s="409"/>
      <c r="W588" s="409"/>
      <c r="X588" s="409"/>
      <c r="Y588" s="411"/>
      <c r="AA588" s="291"/>
      <c r="AB588" s="412"/>
      <c r="AC588" s="413"/>
      <c r="AD588" s="414" t="s">
        <v>33</v>
      </c>
      <c r="AE588" s="407">
        <f t="shared" si="1243"/>
        <v>76444</v>
      </c>
      <c r="AF588" s="408">
        <f>$P$102</f>
        <v>11749</v>
      </c>
      <c r="AG588" s="409">
        <f>$P$156</f>
        <v>11573</v>
      </c>
      <c r="AH588" s="409">
        <f>$P$210</f>
        <v>13138</v>
      </c>
      <c r="AI588" s="409">
        <f>$P$264</f>
        <v>6830</v>
      </c>
      <c r="AJ588" s="409">
        <f>$P$318</f>
        <v>9750</v>
      </c>
      <c r="AK588" s="409">
        <f>$P$372</f>
        <v>12470</v>
      </c>
      <c r="AL588" s="409">
        <f>$P$426</f>
        <v>7149</v>
      </c>
      <c r="AM588" s="409">
        <f>$P$480</f>
        <v>3785</v>
      </c>
      <c r="AN588" s="409">
        <f>$P$534</f>
        <v>0</v>
      </c>
      <c r="AO588" s="409">
        <f>$P$588</f>
        <v>0</v>
      </c>
      <c r="AP588" s="409">
        <f>$P$642</f>
        <v>0</v>
      </c>
      <c r="AQ588" s="411">
        <f>$P$696</f>
        <v>0</v>
      </c>
    </row>
    <row r="589" spans="2:43" ht="7.8" customHeight="1" x14ac:dyDescent="0.25">
      <c r="B589" s="282"/>
      <c r="C589" s="404"/>
      <c r="D589" s="415"/>
      <c r="E589" s="416" t="s">
        <v>30</v>
      </c>
      <c r="F589" s="417">
        <f t="shared" si="1141"/>
        <v>0</v>
      </c>
      <c r="G589" s="417">
        <f t="shared" si="1141"/>
        <v>0</v>
      </c>
      <c r="H589" s="417">
        <f t="shared" si="1141"/>
        <v>0</v>
      </c>
      <c r="I589" s="418">
        <f t="shared" si="1141"/>
        <v>0</v>
      </c>
      <c r="J589" s="419">
        <f t="shared" si="1141"/>
        <v>0</v>
      </c>
      <c r="K589" s="419">
        <f t="shared" si="1141"/>
        <v>0</v>
      </c>
      <c r="L589" s="419">
        <f t="shared" si="1141"/>
        <v>0</v>
      </c>
      <c r="M589" s="420">
        <f t="shared" si="1141"/>
        <v>0</v>
      </c>
      <c r="N589" s="417">
        <f t="shared" si="1141"/>
        <v>0</v>
      </c>
      <c r="O589" s="418">
        <f t="shared" si="1141"/>
        <v>0</v>
      </c>
      <c r="P589" s="419">
        <f t="shared" si="1141"/>
        <v>0</v>
      </c>
      <c r="Q589" s="419">
        <f t="shared" si="1141"/>
        <v>0</v>
      </c>
      <c r="R589" s="419">
        <f t="shared" si="1141"/>
        <v>0</v>
      </c>
      <c r="S589" s="420">
        <f t="shared" si="1141"/>
        <v>0</v>
      </c>
      <c r="T589" s="417">
        <f t="shared" si="1141"/>
        <v>0</v>
      </c>
      <c r="U589" s="418">
        <f t="shared" si="1141"/>
        <v>0</v>
      </c>
      <c r="V589" s="419">
        <f t="shared" si="1141"/>
        <v>0</v>
      </c>
      <c r="W589" s="419">
        <f t="shared" si="1141"/>
        <v>0</v>
      </c>
      <c r="X589" s="419">
        <f t="shared" si="1141"/>
        <v>0</v>
      </c>
      <c r="Y589" s="421">
        <f t="shared" si="1141"/>
        <v>0</v>
      </c>
      <c r="AA589" s="291"/>
      <c r="AB589" s="412"/>
      <c r="AC589" s="422"/>
      <c r="AD589" s="423" t="s">
        <v>30</v>
      </c>
      <c r="AE589" s="417">
        <f t="shared" ref="AE589:AQ589" si="1244">IFERROR(AE588/AE587,0)</f>
        <v>167.64035087719299</v>
      </c>
      <c r="AF589" s="418">
        <f t="shared" si="1244"/>
        <v>213.61818181818182</v>
      </c>
      <c r="AG589" s="419">
        <f t="shared" si="1244"/>
        <v>178.04615384615386</v>
      </c>
      <c r="AH589" s="419">
        <f t="shared" si="1244"/>
        <v>164.22499999999999</v>
      </c>
      <c r="AI589" s="419">
        <f t="shared" si="1244"/>
        <v>148.47826086956522</v>
      </c>
      <c r="AJ589" s="419">
        <f t="shared" si="1244"/>
        <v>147.72727272727272</v>
      </c>
      <c r="AK589" s="419">
        <f t="shared" si="1244"/>
        <v>157.84810126582278</v>
      </c>
      <c r="AL589" s="419">
        <f t="shared" si="1244"/>
        <v>166.25581395348837</v>
      </c>
      <c r="AM589" s="419">
        <f t="shared" si="1244"/>
        <v>172.04545454545453</v>
      </c>
      <c r="AN589" s="419">
        <f t="shared" si="1244"/>
        <v>0</v>
      </c>
      <c r="AO589" s="419">
        <f t="shared" si="1244"/>
        <v>0</v>
      </c>
      <c r="AP589" s="419">
        <f t="shared" si="1244"/>
        <v>0</v>
      </c>
      <c r="AQ589" s="421">
        <f t="shared" si="1244"/>
        <v>0</v>
      </c>
    </row>
    <row r="590" spans="2:43" ht="7.8" customHeight="1" x14ac:dyDescent="0.25">
      <c r="B590" s="282"/>
      <c r="C590" s="404"/>
      <c r="D590" s="433" t="s">
        <v>42</v>
      </c>
      <c r="E590" s="434" t="s">
        <v>32</v>
      </c>
      <c r="F590" s="435">
        <f t="shared" ref="F590:F591" si="1245">SUM(G590,H590,N590,T590)</f>
        <v>2198</v>
      </c>
      <c r="G590" s="435">
        <v>0</v>
      </c>
      <c r="H590" s="435">
        <v>200</v>
      </c>
      <c r="I590" s="436">
        <v>75</v>
      </c>
      <c r="J590" s="437">
        <v>100</v>
      </c>
      <c r="K590" s="437">
        <v>15</v>
      </c>
      <c r="L590" s="437">
        <v>10</v>
      </c>
      <c r="M590" s="438">
        <v>0</v>
      </c>
      <c r="N590" s="435">
        <f t="shared" ref="N590:N591" si="1246">SUM(O590:S590)</f>
        <v>525</v>
      </c>
      <c r="O590" s="436">
        <v>200</v>
      </c>
      <c r="P590" s="437">
        <v>300</v>
      </c>
      <c r="Q590" s="437">
        <v>25</v>
      </c>
      <c r="R590" s="437">
        <v>0</v>
      </c>
      <c r="S590" s="438">
        <v>0</v>
      </c>
      <c r="T590" s="435">
        <f t="shared" ref="T590:T591" si="1247">SUM(U590:Y590)</f>
        <v>1473</v>
      </c>
      <c r="U590" s="436">
        <v>248</v>
      </c>
      <c r="V590" s="437">
        <v>435</v>
      </c>
      <c r="W590" s="437">
        <v>552</v>
      </c>
      <c r="X590" s="437">
        <v>32</v>
      </c>
      <c r="Y590" s="439">
        <v>206</v>
      </c>
      <c r="AA590" s="291"/>
      <c r="AB590" s="412"/>
      <c r="AC590" s="440" t="s">
        <v>42</v>
      </c>
      <c r="AD590" s="441" t="s">
        <v>32</v>
      </c>
      <c r="AE590" s="442">
        <f t="shared" ref="AE590:AE591" si="1248">SUM(AF590:AQ590)</f>
        <v>2230</v>
      </c>
      <c r="AF590" s="443">
        <f>$P$104</f>
        <v>200</v>
      </c>
      <c r="AG590" s="444">
        <f>$P$158</f>
        <v>350</v>
      </c>
      <c r="AH590" s="444">
        <f>$P$212</f>
        <v>300</v>
      </c>
      <c r="AI590" s="444">
        <f>$P$266</f>
        <v>100</v>
      </c>
      <c r="AJ590" s="444">
        <f>$P$320</f>
        <v>100</v>
      </c>
      <c r="AK590" s="444">
        <f>$P$374</f>
        <v>200</v>
      </c>
      <c r="AL590" s="444">
        <f>$P$428</f>
        <v>105</v>
      </c>
      <c r="AM590" s="444">
        <f>$P$482</f>
        <v>100</v>
      </c>
      <c r="AN590" s="444">
        <f>$P$536</f>
        <v>250</v>
      </c>
      <c r="AO590" s="444">
        <f>$P$590</f>
        <v>300</v>
      </c>
      <c r="AP590" s="444">
        <f>$P$644</f>
        <v>150</v>
      </c>
      <c r="AQ590" s="445">
        <f>$P$698</f>
        <v>75</v>
      </c>
    </row>
    <row r="591" spans="2:43" s="41" customFormat="1" ht="7.8" customHeight="1" x14ac:dyDescent="0.25">
      <c r="B591" s="282"/>
      <c r="C591" s="404"/>
      <c r="D591" s="446"/>
      <c r="E591" s="447" t="s">
        <v>33</v>
      </c>
      <c r="F591" s="448">
        <f t="shared" si="1245"/>
        <v>351424</v>
      </c>
      <c r="G591" s="448">
        <v>0</v>
      </c>
      <c r="H591" s="448">
        <v>28595</v>
      </c>
      <c r="I591" s="449">
        <v>10500</v>
      </c>
      <c r="J591" s="450">
        <v>14500</v>
      </c>
      <c r="K591" s="450">
        <v>2175</v>
      </c>
      <c r="L591" s="450">
        <v>1420</v>
      </c>
      <c r="M591" s="451">
        <v>0</v>
      </c>
      <c r="N591" s="448">
        <f t="shared" si="1246"/>
        <v>75025</v>
      </c>
      <c r="O591" s="449">
        <v>30000</v>
      </c>
      <c r="P591" s="450">
        <v>41400</v>
      </c>
      <c r="Q591" s="450">
        <v>3625</v>
      </c>
      <c r="R591" s="450">
        <v>0</v>
      </c>
      <c r="S591" s="451">
        <v>0</v>
      </c>
      <c r="T591" s="448">
        <f t="shared" si="1247"/>
        <v>247804</v>
      </c>
      <c r="U591" s="449">
        <v>44640</v>
      </c>
      <c r="V591" s="450">
        <v>73080</v>
      </c>
      <c r="W591" s="450">
        <v>88320</v>
      </c>
      <c r="X591" s="450">
        <v>5920</v>
      </c>
      <c r="Y591" s="452">
        <v>35844</v>
      </c>
      <c r="AA591" s="291"/>
      <c r="AB591" s="412"/>
      <c r="AC591" s="453"/>
      <c r="AD591" s="454" t="s">
        <v>33</v>
      </c>
      <c r="AE591" s="455">
        <f t="shared" si="1248"/>
        <v>341850</v>
      </c>
      <c r="AF591" s="456">
        <f>$P$105</f>
        <v>34000</v>
      </c>
      <c r="AG591" s="457">
        <f>$P$159</f>
        <v>59500</v>
      </c>
      <c r="AH591" s="457">
        <f>$P$213</f>
        <v>47400</v>
      </c>
      <c r="AI591" s="457">
        <f>$P$267</f>
        <v>14500</v>
      </c>
      <c r="AJ591" s="457">
        <f>$P$321</f>
        <v>14200</v>
      </c>
      <c r="AK591" s="457">
        <f>$P$375</f>
        <v>30000</v>
      </c>
      <c r="AL591" s="457">
        <f>$P$429</f>
        <v>17850</v>
      </c>
      <c r="AM591" s="457">
        <f>$P$483</f>
        <v>16500</v>
      </c>
      <c r="AN591" s="457">
        <f>$P$537</f>
        <v>35750</v>
      </c>
      <c r="AO591" s="457">
        <f>$P$591</f>
        <v>41400</v>
      </c>
      <c r="AP591" s="457">
        <f>$P$645</f>
        <v>20250</v>
      </c>
      <c r="AQ591" s="458">
        <f>$P$699</f>
        <v>10500</v>
      </c>
    </row>
    <row r="592" spans="2:43" ht="7.8" customHeight="1" x14ac:dyDescent="0.25">
      <c r="B592" s="282"/>
      <c r="C592" s="404"/>
      <c r="D592" s="459"/>
      <c r="E592" s="460" t="s">
        <v>30</v>
      </c>
      <c r="F592" s="461">
        <f t="shared" si="1147"/>
        <v>159.88353048225659</v>
      </c>
      <c r="G592" s="461">
        <f t="shared" si="1147"/>
        <v>0</v>
      </c>
      <c r="H592" s="461">
        <f t="shared" si="1147"/>
        <v>142.97499999999999</v>
      </c>
      <c r="I592" s="462">
        <f t="shared" si="1147"/>
        <v>140</v>
      </c>
      <c r="J592" s="463">
        <f t="shared" si="1147"/>
        <v>145</v>
      </c>
      <c r="K592" s="463">
        <f t="shared" si="1147"/>
        <v>145</v>
      </c>
      <c r="L592" s="463">
        <f t="shared" si="1147"/>
        <v>142</v>
      </c>
      <c r="M592" s="464">
        <f t="shared" si="1147"/>
        <v>0</v>
      </c>
      <c r="N592" s="461">
        <f t="shared" si="1147"/>
        <v>142.9047619047619</v>
      </c>
      <c r="O592" s="462">
        <f t="shared" si="1147"/>
        <v>150</v>
      </c>
      <c r="P592" s="463">
        <f t="shared" si="1147"/>
        <v>138</v>
      </c>
      <c r="Q592" s="463">
        <f t="shared" si="1147"/>
        <v>145</v>
      </c>
      <c r="R592" s="463">
        <f t="shared" si="1147"/>
        <v>0</v>
      </c>
      <c r="S592" s="464">
        <f t="shared" si="1147"/>
        <v>0</v>
      </c>
      <c r="T592" s="461">
        <f t="shared" si="1147"/>
        <v>168.23082145281737</v>
      </c>
      <c r="U592" s="462">
        <f t="shared" si="1147"/>
        <v>180</v>
      </c>
      <c r="V592" s="463">
        <f t="shared" si="1147"/>
        <v>168</v>
      </c>
      <c r="W592" s="463">
        <f t="shared" si="1147"/>
        <v>160</v>
      </c>
      <c r="X592" s="463">
        <f t="shared" si="1147"/>
        <v>185</v>
      </c>
      <c r="Y592" s="465">
        <f t="shared" si="1147"/>
        <v>174</v>
      </c>
      <c r="AA592" s="291"/>
      <c r="AB592" s="412"/>
      <c r="AC592" s="466"/>
      <c r="AD592" s="467" t="s">
        <v>30</v>
      </c>
      <c r="AE592" s="468">
        <f t="shared" ref="AE592:AQ592" si="1249">IFERROR(AE591/AE590,0)</f>
        <v>153.29596412556054</v>
      </c>
      <c r="AF592" s="469">
        <f t="shared" si="1249"/>
        <v>170</v>
      </c>
      <c r="AG592" s="470">
        <f t="shared" si="1249"/>
        <v>170</v>
      </c>
      <c r="AH592" s="470">
        <f t="shared" si="1249"/>
        <v>158</v>
      </c>
      <c r="AI592" s="470">
        <f t="shared" si="1249"/>
        <v>145</v>
      </c>
      <c r="AJ592" s="470">
        <f t="shared" si="1249"/>
        <v>142</v>
      </c>
      <c r="AK592" s="470">
        <f t="shared" si="1249"/>
        <v>150</v>
      </c>
      <c r="AL592" s="470">
        <f t="shared" si="1249"/>
        <v>170</v>
      </c>
      <c r="AM592" s="470">
        <f t="shared" si="1249"/>
        <v>165</v>
      </c>
      <c r="AN592" s="470">
        <f t="shared" si="1249"/>
        <v>143</v>
      </c>
      <c r="AO592" s="470">
        <f t="shared" si="1249"/>
        <v>138</v>
      </c>
      <c r="AP592" s="470">
        <f t="shared" si="1249"/>
        <v>135</v>
      </c>
      <c r="AQ592" s="471">
        <f t="shared" si="1249"/>
        <v>140</v>
      </c>
    </row>
    <row r="593" spans="1:43" ht="7.8" customHeight="1" x14ac:dyDescent="0.25">
      <c r="B593" s="282"/>
      <c r="C593" s="404"/>
      <c r="D593" s="472" t="s">
        <v>43</v>
      </c>
      <c r="E593" s="425" t="s">
        <v>32</v>
      </c>
      <c r="F593" s="426">
        <f t="shared" ref="F593:Y595" si="1250">F590-F587</f>
        <v>2198</v>
      </c>
      <c r="G593" s="426">
        <f t="shared" si="1250"/>
        <v>0</v>
      </c>
      <c r="H593" s="426">
        <f t="shared" si="1250"/>
        <v>200</v>
      </c>
      <c r="I593" s="427">
        <f t="shared" si="1250"/>
        <v>75</v>
      </c>
      <c r="J593" s="428">
        <f t="shared" si="1250"/>
        <v>100</v>
      </c>
      <c r="K593" s="428">
        <f t="shared" si="1250"/>
        <v>15</v>
      </c>
      <c r="L593" s="428">
        <f t="shared" si="1250"/>
        <v>10</v>
      </c>
      <c r="M593" s="429">
        <f t="shared" si="1250"/>
        <v>0</v>
      </c>
      <c r="N593" s="426">
        <f t="shared" si="1250"/>
        <v>525</v>
      </c>
      <c r="O593" s="427">
        <f t="shared" si="1250"/>
        <v>200</v>
      </c>
      <c r="P593" s="428">
        <f t="shared" si="1250"/>
        <v>300</v>
      </c>
      <c r="Q593" s="428">
        <f t="shared" si="1250"/>
        <v>25</v>
      </c>
      <c r="R593" s="428">
        <f t="shared" si="1250"/>
        <v>0</v>
      </c>
      <c r="S593" s="429">
        <f t="shared" si="1250"/>
        <v>0</v>
      </c>
      <c r="T593" s="426">
        <f t="shared" si="1250"/>
        <v>1473</v>
      </c>
      <c r="U593" s="427">
        <f t="shared" si="1250"/>
        <v>248</v>
      </c>
      <c r="V593" s="428">
        <f t="shared" si="1250"/>
        <v>435</v>
      </c>
      <c r="W593" s="428">
        <f t="shared" si="1250"/>
        <v>552</v>
      </c>
      <c r="X593" s="428">
        <f t="shared" si="1250"/>
        <v>32</v>
      </c>
      <c r="Y593" s="430">
        <f t="shared" si="1250"/>
        <v>206</v>
      </c>
      <c r="AA593" s="291"/>
      <c r="AB593" s="412"/>
      <c r="AC593" s="473" t="s">
        <v>43</v>
      </c>
      <c r="AD593" s="432" t="s">
        <v>32</v>
      </c>
      <c r="AE593" s="426">
        <f t="shared" ref="AE593:AQ595" si="1251">AE590-AE587</f>
        <v>1774</v>
      </c>
      <c r="AF593" s="427">
        <f t="shared" si="1251"/>
        <v>145</v>
      </c>
      <c r="AG593" s="428">
        <f t="shared" si="1251"/>
        <v>285</v>
      </c>
      <c r="AH593" s="428">
        <f t="shared" si="1251"/>
        <v>220</v>
      </c>
      <c r="AI593" s="428">
        <f t="shared" si="1251"/>
        <v>54</v>
      </c>
      <c r="AJ593" s="428">
        <f t="shared" si="1251"/>
        <v>34</v>
      </c>
      <c r="AK593" s="428">
        <f t="shared" si="1251"/>
        <v>121</v>
      </c>
      <c r="AL593" s="428">
        <f t="shared" si="1251"/>
        <v>62</v>
      </c>
      <c r="AM593" s="428">
        <f t="shared" si="1251"/>
        <v>78</v>
      </c>
      <c r="AN593" s="428">
        <f t="shared" si="1251"/>
        <v>250</v>
      </c>
      <c r="AO593" s="428">
        <f t="shared" si="1251"/>
        <v>300</v>
      </c>
      <c r="AP593" s="428">
        <f t="shared" si="1251"/>
        <v>150</v>
      </c>
      <c r="AQ593" s="430">
        <f t="shared" si="1251"/>
        <v>75</v>
      </c>
    </row>
    <row r="594" spans="1:43" s="366" customFormat="1" ht="7.8" customHeight="1" x14ac:dyDescent="0.25">
      <c r="B594" s="282"/>
      <c r="C594" s="404"/>
      <c r="D594" s="405"/>
      <c r="E594" s="474" t="s">
        <v>33</v>
      </c>
      <c r="F594" s="407">
        <f t="shared" si="1250"/>
        <v>351424</v>
      </c>
      <c r="G594" s="407">
        <f t="shared" si="1250"/>
        <v>0</v>
      </c>
      <c r="H594" s="407">
        <f t="shared" si="1250"/>
        <v>28595</v>
      </c>
      <c r="I594" s="408">
        <f t="shared" si="1250"/>
        <v>10500</v>
      </c>
      <c r="J594" s="409">
        <f t="shared" si="1250"/>
        <v>14500</v>
      </c>
      <c r="K594" s="409">
        <f t="shared" si="1250"/>
        <v>2175</v>
      </c>
      <c r="L594" s="409">
        <f t="shared" si="1250"/>
        <v>1420</v>
      </c>
      <c r="M594" s="410">
        <f t="shared" si="1250"/>
        <v>0</v>
      </c>
      <c r="N594" s="407">
        <f t="shared" si="1250"/>
        <v>75025</v>
      </c>
      <c r="O594" s="408">
        <f t="shared" si="1250"/>
        <v>30000</v>
      </c>
      <c r="P594" s="409">
        <f t="shared" si="1250"/>
        <v>41400</v>
      </c>
      <c r="Q594" s="409">
        <f t="shared" si="1250"/>
        <v>3625</v>
      </c>
      <c r="R594" s="409">
        <f t="shared" si="1250"/>
        <v>0</v>
      </c>
      <c r="S594" s="410">
        <f t="shared" si="1250"/>
        <v>0</v>
      </c>
      <c r="T594" s="407">
        <f t="shared" si="1250"/>
        <v>247804</v>
      </c>
      <c r="U594" s="408">
        <f t="shared" si="1250"/>
        <v>44640</v>
      </c>
      <c r="V594" s="409">
        <f t="shared" si="1250"/>
        <v>73080</v>
      </c>
      <c r="W594" s="409">
        <f t="shared" si="1250"/>
        <v>88320</v>
      </c>
      <c r="X594" s="409">
        <f t="shared" si="1250"/>
        <v>5920</v>
      </c>
      <c r="Y594" s="411">
        <f t="shared" si="1250"/>
        <v>35844</v>
      </c>
      <c r="AA594" s="291"/>
      <c r="AB594" s="412"/>
      <c r="AC594" s="475"/>
      <c r="AD594" s="476" t="s">
        <v>33</v>
      </c>
      <c r="AE594" s="407">
        <f t="shared" si="1251"/>
        <v>265406</v>
      </c>
      <c r="AF594" s="408">
        <f t="shared" si="1251"/>
        <v>22251</v>
      </c>
      <c r="AG594" s="409">
        <f t="shared" si="1251"/>
        <v>47927</v>
      </c>
      <c r="AH594" s="409">
        <f t="shared" si="1251"/>
        <v>34262</v>
      </c>
      <c r="AI594" s="409">
        <f t="shared" si="1251"/>
        <v>7670</v>
      </c>
      <c r="AJ594" s="409">
        <f t="shared" si="1251"/>
        <v>4450</v>
      </c>
      <c r="AK594" s="409">
        <f t="shared" si="1251"/>
        <v>17530</v>
      </c>
      <c r="AL594" s="409">
        <f t="shared" si="1251"/>
        <v>10701</v>
      </c>
      <c r="AM594" s="409">
        <f t="shared" si="1251"/>
        <v>12715</v>
      </c>
      <c r="AN594" s="409">
        <f t="shared" si="1251"/>
        <v>35750</v>
      </c>
      <c r="AO594" s="409">
        <f t="shared" si="1251"/>
        <v>41400</v>
      </c>
      <c r="AP594" s="409">
        <f t="shared" si="1251"/>
        <v>20250</v>
      </c>
      <c r="AQ594" s="411">
        <f t="shared" si="1251"/>
        <v>10500</v>
      </c>
    </row>
    <row r="595" spans="1:43" ht="7.8" customHeight="1" x14ac:dyDescent="0.25">
      <c r="B595" s="282"/>
      <c r="C595" s="404"/>
      <c r="D595" s="415"/>
      <c r="E595" s="416" t="s">
        <v>30</v>
      </c>
      <c r="F595" s="417">
        <f t="shared" si="1250"/>
        <v>159.88353048225659</v>
      </c>
      <c r="G595" s="417">
        <f t="shared" si="1250"/>
        <v>0</v>
      </c>
      <c r="H595" s="417">
        <f t="shared" si="1250"/>
        <v>142.97499999999999</v>
      </c>
      <c r="I595" s="418">
        <f t="shared" si="1250"/>
        <v>140</v>
      </c>
      <c r="J595" s="419">
        <f t="shared" si="1250"/>
        <v>145</v>
      </c>
      <c r="K595" s="419">
        <f t="shared" si="1250"/>
        <v>145</v>
      </c>
      <c r="L595" s="419">
        <f t="shared" si="1250"/>
        <v>142</v>
      </c>
      <c r="M595" s="420">
        <f t="shared" si="1250"/>
        <v>0</v>
      </c>
      <c r="N595" s="417">
        <f t="shared" si="1250"/>
        <v>142.9047619047619</v>
      </c>
      <c r="O595" s="418">
        <f t="shared" si="1250"/>
        <v>150</v>
      </c>
      <c r="P595" s="419">
        <f t="shared" si="1250"/>
        <v>138</v>
      </c>
      <c r="Q595" s="419">
        <f t="shared" si="1250"/>
        <v>145</v>
      </c>
      <c r="R595" s="419">
        <f t="shared" si="1250"/>
        <v>0</v>
      </c>
      <c r="S595" s="420">
        <f t="shared" si="1250"/>
        <v>0</v>
      </c>
      <c r="T595" s="417">
        <f t="shared" si="1250"/>
        <v>168.23082145281737</v>
      </c>
      <c r="U595" s="418">
        <f t="shared" si="1250"/>
        <v>180</v>
      </c>
      <c r="V595" s="419">
        <f t="shared" si="1250"/>
        <v>168</v>
      </c>
      <c r="W595" s="419">
        <f t="shared" si="1250"/>
        <v>160</v>
      </c>
      <c r="X595" s="419">
        <f t="shared" si="1250"/>
        <v>185</v>
      </c>
      <c r="Y595" s="421">
        <f t="shared" si="1250"/>
        <v>174</v>
      </c>
      <c r="AA595" s="291"/>
      <c r="AB595" s="412"/>
      <c r="AC595" s="477"/>
      <c r="AD595" s="423" t="s">
        <v>30</v>
      </c>
      <c r="AE595" s="417">
        <f t="shared" si="1251"/>
        <v>-14.344386751632442</v>
      </c>
      <c r="AF595" s="418">
        <f t="shared" si="1251"/>
        <v>-43.618181818181824</v>
      </c>
      <c r="AG595" s="419">
        <f t="shared" si="1251"/>
        <v>-8.0461538461538566</v>
      </c>
      <c r="AH595" s="419">
        <f t="shared" si="1251"/>
        <v>-6.2249999999999943</v>
      </c>
      <c r="AI595" s="419">
        <f t="shared" si="1251"/>
        <v>-3.4782608695652186</v>
      </c>
      <c r="AJ595" s="419">
        <f t="shared" si="1251"/>
        <v>-5.7272727272727195</v>
      </c>
      <c r="AK595" s="419">
        <f t="shared" si="1251"/>
        <v>-7.8481012658227769</v>
      </c>
      <c r="AL595" s="419">
        <f t="shared" si="1251"/>
        <v>3.7441860465116292</v>
      </c>
      <c r="AM595" s="419">
        <f t="shared" si="1251"/>
        <v>-7.0454545454545325</v>
      </c>
      <c r="AN595" s="419">
        <f t="shared" si="1251"/>
        <v>143</v>
      </c>
      <c r="AO595" s="419">
        <f t="shared" si="1251"/>
        <v>138</v>
      </c>
      <c r="AP595" s="419">
        <f t="shared" si="1251"/>
        <v>135</v>
      </c>
      <c r="AQ595" s="421">
        <f t="shared" si="1251"/>
        <v>140</v>
      </c>
    </row>
    <row r="596" spans="1:43" ht="7.8" customHeight="1" x14ac:dyDescent="0.25">
      <c r="B596" s="282"/>
      <c r="C596" s="404"/>
      <c r="D596" s="472" t="s">
        <v>44</v>
      </c>
      <c r="E596" s="425" t="s">
        <v>32</v>
      </c>
      <c r="F596" s="478" t="str">
        <f t="shared" ref="F596:Y598" si="1252">IFERROR((F590-F587)/ABS(F587),"")</f>
        <v/>
      </c>
      <c r="G596" s="478" t="str">
        <f t="shared" si="1252"/>
        <v/>
      </c>
      <c r="H596" s="478" t="str">
        <f t="shared" si="1252"/>
        <v/>
      </c>
      <c r="I596" s="479" t="str">
        <f t="shared" si="1252"/>
        <v/>
      </c>
      <c r="J596" s="480" t="str">
        <f t="shared" si="1252"/>
        <v/>
      </c>
      <c r="K596" s="480" t="str">
        <f t="shared" si="1252"/>
        <v/>
      </c>
      <c r="L596" s="480" t="str">
        <f t="shared" si="1252"/>
        <v/>
      </c>
      <c r="M596" s="481" t="str">
        <f t="shared" si="1252"/>
        <v/>
      </c>
      <c r="N596" s="478" t="str">
        <f t="shared" si="1252"/>
        <v/>
      </c>
      <c r="O596" s="479" t="str">
        <f t="shared" si="1252"/>
        <v/>
      </c>
      <c r="P596" s="480" t="str">
        <f t="shared" si="1252"/>
        <v/>
      </c>
      <c r="Q596" s="480" t="str">
        <f t="shared" si="1252"/>
        <v/>
      </c>
      <c r="R596" s="480" t="str">
        <f t="shared" si="1252"/>
        <v/>
      </c>
      <c r="S596" s="481" t="str">
        <f t="shared" si="1252"/>
        <v/>
      </c>
      <c r="T596" s="478" t="str">
        <f t="shared" si="1252"/>
        <v/>
      </c>
      <c r="U596" s="479" t="str">
        <f t="shared" si="1252"/>
        <v/>
      </c>
      <c r="V596" s="480" t="str">
        <f t="shared" si="1252"/>
        <v/>
      </c>
      <c r="W596" s="480" t="str">
        <f t="shared" si="1252"/>
        <v/>
      </c>
      <c r="X596" s="480" t="str">
        <f t="shared" si="1252"/>
        <v/>
      </c>
      <c r="Y596" s="482" t="str">
        <f t="shared" si="1252"/>
        <v/>
      </c>
      <c r="AA596" s="291"/>
      <c r="AB596" s="412"/>
      <c r="AC596" s="473" t="s">
        <v>44</v>
      </c>
      <c r="AD596" s="432" t="s">
        <v>32</v>
      </c>
      <c r="AE596" s="478">
        <f t="shared" ref="AE596:AQ598" si="1253">IFERROR((AE590-AE587)/ABS(AE587),"")</f>
        <v>3.8903508771929824</v>
      </c>
      <c r="AF596" s="479">
        <f t="shared" si="1253"/>
        <v>2.6363636363636362</v>
      </c>
      <c r="AG596" s="480">
        <f t="shared" si="1253"/>
        <v>4.384615384615385</v>
      </c>
      <c r="AH596" s="480">
        <f t="shared" si="1253"/>
        <v>2.75</v>
      </c>
      <c r="AI596" s="480">
        <f t="shared" si="1253"/>
        <v>1.173913043478261</v>
      </c>
      <c r="AJ596" s="480">
        <f t="shared" si="1253"/>
        <v>0.51515151515151514</v>
      </c>
      <c r="AK596" s="480">
        <f t="shared" si="1253"/>
        <v>1.5316455696202531</v>
      </c>
      <c r="AL596" s="480">
        <f t="shared" si="1253"/>
        <v>1.441860465116279</v>
      </c>
      <c r="AM596" s="480">
        <f t="shared" si="1253"/>
        <v>3.5454545454545454</v>
      </c>
      <c r="AN596" s="480" t="str">
        <f t="shared" si="1253"/>
        <v/>
      </c>
      <c r="AO596" s="480" t="str">
        <f t="shared" si="1253"/>
        <v/>
      </c>
      <c r="AP596" s="480" t="str">
        <f t="shared" si="1253"/>
        <v/>
      </c>
      <c r="AQ596" s="482" t="str">
        <f t="shared" si="1253"/>
        <v/>
      </c>
    </row>
    <row r="597" spans="1:43" ht="7.8" customHeight="1" x14ac:dyDescent="0.25">
      <c r="B597" s="282"/>
      <c r="C597" s="404"/>
      <c r="D597" s="405"/>
      <c r="E597" s="483" t="s">
        <v>33</v>
      </c>
      <c r="F597" s="484" t="str">
        <f t="shared" si="1252"/>
        <v/>
      </c>
      <c r="G597" s="484" t="str">
        <f t="shared" si="1252"/>
        <v/>
      </c>
      <c r="H597" s="484" t="str">
        <f t="shared" si="1252"/>
        <v/>
      </c>
      <c r="I597" s="485" t="str">
        <f t="shared" si="1252"/>
        <v/>
      </c>
      <c r="J597" s="486" t="str">
        <f t="shared" si="1252"/>
        <v/>
      </c>
      <c r="K597" s="486" t="str">
        <f t="shared" si="1252"/>
        <v/>
      </c>
      <c r="L597" s="486" t="str">
        <f t="shared" si="1252"/>
        <v/>
      </c>
      <c r="M597" s="487" t="str">
        <f t="shared" si="1252"/>
        <v/>
      </c>
      <c r="N597" s="484" t="str">
        <f t="shared" si="1252"/>
        <v/>
      </c>
      <c r="O597" s="485" t="str">
        <f t="shared" si="1252"/>
        <v/>
      </c>
      <c r="P597" s="486" t="str">
        <f t="shared" si="1252"/>
        <v/>
      </c>
      <c r="Q597" s="486" t="str">
        <f t="shared" si="1252"/>
        <v/>
      </c>
      <c r="R597" s="486" t="str">
        <f t="shared" si="1252"/>
        <v/>
      </c>
      <c r="S597" s="487" t="str">
        <f t="shared" si="1252"/>
        <v/>
      </c>
      <c r="T597" s="484" t="str">
        <f t="shared" si="1252"/>
        <v/>
      </c>
      <c r="U597" s="485" t="str">
        <f t="shared" si="1252"/>
        <v/>
      </c>
      <c r="V597" s="486" t="str">
        <f t="shared" si="1252"/>
        <v/>
      </c>
      <c r="W597" s="486" t="str">
        <f t="shared" si="1252"/>
        <v/>
      </c>
      <c r="X597" s="486" t="str">
        <f t="shared" si="1252"/>
        <v/>
      </c>
      <c r="Y597" s="488" t="str">
        <f t="shared" si="1252"/>
        <v/>
      </c>
      <c r="AA597" s="291"/>
      <c r="AB597" s="412"/>
      <c r="AC597" s="475"/>
      <c r="AD597" s="489" t="s">
        <v>33</v>
      </c>
      <c r="AE597" s="484">
        <f t="shared" si="1253"/>
        <v>3.4719009994244154</v>
      </c>
      <c r="AF597" s="485">
        <f t="shared" si="1253"/>
        <v>1.8938633075155333</v>
      </c>
      <c r="AG597" s="486">
        <f t="shared" si="1253"/>
        <v>4.1412771105158557</v>
      </c>
      <c r="AH597" s="486">
        <f t="shared" si="1253"/>
        <v>2.6078550768762367</v>
      </c>
      <c r="AI597" s="486">
        <f t="shared" si="1253"/>
        <v>1.1229868228404098</v>
      </c>
      <c r="AJ597" s="486">
        <f t="shared" si="1253"/>
        <v>0.4564102564102564</v>
      </c>
      <c r="AK597" s="486">
        <f t="shared" si="1253"/>
        <v>1.4057738572574179</v>
      </c>
      <c r="AL597" s="486">
        <f t="shared" si="1253"/>
        <v>1.4968527066722619</v>
      </c>
      <c r="AM597" s="486">
        <f t="shared" si="1253"/>
        <v>3.3593130779392339</v>
      </c>
      <c r="AN597" s="486" t="str">
        <f t="shared" si="1253"/>
        <v/>
      </c>
      <c r="AO597" s="486" t="str">
        <f t="shared" si="1253"/>
        <v/>
      </c>
      <c r="AP597" s="486" t="str">
        <f t="shared" si="1253"/>
        <v/>
      </c>
      <c r="AQ597" s="488" t="str">
        <f t="shared" si="1253"/>
        <v/>
      </c>
    </row>
    <row r="598" spans="1:43" ht="7.8" customHeight="1" x14ac:dyDescent="0.25">
      <c r="B598" s="282"/>
      <c r="C598" s="502"/>
      <c r="D598" s="503"/>
      <c r="E598" s="504" t="s">
        <v>30</v>
      </c>
      <c r="F598" s="505" t="str">
        <f t="shared" si="1252"/>
        <v/>
      </c>
      <c r="G598" s="505" t="str">
        <f t="shared" si="1252"/>
        <v/>
      </c>
      <c r="H598" s="505" t="str">
        <f t="shared" si="1252"/>
        <v/>
      </c>
      <c r="I598" s="506" t="str">
        <f t="shared" si="1252"/>
        <v/>
      </c>
      <c r="J598" s="507" t="str">
        <f t="shared" si="1252"/>
        <v/>
      </c>
      <c r="K598" s="507" t="str">
        <f t="shared" si="1252"/>
        <v/>
      </c>
      <c r="L598" s="507" t="str">
        <f t="shared" si="1252"/>
        <v/>
      </c>
      <c r="M598" s="508" t="str">
        <f t="shared" si="1252"/>
        <v/>
      </c>
      <c r="N598" s="505" t="str">
        <f t="shared" si="1252"/>
        <v/>
      </c>
      <c r="O598" s="506" t="str">
        <f t="shared" si="1252"/>
        <v/>
      </c>
      <c r="P598" s="507" t="str">
        <f t="shared" si="1252"/>
        <v/>
      </c>
      <c r="Q598" s="507" t="str">
        <f t="shared" si="1252"/>
        <v/>
      </c>
      <c r="R598" s="507" t="str">
        <f t="shared" si="1252"/>
        <v/>
      </c>
      <c r="S598" s="508" t="str">
        <f t="shared" si="1252"/>
        <v/>
      </c>
      <c r="T598" s="505" t="str">
        <f t="shared" si="1252"/>
        <v/>
      </c>
      <c r="U598" s="506" t="str">
        <f t="shared" si="1252"/>
        <v/>
      </c>
      <c r="V598" s="507" t="str">
        <f t="shared" si="1252"/>
        <v/>
      </c>
      <c r="W598" s="507" t="str">
        <f t="shared" si="1252"/>
        <v/>
      </c>
      <c r="X598" s="507" t="str">
        <f t="shared" si="1252"/>
        <v/>
      </c>
      <c r="Y598" s="509" t="str">
        <f t="shared" si="1252"/>
        <v/>
      </c>
      <c r="AA598" s="291"/>
      <c r="AB598" s="510"/>
      <c r="AC598" s="511"/>
      <c r="AD598" s="512" t="s">
        <v>30</v>
      </c>
      <c r="AE598" s="505">
        <f t="shared" si="1253"/>
        <v>-8.556643240469354E-2</v>
      </c>
      <c r="AF598" s="506">
        <f t="shared" si="1253"/>
        <v>-0.20418759043322837</v>
      </c>
      <c r="AG598" s="507">
        <f t="shared" si="1253"/>
        <v>-4.5191393761341112E-2</v>
      </c>
      <c r="AH598" s="507">
        <f t="shared" si="1253"/>
        <v>-3.7905312833003468E-2</v>
      </c>
      <c r="AI598" s="507">
        <f t="shared" si="1253"/>
        <v>-2.3426061493411428E-2</v>
      </c>
      <c r="AJ598" s="507">
        <f t="shared" si="1253"/>
        <v>-3.8769230769230716E-2</v>
      </c>
      <c r="AK598" s="507">
        <f t="shared" si="1253"/>
        <v>-4.9719326383319919E-2</v>
      </c>
      <c r="AL598" s="507">
        <f t="shared" si="1253"/>
        <v>2.2520632256259623E-2</v>
      </c>
      <c r="AM598" s="507">
        <f t="shared" si="1253"/>
        <v>-4.0951122853368487E-2</v>
      </c>
      <c r="AN598" s="507" t="str">
        <f t="shared" si="1253"/>
        <v/>
      </c>
      <c r="AO598" s="507" t="str">
        <f t="shared" si="1253"/>
        <v/>
      </c>
      <c r="AP598" s="507" t="str">
        <f t="shared" si="1253"/>
        <v/>
      </c>
      <c r="AQ598" s="509" t="str">
        <f t="shared" si="1253"/>
        <v/>
      </c>
    </row>
    <row r="599" spans="1:43" ht="7.8" customHeight="1" x14ac:dyDescent="0.25">
      <c r="B599" s="282" t="s">
        <v>68</v>
      </c>
      <c r="C599" s="283" t="s">
        <v>9</v>
      </c>
      <c r="D599" s="284" t="s">
        <v>39</v>
      </c>
      <c r="E599" s="285" t="s">
        <v>32</v>
      </c>
      <c r="F599" s="286">
        <f t="shared" ref="F599:F600" si="1254">SUM(G599,H599,N599,T599)</f>
        <v>0</v>
      </c>
      <c r="G599" s="286">
        <f t="shared" ref="G599:G654" si="1255">SUM(G617,G635)</f>
        <v>0</v>
      </c>
      <c r="H599" s="286">
        <f t="shared" ref="H599:H600" si="1256">SUM(I599:M599)</f>
        <v>0</v>
      </c>
      <c r="I599" s="287">
        <f t="shared" ref="I599:M600" si="1257">SUM(I617,I635)</f>
        <v>0</v>
      </c>
      <c r="J599" s="288">
        <f t="shared" si="1257"/>
        <v>0</v>
      </c>
      <c r="K599" s="288">
        <f t="shared" si="1257"/>
        <v>0</v>
      </c>
      <c r="L599" s="288">
        <f t="shared" si="1257"/>
        <v>0</v>
      </c>
      <c r="M599" s="289">
        <f t="shared" si="1257"/>
        <v>0</v>
      </c>
      <c r="N599" s="286">
        <f t="shared" ref="N599:N600" si="1258">SUM(O599:S599)</f>
        <v>0</v>
      </c>
      <c r="O599" s="287">
        <f t="shared" ref="O599:S600" si="1259">SUM(O617,O635)</f>
        <v>0</v>
      </c>
      <c r="P599" s="288">
        <f t="shared" si="1259"/>
        <v>0</v>
      </c>
      <c r="Q599" s="288">
        <f t="shared" si="1259"/>
        <v>0</v>
      </c>
      <c r="R599" s="288">
        <f t="shared" si="1259"/>
        <v>0</v>
      </c>
      <c r="S599" s="289">
        <f t="shared" si="1259"/>
        <v>0</v>
      </c>
      <c r="T599" s="286">
        <f t="shared" ref="T599:T600" si="1260">SUM(U599:Y599)</f>
        <v>0</v>
      </c>
      <c r="U599" s="287">
        <f t="shared" ref="U599:Y600" si="1261">SUM(U617,U635)</f>
        <v>0</v>
      </c>
      <c r="V599" s="288">
        <f t="shared" si="1261"/>
        <v>0</v>
      </c>
      <c r="W599" s="288">
        <f t="shared" si="1261"/>
        <v>0</v>
      </c>
      <c r="X599" s="288">
        <f t="shared" si="1261"/>
        <v>0</v>
      </c>
      <c r="Y599" s="290">
        <f t="shared" si="1261"/>
        <v>0</v>
      </c>
      <c r="AA599" s="291" t="s">
        <v>57</v>
      </c>
      <c r="AB599" s="292" t="s">
        <v>9</v>
      </c>
      <c r="AC599" s="293" t="s">
        <v>39</v>
      </c>
      <c r="AD599" s="294" t="s">
        <v>32</v>
      </c>
      <c r="AE599" s="286">
        <f t="shared" ref="AE599:AE600" si="1262">SUM(AF599:AQ599)</f>
        <v>0</v>
      </c>
      <c r="AF599" s="287">
        <f t="shared" ref="AF599:AQ600" si="1263">SUM(AF617,AF635)</f>
        <v>0</v>
      </c>
      <c r="AG599" s="288">
        <f t="shared" si="1263"/>
        <v>0</v>
      </c>
      <c r="AH599" s="288">
        <f t="shared" si="1263"/>
        <v>0</v>
      </c>
      <c r="AI599" s="288">
        <f t="shared" si="1263"/>
        <v>0</v>
      </c>
      <c r="AJ599" s="288">
        <f t="shared" si="1263"/>
        <v>0</v>
      </c>
      <c r="AK599" s="288">
        <f t="shared" si="1263"/>
        <v>0</v>
      </c>
      <c r="AL599" s="288">
        <f t="shared" si="1263"/>
        <v>0</v>
      </c>
      <c r="AM599" s="288">
        <f t="shared" si="1263"/>
        <v>0</v>
      </c>
      <c r="AN599" s="288">
        <f t="shared" si="1263"/>
        <v>0</v>
      </c>
      <c r="AO599" s="288">
        <f t="shared" si="1263"/>
        <v>0</v>
      </c>
      <c r="AP599" s="288">
        <f t="shared" si="1263"/>
        <v>0</v>
      </c>
      <c r="AQ599" s="290">
        <f t="shared" si="1263"/>
        <v>0</v>
      </c>
    </row>
    <row r="600" spans="1:43" s="41" customFormat="1" ht="7.8" customHeight="1" x14ac:dyDescent="0.25">
      <c r="B600" s="282"/>
      <c r="C600" s="295"/>
      <c r="D600" s="296"/>
      <c r="E600" s="297" t="s">
        <v>33</v>
      </c>
      <c r="F600" s="298">
        <f t="shared" si="1254"/>
        <v>0</v>
      </c>
      <c r="G600" s="298">
        <f t="shared" si="1255"/>
        <v>0</v>
      </c>
      <c r="H600" s="298">
        <f t="shared" si="1256"/>
        <v>0</v>
      </c>
      <c r="I600" s="299">
        <f t="shared" si="1257"/>
        <v>0</v>
      </c>
      <c r="J600" s="300">
        <f t="shared" si="1257"/>
        <v>0</v>
      </c>
      <c r="K600" s="300">
        <f t="shared" si="1257"/>
        <v>0</v>
      </c>
      <c r="L600" s="300">
        <f t="shared" si="1257"/>
        <v>0</v>
      </c>
      <c r="M600" s="301">
        <f t="shared" si="1257"/>
        <v>0</v>
      </c>
      <c r="N600" s="298">
        <f t="shared" si="1258"/>
        <v>0</v>
      </c>
      <c r="O600" s="299">
        <f t="shared" si="1259"/>
        <v>0</v>
      </c>
      <c r="P600" s="300">
        <f t="shared" si="1259"/>
        <v>0</v>
      </c>
      <c r="Q600" s="300">
        <f t="shared" si="1259"/>
        <v>0</v>
      </c>
      <c r="R600" s="300">
        <f t="shared" si="1259"/>
        <v>0</v>
      </c>
      <c r="S600" s="301">
        <f t="shared" si="1259"/>
        <v>0</v>
      </c>
      <c r="T600" s="298">
        <f t="shared" si="1260"/>
        <v>0</v>
      </c>
      <c r="U600" s="299">
        <f t="shared" si="1261"/>
        <v>0</v>
      </c>
      <c r="V600" s="300">
        <f t="shared" si="1261"/>
        <v>0</v>
      </c>
      <c r="W600" s="300">
        <f t="shared" si="1261"/>
        <v>0</v>
      </c>
      <c r="X600" s="300">
        <f t="shared" si="1261"/>
        <v>0</v>
      </c>
      <c r="Y600" s="302">
        <f t="shared" si="1261"/>
        <v>0</v>
      </c>
      <c r="AA600" s="291"/>
      <c r="AB600" s="303"/>
      <c r="AC600" s="304"/>
      <c r="AD600" s="305" t="s">
        <v>33</v>
      </c>
      <c r="AE600" s="298">
        <f t="shared" si="1262"/>
        <v>0</v>
      </c>
      <c r="AF600" s="299">
        <f t="shared" si="1263"/>
        <v>0</v>
      </c>
      <c r="AG600" s="300">
        <f t="shared" si="1263"/>
        <v>0</v>
      </c>
      <c r="AH600" s="300">
        <f t="shared" si="1263"/>
        <v>0</v>
      </c>
      <c r="AI600" s="300">
        <f t="shared" si="1263"/>
        <v>0</v>
      </c>
      <c r="AJ600" s="300">
        <f t="shared" si="1263"/>
        <v>0</v>
      </c>
      <c r="AK600" s="300">
        <f t="shared" si="1263"/>
        <v>0</v>
      </c>
      <c r="AL600" s="300">
        <f t="shared" si="1263"/>
        <v>0</v>
      </c>
      <c r="AM600" s="300">
        <f t="shared" si="1263"/>
        <v>0</v>
      </c>
      <c r="AN600" s="300">
        <f t="shared" si="1263"/>
        <v>0</v>
      </c>
      <c r="AO600" s="300">
        <f t="shared" si="1263"/>
        <v>0</v>
      </c>
      <c r="AP600" s="300">
        <f t="shared" si="1263"/>
        <v>0</v>
      </c>
      <c r="AQ600" s="302">
        <f t="shared" si="1263"/>
        <v>0</v>
      </c>
    </row>
    <row r="601" spans="1:43" ht="7.8" customHeight="1" x14ac:dyDescent="0.25">
      <c r="B601" s="282"/>
      <c r="C601" s="295"/>
      <c r="D601" s="306"/>
      <c r="E601" s="307" t="s">
        <v>30</v>
      </c>
      <c r="F601" s="308">
        <f t="shared" ref="F601:Y655" si="1264">IFERROR(F600/F599,0)</f>
        <v>0</v>
      </c>
      <c r="G601" s="308">
        <f t="shared" si="1264"/>
        <v>0</v>
      </c>
      <c r="H601" s="308">
        <f t="shared" si="1264"/>
        <v>0</v>
      </c>
      <c r="I601" s="309">
        <f t="shared" si="1264"/>
        <v>0</v>
      </c>
      <c r="J601" s="310">
        <f t="shared" si="1264"/>
        <v>0</v>
      </c>
      <c r="K601" s="310">
        <f t="shared" si="1264"/>
        <v>0</v>
      </c>
      <c r="L601" s="310">
        <f t="shared" si="1264"/>
        <v>0</v>
      </c>
      <c r="M601" s="311">
        <f t="shared" si="1264"/>
        <v>0</v>
      </c>
      <c r="N601" s="308">
        <f t="shared" si="1264"/>
        <v>0</v>
      </c>
      <c r="O601" s="309">
        <f t="shared" si="1264"/>
        <v>0</v>
      </c>
      <c r="P601" s="310">
        <f t="shared" si="1264"/>
        <v>0</v>
      </c>
      <c r="Q601" s="310">
        <f t="shared" si="1264"/>
        <v>0</v>
      </c>
      <c r="R601" s="310">
        <f t="shared" si="1264"/>
        <v>0</v>
      </c>
      <c r="S601" s="311">
        <f t="shared" si="1264"/>
        <v>0</v>
      </c>
      <c r="T601" s="308">
        <f t="shared" si="1264"/>
        <v>0</v>
      </c>
      <c r="U601" s="309">
        <f t="shared" si="1264"/>
        <v>0</v>
      </c>
      <c r="V601" s="310">
        <f t="shared" si="1264"/>
        <v>0</v>
      </c>
      <c r="W601" s="310">
        <f t="shared" si="1264"/>
        <v>0</v>
      </c>
      <c r="X601" s="310">
        <f t="shared" si="1264"/>
        <v>0</v>
      </c>
      <c r="Y601" s="312">
        <f t="shared" si="1264"/>
        <v>0</v>
      </c>
      <c r="AA601" s="291"/>
      <c r="AB601" s="303"/>
      <c r="AC601" s="313"/>
      <c r="AD601" s="314" t="s">
        <v>30</v>
      </c>
      <c r="AE601" s="308">
        <f t="shared" ref="AE601:AQ601" si="1265">IFERROR(AE600/AE599,0)</f>
        <v>0</v>
      </c>
      <c r="AF601" s="309">
        <f t="shared" si="1265"/>
        <v>0</v>
      </c>
      <c r="AG601" s="310">
        <f t="shared" si="1265"/>
        <v>0</v>
      </c>
      <c r="AH601" s="310">
        <f t="shared" si="1265"/>
        <v>0</v>
      </c>
      <c r="AI601" s="310">
        <f t="shared" si="1265"/>
        <v>0</v>
      </c>
      <c r="AJ601" s="310">
        <f t="shared" si="1265"/>
        <v>0</v>
      </c>
      <c r="AK601" s="310">
        <f t="shared" si="1265"/>
        <v>0</v>
      </c>
      <c r="AL601" s="310">
        <f t="shared" si="1265"/>
        <v>0</v>
      </c>
      <c r="AM601" s="310">
        <f t="shared" si="1265"/>
        <v>0</v>
      </c>
      <c r="AN601" s="310">
        <f t="shared" si="1265"/>
        <v>0</v>
      </c>
      <c r="AO601" s="310">
        <f t="shared" si="1265"/>
        <v>0</v>
      </c>
      <c r="AP601" s="310">
        <f t="shared" si="1265"/>
        <v>0</v>
      </c>
      <c r="AQ601" s="312">
        <f t="shared" si="1265"/>
        <v>0</v>
      </c>
    </row>
    <row r="602" spans="1:43" ht="7.8" customHeight="1" x14ac:dyDescent="0.25">
      <c r="A602" s="526"/>
      <c r="B602" s="282"/>
      <c r="C602" s="295"/>
      <c r="D602" s="315" t="s">
        <v>40</v>
      </c>
      <c r="E602" s="316" t="s">
        <v>32</v>
      </c>
      <c r="F602" s="317">
        <f t="shared" ref="F602:F603" si="1266">SUM(G602,H602,N602,T602)</f>
        <v>7168</v>
      </c>
      <c r="G602" s="317">
        <f t="shared" si="1164"/>
        <v>781</v>
      </c>
      <c r="H602" s="317">
        <f t="shared" ref="H602:H603" si="1267">SUM(I602:M602)</f>
        <v>671</v>
      </c>
      <c r="I602" s="318">
        <f t="shared" ref="I602:M603" si="1268">SUM(I620,I638)</f>
        <v>46</v>
      </c>
      <c r="J602" s="319">
        <f t="shared" si="1268"/>
        <v>485</v>
      </c>
      <c r="K602" s="319">
        <f t="shared" si="1268"/>
        <v>44</v>
      </c>
      <c r="L602" s="319">
        <f t="shared" si="1268"/>
        <v>0</v>
      </c>
      <c r="M602" s="320">
        <f t="shared" si="1268"/>
        <v>96</v>
      </c>
      <c r="N602" s="317">
        <f t="shared" ref="N602:N603" si="1269">SUM(O602:S602)</f>
        <v>1166</v>
      </c>
      <c r="O602" s="318">
        <f t="shared" ref="O602:S603" si="1270">SUM(O620,O638)</f>
        <v>690</v>
      </c>
      <c r="P602" s="319">
        <f t="shared" si="1270"/>
        <v>252</v>
      </c>
      <c r="Q602" s="319">
        <f t="shared" si="1270"/>
        <v>215</v>
      </c>
      <c r="R602" s="319">
        <f t="shared" si="1270"/>
        <v>0</v>
      </c>
      <c r="S602" s="320">
        <f t="shared" si="1270"/>
        <v>9</v>
      </c>
      <c r="T602" s="317">
        <f t="shared" ref="T602:T603" si="1271">SUM(U602:Y602)</f>
        <v>4550</v>
      </c>
      <c r="U602" s="318">
        <f t="shared" ref="U602:Y603" si="1272">SUM(U620,U638)</f>
        <v>380</v>
      </c>
      <c r="V602" s="319">
        <f t="shared" si="1272"/>
        <v>2050</v>
      </c>
      <c r="W602" s="319">
        <f t="shared" si="1272"/>
        <v>1696</v>
      </c>
      <c r="X602" s="319">
        <f t="shared" si="1272"/>
        <v>245</v>
      </c>
      <c r="Y602" s="321">
        <f t="shared" si="1272"/>
        <v>179</v>
      </c>
      <c r="Z602" s="526"/>
      <c r="AA602" s="291"/>
      <c r="AB602" s="303"/>
      <c r="AC602" s="322" t="s">
        <v>40</v>
      </c>
      <c r="AD602" s="323" t="s">
        <v>32</v>
      </c>
      <c r="AE602" s="317">
        <f t="shared" ref="AE602:AE603" si="1273">SUM(AF602:AQ602)</f>
        <v>1644</v>
      </c>
      <c r="AF602" s="318">
        <f t="shared" ref="AF602:AQ603" si="1274">SUM(AF620,AF638)</f>
        <v>108</v>
      </c>
      <c r="AG602" s="319">
        <f t="shared" si="1274"/>
        <v>75</v>
      </c>
      <c r="AH602" s="319">
        <f t="shared" si="1274"/>
        <v>62</v>
      </c>
      <c r="AI602" s="319">
        <f t="shared" si="1274"/>
        <v>79</v>
      </c>
      <c r="AJ602" s="319">
        <f t="shared" si="1274"/>
        <v>103</v>
      </c>
      <c r="AK602" s="319">
        <f t="shared" si="1274"/>
        <v>107</v>
      </c>
      <c r="AL602" s="319">
        <f t="shared" si="1274"/>
        <v>177</v>
      </c>
      <c r="AM602" s="319">
        <f t="shared" si="1274"/>
        <v>162</v>
      </c>
      <c r="AN602" s="319">
        <f t="shared" si="1274"/>
        <v>147</v>
      </c>
      <c r="AO602" s="319">
        <f t="shared" si="1274"/>
        <v>183</v>
      </c>
      <c r="AP602" s="319">
        <f t="shared" si="1274"/>
        <v>215</v>
      </c>
      <c r="AQ602" s="321">
        <f t="shared" si="1274"/>
        <v>226</v>
      </c>
    </row>
    <row r="603" spans="1:43" s="41" customFormat="1" ht="7.8" customHeight="1" x14ac:dyDescent="0.25">
      <c r="A603" s="529"/>
      <c r="B603" s="282"/>
      <c r="C603" s="295"/>
      <c r="D603" s="296"/>
      <c r="E603" s="297" t="s">
        <v>33</v>
      </c>
      <c r="F603" s="298">
        <f t="shared" si="1266"/>
        <v>1057683.48</v>
      </c>
      <c r="G603" s="298">
        <f t="shared" si="1164"/>
        <v>121836</v>
      </c>
      <c r="H603" s="298">
        <f t="shared" si="1267"/>
        <v>113777</v>
      </c>
      <c r="I603" s="299">
        <f t="shared" si="1268"/>
        <v>7590</v>
      </c>
      <c r="J603" s="300">
        <f t="shared" si="1268"/>
        <v>83731</v>
      </c>
      <c r="K603" s="300">
        <f t="shared" si="1268"/>
        <v>6556</v>
      </c>
      <c r="L603" s="300">
        <f t="shared" si="1268"/>
        <v>0</v>
      </c>
      <c r="M603" s="301">
        <f t="shared" si="1268"/>
        <v>15900</v>
      </c>
      <c r="N603" s="298">
        <f t="shared" si="1269"/>
        <v>177447.14</v>
      </c>
      <c r="O603" s="299">
        <f t="shared" si="1270"/>
        <v>107564.14000000001</v>
      </c>
      <c r="P603" s="300">
        <f t="shared" si="1270"/>
        <v>36693</v>
      </c>
      <c r="Q603" s="300">
        <f t="shared" si="1270"/>
        <v>31690</v>
      </c>
      <c r="R603" s="300">
        <f t="shared" si="1270"/>
        <v>0</v>
      </c>
      <c r="S603" s="301">
        <f t="shared" si="1270"/>
        <v>1500</v>
      </c>
      <c r="T603" s="298">
        <f t="shared" si="1271"/>
        <v>644623.34</v>
      </c>
      <c r="U603" s="299">
        <f t="shared" si="1272"/>
        <v>71258.3</v>
      </c>
      <c r="V603" s="300">
        <f t="shared" si="1272"/>
        <v>282547.74000000005</v>
      </c>
      <c r="W603" s="300">
        <f t="shared" si="1272"/>
        <v>227613.29999999993</v>
      </c>
      <c r="X603" s="300">
        <f t="shared" si="1272"/>
        <v>37620</v>
      </c>
      <c r="Y603" s="302">
        <f t="shared" si="1272"/>
        <v>25584</v>
      </c>
      <c r="Z603" s="529"/>
      <c r="AA603" s="291"/>
      <c r="AB603" s="303"/>
      <c r="AC603" s="304"/>
      <c r="AD603" s="305" t="s">
        <v>33</v>
      </c>
      <c r="AE603" s="298">
        <f t="shared" si="1273"/>
        <v>266772</v>
      </c>
      <c r="AF603" s="299">
        <f t="shared" si="1274"/>
        <v>19225</v>
      </c>
      <c r="AG603" s="300">
        <f t="shared" si="1274"/>
        <v>13180</v>
      </c>
      <c r="AH603" s="300">
        <f t="shared" si="1274"/>
        <v>9960</v>
      </c>
      <c r="AI603" s="300">
        <f t="shared" si="1274"/>
        <v>11400</v>
      </c>
      <c r="AJ603" s="300">
        <f t="shared" si="1274"/>
        <v>14585</v>
      </c>
      <c r="AK603" s="300">
        <f t="shared" si="1274"/>
        <v>17434</v>
      </c>
      <c r="AL603" s="300">
        <f t="shared" si="1274"/>
        <v>32823</v>
      </c>
      <c r="AM603" s="300">
        <f t="shared" si="1274"/>
        <v>27885</v>
      </c>
      <c r="AN603" s="300">
        <f t="shared" si="1274"/>
        <v>21455</v>
      </c>
      <c r="AO603" s="300">
        <f t="shared" si="1274"/>
        <v>27145</v>
      </c>
      <c r="AP603" s="300">
        <f t="shared" si="1274"/>
        <v>31690</v>
      </c>
      <c r="AQ603" s="302">
        <f t="shared" si="1274"/>
        <v>39990</v>
      </c>
    </row>
    <row r="604" spans="1:43" ht="7.8" customHeight="1" x14ac:dyDescent="0.25">
      <c r="A604" s="526"/>
      <c r="B604" s="282"/>
      <c r="C604" s="295"/>
      <c r="D604" s="306"/>
      <c r="E604" s="307" t="s">
        <v>30</v>
      </c>
      <c r="F604" s="308">
        <f t="shared" ref="F604:Y658" si="1275">IFERROR(F603/F602,0)</f>
        <v>147.55628906249999</v>
      </c>
      <c r="G604" s="308">
        <f t="shared" si="1275"/>
        <v>156</v>
      </c>
      <c r="H604" s="308">
        <f t="shared" si="1275"/>
        <v>169.56333830104322</v>
      </c>
      <c r="I604" s="309">
        <f t="shared" si="1275"/>
        <v>165</v>
      </c>
      <c r="J604" s="310">
        <f t="shared" si="1275"/>
        <v>172.64123711340207</v>
      </c>
      <c r="K604" s="310">
        <f t="shared" si="1275"/>
        <v>149</v>
      </c>
      <c r="L604" s="310">
        <f t="shared" si="1275"/>
        <v>0</v>
      </c>
      <c r="M604" s="311">
        <f t="shared" si="1275"/>
        <v>165.625</v>
      </c>
      <c r="N604" s="308">
        <f t="shared" si="1275"/>
        <v>152.18451114922814</v>
      </c>
      <c r="O604" s="309">
        <f t="shared" si="1275"/>
        <v>155.8900579710145</v>
      </c>
      <c r="P604" s="310">
        <f t="shared" si="1275"/>
        <v>145.60714285714286</v>
      </c>
      <c r="Q604" s="310">
        <f t="shared" si="1275"/>
        <v>147.3953488372093</v>
      </c>
      <c r="R604" s="310">
        <f t="shared" si="1275"/>
        <v>0</v>
      </c>
      <c r="S604" s="311">
        <f t="shared" si="1275"/>
        <v>166.66666666666666</v>
      </c>
      <c r="T604" s="308">
        <f t="shared" si="1275"/>
        <v>141.67545934065933</v>
      </c>
      <c r="U604" s="309">
        <f t="shared" si="1275"/>
        <v>187.52184210526318</v>
      </c>
      <c r="V604" s="310">
        <f t="shared" si="1275"/>
        <v>137.82816585365856</v>
      </c>
      <c r="W604" s="310">
        <f t="shared" si="1275"/>
        <v>134.20595518867921</v>
      </c>
      <c r="X604" s="310">
        <f t="shared" si="1275"/>
        <v>153.55102040816325</v>
      </c>
      <c r="Y604" s="312">
        <f t="shared" si="1275"/>
        <v>142.92737430167597</v>
      </c>
      <c r="Z604" s="526"/>
      <c r="AA604" s="291"/>
      <c r="AB604" s="303"/>
      <c r="AC604" s="313"/>
      <c r="AD604" s="314" t="s">
        <v>30</v>
      </c>
      <c r="AE604" s="308">
        <f t="shared" ref="AE604:AQ604" si="1276">IFERROR(AE603/AE602,0)</f>
        <v>162.27007299270073</v>
      </c>
      <c r="AF604" s="309">
        <f t="shared" si="1276"/>
        <v>178.00925925925927</v>
      </c>
      <c r="AG604" s="310">
        <f t="shared" si="1276"/>
        <v>175.73333333333332</v>
      </c>
      <c r="AH604" s="310">
        <f t="shared" si="1276"/>
        <v>160.64516129032259</v>
      </c>
      <c r="AI604" s="310">
        <f t="shared" si="1276"/>
        <v>144.30379746835442</v>
      </c>
      <c r="AJ604" s="310">
        <f t="shared" si="1276"/>
        <v>141.60194174757282</v>
      </c>
      <c r="AK604" s="310">
        <f t="shared" si="1276"/>
        <v>162.93457943925233</v>
      </c>
      <c r="AL604" s="310">
        <f t="shared" si="1276"/>
        <v>185.4406779661017</v>
      </c>
      <c r="AM604" s="310">
        <f t="shared" si="1276"/>
        <v>172.12962962962962</v>
      </c>
      <c r="AN604" s="310">
        <f t="shared" si="1276"/>
        <v>145.95238095238096</v>
      </c>
      <c r="AO604" s="310">
        <f t="shared" si="1276"/>
        <v>148.33333333333334</v>
      </c>
      <c r="AP604" s="310">
        <f t="shared" si="1276"/>
        <v>147.3953488372093</v>
      </c>
      <c r="AQ604" s="312">
        <f t="shared" si="1276"/>
        <v>176.94690265486724</v>
      </c>
    </row>
    <row r="605" spans="1:43" ht="7.8" customHeight="1" x14ac:dyDescent="0.25">
      <c r="B605" s="282"/>
      <c r="C605" s="295"/>
      <c r="D605" s="315" t="s">
        <v>41</v>
      </c>
      <c r="E605" s="316" t="s">
        <v>32</v>
      </c>
      <c r="F605" s="317">
        <f t="shared" ref="F605:F606" si="1277">SUM(G605,H605,N605,T605)</f>
        <v>0</v>
      </c>
      <c r="G605" s="317">
        <f t="shared" si="1175"/>
        <v>0</v>
      </c>
      <c r="H605" s="317">
        <f t="shared" ref="H605:H606" si="1278">SUM(I605:M605)</f>
        <v>0</v>
      </c>
      <c r="I605" s="318">
        <f t="shared" ref="I605:M606" si="1279">SUM(I623,I641)</f>
        <v>0</v>
      </c>
      <c r="J605" s="319">
        <f t="shared" si="1279"/>
        <v>0</v>
      </c>
      <c r="K605" s="319">
        <f t="shared" si="1279"/>
        <v>0</v>
      </c>
      <c r="L605" s="319">
        <f t="shared" si="1279"/>
        <v>0</v>
      </c>
      <c r="M605" s="320">
        <f t="shared" si="1279"/>
        <v>0</v>
      </c>
      <c r="N605" s="317">
        <f t="shared" ref="N605:N606" si="1280">SUM(O605:S605)</f>
        <v>0</v>
      </c>
      <c r="O605" s="318">
        <f t="shared" ref="O605:S606" si="1281">SUM(O623,O641)</f>
        <v>0</v>
      </c>
      <c r="P605" s="319">
        <f t="shared" si="1281"/>
        <v>0</v>
      </c>
      <c r="Q605" s="319">
        <f t="shared" si="1281"/>
        <v>0</v>
      </c>
      <c r="R605" s="319">
        <f t="shared" si="1281"/>
        <v>0</v>
      </c>
      <c r="S605" s="320">
        <f t="shared" si="1281"/>
        <v>0</v>
      </c>
      <c r="T605" s="317">
        <f t="shared" ref="T605:T606" si="1282">SUM(U605:Y605)</f>
        <v>0</v>
      </c>
      <c r="U605" s="318">
        <f t="shared" ref="U605:Y606" si="1283">SUM(U623,U641)</f>
        <v>0</v>
      </c>
      <c r="V605" s="319">
        <f t="shared" si="1283"/>
        <v>0</v>
      </c>
      <c r="W605" s="319">
        <f t="shared" si="1283"/>
        <v>0</v>
      </c>
      <c r="X605" s="319">
        <f t="shared" si="1283"/>
        <v>0</v>
      </c>
      <c r="Y605" s="321">
        <f t="shared" si="1283"/>
        <v>0</v>
      </c>
      <c r="AA605" s="291"/>
      <c r="AB605" s="303"/>
      <c r="AC605" s="322" t="s">
        <v>41</v>
      </c>
      <c r="AD605" s="323" t="s">
        <v>32</v>
      </c>
      <c r="AE605" s="317">
        <f t="shared" ref="AE605:AE606" si="1284">SUM(AF605:AQ605)</f>
        <v>1029</v>
      </c>
      <c r="AF605" s="318">
        <f t="shared" ref="AF605:AQ606" si="1285">SUM(AF623,AF641)</f>
        <v>112</v>
      </c>
      <c r="AG605" s="319">
        <f t="shared" si="1285"/>
        <v>133</v>
      </c>
      <c r="AH605" s="319">
        <f t="shared" si="1285"/>
        <v>135</v>
      </c>
      <c r="AI605" s="319">
        <f t="shared" si="1285"/>
        <v>184</v>
      </c>
      <c r="AJ605" s="319">
        <f t="shared" si="1285"/>
        <v>185</v>
      </c>
      <c r="AK605" s="319">
        <f t="shared" si="1285"/>
        <v>155</v>
      </c>
      <c r="AL605" s="319">
        <f t="shared" si="1285"/>
        <v>60</v>
      </c>
      <c r="AM605" s="319">
        <f t="shared" si="1285"/>
        <v>65</v>
      </c>
      <c r="AN605" s="319">
        <f t="shared" si="1285"/>
        <v>0</v>
      </c>
      <c r="AO605" s="319">
        <f t="shared" si="1285"/>
        <v>0</v>
      </c>
      <c r="AP605" s="319">
        <f t="shared" si="1285"/>
        <v>0</v>
      </c>
      <c r="AQ605" s="321">
        <f t="shared" si="1285"/>
        <v>0</v>
      </c>
    </row>
    <row r="606" spans="1:43" s="41" customFormat="1" ht="7.8" customHeight="1" x14ac:dyDescent="0.25">
      <c r="B606" s="282"/>
      <c r="C606" s="295"/>
      <c r="D606" s="296"/>
      <c r="E606" s="297" t="s">
        <v>33</v>
      </c>
      <c r="F606" s="298">
        <f t="shared" si="1277"/>
        <v>0</v>
      </c>
      <c r="G606" s="298">
        <f t="shared" si="1175"/>
        <v>0</v>
      </c>
      <c r="H606" s="298">
        <f t="shared" si="1278"/>
        <v>0</v>
      </c>
      <c r="I606" s="299">
        <f t="shared" si="1279"/>
        <v>0</v>
      </c>
      <c r="J606" s="300">
        <f t="shared" si="1279"/>
        <v>0</v>
      </c>
      <c r="K606" s="300">
        <f t="shared" si="1279"/>
        <v>0</v>
      </c>
      <c r="L606" s="300">
        <f t="shared" si="1279"/>
        <v>0</v>
      </c>
      <c r="M606" s="301">
        <f t="shared" si="1279"/>
        <v>0</v>
      </c>
      <c r="N606" s="298">
        <f t="shared" si="1280"/>
        <v>0</v>
      </c>
      <c r="O606" s="299">
        <f t="shared" si="1281"/>
        <v>0</v>
      </c>
      <c r="P606" s="300">
        <f t="shared" si="1281"/>
        <v>0</v>
      </c>
      <c r="Q606" s="300">
        <f t="shared" si="1281"/>
        <v>0</v>
      </c>
      <c r="R606" s="300">
        <f t="shared" si="1281"/>
        <v>0</v>
      </c>
      <c r="S606" s="301">
        <f t="shared" si="1281"/>
        <v>0</v>
      </c>
      <c r="T606" s="298">
        <f t="shared" si="1282"/>
        <v>0</v>
      </c>
      <c r="U606" s="299">
        <f t="shared" si="1283"/>
        <v>0</v>
      </c>
      <c r="V606" s="300">
        <f t="shared" si="1283"/>
        <v>0</v>
      </c>
      <c r="W606" s="300">
        <f t="shared" si="1283"/>
        <v>0</v>
      </c>
      <c r="X606" s="300">
        <f t="shared" si="1283"/>
        <v>0</v>
      </c>
      <c r="Y606" s="302">
        <f t="shared" si="1283"/>
        <v>0</v>
      </c>
      <c r="AA606" s="291"/>
      <c r="AB606" s="303"/>
      <c r="AC606" s="304"/>
      <c r="AD606" s="305" t="s">
        <v>33</v>
      </c>
      <c r="AE606" s="298">
        <f t="shared" si="1284"/>
        <v>166150</v>
      </c>
      <c r="AF606" s="299">
        <f t="shared" si="1285"/>
        <v>20765</v>
      </c>
      <c r="AG606" s="300">
        <f t="shared" si="1285"/>
        <v>23490</v>
      </c>
      <c r="AH606" s="300">
        <f t="shared" si="1285"/>
        <v>21220</v>
      </c>
      <c r="AI606" s="300">
        <f t="shared" si="1285"/>
        <v>27085</v>
      </c>
      <c r="AJ606" s="300">
        <f t="shared" si="1285"/>
        <v>27670</v>
      </c>
      <c r="AK606" s="300">
        <f t="shared" si="1285"/>
        <v>24640</v>
      </c>
      <c r="AL606" s="300">
        <f t="shared" si="1285"/>
        <v>10290</v>
      </c>
      <c r="AM606" s="300">
        <f t="shared" si="1285"/>
        <v>10990</v>
      </c>
      <c r="AN606" s="300">
        <f t="shared" si="1285"/>
        <v>0</v>
      </c>
      <c r="AO606" s="300">
        <f t="shared" si="1285"/>
        <v>0</v>
      </c>
      <c r="AP606" s="300">
        <f t="shared" si="1285"/>
        <v>0</v>
      </c>
      <c r="AQ606" s="302">
        <f t="shared" si="1285"/>
        <v>0</v>
      </c>
    </row>
    <row r="607" spans="1:43" ht="7.8" customHeight="1" x14ac:dyDescent="0.25">
      <c r="B607" s="282"/>
      <c r="C607" s="295"/>
      <c r="D607" s="306"/>
      <c r="E607" s="307" t="s">
        <v>30</v>
      </c>
      <c r="F607" s="308">
        <f t="shared" ref="F607:Y661" si="1286">IFERROR(F606/F605,0)</f>
        <v>0</v>
      </c>
      <c r="G607" s="308">
        <f t="shared" si="1286"/>
        <v>0</v>
      </c>
      <c r="H607" s="308">
        <f t="shared" si="1286"/>
        <v>0</v>
      </c>
      <c r="I607" s="309">
        <f t="shared" si="1286"/>
        <v>0</v>
      </c>
      <c r="J607" s="310">
        <f t="shared" si="1286"/>
        <v>0</v>
      </c>
      <c r="K607" s="310">
        <f t="shared" si="1286"/>
        <v>0</v>
      </c>
      <c r="L607" s="310">
        <f t="shared" si="1286"/>
        <v>0</v>
      </c>
      <c r="M607" s="311">
        <f t="shared" si="1286"/>
        <v>0</v>
      </c>
      <c r="N607" s="308">
        <f t="shared" si="1286"/>
        <v>0</v>
      </c>
      <c r="O607" s="309">
        <f t="shared" si="1286"/>
        <v>0</v>
      </c>
      <c r="P607" s="310">
        <f t="shared" si="1286"/>
        <v>0</v>
      </c>
      <c r="Q607" s="310">
        <f t="shared" si="1286"/>
        <v>0</v>
      </c>
      <c r="R607" s="310">
        <f t="shared" si="1286"/>
        <v>0</v>
      </c>
      <c r="S607" s="311">
        <f t="shared" si="1286"/>
        <v>0</v>
      </c>
      <c r="T607" s="308">
        <f t="shared" si="1286"/>
        <v>0</v>
      </c>
      <c r="U607" s="309">
        <f t="shared" si="1286"/>
        <v>0</v>
      </c>
      <c r="V607" s="310">
        <f t="shared" si="1286"/>
        <v>0</v>
      </c>
      <c r="W607" s="310">
        <f t="shared" si="1286"/>
        <v>0</v>
      </c>
      <c r="X607" s="310">
        <f t="shared" si="1286"/>
        <v>0</v>
      </c>
      <c r="Y607" s="312">
        <f t="shared" si="1286"/>
        <v>0</v>
      </c>
      <c r="AA607" s="291"/>
      <c r="AB607" s="303"/>
      <c r="AC607" s="313"/>
      <c r="AD607" s="314" t="s">
        <v>30</v>
      </c>
      <c r="AE607" s="308">
        <f t="shared" ref="AE607:AQ607" si="1287">IFERROR(AE606/AE605,0)</f>
        <v>161.46744412050535</v>
      </c>
      <c r="AF607" s="309">
        <f t="shared" si="1287"/>
        <v>185.40178571428572</v>
      </c>
      <c r="AG607" s="310">
        <f t="shared" si="1287"/>
        <v>176.61654135338347</v>
      </c>
      <c r="AH607" s="310">
        <f t="shared" si="1287"/>
        <v>157.18518518518519</v>
      </c>
      <c r="AI607" s="310">
        <f t="shared" si="1287"/>
        <v>147.20108695652175</v>
      </c>
      <c r="AJ607" s="310">
        <f t="shared" si="1287"/>
        <v>149.56756756756758</v>
      </c>
      <c r="AK607" s="310">
        <f t="shared" si="1287"/>
        <v>158.96774193548387</v>
      </c>
      <c r="AL607" s="310">
        <f t="shared" si="1287"/>
        <v>171.5</v>
      </c>
      <c r="AM607" s="310">
        <f t="shared" si="1287"/>
        <v>169.07692307692307</v>
      </c>
      <c r="AN607" s="310">
        <f t="shared" si="1287"/>
        <v>0</v>
      </c>
      <c r="AO607" s="310">
        <f t="shared" si="1287"/>
        <v>0</v>
      </c>
      <c r="AP607" s="310">
        <f t="shared" si="1287"/>
        <v>0</v>
      </c>
      <c r="AQ607" s="312">
        <f t="shared" si="1287"/>
        <v>0</v>
      </c>
    </row>
    <row r="608" spans="1:43" ht="7.8" customHeight="1" x14ac:dyDescent="0.25">
      <c r="B608" s="282"/>
      <c r="C608" s="295"/>
      <c r="D608" s="324" t="s">
        <v>42</v>
      </c>
      <c r="E608" s="325" t="s">
        <v>32</v>
      </c>
      <c r="F608" s="326">
        <f t="shared" ref="F608:F609" si="1288">SUM(G608,H608,N608,T608)</f>
        <v>7540</v>
      </c>
      <c r="G608" s="326">
        <f t="shared" si="1186"/>
        <v>0</v>
      </c>
      <c r="H608" s="326">
        <f t="shared" ref="H608:H609" si="1289">SUM(I608:M608)</f>
        <v>870</v>
      </c>
      <c r="I608" s="327">
        <f t="shared" ref="I608:M609" si="1290">SUM(I626,I644)</f>
        <v>220</v>
      </c>
      <c r="J608" s="328">
        <f t="shared" si="1290"/>
        <v>500</v>
      </c>
      <c r="K608" s="328">
        <f t="shared" si="1290"/>
        <v>50</v>
      </c>
      <c r="L608" s="328">
        <f t="shared" si="1290"/>
        <v>0</v>
      </c>
      <c r="M608" s="329">
        <f t="shared" si="1290"/>
        <v>100</v>
      </c>
      <c r="N608" s="326">
        <f t="shared" ref="N608:N609" si="1291">SUM(O608:S608)</f>
        <v>1120</v>
      </c>
      <c r="O608" s="327">
        <f t="shared" ref="O608:S609" si="1292">SUM(O626,O644)</f>
        <v>600</v>
      </c>
      <c r="P608" s="328">
        <f t="shared" si="1292"/>
        <v>450</v>
      </c>
      <c r="Q608" s="328">
        <f t="shared" si="1292"/>
        <v>70</v>
      </c>
      <c r="R608" s="328">
        <f t="shared" si="1292"/>
        <v>0</v>
      </c>
      <c r="S608" s="329">
        <f t="shared" si="1292"/>
        <v>0</v>
      </c>
      <c r="T608" s="326">
        <f t="shared" ref="T608:T609" si="1293">SUM(U608:Y608)</f>
        <v>5550</v>
      </c>
      <c r="U608" s="327">
        <f t="shared" ref="U608:Y609" si="1294">SUM(U626,U644)</f>
        <v>600</v>
      </c>
      <c r="V608" s="328">
        <f t="shared" si="1294"/>
        <v>2600</v>
      </c>
      <c r="W608" s="328">
        <f t="shared" si="1294"/>
        <v>1750</v>
      </c>
      <c r="X608" s="328">
        <f t="shared" si="1294"/>
        <v>100</v>
      </c>
      <c r="Y608" s="330">
        <f t="shared" si="1294"/>
        <v>500</v>
      </c>
      <c r="AA608" s="291"/>
      <c r="AB608" s="303"/>
      <c r="AC608" s="331" t="s">
        <v>42</v>
      </c>
      <c r="AD608" s="332" t="s">
        <v>32</v>
      </c>
      <c r="AE608" s="333">
        <f t="shared" ref="AE608:AE609" si="1295">SUM(AF608:AQ608)</f>
        <v>1135</v>
      </c>
      <c r="AF608" s="334">
        <f t="shared" ref="AF608:AQ609" si="1296">SUM(AF626,AF644)</f>
        <v>130</v>
      </c>
      <c r="AG608" s="335">
        <f t="shared" si="1296"/>
        <v>105</v>
      </c>
      <c r="AH608" s="335">
        <f t="shared" si="1296"/>
        <v>90</v>
      </c>
      <c r="AI608" s="335">
        <f t="shared" si="1296"/>
        <v>90</v>
      </c>
      <c r="AJ608" s="335">
        <f t="shared" si="1296"/>
        <v>100</v>
      </c>
      <c r="AK608" s="335">
        <f t="shared" si="1296"/>
        <v>110</v>
      </c>
      <c r="AL608" s="335">
        <f t="shared" si="1296"/>
        <v>65</v>
      </c>
      <c r="AM608" s="335">
        <f t="shared" si="1296"/>
        <v>70</v>
      </c>
      <c r="AN608" s="335">
        <f t="shared" si="1296"/>
        <v>130</v>
      </c>
      <c r="AO608" s="335">
        <f t="shared" si="1296"/>
        <v>75</v>
      </c>
      <c r="AP608" s="335">
        <f t="shared" si="1296"/>
        <v>70</v>
      </c>
      <c r="AQ608" s="336">
        <f t="shared" si="1296"/>
        <v>100</v>
      </c>
    </row>
    <row r="609" spans="2:43" s="41" customFormat="1" ht="7.8" customHeight="1" x14ac:dyDescent="0.25">
      <c r="B609" s="282"/>
      <c r="C609" s="295"/>
      <c r="D609" s="337"/>
      <c r="E609" s="338" t="s">
        <v>33</v>
      </c>
      <c r="F609" s="339">
        <f t="shared" si="1288"/>
        <v>1248000</v>
      </c>
      <c r="G609" s="339">
        <f t="shared" si="1186"/>
        <v>0</v>
      </c>
      <c r="H609" s="339">
        <f t="shared" si="1289"/>
        <v>129900</v>
      </c>
      <c r="I609" s="340">
        <f t="shared" si="1290"/>
        <v>30500</v>
      </c>
      <c r="J609" s="341">
        <f t="shared" si="1290"/>
        <v>77500</v>
      </c>
      <c r="K609" s="341">
        <f t="shared" si="1290"/>
        <v>6900</v>
      </c>
      <c r="L609" s="341">
        <f t="shared" si="1290"/>
        <v>0</v>
      </c>
      <c r="M609" s="342">
        <f t="shared" si="1290"/>
        <v>15000</v>
      </c>
      <c r="N609" s="339">
        <f t="shared" si="1291"/>
        <v>160550</v>
      </c>
      <c r="O609" s="340">
        <f t="shared" si="1292"/>
        <v>90000</v>
      </c>
      <c r="P609" s="341">
        <f t="shared" si="1292"/>
        <v>60750</v>
      </c>
      <c r="Q609" s="341">
        <f t="shared" si="1292"/>
        <v>9800</v>
      </c>
      <c r="R609" s="341">
        <f t="shared" si="1292"/>
        <v>0</v>
      </c>
      <c r="S609" s="342">
        <f t="shared" si="1292"/>
        <v>0</v>
      </c>
      <c r="T609" s="339">
        <f t="shared" si="1293"/>
        <v>957550</v>
      </c>
      <c r="U609" s="340">
        <f t="shared" si="1294"/>
        <v>111000</v>
      </c>
      <c r="V609" s="341">
        <f t="shared" si="1294"/>
        <v>449800</v>
      </c>
      <c r="W609" s="341">
        <f t="shared" si="1294"/>
        <v>288750</v>
      </c>
      <c r="X609" s="341">
        <f t="shared" si="1294"/>
        <v>18500</v>
      </c>
      <c r="Y609" s="343">
        <f t="shared" si="1294"/>
        <v>89500</v>
      </c>
      <c r="AA609" s="291"/>
      <c r="AB609" s="303"/>
      <c r="AC609" s="344"/>
      <c r="AD609" s="345" t="s">
        <v>33</v>
      </c>
      <c r="AE609" s="346">
        <f t="shared" si="1295"/>
        <v>182410</v>
      </c>
      <c r="AF609" s="347">
        <f t="shared" si="1296"/>
        <v>23400</v>
      </c>
      <c r="AG609" s="348">
        <f t="shared" si="1296"/>
        <v>18900</v>
      </c>
      <c r="AH609" s="348">
        <f t="shared" si="1296"/>
        <v>13950</v>
      </c>
      <c r="AI609" s="348">
        <f t="shared" si="1296"/>
        <v>13050</v>
      </c>
      <c r="AJ609" s="348">
        <f t="shared" si="1296"/>
        <v>15000</v>
      </c>
      <c r="AK609" s="348">
        <f t="shared" si="1296"/>
        <v>17600</v>
      </c>
      <c r="AL609" s="348">
        <f t="shared" si="1296"/>
        <v>11235</v>
      </c>
      <c r="AM609" s="348">
        <f t="shared" si="1296"/>
        <v>11900</v>
      </c>
      <c r="AN609" s="348">
        <f t="shared" si="1296"/>
        <v>18200</v>
      </c>
      <c r="AO609" s="348">
        <f t="shared" si="1296"/>
        <v>10875</v>
      </c>
      <c r="AP609" s="348">
        <f t="shared" si="1296"/>
        <v>9800</v>
      </c>
      <c r="AQ609" s="349">
        <f t="shared" si="1296"/>
        <v>18500</v>
      </c>
    </row>
    <row r="610" spans="2:43" ht="7.8" customHeight="1" x14ac:dyDescent="0.25">
      <c r="B610" s="282"/>
      <c r="C610" s="295"/>
      <c r="D610" s="350"/>
      <c r="E610" s="351" t="s">
        <v>30</v>
      </c>
      <c r="F610" s="352">
        <f t="shared" ref="F610:Y664" si="1297">IFERROR(F609/F608,0)</f>
        <v>165.51724137931035</v>
      </c>
      <c r="G610" s="352">
        <f t="shared" si="1297"/>
        <v>0</v>
      </c>
      <c r="H610" s="352">
        <f t="shared" si="1297"/>
        <v>149.31034482758622</v>
      </c>
      <c r="I610" s="353">
        <f t="shared" si="1297"/>
        <v>138.63636363636363</v>
      </c>
      <c r="J610" s="354">
        <f t="shared" si="1297"/>
        <v>155</v>
      </c>
      <c r="K610" s="354">
        <f t="shared" si="1297"/>
        <v>138</v>
      </c>
      <c r="L610" s="354">
        <f t="shared" si="1297"/>
        <v>0</v>
      </c>
      <c r="M610" s="355">
        <f t="shared" si="1297"/>
        <v>150</v>
      </c>
      <c r="N610" s="352">
        <f t="shared" si="1297"/>
        <v>143.34821428571428</v>
      </c>
      <c r="O610" s="353">
        <f t="shared" si="1297"/>
        <v>150</v>
      </c>
      <c r="P610" s="354">
        <f t="shared" si="1297"/>
        <v>135</v>
      </c>
      <c r="Q610" s="354">
        <f t="shared" si="1297"/>
        <v>140</v>
      </c>
      <c r="R610" s="354">
        <f t="shared" si="1297"/>
        <v>0</v>
      </c>
      <c r="S610" s="355">
        <f t="shared" si="1297"/>
        <v>0</v>
      </c>
      <c r="T610" s="352">
        <f t="shared" si="1297"/>
        <v>172.53153153153153</v>
      </c>
      <c r="U610" s="353">
        <f t="shared" si="1297"/>
        <v>185</v>
      </c>
      <c r="V610" s="354">
        <f t="shared" si="1297"/>
        <v>173</v>
      </c>
      <c r="W610" s="354">
        <f t="shared" si="1297"/>
        <v>165</v>
      </c>
      <c r="X610" s="354">
        <f t="shared" si="1297"/>
        <v>185</v>
      </c>
      <c r="Y610" s="356">
        <f t="shared" si="1297"/>
        <v>179</v>
      </c>
      <c r="AA610" s="291"/>
      <c r="AB610" s="303"/>
      <c r="AC610" s="357"/>
      <c r="AD610" s="358" t="s">
        <v>30</v>
      </c>
      <c r="AE610" s="359">
        <f t="shared" ref="AE610:AQ610" si="1298">IFERROR(AE609/AE608,0)</f>
        <v>160.7136563876652</v>
      </c>
      <c r="AF610" s="360">
        <f t="shared" si="1298"/>
        <v>180</v>
      </c>
      <c r="AG610" s="361">
        <f t="shared" si="1298"/>
        <v>180</v>
      </c>
      <c r="AH610" s="361">
        <f t="shared" si="1298"/>
        <v>155</v>
      </c>
      <c r="AI610" s="361">
        <f t="shared" si="1298"/>
        <v>145</v>
      </c>
      <c r="AJ610" s="361">
        <f t="shared" si="1298"/>
        <v>150</v>
      </c>
      <c r="AK610" s="361">
        <f t="shared" si="1298"/>
        <v>160</v>
      </c>
      <c r="AL610" s="361">
        <f t="shared" si="1298"/>
        <v>172.84615384615384</v>
      </c>
      <c r="AM610" s="361">
        <f t="shared" si="1298"/>
        <v>170</v>
      </c>
      <c r="AN610" s="361">
        <f t="shared" si="1298"/>
        <v>140</v>
      </c>
      <c r="AO610" s="361">
        <f t="shared" si="1298"/>
        <v>145</v>
      </c>
      <c r="AP610" s="361">
        <f t="shared" si="1298"/>
        <v>140</v>
      </c>
      <c r="AQ610" s="362">
        <f t="shared" si="1298"/>
        <v>185</v>
      </c>
    </row>
    <row r="611" spans="2:43" ht="7.8" customHeight="1" x14ac:dyDescent="0.25">
      <c r="B611" s="282"/>
      <c r="C611" s="295"/>
      <c r="D611" s="363" t="s">
        <v>43</v>
      </c>
      <c r="E611" s="316" t="s">
        <v>32</v>
      </c>
      <c r="F611" s="317">
        <f t="shared" ref="F611:Y613" si="1299">F608-F605</f>
        <v>7540</v>
      </c>
      <c r="G611" s="317">
        <f t="shared" si="1299"/>
        <v>0</v>
      </c>
      <c r="H611" s="317">
        <f t="shared" si="1299"/>
        <v>870</v>
      </c>
      <c r="I611" s="318">
        <f t="shared" si="1299"/>
        <v>220</v>
      </c>
      <c r="J611" s="319">
        <f t="shared" si="1299"/>
        <v>500</v>
      </c>
      <c r="K611" s="319">
        <f t="shared" si="1299"/>
        <v>50</v>
      </c>
      <c r="L611" s="319">
        <f t="shared" si="1299"/>
        <v>0</v>
      </c>
      <c r="M611" s="320">
        <f t="shared" si="1299"/>
        <v>100</v>
      </c>
      <c r="N611" s="317">
        <f t="shared" si="1299"/>
        <v>1120</v>
      </c>
      <c r="O611" s="318">
        <f t="shared" si="1299"/>
        <v>600</v>
      </c>
      <c r="P611" s="319">
        <f t="shared" si="1299"/>
        <v>450</v>
      </c>
      <c r="Q611" s="319">
        <f t="shared" si="1299"/>
        <v>70</v>
      </c>
      <c r="R611" s="319">
        <f t="shared" si="1299"/>
        <v>0</v>
      </c>
      <c r="S611" s="320">
        <f t="shared" si="1299"/>
        <v>0</v>
      </c>
      <c r="T611" s="317">
        <f t="shared" si="1299"/>
        <v>5550</v>
      </c>
      <c r="U611" s="318">
        <f t="shared" si="1299"/>
        <v>600</v>
      </c>
      <c r="V611" s="319">
        <f t="shared" si="1299"/>
        <v>2600</v>
      </c>
      <c r="W611" s="319">
        <f t="shared" si="1299"/>
        <v>1750</v>
      </c>
      <c r="X611" s="319">
        <f t="shared" si="1299"/>
        <v>100</v>
      </c>
      <c r="Y611" s="321">
        <f t="shared" si="1299"/>
        <v>500</v>
      </c>
      <c r="AA611" s="291"/>
      <c r="AB611" s="303"/>
      <c r="AC611" s="364" t="s">
        <v>43</v>
      </c>
      <c r="AD611" s="323" t="s">
        <v>32</v>
      </c>
      <c r="AE611" s="317">
        <f t="shared" ref="AE611:AQ613" si="1300">AE608-AE605</f>
        <v>106</v>
      </c>
      <c r="AF611" s="318">
        <f t="shared" si="1300"/>
        <v>18</v>
      </c>
      <c r="AG611" s="319">
        <f t="shared" si="1300"/>
        <v>-28</v>
      </c>
      <c r="AH611" s="319">
        <f t="shared" si="1300"/>
        <v>-45</v>
      </c>
      <c r="AI611" s="319">
        <f t="shared" si="1300"/>
        <v>-94</v>
      </c>
      <c r="AJ611" s="319">
        <f t="shared" si="1300"/>
        <v>-85</v>
      </c>
      <c r="AK611" s="319">
        <f t="shared" si="1300"/>
        <v>-45</v>
      </c>
      <c r="AL611" s="319">
        <f t="shared" si="1300"/>
        <v>5</v>
      </c>
      <c r="AM611" s="319">
        <f t="shared" si="1300"/>
        <v>5</v>
      </c>
      <c r="AN611" s="319">
        <f t="shared" si="1300"/>
        <v>130</v>
      </c>
      <c r="AO611" s="319">
        <f t="shared" si="1300"/>
        <v>75</v>
      </c>
      <c r="AP611" s="319">
        <f t="shared" si="1300"/>
        <v>70</v>
      </c>
      <c r="AQ611" s="321">
        <f t="shared" si="1300"/>
        <v>100</v>
      </c>
    </row>
    <row r="612" spans="2:43" s="366" customFormat="1" ht="7.8" customHeight="1" x14ac:dyDescent="0.25">
      <c r="B612" s="282"/>
      <c r="C612" s="295"/>
      <c r="D612" s="296"/>
      <c r="E612" s="365" t="s">
        <v>33</v>
      </c>
      <c r="F612" s="298">
        <f t="shared" si="1299"/>
        <v>1248000</v>
      </c>
      <c r="G612" s="298">
        <f t="shared" si="1299"/>
        <v>0</v>
      </c>
      <c r="H612" s="298">
        <f t="shared" si="1299"/>
        <v>129900</v>
      </c>
      <c r="I612" s="299">
        <f t="shared" si="1299"/>
        <v>30500</v>
      </c>
      <c r="J612" s="300">
        <f t="shared" si="1299"/>
        <v>77500</v>
      </c>
      <c r="K612" s="300">
        <f t="shared" si="1299"/>
        <v>6900</v>
      </c>
      <c r="L612" s="300">
        <f t="shared" si="1299"/>
        <v>0</v>
      </c>
      <c r="M612" s="301">
        <f t="shared" si="1299"/>
        <v>15000</v>
      </c>
      <c r="N612" s="298">
        <f t="shared" si="1299"/>
        <v>160550</v>
      </c>
      <c r="O612" s="299">
        <f t="shared" si="1299"/>
        <v>90000</v>
      </c>
      <c r="P612" s="300">
        <f t="shared" si="1299"/>
        <v>60750</v>
      </c>
      <c r="Q612" s="300">
        <f t="shared" si="1299"/>
        <v>9800</v>
      </c>
      <c r="R612" s="300">
        <f t="shared" si="1299"/>
        <v>0</v>
      </c>
      <c r="S612" s="301">
        <f t="shared" si="1299"/>
        <v>0</v>
      </c>
      <c r="T612" s="298">
        <f t="shared" si="1299"/>
        <v>957550</v>
      </c>
      <c r="U612" s="299">
        <f t="shared" si="1299"/>
        <v>111000</v>
      </c>
      <c r="V612" s="300">
        <f t="shared" si="1299"/>
        <v>449800</v>
      </c>
      <c r="W612" s="300">
        <f t="shared" si="1299"/>
        <v>288750</v>
      </c>
      <c r="X612" s="300">
        <f t="shared" si="1299"/>
        <v>18500</v>
      </c>
      <c r="Y612" s="302">
        <f t="shared" si="1299"/>
        <v>89500</v>
      </c>
      <c r="AA612" s="291"/>
      <c r="AB612" s="303"/>
      <c r="AC612" s="367"/>
      <c r="AD612" s="368" t="s">
        <v>33</v>
      </c>
      <c r="AE612" s="298">
        <f t="shared" si="1300"/>
        <v>16260</v>
      </c>
      <c r="AF612" s="299">
        <f t="shared" si="1300"/>
        <v>2635</v>
      </c>
      <c r="AG612" s="300">
        <f t="shared" si="1300"/>
        <v>-4590</v>
      </c>
      <c r="AH612" s="300">
        <f t="shared" si="1300"/>
        <v>-7270</v>
      </c>
      <c r="AI612" s="300">
        <f t="shared" si="1300"/>
        <v>-14035</v>
      </c>
      <c r="AJ612" s="300">
        <f t="shared" si="1300"/>
        <v>-12670</v>
      </c>
      <c r="AK612" s="300">
        <f t="shared" si="1300"/>
        <v>-7040</v>
      </c>
      <c r="AL612" s="300">
        <f t="shared" si="1300"/>
        <v>945</v>
      </c>
      <c r="AM612" s="300">
        <f t="shared" si="1300"/>
        <v>910</v>
      </c>
      <c r="AN612" s="300">
        <f t="shared" si="1300"/>
        <v>18200</v>
      </c>
      <c r="AO612" s="300">
        <f t="shared" si="1300"/>
        <v>10875</v>
      </c>
      <c r="AP612" s="300">
        <f t="shared" si="1300"/>
        <v>9800</v>
      </c>
      <c r="AQ612" s="302">
        <f t="shared" si="1300"/>
        <v>18500</v>
      </c>
    </row>
    <row r="613" spans="2:43" ht="7.8" customHeight="1" x14ac:dyDescent="0.25">
      <c r="B613" s="282"/>
      <c r="C613" s="295"/>
      <c r="D613" s="306"/>
      <c r="E613" s="307" t="s">
        <v>30</v>
      </c>
      <c r="F613" s="308">
        <f t="shared" si="1299"/>
        <v>165.51724137931035</v>
      </c>
      <c r="G613" s="308">
        <f t="shared" si="1299"/>
        <v>0</v>
      </c>
      <c r="H613" s="308">
        <f t="shared" si="1299"/>
        <v>149.31034482758622</v>
      </c>
      <c r="I613" s="309">
        <f t="shared" si="1299"/>
        <v>138.63636363636363</v>
      </c>
      <c r="J613" s="310">
        <f t="shared" si="1299"/>
        <v>155</v>
      </c>
      <c r="K613" s="310">
        <f t="shared" si="1299"/>
        <v>138</v>
      </c>
      <c r="L613" s="310">
        <f t="shared" si="1299"/>
        <v>0</v>
      </c>
      <c r="M613" s="311">
        <f t="shared" si="1299"/>
        <v>150</v>
      </c>
      <c r="N613" s="308">
        <f t="shared" si="1299"/>
        <v>143.34821428571428</v>
      </c>
      <c r="O613" s="309">
        <f t="shared" si="1299"/>
        <v>150</v>
      </c>
      <c r="P613" s="310">
        <f t="shared" si="1299"/>
        <v>135</v>
      </c>
      <c r="Q613" s="310">
        <f t="shared" si="1299"/>
        <v>140</v>
      </c>
      <c r="R613" s="310">
        <f t="shared" si="1299"/>
        <v>0</v>
      </c>
      <c r="S613" s="311">
        <f t="shared" si="1299"/>
        <v>0</v>
      </c>
      <c r="T613" s="308">
        <f t="shared" si="1299"/>
        <v>172.53153153153153</v>
      </c>
      <c r="U613" s="309">
        <f t="shared" si="1299"/>
        <v>185</v>
      </c>
      <c r="V613" s="310">
        <f t="shared" si="1299"/>
        <v>173</v>
      </c>
      <c r="W613" s="310">
        <f t="shared" si="1299"/>
        <v>165</v>
      </c>
      <c r="X613" s="310">
        <f t="shared" si="1299"/>
        <v>185</v>
      </c>
      <c r="Y613" s="312">
        <f t="shared" si="1299"/>
        <v>179</v>
      </c>
      <c r="AA613" s="291"/>
      <c r="AB613" s="303"/>
      <c r="AC613" s="369"/>
      <c r="AD613" s="314" t="s">
        <v>30</v>
      </c>
      <c r="AE613" s="308">
        <f t="shared" si="1300"/>
        <v>-0.7537877328401521</v>
      </c>
      <c r="AF613" s="309">
        <f t="shared" si="1300"/>
        <v>-5.4017857142857224</v>
      </c>
      <c r="AG613" s="310">
        <f t="shared" si="1300"/>
        <v>3.383458646616532</v>
      </c>
      <c r="AH613" s="310">
        <f t="shared" si="1300"/>
        <v>-2.1851851851851904</v>
      </c>
      <c r="AI613" s="310">
        <f t="shared" si="1300"/>
        <v>-2.201086956521749</v>
      </c>
      <c r="AJ613" s="310">
        <f t="shared" si="1300"/>
        <v>0.43243243243242091</v>
      </c>
      <c r="AK613" s="310">
        <f t="shared" si="1300"/>
        <v>1.0322580645161281</v>
      </c>
      <c r="AL613" s="310">
        <f t="shared" si="1300"/>
        <v>1.3461538461538396</v>
      </c>
      <c r="AM613" s="310">
        <f t="shared" si="1300"/>
        <v>0.92307692307693401</v>
      </c>
      <c r="AN613" s="310">
        <f t="shared" si="1300"/>
        <v>140</v>
      </c>
      <c r="AO613" s="310">
        <f t="shared" si="1300"/>
        <v>145</v>
      </c>
      <c r="AP613" s="310">
        <f t="shared" si="1300"/>
        <v>140</v>
      </c>
      <c r="AQ613" s="312">
        <f t="shared" si="1300"/>
        <v>185</v>
      </c>
    </row>
    <row r="614" spans="2:43" ht="7.8" customHeight="1" x14ac:dyDescent="0.25">
      <c r="B614" s="282"/>
      <c r="C614" s="295"/>
      <c r="D614" s="363" t="s">
        <v>44</v>
      </c>
      <c r="E614" s="316" t="s">
        <v>32</v>
      </c>
      <c r="F614" s="370" t="str">
        <f t="shared" ref="F614:Y616" si="1301">IFERROR((F608-F605)/ABS(F605),"")</f>
        <v/>
      </c>
      <c r="G614" s="370" t="str">
        <f t="shared" si="1301"/>
        <v/>
      </c>
      <c r="H614" s="370" t="str">
        <f t="shared" si="1301"/>
        <v/>
      </c>
      <c r="I614" s="371" t="str">
        <f t="shared" si="1301"/>
        <v/>
      </c>
      <c r="J614" s="372" t="str">
        <f t="shared" si="1301"/>
        <v/>
      </c>
      <c r="K614" s="372" t="str">
        <f t="shared" si="1301"/>
        <v/>
      </c>
      <c r="L614" s="372" t="str">
        <f t="shared" si="1301"/>
        <v/>
      </c>
      <c r="M614" s="373" t="str">
        <f t="shared" si="1301"/>
        <v/>
      </c>
      <c r="N614" s="370" t="str">
        <f t="shared" si="1301"/>
        <v/>
      </c>
      <c r="O614" s="371" t="str">
        <f t="shared" si="1301"/>
        <v/>
      </c>
      <c r="P614" s="372" t="str">
        <f t="shared" si="1301"/>
        <v/>
      </c>
      <c r="Q614" s="372" t="str">
        <f t="shared" si="1301"/>
        <v/>
      </c>
      <c r="R614" s="372" t="str">
        <f t="shared" si="1301"/>
        <v/>
      </c>
      <c r="S614" s="373" t="str">
        <f t="shared" si="1301"/>
        <v/>
      </c>
      <c r="T614" s="370" t="str">
        <f t="shared" si="1301"/>
        <v/>
      </c>
      <c r="U614" s="371" t="str">
        <f t="shared" si="1301"/>
        <v/>
      </c>
      <c r="V614" s="372" t="str">
        <f t="shared" si="1301"/>
        <v/>
      </c>
      <c r="W614" s="372" t="str">
        <f t="shared" si="1301"/>
        <v/>
      </c>
      <c r="X614" s="372" t="str">
        <f t="shared" si="1301"/>
        <v/>
      </c>
      <c r="Y614" s="374" t="str">
        <f t="shared" si="1301"/>
        <v/>
      </c>
      <c r="AA614" s="291"/>
      <c r="AB614" s="303"/>
      <c r="AC614" s="364" t="s">
        <v>44</v>
      </c>
      <c r="AD614" s="323" t="s">
        <v>32</v>
      </c>
      <c r="AE614" s="370">
        <f t="shared" ref="AE614:AQ616" si="1302">IFERROR((AE608-AE605)/ABS(AE605),"")</f>
        <v>0.10301263362487852</v>
      </c>
      <c r="AF614" s="371">
        <f t="shared" si="1302"/>
        <v>0.16071428571428573</v>
      </c>
      <c r="AG614" s="372">
        <f t="shared" si="1302"/>
        <v>-0.21052631578947367</v>
      </c>
      <c r="AH614" s="372">
        <f t="shared" si="1302"/>
        <v>-0.33333333333333331</v>
      </c>
      <c r="AI614" s="372">
        <f t="shared" si="1302"/>
        <v>-0.51086956521739135</v>
      </c>
      <c r="AJ614" s="372">
        <f t="shared" si="1302"/>
        <v>-0.45945945945945948</v>
      </c>
      <c r="AK614" s="372">
        <f t="shared" si="1302"/>
        <v>-0.29032258064516131</v>
      </c>
      <c r="AL614" s="372">
        <f t="shared" si="1302"/>
        <v>8.3333333333333329E-2</v>
      </c>
      <c r="AM614" s="372">
        <f t="shared" si="1302"/>
        <v>7.6923076923076927E-2</v>
      </c>
      <c r="AN614" s="372" t="str">
        <f t="shared" si="1302"/>
        <v/>
      </c>
      <c r="AO614" s="372" t="str">
        <f t="shared" si="1302"/>
        <v/>
      </c>
      <c r="AP614" s="372" t="str">
        <f t="shared" si="1302"/>
        <v/>
      </c>
      <c r="AQ614" s="374" t="str">
        <f t="shared" si="1302"/>
        <v/>
      </c>
    </row>
    <row r="615" spans="2:43" ht="7.8" customHeight="1" x14ac:dyDescent="0.25">
      <c r="B615" s="282"/>
      <c r="C615" s="295"/>
      <c r="D615" s="296"/>
      <c r="E615" s="375" t="s">
        <v>33</v>
      </c>
      <c r="F615" s="376" t="str">
        <f t="shared" si="1301"/>
        <v/>
      </c>
      <c r="G615" s="376" t="str">
        <f t="shared" si="1301"/>
        <v/>
      </c>
      <c r="H615" s="376" t="str">
        <f t="shared" si="1301"/>
        <v/>
      </c>
      <c r="I615" s="377" t="str">
        <f t="shared" si="1301"/>
        <v/>
      </c>
      <c r="J615" s="378" t="str">
        <f t="shared" si="1301"/>
        <v/>
      </c>
      <c r="K615" s="378" t="str">
        <f t="shared" si="1301"/>
        <v/>
      </c>
      <c r="L615" s="378" t="str">
        <f t="shared" si="1301"/>
        <v/>
      </c>
      <c r="M615" s="379" t="str">
        <f t="shared" si="1301"/>
        <v/>
      </c>
      <c r="N615" s="376" t="str">
        <f t="shared" si="1301"/>
        <v/>
      </c>
      <c r="O615" s="377" t="str">
        <f t="shared" si="1301"/>
        <v/>
      </c>
      <c r="P615" s="378" t="str">
        <f t="shared" si="1301"/>
        <v/>
      </c>
      <c r="Q615" s="378" t="str">
        <f t="shared" si="1301"/>
        <v/>
      </c>
      <c r="R615" s="378" t="str">
        <f t="shared" si="1301"/>
        <v/>
      </c>
      <c r="S615" s="379" t="str">
        <f t="shared" si="1301"/>
        <v/>
      </c>
      <c r="T615" s="376" t="str">
        <f t="shared" si="1301"/>
        <v/>
      </c>
      <c r="U615" s="377" t="str">
        <f t="shared" si="1301"/>
        <v/>
      </c>
      <c r="V615" s="378" t="str">
        <f t="shared" si="1301"/>
        <v/>
      </c>
      <c r="W615" s="378" t="str">
        <f t="shared" si="1301"/>
        <v/>
      </c>
      <c r="X615" s="378" t="str">
        <f t="shared" si="1301"/>
        <v/>
      </c>
      <c r="Y615" s="380" t="str">
        <f t="shared" si="1301"/>
        <v/>
      </c>
      <c r="AA615" s="291"/>
      <c r="AB615" s="303"/>
      <c r="AC615" s="367"/>
      <c r="AD615" s="381" t="s">
        <v>33</v>
      </c>
      <c r="AE615" s="376">
        <f t="shared" si="1302"/>
        <v>9.7863376467047847E-2</v>
      </c>
      <c r="AF615" s="377">
        <f t="shared" si="1302"/>
        <v>0.12689621960028893</v>
      </c>
      <c r="AG615" s="378">
        <f t="shared" si="1302"/>
        <v>-0.19540229885057472</v>
      </c>
      <c r="AH615" s="378">
        <f t="shared" si="1302"/>
        <v>-0.34260131950989631</v>
      </c>
      <c r="AI615" s="378">
        <f t="shared" si="1302"/>
        <v>-0.51818349640022154</v>
      </c>
      <c r="AJ615" s="378">
        <f t="shared" si="1302"/>
        <v>-0.45789663895916155</v>
      </c>
      <c r="AK615" s="378">
        <f t="shared" si="1302"/>
        <v>-0.2857142857142857</v>
      </c>
      <c r="AL615" s="378">
        <f t="shared" si="1302"/>
        <v>9.1836734693877556E-2</v>
      </c>
      <c r="AM615" s="378">
        <f t="shared" si="1302"/>
        <v>8.2802547770700632E-2</v>
      </c>
      <c r="AN615" s="378" t="str">
        <f t="shared" si="1302"/>
        <v/>
      </c>
      <c r="AO615" s="378" t="str">
        <f t="shared" si="1302"/>
        <v/>
      </c>
      <c r="AP615" s="378" t="str">
        <f t="shared" si="1302"/>
        <v/>
      </c>
      <c r="AQ615" s="380" t="str">
        <f t="shared" si="1302"/>
        <v/>
      </c>
    </row>
    <row r="616" spans="2:43" ht="7.8" customHeight="1" x14ac:dyDescent="0.25">
      <c r="B616" s="282"/>
      <c r="C616" s="382"/>
      <c r="D616" s="383"/>
      <c r="E616" s="384" t="s">
        <v>30</v>
      </c>
      <c r="F616" s="385" t="str">
        <f t="shared" si="1301"/>
        <v/>
      </c>
      <c r="G616" s="385" t="str">
        <f t="shared" si="1301"/>
        <v/>
      </c>
      <c r="H616" s="385" t="str">
        <f t="shared" si="1301"/>
        <v/>
      </c>
      <c r="I616" s="386" t="str">
        <f t="shared" si="1301"/>
        <v/>
      </c>
      <c r="J616" s="387" t="str">
        <f t="shared" si="1301"/>
        <v/>
      </c>
      <c r="K616" s="387" t="str">
        <f t="shared" si="1301"/>
        <v/>
      </c>
      <c r="L616" s="387" t="str">
        <f t="shared" si="1301"/>
        <v/>
      </c>
      <c r="M616" s="388" t="str">
        <f t="shared" si="1301"/>
        <v/>
      </c>
      <c r="N616" s="385" t="str">
        <f t="shared" si="1301"/>
        <v/>
      </c>
      <c r="O616" s="386" t="str">
        <f t="shared" si="1301"/>
        <v/>
      </c>
      <c r="P616" s="387" t="str">
        <f t="shared" si="1301"/>
        <v/>
      </c>
      <c r="Q616" s="387" t="str">
        <f t="shared" si="1301"/>
        <v/>
      </c>
      <c r="R616" s="387" t="str">
        <f t="shared" si="1301"/>
        <v/>
      </c>
      <c r="S616" s="388" t="str">
        <f t="shared" si="1301"/>
        <v/>
      </c>
      <c r="T616" s="385" t="str">
        <f t="shared" si="1301"/>
        <v/>
      </c>
      <c r="U616" s="386" t="str">
        <f t="shared" si="1301"/>
        <v/>
      </c>
      <c r="V616" s="387" t="str">
        <f t="shared" si="1301"/>
        <v/>
      </c>
      <c r="W616" s="387" t="str">
        <f t="shared" si="1301"/>
        <v/>
      </c>
      <c r="X616" s="387" t="str">
        <f t="shared" si="1301"/>
        <v/>
      </c>
      <c r="Y616" s="389" t="str">
        <f t="shared" si="1301"/>
        <v/>
      </c>
      <c r="AA616" s="291"/>
      <c r="AB616" s="390"/>
      <c r="AC616" s="391"/>
      <c r="AD616" s="392" t="s">
        <v>30</v>
      </c>
      <c r="AE616" s="385">
        <f t="shared" si="1302"/>
        <v>-4.6683573704033492E-3</v>
      </c>
      <c r="AF616" s="386">
        <f t="shared" si="1302"/>
        <v>-2.9135564652058795E-2</v>
      </c>
      <c r="AG616" s="387">
        <f t="shared" si="1302"/>
        <v>1.9157088122605311E-2</v>
      </c>
      <c r="AH616" s="387">
        <f t="shared" si="1302"/>
        <v>-1.390197926484452E-2</v>
      </c>
      <c r="AI616" s="387">
        <f t="shared" si="1302"/>
        <v>-1.4952925973786295E-2</v>
      </c>
      <c r="AJ616" s="387">
        <f t="shared" si="1302"/>
        <v>2.8912179255510613E-3</v>
      </c>
      <c r="AK616" s="387">
        <f t="shared" si="1302"/>
        <v>6.4935064935064879E-3</v>
      </c>
      <c r="AL616" s="387">
        <f t="shared" si="1302"/>
        <v>7.8492935635792391E-3</v>
      </c>
      <c r="AM616" s="387">
        <f t="shared" si="1302"/>
        <v>5.4595086442220846E-3</v>
      </c>
      <c r="AN616" s="387" t="str">
        <f t="shared" si="1302"/>
        <v/>
      </c>
      <c r="AO616" s="387" t="str">
        <f t="shared" si="1302"/>
        <v/>
      </c>
      <c r="AP616" s="387" t="str">
        <f t="shared" si="1302"/>
        <v/>
      </c>
      <c r="AQ616" s="389" t="str">
        <f t="shared" si="1302"/>
        <v/>
      </c>
    </row>
    <row r="617" spans="2:43" ht="7.8" customHeight="1" x14ac:dyDescent="0.25">
      <c r="B617" s="282"/>
      <c r="C617" s="393" t="s">
        <v>48</v>
      </c>
      <c r="D617" s="394" t="s">
        <v>39</v>
      </c>
      <c r="E617" s="395" t="s">
        <v>32</v>
      </c>
      <c r="F617" s="396">
        <f t="shared" ref="F617:F618" si="1303">SUM(G617,H617,N617,T617)</f>
        <v>0</v>
      </c>
      <c r="G617" s="396"/>
      <c r="H617" s="396">
        <f t="shared" ref="H617:H618" si="1304">SUM(I617:M617)</f>
        <v>0</v>
      </c>
      <c r="I617" s="397"/>
      <c r="J617" s="398"/>
      <c r="K617" s="398"/>
      <c r="L617" s="398"/>
      <c r="M617" s="399"/>
      <c r="N617" s="396">
        <f t="shared" ref="N617:N618" si="1305">SUM(O617:S617)</f>
        <v>0</v>
      </c>
      <c r="O617" s="397"/>
      <c r="P617" s="398"/>
      <c r="Q617" s="398"/>
      <c r="R617" s="398"/>
      <c r="S617" s="399"/>
      <c r="T617" s="396">
        <f t="shared" ref="T617:T618" si="1306">SUM(U617:Y617)</f>
        <v>0</v>
      </c>
      <c r="U617" s="397"/>
      <c r="V617" s="398"/>
      <c r="W617" s="398"/>
      <c r="X617" s="398"/>
      <c r="Y617" s="400"/>
      <c r="AA617" s="291"/>
      <c r="AB617" s="401" t="s">
        <v>48</v>
      </c>
      <c r="AC617" s="402" t="s">
        <v>39</v>
      </c>
      <c r="AD617" s="403" t="s">
        <v>32</v>
      </c>
      <c r="AE617" s="396">
        <f t="shared" ref="AE617:AE618" si="1307">SUM(AF617:AQ617)</f>
        <v>0</v>
      </c>
      <c r="AF617" s="397">
        <f>$Q$77</f>
        <v>0</v>
      </c>
      <c r="AG617" s="398">
        <f>$Q$131</f>
        <v>0</v>
      </c>
      <c r="AH617" s="398">
        <f>$Q$185</f>
        <v>0</v>
      </c>
      <c r="AI617" s="398">
        <f>$Q$239</f>
        <v>0</v>
      </c>
      <c r="AJ617" s="398">
        <f>$Q$293</f>
        <v>0</v>
      </c>
      <c r="AK617" s="398">
        <f>$Q$347</f>
        <v>0</v>
      </c>
      <c r="AL617" s="398">
        <f>$Q$401</f>
        <v>0</v>
      </c>
      <c r="AM617" s="398">
        <f>$Q$455</f>
        <v>0</v>
      </c>
      <c r="AN617" s="398">
        <f>$Q$509</f>
        <v>0</v>
      </c>
      <c r="AO617" s="398">
        <f>$Q$563</f>
        <v>0</v>
      </c>
      <c r="AP617" s="398">
        <f>$Q$617</f>
        <v>0</v>
      </c>
      <c r="AQ617" s="400">
        <f>$Q$671</f>
        <v>0</v>
      </c>
    </row>
    <row r="618" spans="2:43" s="41" customFormat="1" ht="7.8" customHeight="1" x14ac:dyDescent="0.25">
      <c r="B618" s="282"/>
      <c r="C618" s="404"/>
      <c r="D618" s="405"/>
      <c r="E618" s="406" t="s">
        <v>33</v>
      </c>
      <c r="F618" s="407">
        <f t="shared" si="1303"/>
        <v>0</v>
      </c>
      <c r="G618" s="407"/>
      <c r="H618" s="407">
        <f t="shared" si="1304"/>
        <v>0</v>
      </c>
      <c r="I618" s="408"/>
      <c r="J618" s="409"/>
      <c r="K618" s="409"/>
      <c r="L618" s="409"/>
      <c r="M618" s="410"/>
      <c r="N618" s="407">
        <f t="shared" si="1305"/>
        <v>0</v>
      </c>
      <c r="O618" s="408"/>
      <c r="P618" s="409"/>
      <c r="Q618" s="409"/>
      <c r="R618" s="409"/>
      <c r="S618" s="410"/>
      <c r="T618" s="407">
        <f t="shared" si="1306"/>
        <v>0</v>
      </c>
      <c r="U618" s="408"/>
      <c r="V618" s="409"/>
      <c r="W618" s="409"/>
      <c r="X618" s="409"/>
      <c r="Y618" s="411"/>
      <c r="AA618" s="291"/>
      <c r="AB618" s="412"/>
      <c r="AC618" s="413"/>
      <c r="AD618" s="414" t="s">
        <v>33</v>
      </c>
      <c r="AE618" s="407">
        <f t="shared" si="1307"/>
        <v>0</v>
      </c>
      <c r="AF618" s="408">
        <f>$Q$78</f>
        <v>0</v>
      </c>
      <c r="AG618" s="409">
        <f>$Q$132</f>
        <v>0</v>
      </c>
      <c r="AH618" s="409">
        <f>$Q$186</f>
        <v>0</v>
      </c>
      <c r="AI618" s="409">
        <f>$Q$240</f>
        <v>0</v>
      </c>
      <c r="AJ618" s="409">
        <f>$Q$294</f>
        <v>0</v>
      </c>
      <c r="AK618" s="409">
        <f>$Q$348</f>
        <v>0</v>
      </c>
      <c r="AL618" s="409">
        <f>$Q$402</f>
        <v>0</v>
      </c>
      <c r="AM618" s="409">
        <f>$Q$456</f>
        <v>0</v>
      </c>
      <c r="AN618" s="409">
        <f>$Q$510</f>
        <v>0</v>
      </c>
      <c r="AO618" s="409">
        <f>$Q$564</f>
        <v>0</v>
      </c>
      <c r="AP618" s="409">
        <f>$Q$618</f>
        <v>0</v>
      </c>
      <c r="AQ618" s="411">
        <f>$Q$672</f>
        <v>0</v>
      </c>
    </row>
    <row r="619" spans="2:43" ht="7.8" customHeight="1" x14ac:dyDescent="0.25">
      <c r="B619" s="282"/>
      <c r="C619" s="404"/>
      <c r="D619" s="415"/>
      <c r="E619" s="416" t="s">
        <v>30</v>
      </c>
      <c r="F619" s="417">
        <f t="shared" ref="F619:Y673" si="1308">IFERROR(F618/F617,0)</f>
        <v>0</v>
      </c>
      <c r="G619" s="417">
        <f t="shared" si="1308"/>
        <v>0</v>
      </c>
      <c r="H619" s="417">
        <f t="shared" si="1308"/>
        <v>0</v>
      </c>
      <c r="I619" s="418">
        <f t="shared" si="1308"/>
        <v>0</v>
      </c>
      <c r="J619" s="419">
        <f t="shared" si="1308"/>
        <v>0</v>
      </c>
      <c r="K619" s="419">
        <f t="shared" si="1308"/>
        <v>0</v>
      </c>
      <c r="L619" s="419">
        <f t="shared" si="1308"/>
        <v>0</v>
      </c>
      <c r="M619" s="420">
        <f t="shared" si="1308"/>
        <v>0</v>
      </c>
      <c r="N619" s="417">
        <f t="shared" si="1308"/>
        <v>0</v>
      </c>
      <c r="O619" s="418">
        <f t="shared" si="1308"/>
        <v>0</v>
      </c>
      <c r="P619" s="419">
        <f t="shared" si="1308"/>
        <v>0</v>
      </c>
      <c r="Q619" s="419">
        <f t="shared" si="1308"/>
        <v>0</v>
      </c>
      <c r="R619" s="419">
        <f t="shared" si="1308"/>
        <v>0</v>
      </c>
      <c r="S619" s="420">
        <f t="shared" si="1308"/>
        <v>0</v>
      </c>
      <c r="T619" s="417">
        <f t="shared" si="1308"/>
        <v>0</v>
      </c>
      <c r="U619" s="418">
        <f t="shared" si="1308"/>
        <v>0</v>
      </c>
      <c r="V619" s="419">
        <f t="shared" si="1308"/>
        <v>0</v>
      </c>
      <c r="W619" s="419">
        <f t="shared" si="1308"/>
        <v>0</v>
      </c>
      <c r="X619" s="419">
        <f t="shared" si="1308"/>
        <v>0</v>
      </c>
      <c r="Y619" s="421">
        <f t="shared" si="1308"/>
        <v>0</v>
      </c>
      <c r="AA619" s="291"/>
      <c r="AB619" s="412"/>
      <c r="AC619" s="422"/>
      <c r="AD619" s="423" t="s">
        <v>30</v>
      </c>
      <c r="AE619" s="417">
        <f t="shared" ref="AE619:AQ619" si="1309">IFERROR(AE618/AE617,0)</f>
        <v>0</v>
      </c>
      <c r="AF619" s="418">
        <f t="shared" si="1309"/>
        <v>0</v>
      </c>
      <c r="AG619" s="419">
        <f t="shared" si="1309"/>
        <v>0</v>
      </c>
      <c r="AH619" s="419">
        <f t="shared" si="1309"/>
        <v>0</v>
      </c>
      <c r="AI619" s="419">
        <f t="shared" si="1309"/>
        <v>0</v>
      </c>
      <c r="AJ619" s="419">
        <f t="shared" si="1309"/>
        <v>0</v>
      </c>
      <c r="AK619" s="419">
        <f t="shared" si="1309"/>
        <v>0</v>
      </c>
      <c r="AL619" s="419">
        <f t="shared" si="1309"/>
        <v>0</v>
      </c>
      <c r="AM619" s="419">
        <f t="shared" si="1309"/>
        <v>0</v>
      </c>
      <c r="AN619" s="419">
        <f t="shared" si="1309"/>
        <v>0</v>
      </c>
      <c r="AO619" s="419">
        <f t="shared" si="1309"/>
        <v>0</v>
      </c>
      <c r="AP619" s="419">
        <f t="shared" si="1309"/>
        <v>0</v>
      </c>
      <c r="AQ619" s="421">
        <f t="shared" si="1309"/>
        <v>0</v>
      </c>
    </row>
    <row r="620" spans="2:43" ht="7.8" customHeight="1" x14ac:dyDescent="0.25">
      <c r="B620" s="282"/>
      <c r="C620" s="404"/>
      <c r="D620" s="424" t="s">
        <v>40</v>
      </c>
      <c r="E620" s="425" t="s">
        <v>32</v>
      </c>
      <c r="F620" s="426">
        <f t="shared" ref="F620:F621" si="1310">SUM(G620,H620,N620,T620)</f>
        <v>4804</v>
      </c>
      <c r="G620" s="426">
        <v>530</v>
      </c>
      <c r="H620" s="426">
        <f t="shared" ref="H620:H621" si="1311">SUM(I620:M620)</f>
        <v>557</v>
      </c>
      <c r="I620" s="427">
        <v>12</v>
      </c>
      <c r="J620" s="428">
        <v>427</v>
      </c>
      <c r="K620" s="428">
        <v>44</v>
      </c>
      <c r="L620" s="428">
        <v>0</v>
      </c>
      <c r="M620" s="429">
        <v>74</v>
      </c>
      <c r="N620" s="426">
        <f t="shared" ref="N620:N621" si="1312">SUM(O620:S620)</f>
        <v>734</v>
      </c>
      <c r="O620" s="427">
        <v>448</v>
      </c>
      <c r="P620" s="428">
        <v>148</v>
      </c>
      <c r="Q620" s="428">
        <v>132</v>
      </c>
      <c r="R620" s="428">
        <v>0</v>
      </c>
      <c r="S620" s="429">
        <v>6</v>
      </c>
      <c r="T620" s="426">
        <f t="shared" ref="T620:T621" si="1313">SUM(U620:Y620)</f>
        <v>2983</v>
      </c>
      <c r="U620" s="427">
        <v>270</v>
      </c>
      <c r="V620" s="428">
        <v>1378</v>
      </c>
      <c r="W620" s="428">
        <v>1085</v>
      </c>
      <c r="X620" s="428">
        <v>157</v>
      </c>
      <c r="Y620" s="430">
        <v>93</v>
      </c>
      <c r="AA620" s="291"/>
      <c r="AB620" s="412"/>
      <c r="AC620" s="431" t="s">
        <v>40</v>
      </c>
      <c r="AD620" s="432" t="s">
        <v>32</v>
      </c>
      <c r="AE620" s="426">
        <f t="shared" ref="AE620:AE621" si="1314">SUM(AF620:AQ620)</f>
        <v>1142</v>
      </c>
      <c r="AF620" s="427">
        <f>$Q$80</f>
        <v>81</v>
      </c>
      <c r="AG620" s="428">
        <f>$Q$134</f>
        <v>52</v>
      </c>
      <c r="AH620" s="428">
        <f>$Q$188</f>
        <v>39</v>
      </c>
      <c r="AI620" s="428">
        <f>$Q$242</f>
        <v>50</v>
      </c>
      <c r="AJ620" s="428">
        <f>$Q$296</f>
        <v>63</v>
      </c>
      <c r="AK620" s="428">
        <f>$Q$350</f>
        <v>65</v>
      </c>
      <c r="AL620" s="428">
        <f>$Q$404</f>
        <v>116</v>
      </c>
      <c r="AM620" s="428">
        <f>$Q$458</f>
        <v>121</v>
      </c>
      <c r="AN620" s="428">
        <f>$Q$512</f>
        <v>115</v>
      </c>
      <c r="AO620" s="428">
        <f>$Q$566</f>
        <v>141</v>
      </c>
      <c r="AP620" s="428">
        <f>$Q$620</f>
        <v>132</v>
      </c>
      <c r="AQ620" s="430">
        <f>$Q$674</f>
        <v>167</v>
      </c>
    </row>
    <row r="621" spans="2:43" s="41" customFormat="1" ht="7.8" customHeight="1" x14ac:dyDescent="0.25">
      <c r="B621" s="282"/>
      <c r="C621" s="404"/>
      <c r="D621" s="405"/>
      <c r="E621" s="406" t="s">
        <v>33</v>
      </c>
      <c r="F621" s="407">
        <f t="shared" si="1310"/>
        <v>703865.95</v>
      </c>
      <c r="G621" s="407">
        <v>82635</v>
      </c>
      <c r="H621" s="407">
        <f t="shared" si="1311"/>
        <v>94897</v>
      </c>
      <c r="I621" s="408">
        <v>1860</v>
      </c>
      <c r="J621" s="409">
        <v>74101</v>
      </c>
      <c r="K621" s="409">
        <v>6556</v>
      </c>
      <c r="L621" s="409">
        <v>0</v>
      </c>
      <c r="M621" s="410">
        <v>12380</v>
      </c>
      <c r="N621" s="407">
        <f t="shared" si="1312"/>
        <v>111706.14000000001</v>
      </c>
      <c r="O621" s="408">
        <v>69584.140000000014</v>
      </c>
      <c r="P621" s="409">
        <v>21532</v>
      </c>
      <c r="Q621" s="409">
        <v>19590</v>
      </c>
      <c r="R621" s="409">
        <v>0</v>
      </c>
      <c r="S621" s="410">
        <v>1000</v>
      </c>
      <c r="T621" s="407">
        <f t="shared" si="1313"/>
        <v>414627.81</v>
      </c>
      <c r="U621" s="408">
        <v>51076.5</v>
      </c>
      <c r="V621" s="409">
        <v>189415.82000000007</v>
      </c>
      <c r="W621" s="409">
        <v>136066.48999999993</v>
      </c>
      <c r="X621" s="409">
        <v>24235</v>
      </c>
      <c r="Y621" s="411">
        <v>13834</v>
      </c>
      <c r="AA621" s="291"/>
      <c r="AB621" s="412"/>
      <c r="AC621" s="413"/>
      <c r="AD621" s="414" t="s">
        <v>33</v>
      </c>
      <c r="AE621" s="407">
        <f t="shared" si="1314"/>
        <v>186268</v>
      </c>
      <c r="AF621" s="408">
        <f>$Q$81</f>
        <v>14435</v>
      </c>
      <c r="AG621" s="409">
        <f>$Q$135</f>
        <v>9140</v>
      </c>
      <c r="AH621" s="409">
        <f>$Q$189</f>
        <v>6275</v>
      </c>
      <c r="AI621" s="409">
        <f>$Q$243</f>
        <v>7420</v>
      </c>
      <c r="AJ621" s="409">
        <f>$Q$297</f>
        <v>9060</v>
      </c>
      <c r="AK621" s="409">
        <f>$Q$351</f>
        <v>10744</v>
      </c>
      <c r="AL621" s="409">
        <f>$Q$405</f>
        <v>21466</v>
      </c>
      <c r="AM621" s="409">
        <f>$Q$459</f>
        <v>20673</v>
      </c>
      <c r="AN621" s="409">
        <f>$Q$513</f>
        <v>16840</v>
      </c>
      <c r="AO621" s="409">
        <f>$Q$567</f>
        <v>21000</v>
      </c>
      <c r="AP621" s="409">
        <f>$Q$621</f>
        <v>19590</v>
      </c>
      <c r="AQ621" s="411">
        <f>$Q$675</f>
        <v>29625</v>
      </c>
    </row>
    <row r="622" spans="2:43" ht="7.8" customHeight="1" x14ac:dyDescent="0.25">
      <c r="B622" s="282"/>
      <c r="C622" s="404"/>
      <c r="D622" s="415"/>
      <c r="E622" s="416" t="s">
        <v>30</v>
      </c>
      <c r="F622" s="417">
        <f t="shared" ref="F622:Y676" si="1315">IFERROR(F621/F620,0)</f>
        <v>146.51664238134887</v>
      </c>
      <c r="G622" s="417">
        <f t="shared" si="1315"/>
        <v>155.91509433962264</v>
      </c>
      <c r="H622" s="417">
        <f t="shared" si="1315"/>
        <v>170.37163375224418</v>
      </c>
      <c r="I622" s="418">
        <f t="shared" si="1315"/>
        <v>155</v>
      </c>
      <c r="J622" s="419">
        <f t="shared" si="1315"/>
        <v>173.53864168618267</v>
      </c>
      <c r="K622" s="419">
        <f t="shared" si="1315"/>
        <v>149</v>
      </c>
      <c r="L622" s="419">
        <f t="shared" si="1315"/>
        <v>0</v>
      </c>
      <c r="M622" s="420">
        <f t="shared" si="1315"/>
        <v>167.29729729729729</v>
      </c>
      <c r="N622" s="417">
        <f t="shared" si="1315"/>
        <v>152.1882016348774</v>
      </c>
      <c r="O622" s="418">
        <f t="shared" si="1315"/>
        <v>155.32174107142859</v>
      </c>
      <c r="P622" s="419">
        <f t="shared" si="1315"/>
        <v>145.48648648648648</v>
      </c>
      <c r="Q622" s="419">
        <f t="shared" si="1315"/>
        <v>148.40909090909091</v>
      </c>
      <c r="R622" s="419">
        <f t="shared" si="1315"/>
        <v>0</v>
      </c>
      <c r="S622" s="420">
        <f t="shared" si="1315"/>
        <v>166.66666666666666</v>
      </c>
      <c r="T622" s="417">
        <f t="shared" si="1315"/>
        <v>138.99691920885016</v>
      </c>
      <c r="U622" s="418">
        <f t="shared" si="1315"/>
        <v>189.17222222222222</v>
      </c>
      <c r="V622" s="419">
        <f t="shared" si="1315"/>
        <v>137.45705370101601</v>
      </c>
      <c r="W622" s="419">
        <f t="shared" si="1315"/>
        <v>125.40690322580639</v>
      </c>
      <c r="X622" s="419">
        <f t="shared" si="1315"/>
        <v>154.36305732484075</v>
      </c>
      <c r="Y622" s="421">
        <f t="shared" si="1315"/>
        <v>148.75268817204301</v>
      </c>
      <c r="AA622" s="291"/>
      <c r="AB622" s="412"/>
      <c r="AC622" s="422"/>
      <c r="AD622" s="423" t="s">
        <v>30</v>
      </c>
      <c r="AE622" s="417">
        <f t="shared" ref="AE622:AQ622" si="1316">IFERROR(AE621/AE620,0)</f>
        <v>163.10683012259193</v>
      </c>
      <c r="AF622" s="418">
        <f t="shared" si="1316"/>
        <v>178.20987654320987</v>
      </c>
      <c r="AG622" s="419">
        <f t="shared" si="1316"/>
        <v>175.76923076923077</v>
      </c>
      <c r="AH622" s="419">
        <f t="shared" si="1316"/>
        <v>160.89743589743588</v>
      </c>
      <c r="AI622" s="419">
        <f t="shared" si="1316"/>
        <v>148.4</v>
      </c>
      <c r="AJ622" s="419">
        <f t="shared" si="1316"/>
        <v>143.8095238095238</v>
      </c>
      <c r="AK622" s="419">
        <f t="shared" si="1316"/>
        <v>165.2923076923077</v>
      </c>
      <c r="AL622" s="419">
        <f t="shared" si="1316"/>
        <v>185.05172413793105</v>
      </c>
      <c r="AM622" s="419">
        <f t="shared" si="1316"/>
        <v>170.85123966942149</v>
      </c>
      <c r="AN622" s="419">
        <f t="shared" si="1316"/>
        <v>146.43478260869566</v>
      </c>
      <c r="AO622" s="419">
        <f t="shared" si="1316"/>
        <v>148.93617021276594</v>
      </c>
      <c r="AP622" s="419">
        <f t="shared" si="1316"/>
        <v>148.40909090909091</v>
      </c>
      <c r="AQ622" s="421">
        <f t="shared" si="1316"/>
        <v>177.39520958083833</v>
      </c>
    </row>
    <row r="623" spans="2:43" ht="7.8" customHeight="1" x14ac:dyDescent="0.25">
      <c r="B623" s="282"/>
      <c r="C623" s="404"/>
      <c r="D623" s="424" t="s">
        <v>41</v>
      </c>
      <c r="E623" s="425" t="s">
        <v>32</v>
      </c>
      <c r="F623" s="426">
        <f t="shared" ref="F623:F624" si="1317">SUM(G623,H623,N623,T623)</f>
        <v>0</v>
      </c>
      <c r="G623" s="426"/>
      <c r="H623" s="426">
        <f t="shared" ref="H623:H624" si="1318">SUM(I623:M623)</f>
        <v>0</v>
      </c>
      <c r="I623" s="427"/>
      <c r="J623" s="428"/>
      <c r="K623" s="428"/>
      <c r="L623" s="428"/>
      <c r="M623" s="429"/>
      <c r="N623" s="426">
        <f t="shared" ref="N623:N624" si="1319">SUM(O623:S623)</f>
        <v>0</v>
      </c>
      <c r="O623" s="427"/>
      <c r="P623" s="428"/>
      <c r="Q623" s="428"/>
      <c r="R623" s="428"/>
      <c r="S623" s="429"/>
      <c r="T623" s="426">
        <f t="shared" ref="T623:T624" si="1320">SUM(U623:Y623)</f>
        <v>0</v>
      </c>
      <c r="U623" s="427"/>
      <c r="V623" s="428"/>
      <c r="W623" s="428"/>
      <c r="X623" s="428"/>
      <c r="Y623" s="430"/>
      <c r="AA623" s="291"/>
      <c r="AB623" s="412"/>
      <c r="AC623" s="431" t="s">
        <v>41</v>
      </c>
      <c r="AD623" s="432" t="s">
        <v>32</v>
      </c>
      <c r="AE623" s="426">
        <f t="shared" ref="AE623:AE624" si="1321">SUM(AF623:AQ623)</f>
        <v>735</v>
      </c>
      <c r="AF623" s="427">
        <f>$Q$83</f>
        <v>80</v>
      </c>
      <c r="AG623" s="428">
        <f>$Q$137</f>
        <v>96</v>
      </c>
      <c r="AH623" s="428">
        <f>$Q$191</f>
        <v>94</v>
      </c>
      <c r="AI623" s="428">
        <f>$Q$245</f>
        <v>139</v>
      </c>
      <c r="AJ623" s="428">
        <f>$Q$299</f>
        <v>124</v>
      </c>
      <c r="AK623" s="428">
        <f>$Q$353</f>
        <v>115</v>
      </c>
      <c r="AL623" s="428">
        <f>$Q$407</f>
        <v>44</v>
      </c>
      <c r="AM623" s="428">
        <f>$Q$461</f>
        <v>43</v>
      </c>
      <c r="AN623" s="428">
        <f>$Q$515</f>
        <v>0</v>
      </c>
      <c r="AO623" s="428">
        <f>$Q$569</f>
        <v>0</v>
      </c>
      <c r="AP623" s="428">
        <f>$Q$623</f>
        <v>0</v>
      </c>
      <c r="AQ623" s="430">
        <f>$Q$677</f>
        <v>0</v>
      </c>
    </row>
    <row r="624" spans="2:43" s="41" customFormat="1" ht="7.8" customHeight="1" x14ac:dyDescent="0.25">
      <c r="B624" s="282"/>
      <c r="C624" s="404"/>
      <c r="D624" s="405"/>
      <c r="E624" s="406" t="s">
        <v>33</v>
      </c>
      <c r="F624" s="407">
        <f t="shared" si="1317"/>
        <v>0</v>
      </c>
      <c r="G624" s="407"/>
      <c r="H624" s="407">
        <f t="shared" si="1318"/>
        <v>0</v>
      </c>
      <c r="I624" s="408"/>
      <c r="J624" s="409"/>
      <c r="K624" s="409"/>
      <c r="L624" s="409"/>
      <c r="M624" s="410"/>
      <c r="N624" s="407">
        <f t="shared" si="1319"/>
        <v>0</v>
      </c>
      <c r="O624" s="408"/>
      <c r="P624" s="409"/>
      <c r="Q624" s="409"/>
      <c r="R624" s="409"/>
      <c r="S624" s="410"/>
      <c r="T624" s="407">
        <f t="shared" si="1320"/>
        <v>0</v>
      </c>
      <c r="U624" s="408"/>
      <c r="V624" s="409"/>
      <c r="W624" s="409"/>
      <c r="X624" s="409"/>
      <c r="Y624" s="411"/>
      <c r="AA624" s="291"/>
      <c r="AB624" s="412"/>
      <c r="AC624" s="413"/>
      <c r="AD624" s="414" t="s">
        <v>33</v>
      </c>
      <c r="AE624" s="407">
        <f t="shared" si="1321"/>
        <v>118499</v>
      </c>
      <c r="AF624" s="408">
        <f>$Q$84</f>
        <v>14534</v>
      </c>
      <c r="AG624" s="409">
        <f>$Q$138</f>
        <v>16970</v>
      </c>
      <c r="AH624" s="409">
        <f>$Q$192</f>
        <v>14815</v>
      </c>
      <c r="AI624" s="409">
        <f>$Q$246</f>
        <v>20415</v>
      </c>
      <c r="AJ624" s="409">
        <f>$Q$300</f>
        <v>18580</v>
      </c>
      <c r="AK624" s="409">
        <f>$Q$354</f>
        <v>18430</v>
      </c>
      <c r="AL624" s="409">
        <f>$Q$408</f>
        <v>7545</v>
      </c>
      <c r="AM624" s="409">
        <f>$Q$462</f>
        <v>7210</v>
      </c>
      <c r="AN624" s="409">
        <f>$Q$516</f>
        <v>0</v>
      </c>
      <c r="AO624" s="409">
        <f>$Q$570</f>
        <v>0</v>
      </c>
      <c r="AP624" s="409">
        <f>$Q$624</f>
        <v>0</v>
      </c>
      <c r="AQ624" s="411">
        <f>$Q$678</f>
        <v>0</v>
      </c>
    </row>
    <row r="625" spans="2:43" ht="7.8" customHeight="1" x14ac:dyDescent="0.25">
      <c r="B625" s="282"/>
      <c r="C625" s="404"/>
      <c r="D625" s="415"/>
      <c r="E625" s="416" t="s">
        <v>30</v>
      </c>
      <c r="F625" s="417">
        <f t="shared" ref="F625:Y679" si="1322">IFERROR(F624/F623,0)</f>
        <v>0</v>
      </c>
      <c r="G625" s="417">
        <f t="shared" si="1322"/>
        <v>0</v>
      </c>
      <c r="H625" s="417">
        <f t="shared" si="1322"/>
        <v>0</v>
      </c>
      <c r="I625" s="418">
        <f t="shared" si="1322"/>
        <v>0</v>
      </c>
      <c r="J625" s="419">
        <f t="shared" si="1322"/>
        <v>0</v>
      </c>
      <c r="K625" s="419">
        <f t="shared" si="1322"/>
        <v>0</v>
      </c>
      <c r="L625" s="419">
        <f t="shared" si="1322"/>
        <v>0</v>
      </c>
      <c r="M625" s="420">
        <f t="shared" si="1322"/>
        <v>0</v>
      </c>
      <c r="N625" s="417">
        <f t="shared" si="1322"/>
        <v>0</v>
      </c>
      <c r="O625" s="418">
        <f t="shared" si="1322"/>
        <v>0</v>
      </c>
      <c r="P625" s="419">
        <f t="shared" si="1322"/>
        <v>0</v>
      </c>
      <c r="Q625" s="419">
        <f t="shared" si="1322"/>
        <v>0</v>
      </c>
      <c r="R625" s="419">
        <f t="shared" si="1322"/>
        <v>0</v>
      </c>
      <c r="S625" s="420">
        <f t="shared" si="1322"/>
        <v>0</v>
      </c>
      <c r="T625" s="417">
        <f t="shared" si="1322"/>
        <v>0</v>
      </c>
      <c r="U625" s="418">
        <f t="shared" si="1322"/>
        <v>0</v>
      </c>
      <c r="V625" s="419">
        <f t="shared" si="1322"/>
        <v>0</v>
      </c>
      <c r="W625" s="419">
        <f t="shared" si="1322"/>
        <v>0</v>
      </c>
      <c r="X625" s="419">
        <f t="shared" si="1322"/>
        <v>0</v>
      </c>
      <c r="Y625" s="421">
        <f t="shared" si="1322"/>
        <v>0</v>
      </c>
      <c r="AA625" s="291"/>
      <c r="AB625" s="412"/>
      <c r="AC625" s="422"/>
      <c r="AD625" s="423" t="s">
        <v>30</v>
      </c>
      <c r="AE625" s="417">
        <f t="shared" ref="AE625:AQ625" si="1323">IFERROR(AE624/AE623,0)</f>
        <v>161.22312925170067</v>
      </c>
      <c r="AF625" s="418">
        <f t="shared" si="1323"/>
        <v>181.67500000000001</v>
      </c>
      <c r="AG625" s="419">
        <f t="shared" si="1323"/>
        <v>176.77083333333334</v>
      </c>
      <c r="AH625" s="419">
        <f t="shared" si="1323"/>
        <v>157.60638297872342</v>
      </c>
      <c r="AI625" s="419">
        <f t="shared" si="1323"/>
        <v>146.87050359712231</v>
      </c>
      <c r="AJ625" s="419">
        <f t="shared" si="1323"/>
        <v>149.83870967741936</v>
      </c>
      <c r="AK625" s="419">
        <f t="shared" si="1323"/>
        <v>160.2608695652174</v>
      </c>
      <c r="AL625" s="419">
        <f t="shared" si="1323"/>
        <v>171.47727272727272</v>
      </c>
      <c r="AM625" s="419">
        <f t="shared" si="1323"/>
        <v>167.67441860465115</v>
      </c>
      <c r="AN625" s="419">
        <f t="shared" si="1323"/>
        <v>0</v>
      </c>
      <c r="AO625" s="419">
        <f t="shared" si="1323"/>
        <v>0</v>
      </c>
      <c r="AP625" s="419">
        <f t="shared" si="1323"/>
        <v>0</v>
      </c>
      <c r="AQ625" s="421">
        <f t="shared" si="1323"/>
        <v>0</v>
      </c>
    </row>
    <row r="626" spans="2:43" ht="7.8" customHeight="1" x14ac:dyDescent="0.25">
      <c r="B626" s="282"/>
      <c r="C626" s="404"/>
      <c r="D626" s="433" t="s">
        <v>42</v>
      </c>
      <c r="E626" s="434" t="s">
        <v>32</v>
      </c>
      <c r="F626" s="435">
        <f t="shared" ref="F626:F627" si="1324">SUM(G626,H626,N626,T626)</f>
        <v>5556</v>
      </c>
      <c r="G626" s="435">
        <v>0</v>
      </c>
      <c r="H626" s="435">
        <v>620</v>
      </c>
      <c r="I626" s="436">
        <v>150</v>
      </c>
      <c r="J626" s="437">
        <v>350</v>
      </c>
      <c r="K626" s="437">
        <v>50</v>
      </c>
      <c r="L626" s="437">
        <v>0</v>
      </c>
      <c r="M626" s="438">
        <v>70</v>
      </c>
      <c r="N626" s="435">
        <f t="shared" ref="N626:N627" si="1325">SUM(O626:S626)</f>
        <v>750</v>
      </c>
      <c r="O626" s="436">
        <v>400</v>
      </c>
      <c r="P626" s="437">
        <v>300</v>
      </c>
      <c r="Q626" s="437">
        <v>50</v>
      </c>
      <c r="R626" s="437">
        <v>0</v>
      </c>
      <c r="S626" s="438">
        <v>0</v>
      </c>
      <c r="T626" s="435">
        <f t="shared" ref="T626:T627" si="1326">SUM(U626:Y626)</f>
        <v>4186</v>
      </c>
      <c r="U626" s="436">
        <v>407</v>
      </c>
      <c r="V626" s="437">
        <v>2104</v>
      </c>
      <c r="W626" s="437">
        <v>1229</v>
      </c>
      <c r="X626" s="437">
        <v>74</v>
      </c>
      <c r="Y626" s="439">
        <v>372</v>
      </c>
      <c r="AA626" s="291"/>
      <c r="AB626" s="412"/>
      <c r="AC626" s="440" t="s">
        <v>42</v>
      </c>
      <c r="AD626" s="441" t="s">
        <v>32</v>
      </c>
      <c r="AE626" s="442">
        <f t="shared" ref="AE626:AE627" si="1327">SUM(AF626:AQ626)</f>
        <v>705</v>
      </c>
      <c r="AF626" s="443">
        <f>$Q$86</f>
        <v>80</v>
      </c>
      <c r="AG626" s="444">
        <f>$Q$140</f>
        <v>70</v>
      </c>
      <c r="AH626" s="444">
        <f>$Q$194</f>
        <v>50</v>
      </c>
      <c r="AI626" s="444">
        <f>$Q$248</f>
        <v>50</v>
      </c>
      <c r="AJ626" s="444">
        <f>$Q$302</f>
        <v>60</v>
      </c>
      <c r="AK626" s="444">
        <f>$Q$356</f>
        <v>60</v>
      </c>
      <c r="AL626" s="444">
        <f>$Q$410</f>
        <v>40</v>
      </c>
      <c r="AM626" s="444">
        <f>$Q$464</f>
        <v>45</v>
      </c>
      <c r="AN626" s="444">
        <f>$Q$518</f>
        <v>80</v>
      </c>
      <c r="AO626" s="444">
        <f>$Q$572</f>
        <v>50</v>
      </c>
      <c r="AP626" s="444">
        <f>$Q$626</f>
        <v>50</v>
      </c>
      <c r="AQ626" s="445">
        <f>$Q$680</f>
        <v>70</v>
      </c>
    </row>
    <row r="627" spans="2:43" s="41" customFormat="1" ht="7.8" customHeight="1" x14ac:dyDescent="0.25">
      <c r="B627" s="282"/>
      <c r="C627" s="404"/>
      <c r="D627" s="446"/>
      <c r="E627" s="447" t="s">
        <v>33</v>
      </c>
      <c r="F627" s="448">
        <f t="shared" si="1324"/>
        <v>922200</v>
      </c>
      <c r="G627" s="448">
        <v>0</v>
      </c>
      <c r="H627" s="448">
        <v>92350</v>
      </c>
      <c r="I627" s="449">
        <v>20700</v>
      </c>
      <c r="J627" s="450">
        <v>54250</v>
      </c>
      <c r="K627" s="450">
        <v>6900</v>
      </c>
      <c r="L627" s="450">
        <v>0</v>
      </c>
      <c r="M627" s="451">
        <v>10500</v>
      </c>
      <c r="N627" s="448">
        <f t="shared" si="1325"/>
        <v>107500</v>
      </c>
      <c r="O627" s="449">
        <v>60000</v>
      </c>
      <c r="P627" s="450">
        <v>40500</v>
      </c>
      <c r="Q627" s="450">
        <v>7000</v>
      </c>
      <c r="R627" s="450">
        <v>0</v>
      </c>
      <c r="S627" s="451">
        <v>0</v>
      </c>
      <c r="T627" s="448">
        <f t="shared" si="1326"/>
        <v>722350</v>
      </c>
      <c r="U627" s="449">
        <v>75295</v>
      </c>
      <c r="V627" s="450">
        <v>363992</v>
      </c>
      <c r="W627" s="450">
        <v>202785</v>
      </c>
      <c r="X627" s="450">
        <v>13690</v>
      </c>
      <c r="Y627" s="452">
        <v>66588</v>
      </c>
      <c r="AA627" s="291"/>
      <c r="AB627" s="412"/>
      <c r="AC627" s="453"/>
      <c r="AD627" s="454" t="s">
        <v>33</v>
      </c>
      <c r="AE627" s="455">
        <f t="shared" si="1327"/>
        <v>113650</v>
      </c>
      <c r="AF627" s="456">
        <f>$Q$87</f>
        <v>14400</v>
      </c>
      <c r="AG627" s="457">
        <f>$Q$141</f>
        <v>12600</v>
      </c>
      <c r="AH627" s="457">
        <f>$Q$195</f>
        <v>7750</v>
      </c>
      <c r="AI627" s="457">
        <f>$Q$249</f>
        <v>7250</v>
      </c>
      <c r="AJ627" s="457">
        <f>$Q$303</f>
        <v>9000</v>
      </c>
      <c r="AK627" s="457">
        <f>$Q$357</f>
        <v>9600</v>
      </c>
      <c r="AL627" s="457">
        <f>$Q$411</f>
        <v>7000</v>
      </c>
      <c r="AM627" s="457">
        <f>$Q$465</f>
        <v>7650</v>
      </c>
      <c r="AN627" s="457">
        <f>$Q$519</f>
        <v>11200</v>
      </c>
      <c r="AO627" s="457">
        <f>$Q$573</f>
        <v>7250</v>
      </c>
      <c r="AP627" s="457">
        <f>$Q$627</f>
        <v>7000</v>
      </c>
      <c r="AQ627" s="458">
        <f>$Q$681</f>
        <v>12950</v>
      </c>
    </row>
    <row r="628" spans="2:43" ht="7.8" customHeight="1" x14ac:dyDescent="0.25">
      <c r="B628" s="282"/>
      <c r="C628" s="404"/>
      <c r="D628" s="459"/>
      <c r="E628" s="460" t="s">
        <v>30</v>
      </c>
      <c r="F628" s="461">
        <f t="shared" ref="F628:L682" si="1328">IFERROR(F627/F626,0)</f>
        <v>165.98272138228941</v>
      </c>
      <c r="G628" s="461">
        <f t="shared" si="1328"/>
        <v>0</v>
      </c>
      <c r="H628" s="461">
        <f t="shared" si="1328"/>
        <v>148.95161290322579</v>
      </c>
      <c r="I628" s="462">
        <f t="shared" si="1328"/>
        <v>138</v>
      </c>
      <c r="J628" s="463">
        <f t="shared" si="1328"/>
        <v>155</v>
      </c>
      <c r="K628" s="463">
        <f t="shared" si="1328"/>
        <v>138</v>
      </c>
      <c r="L628" s="463">
        <f t="shared" si="1328"/>
        <v>0</v>
      </c>
      <c r="M628" s="464"/>
      <c r="N628" s="461">
        <f t="shared" ref="N628:Y682" si="1329">IFERROR(N627/N626,0)</f>
        <v>143.33333333333334</v>
      </c>
      <c r="O628" s="462">
        <f t="shared" si="1329"/>
        <v>150</v>
      </c>
      <c r="P628" s="463">
        <f t="shared" si="1329"/>
        <v>135</v>
      </c>
      <c r="Q628" s="463">
        <f t="shared" si="1329"/>
        <v>140</v>
      </c>
      <c r="R628" s="463">
        <f t="shared" si="1329"/>
        <v>0</v>
      </c>
      <c r="S628" s="464">
        <f t="shared" si="1329"/>
        <v>0</v>
      </c>
      <c r="T628" s="461">
        <f t="shared" si="1329"/>
        <v>172.56330625895842</v>
      </c>
      <c r="U628" s="462">
        <f t="shared" si="1329"/>
        <v>185</v>
      </c>
      <c r="V628" s="463">
        <f t="shared" si="1329"/>
        <v>173</v>
      </c>
      <c r="W628" s="463">
        <f t="shared" si="1329"/>
        <v>165</v>
      </c>
      <c r="X628" s="463">
        <f t="shared" si="1329"/>
        <v>185</v>
      </c>
      <c r="Y628" s="465">
        <f t="shared" si="1329"/>
        <v>179</v>
      </c>
      <c r="AA628" s="291"/>
      <c r="AB628" s="412"/>
      <c r="AC628" s="466"/>
      <c r="AD628" s="467" t="s">
        <v>30</v>
      </c>
      <c r="AE628" s="468">
        <f t="shared" ref="AE628:AQ628" si="1330">IFERROR(AE627/AE626,0)</f>
        <v>161.20567375886526</v>
      </c>
      <c r="AF628" s="469">
        <f t="shared" si="1330"/>
        <v>180</v>
      </c>
      <c r="AG628" s="470">
        <f t="shared" si="1330"/>
        <v>180</v>
      </c>
      <c r="AH628" s="470">
        <f t="shared" si="1330"/>
        <v>155</v>
      </c>
      <c r="AI628" s="470">
        <f t="shared" si="1330"/>
        <v>145</v>
      </c>
      <c r="AJ628" s="470">
        <f t="shared" si="1330"/>
        <v>150</v>
      </c>
      <c r="AK628" s="470">
        <f t="shared" si="1330"/>
        <v>160</v>
      </c>
      <c r="AL628" s="470">
        <f t="shared" si="1330"/>
        <v>175</v>
      </c>
      <c r="AM628" s="470">
        <f t="shared" si="1330"/>
        <v>170</v>
      </c>
      <c r="AN628" s="470">
        <f t="shared" si="1330"/>
        <v>140</v>
      </c>
      <c r="AO628" s="470">
        <f t="shared" si="1330"/>
        <v>145</v>
      </c>
      <c r="AP628" s="470">
        <f t="shared" si="1330"/>
        <v>140</v>
      </c>
      <c r="AQ628" s="471">
        <f t="shared" si="1330"/>
        <v>185</v>
      </c>
    </row>
    <row r="629" spans="2:43" ht="7.8" customHeight="1" x14ac:dyDescent="0.25">
      <c r="B629" s="282"/>
      <c r="C629" s="404"/>
      <c r="D629" s="472" t="s">
        <v>43</v>
      </c>
      <c r="E629" s="425" t="s">
        <v>32</v>
      </c>
      <c r="F629" s="426">
        <f t="shared" ref="F629:Y631" si="1331">F626-F623</f>
        <v>5556</v>
      </c>
      <c r="G629" s="426">
        <f t="shared" si="1331"/>
        <v>0</v>
      </c>
      <c r="H629" s="426">
        <f t="shared" si="1331"/>
        <v>620</v>
      </c>
      <c r="I629" s="427">
        <f t="shared" si="1331"/>
        <v>150</v>
      </c>
      <c r="J629" s="428">
        <f t="shared" si="1331"/>
        <v>350</v>
      </c>
      <c r="K629" s="428">
        <f t="shared" si="1331"/>
        <v>50</v>
      </c>
      <c r="L629" s="428">
        <f t="shared" si="1331"/>
        <v>0</v>
      </c>
      <c r="M629" s="429">
        <f t="shared" si="1331"/>
        <v>70</v>
      </c>
      <c r="N629" s="426">
        <f t="shared" si="1331"/>
        <v>750</v>
      </c>
      <c r="O629" s="427">
        <f t="shared" si="1331"/>
        <v>400</v>
      </c>
      <c r="P629" s="428">
        <f t="shared" si="1331"/>
        <v>300</v>
      </c>
      <c r="Q629" s="428">
        <f t="shared" si="1331"/>
        <v>50</v>
      </c>
      <c r="R629" s="428">
        <f t="shared" si="1331"/>
        <v>0</v>
      </c>
      <c r="S629" s="429">
        <f t="shared" si="1331"/>
        <v>0</v>
      </c>
      <c r="T629" s="426">
        <f t="shared" si="1331"/>
        <v>4186</v>
      </c>
      <c r="U629" s="427">
        <f t="shared" si="1331"/>
        <v>407</v>
      </c>
      <c r="V629" s="428">
        <f t="shared" si="1331"/>
        <v>2104</v>
      </c>
      <c r="W629" s="428">
        <f t="shared" si="1331"/>
        <v>1229</v>
      </c>
      <c r="X629" s="428">
        <f t="shared" si="1331"/>
        <v>74</v>
      </c>
      <c r="Y629" s="430">
        <f t="shared" si="1331"/>
        <v>372</v>
      </c>
      <c r="AA629" s="291"/>
      <c r="AB629" s="412"/>
      <c r="AC629" s="473" t="s">
        <v>43</v>
      </c>
      <c r="AD629" s="432" t="s">
        <v>32</v>
      </c>
      <c r="AE629" s="426">
        <f t="shared" ref="AE629:AQ631" si="1332">AE626-AE623</f>
        <v>-30</v>
      </c>
      <c r="AF629" s="427">
        <f t="shared" si="1332"/>
        <v>0</v>
      </c>
      <c r="AG629" s="428">
        <f t="shared" si="1332"/>
        <v>-26</v>
      </c>
      <c r="AH629" s="428">
        <f t="shared" si="1332"/>
        <v>-44</v>
      </c>
      <c r="AI629" s="428">
        <f t="shared" si="1332"/>
        <v>-89</v>
      </c>
      <c r="AJ629" s="428">
        <f t="shared" si="1332"/>
        <v>-64</v>
      </c>
      <c r="AK629" s="428">
        <f t="shared" si="1332"/>
        <v>-55</v>
      </c>
      <c r="AL629" s="428">
        <f t="shared" si="1332"/>
        <v>-4</v>
      </c>
      <c r="AM629" s="428">
        <f t="shared" si="1332"/>
        <v>2</v>
      </c>
      <c r="AN629" s="428">
        <f t="shared" si="1332"/>
        <v>80</v>
      </c>
      <c r="AO629" s="428">
        <f t="shared" si="1332"/>
        <v>50</v>
      </c>
      <c r="AP629" s="428">
        <f t="shared" si="1332"/>
        <v>50</v>
      </c>
      <c r="AQ629" s="430">
        <f t="shared" si="1332"/>
        <v>70</v>
      </c>
    </row>
    <row r="630" spans="2:43" s="366" customFormat="1" ht="7.8" customHeight="1" x14ac:dyDescent="0.25">
      <c r="B630" s="282"/>
      <c r="C630" s="404"/>
      <c r="D630" s="405"/>
      <c r="E630" s="474" t="s">
        <v>33</v>
      </c>
      <c r="F630" s="407">
        <f t="shared" si="1331"/>
        <v>922200</v>
      </c>
      <c r="G630" s="407">
        <f t="shared" si="1331"/>
        <v>0</v>
      </c>
      <c r="H630" s="407">
        <f t="shared" si="1331"/>
        <v>92350</v>
      </c>
      <c r="I630" s="408">
        <f t="shared" si="1331"/>
        <v>20700</v>
      </c>
      <c r="J630" s="409">
        <f t="shared" si="1331"/>
        <v>54250</v>
      </c>
      <c r="K630" s="409">
        <f t="shared" si="1331"/>
        <v>6900</v>
      </c>
      <c r="L630" s="409">
        <f t="shared" si="1331"/>
        <v>0</v>
      </c>
      <c r="M630" s="410">
        <f t="shared" si="1331"/>
        <v>10500</v>
      </c>
      <c r="N630" s="407">
        <f t="shared" si="1331"/>
        <v>107500</v>
      </c>
      <c r="O630" s="408">
        <f t="shared" si="1331"/>
        <v>60000</v>
      </c>
      <c r="P630" s="409">
        <f t="shared" si="1331"/>
        <v>40500</v>
      </c>
      <c r="Q630" s="409">
        <f t="shared" si="1331"/>
        <v>7000</v>
      </c>
      <c r="R630" s="409">
        <f t="shared" si="1331"/>
        <v>0</v>
      </c>
      <c r="S630" s="410">
        <f t="shared" si="1331"/>
        <v>0</v>
      </c>
      <c r="T630" s="407">
        <f t="shared" si="1331"/>
        <v>722350</v>
      </c>
      <c r="U630" s="408">
        <f t="shared" si="1331"/>
        <v>75295</v>
      </c>
      <c r="V630" s="409">
        <f t="shared" si="1331"/>
        <v>363992</v>
      </c>
      <c r="W630" s="409">
        <f t="shared" si="1331"/>
        <v>202785</v>
      </c>
      <c r="X630" s="409">
        <f t="shared" si="1331"/>
        <v>13690</v>
      </c>
      <c r="Y630" s="411">
        <f t="shared" si="1331"/>
        <v>66588</v>
      </c>
      <c r="AA630" s="291"/>
      <c r="AB630" s="412"/>
      <c r="AC630" s="475"/>
      <c r="AD630" s="476" t="s">
        <v>33</v>
      </c>
      <c r="AE630" s="407">
        <f t="shared" si="1332"/>
        <v>-4849</v>
      </c>
      <c r="AF630" s="408">
        <f t="shared" si="1332"/>
        <v>-134</v>
      </c>
      <c r="AG630" s="409">
        <f t="shared" si="1332"/>
        <v>-4370</v>
      </c>
      <c r="AH630" s="409">
        <f t="shared" si="1332"/>
        <v>-7065</v>
      </c>
      <c r="AI630" s="409">
        <f t="shared" si="1332"/>
        <v>-13165</v>
      </c>
      <c r="AJ630" s="409">
        <f t="shared" si="1332"/>
        <v>-9580</v>
      </c>
      <c r="AK630" s="409">
        <f t="shared" si="1332"/>
        <v>-8830</v>
      </c>
      <c r="AL630" s="409">
        <f t="shared" si="1332"/>
        <v>-545</v>
      </c>
      <c r="AM630" s="409">
        <f t="shared" si="1332"/>
        <v>440</v>
      </c>
      <c r="AN630" s="409">
        <f t="shared" si="1332"/>
        <v>11200</v>
      </c>
      <c r="AO630" s="409">
        <f t="shared" si="1332"/>
        <v>7250</v>
      </c>
      <c r="AP630" s="409">
        <f t="shared" si="1332"/>
        <v>7000</v>
      </c>
      <c r="AQ630" s="411">
        <f t="shared" si="1332"/>
        <v>12950</v>
      </c>
    </row>
    <row r="631" spans="2:43" ht="7.8" customHeight="1" x14ac:dyDescent="0.25">
      <c r="B631" s="282"/>
      <c r="C631" s="404"/>
      <c r="D631" s="415"/>
      <c r="E631" s="416" t="s">
        <v>30</v>
      </c>
      <c r="F631" s="417">
        <f t="shared" si="1331"/>
        <v>165.98272138228941</v>
      </c>
      <c r="G631" s="417">
        <f t="shared" si="1331"/>
        <v>0</v>
      </c>
      <c r="H631" s="417">
        <f t="shared" si="1331"/>
        <v>148.95161290322579</v>
      </c>
      <c r="I631" s="418">
        <f t="shared" si="1331"/>
        <v>138</v>
      </c>
      <c r="J631" s="419">
        <f t="shared" si="1331"/>
        <v>155</v>
      </c>
      <c r="K631" s="419">
        <f t="shared" si="1331"/>
        <v>138</v>
      </c>
      <c r="L631" s="419">
        <f t="shared" si="1331"/>
        <v>0</v>
      </c>
      <c r="M631" s="420">
        <f t="shared" si="1331"/>
        <v>0</v>
      </c>
      <c r="N631" s="417">
        <f t="shared" si="1331"/>
        <v>143.33333333333334</v>
      </c>
      <c r="O631" s="418">
        <f t="shared" si="1331"/>
        <v>150</v>
      </c>
      <c r="P631" s="419">
        <f t="shared" si="1331"/>
        <v>135</v>
      </c>
      <c r="Q631" s="419">
        <f t="shared" si="1331"/>
        <v>140</v>
      </c>
      <c r="R631" s="419">
        <f t="shared" si="1331"/>
        <v>0</v>
      </c>
      <c r="S631" s="420">
        <f t="shared" si="1331"/>
        <v>0</v>
      </c>
      <c r="T631" s="417">
        <f t="shared" si="1331"/>
        <v>172.56330625895842</v>
      </c>
      <c r="U631" s="418">
        <f t="shared" si="1331"/>
        <v>185</v>
      </c>
      <c r="V631" s="419">
        <f t="shared" si="1331"/>
        <v>173</v>
      </c>
      <c r="W631" s="419">
        <f t="shared" si="1331"/>
        <v>165</v>
      </c>
      <c r="X631" s="419">
        <f t="shared" si="1331"/>
        <v>185</v>
      </c>
      <c r="Y631" s="421">
        <f t="shared" si="1331"/>
        <v>179</v>
      </c>
      <c r="AA631" s="291"/>
      <c r="AB631" s="412"/>
      <c r="AC631" s="477"/>
      <c r="AD631" s="423" t="s">
        <v>30</v>
      </c>
      <c r="AE631" s="417">
        <f t="shared" si="1332"/>
        <v>-1.7455492835409814E-2</v>
      </c>
      <c r="AF631" s="418">
        <f t="shared" si="1332"/>
        <v>-1.6750000000000114</v>
      </c>
      <c r="AG631" s="419">
        <f t="shared" si="1332"/>
        <v>3.2291666666666572</v>
      </c>
      <c r="AH631" s="419">
        <f t="shared" si="1332"/>
        <v>-2.606382978723417</v>
      </c>
      <c r="AI631" s="419">
        <f t="shared" si="1332"/>
        <v>-1.8705035971223083</v>
      </c>
      <c r="AJ631" s="419">
        <f t="shared" si="1332"/>
        <v>0.16129032258064058</v>
      </c>
      <c r="AK631" s="419">
        <f t="shared" si="1332"/>
        <v>-0.2608695652174049</v>
      </c>
      <c r="AL631" s="419">
        <f t="shared" si="1332"/>
        <v>3.5227272727272805</v>
      </c>
      <c r="AM631" s="419">
        <f t="shared" si="1332"/>
        <v>2.3255813953488484</v>
      </c>
      <c r="AN631" s="419">
        <f t="shared" si="1332"/>
        <v>140</v>
      </c>
      <c r="AO631" s="419">
        <f t="shared" si="1332"/>
        <v>145</v>
      </c>
      <c r="AP631" s="419">
        <f t="shared" si="1332"/>
        <v>140</v>
      </c>
      <c r="AQ631" s="421">
        <f t="shared" si="1332"/>
        <v>185</v>
      </c>
    </row>
    <row r="632" spans="2:43" ht="7.8" customHeight="1" x14ac:dyDescent="0.25">
      <c r="B632" s="282"/>
      <c r="C632" s="404"/>
      <c r="D632" s="472" t="s">
        <v>44</v>
      </c>
      <c r="E632" s="425" t="s">
        <v>32</v>
      </c>
      <c r="F632" s="478" t="str">
        <f t="shared" ref="F632:Y634" si="1333">IFERROR((F626-F623)/ABS(F623),"")</f>
        <v/>
      </c>
      <c r="G632" s="478" t="str">
        <f t="shared" si="1333"/>
        <v/>
      </c>
      <c r="H632" s="478" t="str">
        <f t="shared" si="1333"/>
        <v/>
      </c>
      <c r="I632" s="479" t="str">
        <f t="shared" si="1333"/>
        <v/>
      </c>
      <c r="J632" s="480" t="str">
        <f t="shared" si="1333"/>
        <v/>
      </c>
      <c r="K632" s="480" t="str">
        <f t="shared" si="1333"/>
        <v/>
      </c>
      <c r="L632" s="480" t="str">
        <f t="shared" si="1333"/>
        <v/>
      </c>
      <c r="M632" s="481" t="str">
        <f t="shared" si="1333"/>
        <v/>
      </c>
      <c r="N632" s="478" t="str">
        <f t="shared" si="1333"/>
        <v/>
      </c>
      <c r="O632" s="479" t="str">
        <f t="shared" si="1333"/>
        <v/>
      </c>
      <c r="P632" s="480" t="str">
        <f t="shared" si="1333"/>
        <v/>
      </c>
      <c r="Q632" s="480" t="str">
        <f t="shared" si="1333"/>
        <v/>
      </c>
      <c r="R632" s="480" t="str">
        <f t="shared" si="1333"/>
        <v/>
      </c>
      <c r="S632" s="481" t="str">
        <f t="shared" si="1333"/>
        <v/>
      </c>
      <c r="T632" s="478" t="str">
        <f t="shared" si="1333"/>
        <v/>
      </c>
      <c r="U632" s="479" t="str">
        <f t="shared" si="1333"/>
        <v/>
      </c>
      <c r="V632" s="480" t="str">
        <f t="shared" si="1333"/>
        <v/>
      </c>
      <c r="W632" s="480" t="str">
        <f t="shared" si="1333"/>
        <v/>
      </c>
      <c r="X632" s="480" t="str">
        <f t="shared" si="1333"/>
        <v/>
      </c>
      <c r="Y632" s="482" t="str">
        <f t="shared" si="1333"/>
        <v/>
      </c>
      <c r="AA632" s="291"/>
      <c r="AB632" s="412"/>
      <c r="AC632" s="473" t="s">
        <v>44</v>
      </c>
      <c r="AD632" s="432" t="s">
        <v>32</v>
      </c>
      <c r="AE632" s="478">
        <f t="shared" ref="AE632:AQ634" si="1334">IFERROR((AE626-AE623)/ABS(AE623),"")</f>
        <v>-4.0816326530612242E-2</v>
      </c>
      <c r="AF632" s="479">
        <f t="shared" si="1334"/>
        <v>0</v>
      </c>
      <c r="AG632" s="480">
        <f t="shared" si="1334"/>
        <v>-0.27083333333333331</v>
      </c>
      <c r="AH632" s="480">
        <f t="shared" si="1334"/>
        <v>-0.46808510638297873</v>
      </c>
      <c r="AI632" s="480">
        <f t="shared" si="1334"/>
        <v>-0.64028776978417268</v>
      </c>
      <c r="AJ632" s="480">
        <f t="shared" si="1334"/>
        <v>-0.5161290322580645</v>
      </c>
      <c r="AK632" s="480">
        <f t="shared" si="1334"/>
        <v>-0.47826086956521741</v>
      </c>
      <c r="AL632" s="480">
        <f t="shared" si="1334"/>
        <v>-9.0909090909090912E-2</v>
      </c>
      <c r="AM632" s="480">
        <f t="shared" si="1334"/>
        <v>4.6511627906976744E-2</v>
      </c>
      <c r="AN632" s="480" t="str">
        <f t="shared" si="1334"/>
        <v/>
      </c>
      <c r="AO632" s="480" t="str">
        <f t="shared" si="1334"/>
        <v/>
      </c>
      <c r="AP632" s="480" t="str">
        <f t="shared" si="1334"/>
        <v/>
      </c>
      <c r="AQ632" s="482" t="str">
        <f t="shared" si="1334"/>
        <v/>
      </c>
    </row>
    <row r="633" spans="2:43" ht="7.8" customHeight="1" x14ac:dyDescent="0.25">
      <c r="B633" s="282"/>
      <c r="C633" s="404"/>
      <c r="D633" s="405"/>
      <c r="E633" s="483" t="s">
        <v>33</v>
      </c>
      <c r="F633" s="484" t="str">
        <f t="shared" si="1333"/>
        <v/>
      </c>
      <c r="G633" s="484" t="str">
        <f t="shared" si="1333"/>
        <v/>
      </c>
      <c r="H633" s="484" t="str">
        <f t="shared" si="1333"/>
        <v/>
      </c>
      <c r="I633" s="485" t="str">
        <f t="shared" si="1333"/>
        <v/>
      </c>
      <c r="J633" s="486" t="str">
        <f t="shared" si="1333"/>
        <v/>
      </c>
      <c r="K633" s="486" t="str">
        <f t="shared" si="1333"/>
        <v/>
      </c>
      <c r="L633" s="486" t="str">
        <f t="shared" si="1333"/>
        <v/>
      </c>
      <c r="M633" s="487" t="str">
        <f t="shared" si="1333"/>
        <v/>
      </c>
      <c r="N633" s="484" t="str">
        <f t="shared" si="1333"/>
        <v/>
      </c>
      <c r="O633" s="485" t="str">
        <f t="shared" si="1333"/>
        <v/>
      </c>
      <c r="P633" s="486" t="str">
        <f t="shared" si="1333"/>
        <v/>
      </c>
      <c r="Q633" s="486" t="str">
        <f t="shared" si="1333"/>
        <v/>
      </c>
      <c r="R633" s="486" t="str">
        <f t="shared" si="1333"/>
        <v/>
      </c>
      <c r="S633" s="487" t="str">
        <f t="shared" si="1333"/>
        <v/>
      </c>
      <c r="T633" s="484" t="str">
        <f t="shared" si="1333"/>
        <v/>
      </c>
      <c r="U633" s="485" t="str">
        <f t="shared" si="1333"/>
        <v/>
      </c>
      <c r="V633" s="486" t="str">
        <f t="shared" si="1333"/>
        <v/>
      </c>
      <c r="W633" s="486" t="str">
        <f t="shared" si="1333"/>
        <v/>
      </c>
      <c r="X633" s="486" t="str">
        <f t="shared" si="1333"/>
        <v/>
      </c>
      <c r="Y633" s="488" t="str">
        <f t="shared" si="1333"/>
        <v/>
      </c>
      <c r="AA633" s="291"/>
      <c r="AB633" s="412"/>
      <c r="AC633" s="475"/>
      <c r="AD633" s="489" t="s">
        <v>33</v>
      </c>
      <c r="AE633" s="484">
        <f t="shared" si="1334"/>
        <v>-4.0920176541574191E-2</v>
      </c>
      <c r="AF633" s="485">
        <f t="shared" si="1334"/>
        <v>-9.2197605614421363E-3</v>
      </c>
      <c r="AG633" s="486">
        <f t="shared" si="1334"/>
        <v>-0.25751325869180908</v>
      </c>
      <c r="AH633" s="486">
        <f t="shared" si="1334"/>
        <v>-0.47688153898076274</v>
      </c>
      <c r="AI633" s="486">
        <f t="shared" si="1334"/>
        <v>-0.64486896889542</v>
      </c>
      <c r="AJ633" s="486">
        <f t="shared" si="1334"/>
        <v>-0.51560818083961246</v>
      </c>
      <c r="AK633" s="486">
        <f t="shared" si="1334"/>
        <v>-0.47911014650027128</v>
      </c>
      <c r="AL633" s="486">
        <f t="shared" si="1334"/>
        <v>-7.2233267064280987E-2</v>
      </c>
      <c r="AM633" s="486">
        <f t="shared" si="1334"/>
        <v>6.1026352288488211E-2</v>
      </c>
      <c r="AN633" s="486" t="str">
        <f t="shared" si="1334"/>
        <v/>
      </c>
      <c r="AO633" s="486" t="str">
        <f t="shared" si="1334"/>
        <v/>
      </c>
      <c r="AP633" s="486" t="str">
        <f t="shared" si="1334"/>
        <v/>
      </c>
      <c r="AQ633" s="488" t="str">
        <f t="shared" si="1334"/>
        <v/>
      </c>
    </row>
    <row r="634" spans="2:43" ht="7.8" customHeight="1" x14ac:dyDescent="0.25">
      <c r="B634" s="282"/>
      <c r="C634" s="490"/>
      <c r="D634" s="405"/>
      <c r="E634" s="483" t="s">
        <v>30</v>
      </c>
      <c r="F634" s="484" t="str">
        <f t="shared" si="1333"/>
        <v/>
      </c>
      <c r="G634" s="484" t="str">
        <f t="shared" si="1333"/>
        <v/>
      </c>
      <c r="H634" s="484" t="str">
        <f t="shared" si="1333"/>
        <v/>
      </c>
      <c r="I634" s="485" t="str">
        <f t="shared" si="1333"/>
        <v/>
      </c>
      <c r="J634" s="486" t="str">
        <f t="shared" si="1333"/>
        <v/>
      </c>
      <c r="K634" s="486" t="str">
        <f t="shared" si="1333"/>
        <v/>
      </c>
      <c r="L634" s="486" t="str">
        <f t="shared" si="1333"/>
        <v/>
      </c>
      <c r="M634" s="487" t="str">
        <f t="shared" si="1333"/>
        <v/>
      </c>
      <c r="N634" s="484" t="str">
        <f t="shared" si="1333"/>
        <v/>
      </c>
      <c r="O634" s="485" t="str">
        <f t="shared" si="1333"/>
        <v/>
      </c>
      <c r="P634" s="486" t="str">
        <f t="shared" si="1333"/>
        <v/>
      </c>
      <c r="Q634" s="486" t="str">
        <f t="shared" si="1333"/>
        <v/>
      </c>
      <c r="R634" s="486" t="str">
        <f t="shared" si="1333"/>
        <v/>
      </c>
      <c r="S634" s="487" t="str">
        <f t="shared" si="1333"/>
        <v/>
      </c>
      <c r="T634" s="484" t="str">
        <f t="shared" si="1333"/>
        <v/>
      </c>
      <c r="U634" s="485" t="str">
        <f t="shared" si="1333"/>
        <v/>
      </c>
      <c r="V634" s="486" t="str">
        <f t="shared" si="1333"/>
        <v/>
      </c>
      <c r="W634" s="486" t="str">
        <f t="shared" si="1333"/>
        <v/>
      </c>
      <c r="X634" s="486" t="str">
        <f t="shared" si="1333"/>
        <v/>
      </c>
      <c r="Y634" s="488" t="str">
        <f t="shared" si="1333"/>
        <v/>
      </c>
      <c r="AA634" s="291"/>
      <c r="AB634" s="412"/>
      <c r="AC634" s="475"/>
      <c r="AD634" s="489" t="s">
        <v>30</v>
      </c>
      <c r="AE634" s="484">
        <f t="shared" si="1334"/>
        <v>-1.0826916036444371E-4</v>
      </c>
      <c r="AF634" s="485">
        <f t="shared" si="1334"/>
        <v>-9.219760561442197E-3</v>
      </c>
      <c r="AG634" s="486">
        <f t="shared" si="1334"/>
        <v>1.8267530936947499E-2</v>
      </c>
      <c r="AH634" s="486">
        <f t="shared" si="1334"/>
        <v>-1.6537293283834031E-2</v>
      </c>
      <c r="AI634" s="486">
        <f t="shared" si="1334"/>
        <v>-1.2735733529267736E-2</v>
      </c>
      <c r="AJ634" s="486">
        <f t="shared" si="1334"/>
        <v>1.0764262648008305E-3</v>
      </c>
      <c r="AK634" s="486">
        <f t="shared" si="1334"/>
        <v>-1.6277807921867369E-3</v>
      </c>
      <c r="AL634" s="486">
        <f t="shared" si="1334"/>
        <v>2.0543406229290968E-2</v>
      </c>
      <c r="AM634" s="486">
        <f t="shared" si="1334"/>
        <v>1.3869625520111025E-2</v>
      </c>
      <c r="AN634" s="486" t="str">
        <f t="shared" si="1334"/>
        <v/>
      </c>
      <c r="AO634" s="486" t="str">
        <f t="shared" si="1334"/>
        <v/>
      </c>
      <c r="AP634" s="486" t="str">
        <f t="shared" si="1334"/>
        <v/>
      </c>
      <c r="AQ634" s="488" t="str">
        <f t="shared" si="1334"/>
        <v/>
      </c>
    </row>
    <row r="635" spans="2:43" ht="7.8" customHeight="1" x14ac:dyDescent="0.25">
      <c r="B635" s="282"/>
      <c r="C635" s="491" t="s">
        <v>49</v>
      </c>
      <c r="D635" s="492" t="s">
        <v>39</v>
      </c>
      <c r="E635" s="493" t="s">
        <v>32</v>
      </c>
      <c r="F635" s="494">
        <f t="shared" ref="F635:F636" si="1335">SUM(G635,H635,N635,T635)</f>
        <v>0</v>
      </c>
      <c r="G635" s="494"/>
      <c r="H635" s="494">
        <f t="shared" ref="H635:H636" si="1336">SUM(I635:M635)</f>
        <v>0</v>
      </c>
      <c r="I635" s="495"/>
      <c r="J635" s="496"/>
      <c r="K635" s="496"/>
      <c r="L635" s="496"/>
      <c r="M635" s="497"/>
      <c r="N635" s="494">
        <f t="shared" ref="N635:N636" si="1337">SUM(O635:S635)</f>
        <v>0</v>
      </c>
      <c r="O635" s="495"/>
      <c r="P635" s="496"/>
      <c r="Q635" s="496"/>
      <c r="R635" s="496"/>
      <c r="S635" s="497"/>
      <c r="T635" s="494">
        <f t="shared" ref="T635:T636" si="1338">SUM(U635:Y635)</f>
        <v>0</v>
      </c>
      <c r="U635" s="495"/>
      <c r="V635" s="496"/>
      <c r="W635" s="496"/>
      <c r="X635" s="496"/>
      <c r="Y635" s="498"/>
      <c r="AA635" s="291"/>
      <c r="AB635" s="499" t="s">
        <v>49</v>
      </c>
      <c r="AC635" s="500" t="s">
        <v>39</v>
      </c>
      <c r="AD635" s="501" t="s">
        <v>32</v>
      </c>
      <c r="AE635" s="494">
        <f t="shared" ref="AE635:AE636" si="1339">SUM(AF635:AQ635)</f>
        <v>0</v>
      </c>
      <c r="AF635" s="495">
        <f>$Q$95</f>
        <v>0</v>
      </c>
      <c r="AG635" s="496">
        <f>$Q$149</f>
        <v>0</v>
      </c>
      <c r="AH635" s="496">
        <f>$Q$203</f>
        <v>0</v>
      </c>
      <c r="AI635" s="496">
        <f>$Q$257</f>
        <v>0</v>
      </c>
      <c r="AJ635" s="496">
        <f>$Q$311</f>
        <v>0</v>
      </c>
      <c r="AK635" s="496">
        <f>$Q$365</f>
        <v>0</v>
      </c>
      <c r="AL635" s="496">
        <f>$Q$419</f>
        <v>0</v>
      </c>
      <c r="AM635" s="496">
        <f>$Q$473</f>
        <v>0</v>
      </c>
      <c r="AN635" s="496">
        <f>$Q$527</f>
        <v>0</v>
      </c>
      <c r="AO635" s="496">
        <f>$Q$581</f>
        <v>0</v>
      </c>
      <c r="AP635" s="496">
        <f>$Q$635</f>
        <v>0</v>
      </c>
      <c r="AQ635" s="498">
        <f>$Q$689</f>
        <v>0</v>
      </c>
    </row>
    <row r="636" spans="2:43" s="41" customFormat="1" ht="7.8" customHeight="1" x14ac:dyDescent="0.25">
      <c r="B636" s="282"/>
      <c r="C636" s="404"/>
      <c r="D636" s="405"/>
      <c r="E636" s="406" t="s">
        <v>33</v>
      </c>
      <c r="F636" s="407">
        <f t="shared" si="1335"/>
        <v>0</v>
      </c>
      <c r="G636" s="407"/>
      <c r="H636" s="407">
        <f t="shared" si="1336"/>
        <v>0</v>
      </c>
      <c r="I636" s="408"/>
      <c r="J636" s="409"/>
      <c r="K636" s="409"/>
      <c r="L636" s="409"/>
      <c r="M636" s="410"/>
      <c r="N636" s="407">
        <f t="shared" si="1337"/>
        <v>0</v>
      </c>
      <c r="O636" s="408"/>
      <c r="P636" s="409"/>
      <c r="Q636" s="409"/>
      <c r="R636" s="409"/>
      <c r="S636" s="410"/>
      <c r="T636" s="407">
        <f t="shared" si="1338"/>
        <v>0</v>
      </c>
      <c r="U636" s="408"/>
      <c r="V636" s="409"/>
      <c r="W636" s="409"/>
      <c r="X636" s="409"/>
      <c r="Y636" s="411"/>
      <c r="AA636" s="291"/>
      <c r="AB636" s="412"/>
      <c r="AC636" s="413"/>
      <c r="AD636" s="414" t="s">
        <v>33</v>
      </c>
      <c r="AE636" s="407">
        <f t="shared" si="1339"/>
        <v>0</v>
      </c>
      <c r="AF636" s="408">
        <f>$Q$96</f>
        <v>0</v>
      </c>
      <c r="AG636" s="409">
        <f>$Q$150</f>
        <v>0</v>
      </c>
      <c r="AH636" s="409">
        <f>$Q$204</f>
        <v>0</v>
      </c>
      <c r="AI636" s="409">
        <f>$Q$258</f>
        <v>0</v>
      </c>
      <c r="AJ636" s="409">
        <f>$Q$312</f>
        <v>0</v>
      </c>
      <c r="AK636" s="409">
        <f>$Q$366</f>
        <v>0</v>
      </c>
      <c r="AL636" s="409">
        <f>$Q$420</f>
        <v>0</v>
      </c>
      <c r="AM636" s="409">
        <f>$Q$474</f>
        <v>0</v>
      </c>
      <c r="AN636" s="409">
        <f>$Q$528</f>
        <v>0</v>
      </c>
      <c r="AO636" s="409">
        <f>$Q$582</f>
        <v>0</v>
      </c>
      <c r="AP636" s="409">
        <f>$Q$636</f>
        <v>0</v>
      </c>
      <c r="AQ636" s="411">
        <f>$Q$690</f>
        <v>0</v>
      </c>
    </row>
    <row r="637" spans="2:43" ht="7.8" customHeight="1" x14ac:dyDescent="0.25">
      <c r="B637" s="282"/>
      <c r="C637" s="404"/>
      <c r="D637" s="415"/>
      <c r="E637" s="416" t="s">
        <v>30</v>
      </c>
      <c r="F637" s="417">
        <f t="shared" ref="F637:Y691" si="1340">IFERROR(F636/F635,0)</f>
        <v>0</v>
      </c>
      <c r="G637" s="417">
        <f t="shared" si="1340"/>
        <v>0</v>
      </c>
      <c r="H637" s="417">
        <f t="shared" si="1340"/>
        <v>0</v>
      </c>
      <c r="I637" s="418">
        <f t="shared" si="1340"/>
        <v>0</v>
      </c>
      <c r="J637" s="419">
        <f t="shared" si="1340"/>
        <v>0</v>
      </c>
      <c r="K637" s="419">
        <f t="shared" si="1340"/>
        <v>0</v>
      </c>
      <c r="L637" s="419">
        <f t="shared" si="1340"/>
        <v>0</v>
      </c>
      <c r="M637" s="420">
        <f t="shared" si="1340"/>
        <v>0</v>
      </c>
      <c r="N637" s="417">
        <f t="shared" si="1340"/>
        <v>0</v>
      </c>
      <c r="O637" s="418">
        <f t="shared" si="1340"/>
        <v>0</v>
      </c>
      <c r="P637" s="419">
        <f t="shared" si="1340"/>
        <v>0</v>
      </c>
      <c r="Q637" s="419">
        <f t="shared" si="1340"/>
        <v>0</v>
      </c>
      <c r="R637" s="419">
        <f t="shared" si="1340"/>
        <v>0</v>
      </c>
      <c r="S637" s="420">
        <f t="shared" si="1340"/>
        <v>0</v>
      </c>
      <c r="T637" s="417">
        <f t="shared" si="1340"/>
        <v>0</v>
      </c>
      <c r="U637" s="418">
        <f t="shared" si="1340"/>
        <v>0</v>
      </c>
      <c r="V637" s="419">
        <f t="shared" si="1340"/>
        <v>0</v>
      </c>
      <c r="W637" s="419">
        <f t="shared" si="1340"/>
        <v>0</v>
      </c>
      <c r="X637" s="419">
        <f t="shared" si="1340"/>
        <v>0</v>
      </c>
      <c r="Y637" s="421">
        <f t="shared" si="1340"/>
        <v>0</v>
      </c>
      <c r="AA637" s="291"/>
      <c r="AB637" s="412"/>
      <c r="AC637" s="422"/>
      <c r="AD637" s="423" t="s">
        <v>30</v>
      </c>
      <c r="AE637" s="417">
        <f t="shared" ref="AE637:AQ637" si="1341">IFERROR(AE636/AE635,0)</f>
        <v>0</v>
      </c>
      <c r="AF637" s="418">
        <f t="shared" si="1341"/>
        <v>0</v>
      </c>
      <c r="AG637" s="419">
        <f t="shared" si="1341"/>
        <v>0</v>
      </c>
      <c r="AH637" s="419">
        <f t="shared" si="1341"/>
        <v>0</v>
      </c>
      <c r="AI637" s="419">
        <f t="shared" si="1341"/>
        <v>0</v>
      </c>
      <c r="AJ637" s="419">
        <f t="shared" si="1341"/>
        <v>0</v>
      </c>
      <c r="AK637" s="419">
        <f t="shared" si="1341"/>
        <v>0</v>
      </c>
      <c r="AL637" s="419">
        <f t="shared" si="1341"/>
        <v>0</v>
      </c>
      <c r="AM637" s="419">
        <f t="shared" si="1341"/>
        <v>0</v>
      </c>
      <c r="AN637" s="419">
        <f t="shared" si="1341"/>
        <v>0</v>
      </c>
      <c r="AO637" s="419">
        <f t="shared" si="1341"/>
        <v>0</v>
      </c>
      <c r="AP637" s="419">
        <f t="shared" si="1341"/>
        <v>0</v>
      </c>
      <c r="AQ637" s="421">
        <f t="shared" si="1341"/>
        <v>0</v>
      </c>
    </row>
    <row r="638" spans="2:43" ht="7.8" customHeight="1" x14ac:dyDescent="0.25">
      <c r="B638" s="282"/>
      <c r="C638" s="404"/>
      <c r="D638" s="424" t="s">
        <v>40</v>
      </c>
      <c r="E638" s="425" t="s">
        <v>32</v>
      </c>
      <c r="F638" s="426">
        <f t="shared" ref="F638:F639" si="1342">SUM(G638,H638,N638,T638)</f>
        <v>2364</v>
      </c>
      <c r="G638" s="426">
        <v>251</v>
      </c>
      <c r="H638" s="426">
        <f t="shared" ref="H638:H639" si="1343">SUM(I638:M638)</f>
        <v>114</v>
      </c>
      <c r="I638" s="427">
        <v>34</v>
      </c>
      <c r="J638" s="428">
        <v>58</v>
      </c>
      <c r="K638" s="428">
        <v>0</v>
      </c>
      <c r="L638" s="428">
        <v>0</v>
      </c>
      <c r="M638" s="429">
        <v>22</v>
      </c>
      <c r="N638" s="426">
        <f t="shared" ref="N638:N639" si="1344">SUM(O638:S638)</f>
        <v>432</v>
      </c>
      <c r="O638" s="427">
        <v>242</v>
      </c>
      <c r="P638" s="428">
        <v>104</v>
      </c>
      <c r="Q638" s="428">
        <v>83</v>
      </c>
      <c r="R638" s="428">
        <v>0</v>
      </c>
      <c r="S638" s="429">
        <v>3</v>
      </c>
      <c r="T638" s="426">
        <f t="shared" ref="T638:T639" si="1345">SUM(U638:Y638)</f>
        <v>1567</v>
      </c>
      <c r="U638" s="427">
        <v>110</v>
      </c>
      <c r="V638" s="428">
        <v>672</v>
      </c>
      <c r="W638" s="428">
        <v>611</v>
      </c>
      <c r="X638" s="428">
        <v>88</v>
      </c>
      <c r="Y638" s="430">
        <v>86</v>
      </c>
      <c r="AA638" s="291"/>
      <c r="AB638" s="412"/>
      <c r="AC638" s="431" t="s">
        <v>40</v>
      </c>
      <c r="AD638" s="432" t="s">
        <v>32</v>
      </c>
      <c r="AE638" s="426">
        <f t="shared" ref="AE638:AE639" si="1346">SUM(AF638:AQ638)</f>
        <v>502</v>
      </c>
      <c r="AF638" s="427">
        <f>$Q$98</f>
        <v>27</v>
      </c>
      <c r="AG638" s="428">
        <f>$Q$152</f>
        <v>23</v>
      </c>
      <c r="AH638" s="428">
        <f>$Q$206</f>
        <v>23</v>
      </c>
      <c r="AI638" s="428">
        <f>$Q$260</f>
        <v>29</v>
      </c>
      <c r="AJ638" s="428">
        <f>$Q$314</f>
        <v>40</v>
      </c>
      <c r="AK638" s="428">
        <f>$Q$368</f>
        <v>42</v>
      </c>
      <c r="AL638" s="428">
        <f>$Q$422</f>
        <v>61</v>
      </c>
      <c r="AM638" s="428">
        <f>$Q$476</f>
        <v>41</v>
      </c>
      <c r="AN638" s="428">
        <f>$Q$530</f>
        <v>32</v>
      </c>
      <c r="AO638" s="428">
        <f>$Q$584</f>
        <v>42</v>
      </c>
      <c r="AP638" s="428">
        <f>$Q$638</f>
        <v>83</v>
      </c>
      <c r="AQ638" s="430">
        <f>$Q$692</f>
        <v>59</v>
      </c>
    </row>
    <row r="639" spans="2:43" s="41" customFormat="1" ht="7.8" customHeight="1" x14ac:dyDescent="0.25">
      <c r="B639" s="282"/>
      <c r="C639" s="404"/>
      <c r="D639" s="405"/>
      <c r="E639" s="406" t="s">
        <v>33</v>
      </c>
      <c r="F639" s="407">
        <f t="shared" si="1342"/>
        <v>353817.53</v>
      </c>
      <c r="G639" s="407">
        <v>39201</v>
      </c>
      <c r="H639" s="407">
        <f t="shared" si="1343"/>
        <v>18880</v>
      </c>
      <c r="I639" s="408">
        <v>5730</v>
      </c>
      <c r="J639" s="409">
        <v>9630</v>
      </c>
      <c r="K639" s="409">
        <v>0</v>
      </c>
      <c r="L639" s="409">
        <v>0</v>
      </c>
      <c r="M639" s="410">
        <v>3520</v>
      </c>
      <c r="N639" s="407">
        <f t="shared" si="1344"/>
        <v>65741</v>
      </c>
      <c r="O639" s="408">
        <v>37980</v>
      </c>
      <c r="P639" s="409">
        <v>15161</v>
      </c>
      <c r="Q639" s="409">
        <v>12100</v>
      </c>
      <c r="R639" s="409">
        <v>0</v>
      </c>
      <c r="S639" s="410">
        <v>500</v>
      </c>
      <c r="T639" s="407">
        <f t="shared" si="1345"/>
        <v>229995.53</v>
      </c>
      <c r="U639" s="408">
        <v>20181.8</v>
      </c>
      <c r="V639" s="409">
        <v>93131.92</v>
      </c>
      <c r="W639" s="409">
        <v>91546.81</v>
      </c>
      <c r="X639" s="409">
        <v>13385</v>
      </c>
      <c r="Y639" s="411">
        <v>11750</v>
      </c>
      <c r="AA639" s="291"/>
      <c r="AB639" s="412"/>
      <c r="AC639" s="413"/>
      <c r="AD639" s="414" t="s">
        <v>33</v>
      </c>
      <c r="AE639" s="407">
        <f t="shared" si="1346"/>
        <v>80504</v>
      </c>
      <c r="AF639" s="408">
        <f>$Q$99</f>
        <v>4790</v>
      </c>
      <c r="AG639" s="409">
        <f>$Q$153</f>
        <v>4040</v>
      </c>
      <c r="AH639" s="409">
        <f>$Q$207</f>
        <v>3685</v>
      </c>
      <c r="AI639" s="409">
        <f>$Q$261</f>
        <v>3980</v>
      </c>
      <c r="AJ639" s="409">
        <f>$Q$315</f>
        <v>5525</v>
      </c>
      <c r="AK639" s="409">
        <f>$Q$369</f>
        <v>6690</v>
      </c>
      <c r="AL639" s="409">
        <f>$Q$423</f>
        <v>11357</v>
      </c>
      <c r="AM639" s="409">
        <f>$Q$477</f>
        <v>7212</v>
      </c>
      <c r="AN639" s="409">
        <f>$Q$531</f>
        <v>4615</v>
      </c>
      <c r="AO639" s="409">
        <f>$Q$585</f>
        <v>6145</v>
      </c>
      <c r="AP639" s="409">
        <f>$Q$639</f>
        <v>12100</v>
      </c>
      <c r="AQ639" s="411">
        <f>$Q$693</f>
        <v>10365</v>
      </c>
    </row>
    <row r="640" spans="2:43" ht="7.8" customHeight="1" x14ac:dyDescent="0.25">
      <c r="B640" s="282"/>
      <c r="C640" s="404"/>
      <c r="D640" s="415"/>
      <c r="E640" s="416" t="s">
        <v>30</v>
      </c>
      <c r="F640" s="417">
        <f t="shared" ref="F640:Y694" si="1347">IFERROR(F639/F638,0)</f>
        <v>149.66900592216584</v>
      </c>
      <c r="G640" s="417">
        <f t="shared" si="1347"/>
        <v>156.17928286852589</v>
      </c>
      <c r="H640" s="417">
        <f t="shared" si="1347"/>
        <v>165.61403508771929</v>
      </c>
      <c r="I640" s="418">
        <f t="shared" si="1347"/>
        <v>168.52941176470588</v>
      </c>
      <c r="J640" s="419">
        <f t="shared" si="1347"/>
        <v>166.0344827586207</v>
      </c>
      <c r="K640" s="419">
        <f t="shared" si="1347"/>
        <v>0</v>
      </c>
      <c r="L640" s="419">
        <f t="shared" si="1347"/>
        <v>0</v>
      </c>
      <c r="M640" s="420">
        <f t="shared" si="1347"/>
        <v>160</v>
      </c>
      <c r="N640" s="417">
        <f t="shared" si="1347"/>
        <v>152.17824074074073</v>
      </c>
      <c r="O640" s="418">
        <f t="shared" si="1347"/>
        <v>156.94214876033058</v>
      </c>
      <c r="P640" s="419">
        <f t="shared" si="1347"/>
        <v>145.77884615384616</v>
      </c>
      <c r="Q640" s="419">
        <f t="shared" si="1347"/>
        <v>145.78313253012047</v>
      </c>
      <c r="R640" s="419">
        <f t="shared" si="1347"/>
        <v>0</v>
      </c>
      <c r="S640" s="420">
        <f t="shared" si="1347"/>
        <v>166.66666666666666</v>
      </c>
      <c r="T640" s="417">
        <f t="shared" si="1347"/>
        <v>146.7744288449266</v>
      </c>
      <c r="U640" s="418">
        <f t="shared" si="1347"/>
        <v>183.47090909090909</v>
      </c>
      <c r="V640" s="419">
        <f t="shared" si="1347"/>
        <v>138.58916666666667</v>
      </c>
      <c r="W640" s="419">
        <f t="shared" si="1347"/>
        <v>149.83111292962357</v>
      </c>
      <c r="X640" s="419">
        <f t="shared" si="1347"/>
        <v>152.10227272727272</v>
      </c>
      <c r="Y640" s="421">
        <f t="shared" si="1347"/>
        <v>136.62790697674419</v>
      </c>
      <c r="AA640" s="291"/>
      <c r="AB640" s="412"/>
      <c r="AC640" s="422"/>
      <c r="AD640" s="423" t="s">
        <v>30</v>
      </c>
      <c r="AE640" s="417">
        <f t="shared" ref="AE640:AQ640" si="1348">IFERROR(AE639/AE638,0)</f>
        <v>160.36653386454182</v>
      </c>
      <c r="AF640" s="418">
        <f t="shared" si="1348"/>
        <v>177.40740740740742</v>
      </c>
      <c r="AG640" s="419">
        <f t="shared" si="1348"/>
        <v>175.65217391304347</v>
      </c>
      <c r="AH640" s="419">
        <f t="shared" si="1348"/>
        <v>160.21739130434781</v>
      </c>
      <c r="AI640" s="419">
        <f t="shared" si="1348"/>
        <v>137.24137931034483</v>
      </c>
      <c r="AJ640" s="419">
        <f t="shared" si="1348"/>
        <v>138.125</v>
      </c>
      <c r="AK640" s="419">
        <f t="shared" si="1348"/>
        <v>159.28571428571428</v>
      </c>
      <c r="AL640" s="419">
        <f t="shared" si="1348"/>
        <v>186.18032786885246</v>
      </c>
      <c r="AM640" s="419">
        <f t="shared" si="1348"/>
        <v>175.90243902439025</v>
      </c>
      <c r="AN640" s="419">
        <f t="shared" si="1348"/>
        <v>144.21875</v>
      </c>
      <c r="AO640" s="419">
        <f t="shared" si="1348"/>
        <v>146.3095238095238</v>
      </c>
      <c r="AP640" s="419">
        <f t="shared" si="1348"/>
        <v>145.78313253012047</v>
      </c>
      <c r="AQ640" s="421">
        <f t="shared" si="1348"/>
        <v>175.67796610169492</v>
      </c>
    </row>
    <row r="641" spans="2:43" ht="7.8" customHeight="1" x14ac:dyDescent="0.25">
      <c r="B641" s="282"/>
      <c r="C641" s="404"/>
      <c r="D641" s="424" t="s">
        <v>41</v>
      </c>
      <c r="E641" s="425" t="s">
        <v>32</v>
      </c>
      <c r="F641" s="426">
        <f t="shared" ref="F641:F642" si="1349">SUM(G641,H641,N641,T641)</f>
        <v>0</v>
      </c>
      <c r="G641" s="426"/>
      <c r="H641" s="426">
        <f t="shared" ref="H641:H642" si="1350">SUM(I641:M641)</f>
        <v>0</v>
      </c>
      <c r="I641" s="427"/>
      <c r="J641" s="428"/>
      <c r="K641" s="428"/>
      <c r="L641" s="428"/>
      <c r="M641" s="429"/>
      <c r="N641" s="426">
        <f t="shared" ref="N641:N642" si="1351">SUM(O641:S641)</f>
        <v>0</v>
      </c>
      <c r="O641" s="427"/>
      <c r="P641" s="428"/>
      <c r="Q641" s="428"/>
      <c r="R641" s="428"/>
      <c r="S641" s="429"/>
      <c r="T641" s="426">
        <f t="shared" ref="T641:T642" si="1352">SUM(U641:Y641)</f>
        <v>0</v>
      </c>
      <c r="U641" s="427"/>
      <c r="V641" s="428"/>
      <c r="W641" s="428"/>
      <c r="X641" s="428"/>
      <c r="Y641" s="430"/>
      <c r="AA641" s="291"/>
      <c r="AB641" s="412"/>
      <c r="AC641" s="431" t="s">
        <v>41</v>
      </c>
      <c r="AD641" s="432" t="s">
        <v>32</v>
      </c>
      <c r="AE641" s="426">
        <f t="shared" ref="AE641:AE642" si="1353">SUM(AF641:AQ641)</f>
        <v>294</v>
      </c>
      <c r="AF641" s="427">
        <f>$Q$101</f>
        <v>32</v>
      </c>
      <c r="AG641" s="428">
        <f>$Q$155</f>
        <v>37</v>
      </c>
      <c r="AH641" s="428">
        <f>$Q$209</f>
        <v>41</v>
      </c>
      <c r="AI641" s="428">
        <f>$Q$263</f>
        <v>45</v>
      </c>
      <c r="AJ641" s="428">
        <f>$Q$317</f>
        <v>61</v>
      </c>
      <c r="AK641" s="428">
        <f>$Q$371</f>
        <v>40</v>
      </c>
      <c r="AL641" s="428">
        <f>$Q$425</f>
        <v>16</v>
      </c>
      <c r="AM641" s="428">
        <f>$Q$479</f>
        <v>22</v>
      </c>
      <c r="AN641" s="428">
        <f>$Q$533</f>
        <v>0</v>
      </c>
      <c r="AO641" s="428">
        <f>$Q$587</f>
        <v>0</v>
      </c>
      <c r="AP641" s="428">
        <f>$Q$641</f>
        <v>0</v>
      </c>
      <c r="AQ641" s="430">
        <f>$Q$695</f>
        <v>0</v>
      </c>
    </row>
    <row r="642" spans="2:43" s="41" customFormat="1" ht="7.8" customHeight="1" x14ac:dyDescent="0.25">
      <c r="B642" s="282"/>
      <c r="C642" s="404"/>
      <c r="D642" s="405"/>
      <c r="E642" s="406" t="s">
        <v>33</v>
      </c>
      <c r="F642" s="407">
        <f t="shared" si="1349"/>
        <v>0</v>
      </c>
      <c r="G642" s="407"/>
      <c r="H642" s="407">
        <f t="shared" si="1350"/>
        <v>0</v>
      </c>
      <c r="I642" s="408"/>
      <c r="J642" s="409"/>
      <c r="K642" s="409"/>
      <c r="L642" s="409"/>
      <c r="M642" s="410"/>
      <c r="N642" s="407">
        <f t="shared" si="1351"/>
        <v>0</v>
      </c>
      <c r="O642" s="408"/>
      <c r="P642" s="409"/>
      <c r="Q642" s="409"/>
      <c r="R642" s="409"/>
      <c r="S642" s="410"/>
      <c r="T642" s="407">
        <f t="shared" si="1352"/>
        <v>0</v>
      </c>
      <c r="U642" s="408"/>
      <c r="V642" s="409"/>
      <c r="W642" s="409"/>
      <c r="X642" s="409"/>
      <c r="Y642" s="411"/>
      <c r="AA642" s="291"/>
      <c r="AB642" s="412"/>
      <c r="AC642" s="413"/>
      <c r="AD642" s="414" t="s">
        <v>33</v>
      </c>
      <c r="AE642" s="407">
        <f t="shared" si="1353"/>
        <v>47651</v>
      </c>
      <c r="AF642" s="408">
        <f>$Q$102</f>
        <v>6231</v>
      </c>
      <c r="AG642" s="409">
        <f>$Q$156</f>
        <v>6520</v>
      </c>
      <c r="AH642" s="409">
        <f>$Q$210</f>
        <v>6405</v>
      </c>
      <c r="AI642" s="409">
        <f>$Q$264</f>
        <v>6670</v>
      </c>
      <c r="AJ642" s="409">
        <f>$Q$318</f>
        <v>9090</v>
      </c>
      <c r="AK642" s="409">
        <f>$Q$372</f>
        <v>6210</v>
      </c>
      <c r="AL642" s="409">
        <f>$Q$426</f>
        <v>2745</v>
      </c>
      <c r="AM642" s="409">
        <f>$Q$480</f>
        <v>3780</v>
      </c>
      <c r="AN642" s="409">
        <f>$Q$534</f>
        <v>0</v>
      </c>
      <c r="AO642" s="409">
        <f>$Q$588</f>
        <v>0</v>
      </c>
      <c r="AP642" s="409">
        <f>$Q$642</f>
        <v>0</v>
      </c>
      <c r="AQ642" s="411">
        <f>$Q$696</f>
        <v>0</v>
      </c>
    </row>
    <row r="643" spans="2:43" ht="7.8" customHeight="1" x14ac:dyDescent="0.25">
      <c r="B643" s="282"/>
      <c r="C643" s="404"/>
      <c r="D643" s="415"/>
      <c r="E643" s="416" t="s">
        <v>30</v>
      </c>
      <c r="F643" s="417">
        <f t="shared" ref="F643:Y697" si="1354">IFERROR(F642/F641,0)</f>
        <v>0</v>
      </c>
      <c r="G643" s="417">
        <f t="shared" si="1354"/>
        <v>0</v>
      </c>
      <c r="H643" s="417">
        <f t="shared" si="1354"/>
        <v>0</v>
      </c>
      <c r="I643" s="418">
        <f t="shared" si="1354"/>
        <v>0</v>
      </c>
      <c r="J643" s="419">
        <f t="shared" si="1354"/>
        <v>0</v>
      </c>
      <c r="K643" s="419">
        <f t="shared" si="1354"/>
        <v>0</v>
      </c>
      <c r="L643" s="419">
        <f t="shared" si="1354"/>
        <v>0</v>
      </c>
      <c r="M643" s="420">
        <f t="shared" si="1354"/>
        <v>0</v>
      </c>
      <c r="N643" s="417">
        <f t="shared" si="1354"/>
        <v>0</v>
      </c>
      <c r="O643" s="418">
        <f t="shared" si="1354"/>
        <v>0</v>
      </c>
      <c r="P643" s="419">
        <f t="shared" si="1354"/>
        <v>0</v>
      </c>
      <c r="Q643" s="419">
        <f t="shared" si="1354"/>
        <v>0</v>
      </c>
      <c r="R643" s="419">
        <f t="shared" si="1354"/>
        <v>0</v>
      </c>
      <c r="S643" s="420">
        <f t="shared" si="1354"/>
        <v>0</v>
      </c>
      <c r="T643" s="417">
        <f t="shared" si="1354"/>
        <v>0</v>
      </c>
      <c r="U643" s="418">
        <f t="shared" si="1354"/>
        <v>0</v>
      </c>
      <c r="V643" s="419">
        <f t="shared" si="1354"/>
        <v>0</v>
      </c>
      <c r="W643" s="419">
        <f t="shared" si="1354"/>
        <v>0</v>
      </c>
      <c r="X643" s="419">
        <f t="shared" si="1354"/>
        <v>0</v>
      </c>
      <c r="Y643" s="421">
        <f t="shared" si="1354"/>
        <v>0</v>
      </c>
      <c r="AA643" s="291"/>
      <c r="AB643" s="412"/>
      <c r="AC643" s="422"/>
      <c r="AD643" s="423" t="s">
        <v>30</v>
      </c>
      <c r="AE643" s="417">
        <f t="shared" ref="AE643:AQ643" si="1355">IFERROR(AE642/AE641,0)</f>
        <v>162.07823129251702</v>
      </c>
      <c r="AF643" s="418">
        <f t="shared" si="1355"/>
        <v>194.71875</v>
      </c>
      <c r="AG643" s="419">
        <f t="shared" si="1355"/>
        <v>176.21621621621622</v>
      </c>
      <c r="AH643" s="419">
        <f t="shared" si="1355"/>
        <v>156.21951219512195</v>
      </c>
      <c r="AI643" s="419">
        <f t="shared" si="1355"/>
        <v>148.22222222222223</v>
      </c>
      <c r="AJ643" s="419">
        <f t="shared" si="1355"/>
        <v>149.01639344262296</v>
      </c>
      <c r="AK643" s="419">
        <f t="shared" si="1355"/>
        <v>155.25</v>
      </c>
      <c r="AL643" s="419">
        <f t="shared" si="1355"/>
        <v>171.5625</v>
      </c>
      <c r="AM643" s="419">
        <f t="shared" si="1355"/>
        <v>171.81818181818181</v>
      </c>
      <c r="AN643" s="419">
        <f t="shared" si="1355"/>
        <v>0</v>
      </c>
      <c r="AO643" s="419">
        <f t="shared" si="1355"/>
        <v>0</v>
      </c>
      <c r="AP643" s="419">
        <f t="shared" si="1355"/>
        <v>0</v>
      </c>
      <c r="AQ643" s="421">
        <f t="shared" si="1355"/>
        <v>0</v>
      </c>
    </row>
    <row r="644" spans="2:43" ht="7.8" customHeight="1" x14ac:dyDescent="0.25">
      <c r="B644" s="282"/>
      <c r="C644" s="404"/>
      <c r="D644" s="433" t="s">
        <v>42</v>
      </c>
      <c r="E644" s="434" t="s">
        <v>32</v>
      </c>
      <c r="F644" s="435">
        <f t="shared" ref="F644:F645" si="1356">SUM(G644,H644,N644,T644)</f>
        <v>1984</v>
      </c>
      <c r="G644" s="435">
        <v>0</v>
      </c>
      <c r="H644" s="435">
        <v>250</v>
      </c>
      <c r="I644" s="436">
        <v>70</v>
      </c>
      <c r="J644" s="437">
        <v>150</v>
      </c>
      <c r="K644" s="437">
        <v>0</v>
      </c>
      <c r="L644" s="437">
        <v>0</v>
      </c>
      <c r="M644" s="438">
        <v>30</v>
      </c>
      <c r="N644" s="435">
        <f t="shared" ref="N644:N645" si="1357">SUM(O644:S644)</f>
        <v>370</v>
      </c>
      <c r="O644" s="436">
        <v>200</v>
      </c>
      <c r="P644" s="437">
        <v>150</v>
      </c>
      <c r="Q644" s="437">
        <v>20</v>
      </c>
      <c r="R644" s="437">
        <v>0</v>
      </c>
      <c r="S644" s="438">
        <v>0</v>
      </c>
      <c r="T644" s="435">
        <f t="shared" ref="T644:T645" si="1358">SUM(U644:Y644)</f>
        <v>1364</v>
      </c>
      <c r="U644" s="436">
        <v>193</v>
      </c>
      <c r="V644" s="437">
        <v>496</v>
      </c>
      <c r="W644" s="437">
        <v>521</v>
      </c>
      <c r="X644" s="437">
        <v>26</v>
      </c>
      <c r="Y644" s="439">
        <v>128</v>
      </c>
      <c r="AA644" s="291"/>
      <c r="AB644" s="412"/>
      <c r="AC644" s="440" t="s">
        <v>42</v>
      </c>
      <c r="AD644" s="441" t="s">
        <v>32</v>
      </c>
      <c r="AE644" s="442">
        <f t="shared" ref="AE644:AE645" si="1359">SUM(AF644:AQ644)</f>
        <v>430</v>
      </c>
      <c r="AF644" s="443">
        <f>$Q$104</f>
        <v>50</v>
      </c>
      <c r="AG644" s="444">
        <f>$Q$158</f>
        <v>35</v>
      </c>
      <c r="AH644" s="444">
        <f>$Q$212</f>
        <v>40</v>
      </c>
      <c r="AI644" s="444">
        <f>$Q$266</f>
        <v>40</v>
      </c>
      <c r="AJ644" s="444">
        <f>$Q$320</f>
        <v>40</v>
      </c>
      <c r="AK644" s="444">
        <f>$Q$374</f>
        <v>50</v>
      </c>
      <c r="AL644" s="444">
        <f>$Q$428</f>
        <v>25</v>
      </c>
      <c r="AM644" s="444">
        <f>$Q$482</f>
        <v>25</v>
      </c>
      <c r="AN644" s="444">
        <f>$Q$536</f>
        <v>50</v>
      </c>
      <c r="AO644" s="444">
        <f>$Q$590</f>
        <v>25</v>
      </c>
      <c r="AP644" s="444">
        <f>$Q$644</f>
        <v>20</v>
      </c>
      <c r="AQ644" s="445">
        <f>$Q$698</f>
        <v>30</v>
      </c>
    </row>
    <row r="645" spans="2:43" s="41" customFormat="1" ht="7.8" customHeight="1" x14ac:dyDescent="0.25">
      <c r="B645" s="282"/>
      <c r="C645" s="404"/>
      <c r="D645" s="446"/>
      <c r="E645" s="447" t="s">
        <v>33</v>
      </c>
      <c r="F645" s="448">
        <f t="shared" si="1356"/>
        <v>325800</v>
      </c>
      <c r="G645" s="448">
        <v>0</v>
      </c>
      <c r="H645" s="448">
        <v>37550</v>
      </c>
      <c r="I645" s="449">
        <v>9800</v>
      </c>
      <c r="J645" s="450">
        <v>23250</v>
      </c>
      <c r="K645" s="450">
        <v>0</v>
      </c>
      <c r="L645" s="450">
        <v>0</v>
      </c>
      <c r="M645" s="451">
        <v>4500</v>
      </c>
      <c r="N645" s="448">
        <f t="shared" si="1357"/>
        <v>53050</v>
      </c>
      <c r="O645" s="449">
        <v>30000</v>
      </c>
      <c r="P645" s="450">
        <v>20250</v>
      </c>
      <c r="Q645" s="450">
        <v>2800</v>
      </c>
      <c r="R645" s="450">
        <v>0</v>
      </c>
      <c r="S645" s="451">
        <v>0</v>
      </c>
      <c r="T645" s="448">
        <f t="shared" si="1358"/>
        <v>235200</v>
      </c>
      <c r="U645" s="449">
        <v>35705</v>
      </c>
      <c r="V645" s="450">
        <v>85808</v>
      </c>
      <c r="W645" s="450">
        <v>85965</v>
      </c>
      <c r="X645" s="450">
        <v>4810</v>
      </c>
      <c r="Y645" s="452">
        <v>22912</v>
      </c>
      <c r="AA645" s="291"/>
      <c r="AB645" s="412"/>
      <c r="AC645" s="453"/>
      <c r="AD645" s="454" t="s">
        <v>33</v>
      </c>
      <c r="AE645" s="455">
        <f t="shared" si="1359"/>
        <v>68760</v>
      </c>
      <c r="AF645" s="456">
        <f>$Q$105</f>
        <v>9000</v>
      </c>
      <c r="AG645" s="457">
        <f>$Q$159</f>
        <v>6300</v>
      </c>
      <c r="AH645" s="457">
        <f>$Q$213</f>
        <v>6200</v>
      </c>
      <c r="AI645" s="457">
        <f>$Q$267</f>
        <v>5800</v>
      </c>
      <c r="AJ645" s="457">
        <f>$Q$321</f>
        <v>6000</v>
      </c>
      <c r="AK645" s="457">
        <f>$Q$375</f>
        <v>8000</v>
      </c>
      <c r="AL645" s="457">
        <f>$Q$429</f>
        <v>4235</v>
      </c>
      <c r="AM645" s="457">
        <f>$Q$483</f>
        <v>4250</v>
      </c>
      <c r="AN645" s="457">
        <f>$Q$537</f>
        <v>7000</v>
      </c>
      <c r="AO645" s="457">
        <f>$Q$591</f>
        <v>3625</v>
      </c>
      <c r="AP645" s="457">
        <f>$Q$645</f>
        <v>2800</v>
      </c>
      <c r="AQ645" s="458">
        <f>$Q$699</f>
        <v>5550</v>
      </c>
    </row>
    <row r="646" spans="2:43" ht="7.8" customHeight="1" x14ac:dyDescent="0.25">
      <c r="B646" s="282"/>
      <c r="C646" s="404"/>
      <c r="D646" s="459"/>
      <c r="E646" s="460" t="s">
        <v>30</v>
      </c>
      <c r="F646" s="461">
        <f t="shared" ref="F646:Y700" si="1360">IFERROR(F645/F644,0)</f>
        <v>164.21370967741936</v>
      </c>
      <c r="G646" s="461">
        <f t="shared" si="1360"/>
        <v>0</v>
      </c>
      <c r="H646" s="461">
        <f t="shared" si="1360"/>
        <v>150.19999999999999</v>
      </c>
      <c r="I646" s="462">
        <f t="shared" si="1360"/>
        <v>140</v>
      </c>
      <c r="J646" s="463">
        <f t="shared" si="1360"/>
        <v>155</v>
      </c>
      <c r="K646" s="463">
        <f t="shared" si="1360"/>
        <v>0</v>
      </c>
      <c r="L646" s="463">
        <f t="shared" si="1360"/>
        <v>0</v>
      </c>
      <c r="M646" s="464">
        <f t="shared" si="1360"/>
        <v>150</v>
      </c>
      <c r="N646" s="461">
        <f t="shared" si="1360"/>
        <v>143.37837837837839</v>
      </c>
      <c r="O646" s="462">
        <f t="shared" si="1360"/>
        <v>150</v>
      </c>
      <c r="P646" s="463">
        <f t="shared" si="1360"/>
        <v>135</v>
      </c>
      <c r="Q646" s="463">
        <f t="shared" si="1360"/>
        <v>140</v>
      </c>
      <c r="R646" s="463">
        <f t="shared" si="1360"/>
        <v>0</v>
      </c>
      <c r="S646" s="464">
        <f t="shared" si="1360"/>
        <v>0</v>
      </c>
      <c r="T646" s="461">
        <f t="shared" si="1360"/>
        <v>172.43401759530792</v>
      </c>
      <c r="U646" s="462">
        <f t="shared" si="1360"/>
        <v>185</v>
      </c>
      <c r="V646" s="463">
        <f t="shared" si="1360"/>
        <v>173</v>
      </c>
      <c r="W646" s="463">
        <f t="shared" si="1360"/>
        <v>165</v>
      </c>
      <c r="X646" s="463">
        <f t="shared" si="1360"/>
        <v>185</v>
      </c>
      <c r="Y646" s="465">
        <f t="shared" si="1360"/>
        <v>179</v>
      </c>
      <c r="AA646" s="291"/>
      <c r="AB646" s="412"/>
      <c r="AC646" s="466"/>
      <c r="AD646" s="467" t="s">
        <v>30</v>
      </c>
      <c r="AE646" s="468">
        <f t="shared" ref="AE646:AQ646" si="1361">IFERROR(AE645/AE644,0)</f>
        <v>159.90697674418604</v>
      </c>
      <c r="AF646" s="469">
        <f t="shared" si="1361"/>
        <v>180</v>
      </c>
      <c r="AG646" s="470">
        <f t="shared" si="1361"/>
        <v>180</v>
      </c>
      <c r="AH646" s="470">
        <f t="shared" si="1361"/>
        <v>155</v>
      </c>
      <c r="AI646" s="470">
        <f t="shared" si="1361"/>
        <v>145</v>
      </c>
      <c r="AJ646" s="470">
        <f t="shared" si="1361"/>
        <v>150</v>
      </c>
      <c r="AK646" s="470">
        <f t="shared" si="1361"/>
        <v>160</v>
      </c>
      <c r="AL646" s="470">
        <f t="shared" si="1361"/>
        <v>169.4</v>
      </c>
      <c r="AM646" s="470">
        <f t="shared" si="1361"/>
        <v>170</v>
      </c>
      <c r="AN646" s="470">
        <f t="shared" si="1361"/>
        <v>140</v>
      </c>
      <c r="AO646" s="470">
        <f t="shared" si="1361"/>
        <v>145</v>
      </c>
      <c r="AP646" s="470">
        <f t="shared" si="1361"/>
        <v>140</v>
      </c>
      <c r="AQ646" s="471">
        <f t="shared" si="1361"/>
        <v>185</v>
      </c>
    </row>
    <row r="647" spans="2:43" ht="7.8" customHeight="1" x14ac:dyDescent="0.25">
      <c r="B647" s="282"/>
      <c r="C647" s="404"/>
      <c r="D647" s="472" t="s">
        <v>43</v>
      </c>
      <c r="E647" s="425" t="s">
        <v>32</v>
      </c>
      <c r="F647" s="426">
        <f t="shared" ref="F647:Y649" si="1362">F644-F641</f>
        <v>1984</v>
      </c>
      <c r="G647" s="426">
        <f t="shared" si="1362"/>
        <v>0</v>
      </c>
      <c r="H647" s="426">
        <f t="shared" si="1362"/>
        <v>250</v>
      </c>
      <c r="I647" s="427">
        <f t="shared" si="1362"/>
        <v>70</v>
      </c>
      <c r="J647" s="428">
        <f t="shared" si="1362"/>
        <v>150</v>
      </c>
      <c r="K647" s="428">
        <f t="shared" si="1362"/>
        <v>0</v>
      </c>
      <c r="L647" s="428">
        <f t="shared" si="1362"/>
        <v>0</v>
      </c>
      <c r="M647" s="429">
        <f t="shared" si="1362"/>
        <v>30</v>
      </c>
      <c r="N647" s="426">
        <f t="shared" si="1362"/>
        <v>370</v>
      </c>
      <c r="O647" s="427">
        <f t="shared" si="1362"/>
        <v>200</v>
      </c>
      <c r="P647" s="428">
        <f t="shared" si="1362"/>
        <v>150</v>
      </c>
      <c r="Q647" s="428">
        <f t="shared" si="1362"/>
        <v>20</v>
      </c>
      <c r="R647" s="428">
        <f t="shared" si="1362"/>
        <v>0</v>
      </c>
      <c r="S647" s="429">
        <f t="shared" si="1362"/>
        <v>0</v>
      </c>
      <c r="T647" s="426">
        <f t="shared" si="1362"/>
        <v>1364</v>
      </c>
      <c r="U647" s="427">
        <f t="shared" si="1362"/>
        <v>193</v>
      </c>
      <c r="V647" s="428">
        <f t="shared" si="1362"/>
        <v>496</v>
      </c>
      <c r="W647" s="428">
        <f t="shared" si="1362"/>
        <v>521</v>
      </c>
      <c r="X647" s="428">
        <f t="shared" si="1362"/>
        <v>26</v>
      </c>
      <c r="Y647" s="430">
        <f t="shared" si="1362"/>
        <v>128</v>
      </c>
      <c r="AA647" s="291"/>
      <c r="AB647" s="412"/>
      <c r="AC647" s="473" t="s">
        <v>43</v>
      </c>
      <c r="AD647" s="432" t="s">
        <v>32</v>
      </c>
      <c r="AE647" s="426">
        <f t="shared" ref="AE647:AQ649" si="1363">AE644-AE641</f>
        <v>136</v>
      </c>
      <c r="AF647" s="427">
        <f t="shared" si="1363"/>
        <v>18</v>
      </c>
      <c r="AG647" s="428">
        <f t="shared" si="1363"/>
        <v>-2</v>
      </c>
      <c r="AH647" s="428">
        <f t="shared" si="1363"/>
        <v>-1</v>
      </c>
      <c r="AI647" s="428">
        <f t="shared" si="1363"/>
        <v>-5</v>
      </c>
      <c r="AJ647" s="428">
        <f t="shared" si="1363"/>
        <v>-21</v>
      </c>
      <c r="AK647" s="428">
        <f t="shared" si="1363"/>
        <v>10</v>
      </c>
      <c r="AL647" s="428">
        <f t="shared" si="1363"/>
        <v>9</v>
      </c>
      <c r="AM647" s="428">
        <f t="shared" si="1363"/>
        <v>3</v>
      </c>
      <c r="AN647" s="428">
        <f t="shared" si="1363"/>
        <v>50</v>
      </c>
      <c r="AO647" s="428">
        <f t="shared" si="1363"/>
        <v>25</v>
      </c>
      <c r="AP647" s="428">
        <f t="shared" si="1363"/>
        <v>20</v>
      </c>
      <c r="AQ647" s="430">
        <f t="shared" si="1363"/>
        <v>30</v>
      </c>
    </row>
    <row r="648" spans="2:43" s="366" customFormat="1" ht="7.8" customHeight="1" x14ac:dyDescent="0.25">
      <c r="B648" s="282"/>
      <c r="C648" s="404"/>
      <c r="D648" s="405"/>
      <c r="E648" s="474" t="s">
        <v>33</v>
      </c>
      <c r="F648" s="407">
        <f t="shared" si="1362"/>
        <v>325800</v>
      </c>
      <c r="G648" s="407">
        <f t="shared" si="1362"/>
        <v>0</v>
      </c>
      <c r="H648" s="407">
        <f t="shared" si="1362"/>
        <v>37550</v>
      </c>
      <c r="I648" s="408">
        <f t="shared" si="1362"/>
        <v>9800</v>
      </c>
      <c r="J648" s="409">
        <f t="shared" si="1362"/>
        <v>23250</v>
      </c>
      <c r="K648" s="409">
        <f t="shared" si="1362"/>
        <v>0</v>
      </c>
      <c r="L648" s="409">
        <f t="shared" si="1362"/>
        <v>0</v>
      </c>
      <c r="M648" s="410">
        <f t="shared" si="1362"/>
        <v>4500</v>
      </c>
      <c r="N648" s="407">
        <f t="shared" si="1362"/>
        <v>53050</v>
      </c>
      <c r="O648" s="408">
        <f t="shared" si="1362"/>
        <v>30000</v>
      </c>
      <c r="P648" s="409">
        <f t="shared" si="1362"/>
        <v>20250</v>
      </c>
      <c r="Q648" s="409">
        <f t="shared" si="1362"/>
        <v>2800</v>
      </c>
      <c r="R648" s="409">
        <f t="shared" si="1362"/>
        <v>0</v>
      </c>
      <c r="S648" s="410">
        <f t="shared" si="1362"/>
        <v>0</v>
      </c>
      <c r="T648" s="407">
        <f t="shared" si="1362"/>
        <v>235200</v>
      </c>
      <c r="U648" s="408">
        <f t="shared" si="1362"/>
        <v>35705</v>
      </c>
      <c r="V648" s="409">
        <f t="shared" si="1362"/>
        <v>85808</v>
      </c>
      <c r="W648" s="409">
        <f t="shared" si="1362"/>
        <v>85965</v>
      </c>
      <c r="X648" s="409">
        <f t="shared" si="1362"/>
        <v>4810</v>
      </c>
      <c r="Y648" s="411">
        <f t="shared" si="1362"/>
        <v>22912</v>
      </c>
      <c r="AA648" s="291"/>
      <c r="AB648" s="412"/>
      <c r="AC648" s="475"/>
      <c r="AD648" s="476" t="s">
        <v>33</v>
      </c>
      <c r="AE648" s="407">
        <f t="shared" si="1363"/>
        <v>21109</v>
      </c>
      <c r="AF648" s="408">
        <f t="shared" si="1363"/>
        <v>2769</v>
      </c>
      <c r="AG648" s="409">
        <f t="shared" si="1363"/>
        <v>-220</v>
      </c>
      <c r="AH648" s="409">
        <f t="shared" si="1363"/>
        <v>-205</v>
      </c>
      <c r="AI648" s="409">
        <f t="shared" si="1363"/>
        <v>-870</v>
      </c>
      <c r="AJ648" s="409">
        <f t="shared" si="1363"/>
        <v>-3090</v>
      </c>
      <c r="AK648" s="409">
        <f t="shared" si="1363"/>
        <v>1790</v>
      </c>
      <c r="AL648" s="409">
        <f t="shared" si="1363"/>
        <v>1490</v>
      </c>
      <c r="AM648" s="409">
        <f t="shared" si="1363"/>
        <v>470</v>
      </c>
      <c r="AN648" s="409">
        <f t="shared" si="1363"/>
        <v>7000</v>
      </c>
      <c r="AO648" s="409">
        <f t="shared" si="1363"/>
        <v>3625</v>
      </c>
      <c r="AP648" s="409">
        <f t="shared" si="1363"/>
        <v>2800</v>
      </c>
      <c r="AQ648" s="411">
        <f t="shared" si="1363"/>
        <v>5550</v>
      </c>
    </row>
    <row r="649" spans="2:43" ht="7.8" customHeight="1" x14ac:dyDescent="0.25">
      <c r="B649" s="282"/>
      <c r="C649" s="404"/>
      <c r="D649" s="415"/>
      <c r="E649" s="416" t="s">
        <v>30</v>
      </c>
      <c r="F649" s="417">
        <f t="shared" si="1362"/>
        <v>164.21370967741936</v>
      </c>
      <c r="G649" s="417">
        <f t="shared" si="1362"/>
        <v>0</v>
      </c>
      <c r="H649" s="417">
        <f t="shared" si="1362"/>
        <v>150.19999999999999</v>
      </c>
      <c r="I649" s="418">
        <f t="shared" si="1362"/>
        <v>140</v>
      </c>
      <c r="J649" s="419">
        <f t="shared" si="1362"/>
        <v>155</v>
      </c>
      <c r="K649" s="419">
        <f t="shared" si="1362"/>
        <v>0</v>
      </c>
      <c r="L649" s="419">
        <f t="shared" si="1362"/>
        <v>0</v>
      </c>
      <c r="M649" s="420">
        <f t="shared" si="1362"/>
        <v>150</v>
      </c>
      <c r="N649" s="417">
        <f t="shared" si="1362"/>
        <v>143.37837837837839</v>
      </c>
      <c r="O649" s="418">
        <f t="shared" si="1362"/>
        <v>150</v>
      </c>
      <c r="P649" s="419">
        <f t="shared" si="1362"/>
        <v>135</v>
      </c>
      <c r="Q649" s="419">
        <f t="shared" si="1362"/>
        <v>140</v>
      </c>
      <c r="R649" s="419">
        <f t="shared" si="1362"/>
        <v>0</v>
      </c>
      <c r="S649" s="420">
        <f t="shared" si="1362"/>
        <v>0</v>
      </c>
      <c r="T649" s="417">
        <f t="shared" si="1362"/>
        <v>172.43401759530792</v>
      </c>
      <c r="U649" s="418">
        <f t="shared" si="1362"/>
        <v>185</v>
      </c>
      <c r="V649" s="419">
        <f t="shared" si="1362"/>
        <v>173</v>
      </c>
      <c r="W649" s="419">
        <f t="shared" si="1362"/>
        <v>165</v>
      </c>
      <c r="X649" s="419">
        <f t="shared" si="1362"/>
        <v>185</v>
      </c>
      <c r="Y649" s="421">
        <f t="shared" si="1362"/>
        <v>179</v>
      </c>
      <c r="AA649" s="291"/>
      <c r="AB649" s="412"/>
      <c r="AC649" s="477"/>
      <c r="AD649" s="423" t="s">
        <v>30</v>
      </c>
      <c r="AE649" s="417">
        <f t="shared" si="1363"/>
        <v>-2.1712545483309782</v>
      </c>
      <c r="AF649" s="418">
        <f t="shared" si="1363"/>
        <v>-14.71875</v>
      </c>
      <c r="AG649" s="419">
        <f t="shared" si="1363"/>
        <v>3.7837837837837753</v>
      </c>
      <c r="AH649" s="419">
        <f t="shared" si="1363"/>
        <v>-1.2195121951219505</v>
      </c>
      <c r="AI649" s="419">
        <f t="shared" si="1363"/>
        <v>-3.2222222222222285</v>
      </c>
      <c r="AJ649" s="419">
        <f t="shared" si="1363"/>
        <v>0.98360655737704406</v>
      </c>
      <c r="AK649" s="419">
        <f t="shared" si="1363"/>
        <v>4.75</v>
      </c>
      <c r="AL649" s="419">
        <f t="shared" si="1363"/>
        <v>-2.1624999999999943</v>
      </c>
      <c r="AM649" s="419">
        <f t="shared" si="1363"/>
        <v>-1.818181818181813</v>
      </c>
      <c r="AN649" s="419">
        <f t="shared" si="1363"/>
        <v>140</v>
      </c>
      <c r="AO649" s="419">
        <f t="shared" si="1363"/>
        <v>145</v>
      </c>
      <c r="AP649" s="419">
        <f t="shared" si="1363"/>
        <v>140</v>
      </c>
      <c r="AQ649" s="421">
        <f t="shared" si="1363"/>
        <v>185</v>
      </c>
    </row>
    <row r="650" spans="2:43" ht="7.8" customHeight="1" x14ac:dyDescent="0.25">
      <c r="B650" s="282"/>
      <c r="C650" s="404"/>
      <c r="D650" s="472" t="s">
        <v>44</v>
      </c>
      <c r="E650" s="425" t="s">
        <v>32</v>
      </c>
      <c r="F650" s="478" t="str">
        <f t="shared" ref="F650:Y652" si="1364">IFERROR((F644-F641)/ABS(F641),"")</f>
        <v/>
      </c>
      <c r="G650" s="478" t="str">
        <f t="shared" si="1364"/>
        <v/>
      </c>
      <c r="H650" s="478" t="str">
        <f t="shared" si="1364"/>
        <v/>
      </c>
      <c r="I650" s="479" t="str">
        <f t="shared" si="1364"/>
        <v/>
      </c>
      <c r="J650" s="480" t="str">
        <f t="shared" si="1364"/>
        <v/>
      </c>
      <c r="K650" s="480" t="str">
        <f t="shared" si="1364"/>
        <v/>
      </c>
      <c r="L650" s="480" t="str">
        <f t="shared" si="1364"/>
        <v/>
      </c>
      <c r="M650" s="481" t="str">
        <f t="shared" si="1364"/>
        <v/>
      </c>
      <c r="N650" s="478" t="str">
        <f t="shared" si="1364"/>
        <v/>
      </c>
      <c r="O650" s="479" t="str">
        <f t="shared" si="1364"/>
        <v/>
      </c>
      <c r="P650" s="480" t="str">
        <f t="shared" si="1364"/>
        <v/>
      </c>
      <c r="Q650" s="480" t="str">
        <f t="shared" si="1364"/>
        <v/>
      </c>
      <c r="R650" s="480" t="str">
        <f t="shared" si="1364"/>
        <v/>
      </c>
      <c r="S650" s="481" t="str">
        <f t="shared" si="1364"/>
        <v/>
      </c>
      <c r="T650" s="478" t="str">
        <f t="shared" si="1364"/>
        <v/>
      </c>
      <c r="U650" s="479" t="str">
        <f t="shared" si="1364"/>
        <v/>
      </c>
      <c r="V650" s="480" t="str">
        <f t="shared" si="1364"/>
        <v/>
      </c>
      <c r="W650" s="480" t="str">
        <f t="shared" si="1364"/>
        <v/>
      </c>
      <c r="X650" s="480" t="str">
        <f t="shared" si="1364"/>
        <v/>
      </c>
      <c r="Y650" s="482" t="str">
        <f t="shared" si="1364"/>
        <v/>
      </c>
      <c r="AA650" s="291"/>
      <c r="AB650" s="412"/>
      <c r="AC650" s="473" t="s">
        <v>44</v>
      </c>
      <c r="AD650" s="432" t="s">
        <v>32</v>
      </c>
      <c r="AE650" s="478">
        <f t="shared" ref="AE650:AQ652" si="1365">IFERROR((AE644-AE641)/ABS(AE641),"")</f>
        <v>0.46258503401360546</v>
      </c>
      <c r="AF650" s="479">
        <f t="shared" si="1365"/>
        <v>0.5625</v>
      </c>
      <c r="AG650" s="480">
        <f t="shared" si="1365"/>
        <v>-5.4054054054054057E-2</v>
      </c>
      <c r="AH650" s="480">
        <f t="shared" si="1365"/>
        <v>-2.4390243902439025E-2</v>
      </c>
      <c r="AI650" s="480">
        <f t="shared" si="1365"/>
        <v>-0.1111111111111111</v>
      </c>
      <c r="AJ650" s="480">
        <f t="shared" si="1365"/>
        <v>-0.34426229508196721</v>
      </c>
      <c r="AK650" s="480">
        <f t="shared" si="1365"/>
        <v>0.25</v>
      </c>
      <c r="AL650" s="480">
        <f t="shared" si="1365"/>
        <v>0.5625</v>
      </c>
      <c r="AM650" s="480">
        <f t="shared" si="1365"/>
        <v>0.13636363636363635</v>
      </c>
      <c r="AN650" s="480" t="str">
        <f t="shared" si="1365"/>
        <v/>
      </c>
      <c r="AO650" s="480" t="str">
        <f t="shared" si="1365"/>
        <v/>
      </c>
      <c r="AP650" s="480" t="str">
        <f t="shared" si="1365"/>
        <v/>
      </c>
      <c r="AQ650" s="482" t="str">
        <f t="shared" si="1365"/>
        <v/>
      </c>
    </row>
    <row r="651" spans="2:43" ht="7.8" customHeight="1" x14ac:dyDescent="0.25">
      <c r="B651" s="282"/>
      <c r="C651" s="404"/>
      <c r="D651" s="405"/>
      <c r="E651" s="483" t="s">
        <v>33</v>
      </c>
      <c r="F651" s="484" t="str">
        <f t="shared" si="1364"/>
        <v/>
      </c>
      <c r="G651" s="484" t="str">
        <f t="shared" si="1364"/>
        <v/>
      </c>
      <c r="H651" s="484" t="str">
        <f t="shared" si="1364"/>
        <v/>
      </c>
      <c r="I651" s="485" t="str">
        <f t="shared" si="1364"/>
        <v/>
      </c>
      <c r="J651" s="486" t="str">
        <f t="shared" si="1364"/>
        <v/>
      </c>
      <c r="K651" s="486" t="str">
        <f t="shared" si="1364"/>
        <v/>
      </c>
      <c r="L651" s="486" t="str">
        <f t="shared" si="1364"/>
        <v/>
      </c>
      <c r="M651" s="487" t="str">
        <f t="shared" si="1364"/>
        <v/>
      </c>
      <c r="N651" s="484" t="str">
        <f t="shared" si="1364"/>
        <v/>
      </c>
      <c r="O651" s="485" t="str">
        <f t="shared" si="1364"/>
        <v/>
      </c>
      <c r="P651" s="486" t="str">
        <f t="shared" si="1364"/>
        <v/>
      </c>
      <c r="Q651" s="486" t="str">
        <f t="shared" si="1364"/>
        <v/>
      </c>
      <c r="R651" s="486" t="str">
        <f t="shared" si="1364"/>
        <v/>
      </c>
      <c r="S651" s="487" t="str">
        <f t="shared" si="1364"/>
        <v/>
      </c>
      <c r="T651" s="484" t="str">
        <f t="shared" si="1364"/>
        <v/>
      </c>
      <c r="U651" s="485" t="str">
        <f t="shared" si="1364"/>
        <v/>
      </c>
      <c r="V651" s="486" t="str">
        <f t="shared" si="1364"/>
        <v/>
      </c>
      <c r="W651" s="486" t="str">
        <f t="shared" si="1364"/>
        <v/>
      </c>
      <c r="X651" s="486" t="str">
        <f t="shared" si="1364"/>
        <v/>
      </c>
      <c r="Y651" s="488" t="str">
        <f t="shared" si="1364"/>
        <v/>
      </c>
      <c r="AA651" s="291"/>
      <c r="AB651" s="412"/>
      <c r="AC651" s="475"/>
      <c r="AD651" s="489" t="s">
        <v>33</v>
      </c>
      <c r="AE651" s="484">
        <f t="shared" si="1365"/>
        <v>0.44299175253404965</v>
      </c>
      <c r="AF651" s="485">
        <f t="shared" si="1365"/>
        <v>0.4443909484833895</v>
      </c>
      <c r="AG651" s="486">
        <f t="shared" si="1365"/>
        <v>-3.3742331288343558E-2</v>
      </c>
      <c r="AH651" s="486">
        <f t="shared" si="1365"/>
        <v>-3.200624512099922E-2</v>
      </c>
      <c r="AI651" s="486">
        <f t="shared" si="1365"/>
        <v>-0.13043478260869565</v>
      </c>
      <c r="AJ651" s="486">
        <f t="shared" si="1365"/>
        <v>-0.33993399339933994</v>
      </c>
      <c r="AK651" s="486">
        <f t="shared" si="1365"/>
        <v>0.28824476650563607</v>
      </c>
      <c r="AL651" s="486">
        <f t="shared" si="1365"/>
        <v>0.54280510018214934</v>
      </c>
      <c r="AM651" s="486">
        <f t="shared" si="1365"/>
        <v>0.12433862433862433</v>
      </c>
      <c r="AN651" s="486" t="str">
        <f t="shared" si="1365"/>
        <v/>
      </c>
      <c r="AO651" s="486" t="str">
        <f t="shared" si="1365"/>
        <v/>
      </c>
      <c r="AP651" s="486" t="str">
        <f t="shared" si="1365"/>
        <v/>
      </c>
      <c r="AQ651" s="488" t="str">
        <f t="shared" si="1365"/>
        <v/>
      </c>
    </row>
    <row r="652" spans="2:43" ht="7.8" customHeight="1" x14ac:dyDescent="0.25">
      <c r="B652" s="282"/>
      <c r="C652" s="502"/>
      <c r="D652" s="503"/>
      <c r="E652" s="504" t="s">
        <v>30</v>
      </c>
      <c r="F652" s="505" t="str">
        <f t="shared" si="1364"/>
        <v/>
      </c>
      <c r="G652" s="505" t="str">
        <f t="shared" si="1364"/>
        <v/>
      </c>
      <c r="H652" s="505" t="str">
        <f t="shared" si="1364"/>
        <v/>
      </c>
      <c r="I652" s="506" t="str">
        <f t="shared" si="1364"/>
        <v/>
      </c>
      <c r="J652" s="507" t="str">
        <f t="shared" si="1364"/>
        <v/>
      </c>
      <c r="K652" s="507" t="str">
        <f t="shared" si="1364"/>
        <v/>
      </c>
      <c r="L652" s="507" t="str">
        <f t="shared" si="1364"/>
        <v/>
      </c>
      <c r="M652" s="508" t="str">
        <f t="shared" si="1364"/>
        <v/>
      </c>
      <c r="N652" s="505" t="str">
        <f t="shared" si="1364"/>
        <v/>
      </c>
      <c r="O652" s="506" t="str">
        <f t="shared" si="1364"/>
        <v/>
      </c>
      <c r="P652" s="507" t="str">
        <f t="shared" si="1364"/>
        <v/>
      </c>
      <c r="Q652" s="507" t="str">
        <f t="shared" si="1364"/>
        <v/>
      </c>
      <c r="R652" s="507" t="str">
        <f t="shared" si="1364"/>
        <v/>
      </c>
      <c r="S652" s="508" t="str">
        <f t="shared" si="1364"/>
        <v/>
      </c>
      <c r="T652" s="505" t="str">
        <f t="shared" si="1364"/>
        <v/>
      </c>
      <c r="U652" s="506" t="str">
        <f t="shared" si="1364"/>
        <v/>
      </c>
      <c r="V652" s="507" t="str">
        <f t="shared" si="1364"/>
        <v/>
      </c>
      <c r="W652" s="507" t="str">
        <f t="shared" si="1364"/>
        <v/>
      </c>
      <c r="X652" s="507" t="str">
        <f t="shared" si="1364"/>
        <v/>
      </c>
      <c r="Y652" s="509" t="str">
        <f t="shared" si="1364"/>
        <v/>
      </c>
      <c r="AA652" s="291"/>
      <c r="AB652" s="510"/>
      <c r="AC652" s="511"/>
      <c r="AD652" s="512" t="s">
        <v>30</v>
      </c>
      <c r="AE652" s="505">
        <f t="shared" si="1365"/>
        <v>-1.3396336639510347E-2</v>
      </c>
      <c r="AF652" s="506">
        <f t="shared" si="1365"/>
        <v>-7.5589792970630718E-2</v>
      </c>
      <c r="AG652" s="507">
        <f t="shared" si="1365"/>
        <v>2.1472392638036762E-2</v>
      </c>
      <c r="AH652" s="507">
        <f t="shared" si="1365"/>
        <v>-7.8064012490241955E-3</v>
      </c>
      <c r="AI652" s="507">
        <f t="shared" si="1365"/>
        <v>-2.173913043478265E-2</v>
      </c>
      <c r="AJ652" s="507">
        <f t="shared" si="1365"/>
        <v>6.600660066006566E-3</v>
      </c>
      <c r="AK652" s="507">
        <f t="shared" si="1365"/>
        <v>3.0595813204508857E-2</v>
      </c>
      <c r="AL652" s="507">
        <f t="shared" si="1365"/>
        <v>-1.2604735883424374E-2</v>
      </c>
      <c r="AM652" s="507">
        <f t="shared" si="1365"/>
        <v>-1.0582010582010552E-2</v>
      </c>
      <c r="AN652" s="507" t="str">
        <f t="shared" si="1365"/>
        <v/>
      </c>
      <c r="AO652" s="507" t="str">
        <f t="shared" si="1365"/>
        <v/>
      </c>
      <c r="AP652" s="507" t="str">
        <f t="shared" si="1365"/>
        <v/>
      </c>
      <c r="AQ652" s="509" t="str">
        <f t="shared" si="1365"/>
        <v/>
      </c>
    </row>
    <row r="653" spans="2:43" ht="7.8" customHeight="1" x14ac:dyDescent="0.25">
      <c r="B653" s="282" t="s">
        <v>69</v>
      </c>
      <c r="C653" s="283" t="s">
        <v>9</v>
      </c>
      <c r="D653" s="284" t="s">
        <v>39</v>
      </c>
      <c r="E653" s="285" t="s">
        <v>32</v>
      </c>
      <c r="F653" s="286">
        <f t="shared" ref="F653:F654" si="1366">SUM(G653,H653,N653,T653)</f>
        <v>0</v>
      </c>
      <c r="G653" s="286">
        <f t="shared" si="1255"/>
        <v>0</v>
      </c>
      <c r="H653" s="286">
        <f t="shared" ref="H653:H654" si="1367">SUM(I653:M653)</f>
        <v>0</v>
      </c>
      <c r="I653" s="287">
        <f t="shared" ref="I653:M654" si="1368">SUM(I671,I689)</f>
        <v>0</v>
      </c>
      <c r="J653" s="288">
        <f t="shared" si="1368"/>
        <v>0</v>
      </c>
      <c r="K653" s="288">
        <f t="shared" si="1368"/>
        <v>0</v>
      </c>
      <c r="L653" s="288">
        <f t="shared" si="1368"/>
        <v>0</v>
      </c>
      <c r="M653" s="289">
        <f t="shared" si="1368"/>
        <v>0</v>
      </c>
      <c r="N653" s="286">
        <f t="shared" ref="N653:N654" si="1369">SUM(O653:S653)</f>
        <v>0</v>
      </c>
      <c r="O653" s="287">
        <f t="shared" ref="O653:S654" si="1370">SUM(O671,O689)</f>
        <v>0</v>
      </c>
      <c r="P653" s="288">
        <f t="shared" si="1370"/>
        <v>0</v>
      </c>
      <c r="Q653" s="288">
        <f t="shared" si="1370"/>
        <v>0</v>
      </c>
      <c r="R653" s="288">
        <f t="shared" si="1370"/>
        <v>0</v>
      </c>
      <c r="S653" s="289">
        <f t="shared" si="1370"/>
        <v>0</v>
      </c>
      <c r="T653" s="286">
        <f t="shared" ref="T653:T654" si="1371">SUM(U653:Y653)</f>
        <v>0</v>
      </c>
      <c r="U653" s="287">
        <f t="shared" ref="U653:Y654" si="1372">SUM(U671,U689)</f>
        <v>0</v>
      </c>
      <c r="V653" s="288">
        <f t="shared" si="1372"/>
        <v>0</v>
      </c>
      <c r="W653" s="288">
        <f t="shared" si="1372"/>
        <v>0</v>
      </c>
      <c r="X653" s="288">
        <f t="shared" si="1372"/>
        <v>0</v>
      </c>
      <c r="Y653" s="290">
        <f t="shared" si="1372"/>
        <v>0</v>
      </c>
      <c r="AA653" s="291" t="s">
        <v>59</v>
      </c>
      <c r="AB653" s="292" t="s">
        <v>9</v>
      </c>
      <c r="AC653" s="293" t="s">
        <v>39</v>
      </c>
      <c r="AD653" s="294" t="s">
        <v>32</v>
      </c>
      <c r="AE653" s="286">
        <f t="shared" ref="AE653:AE654" si="1373">SUM(AF653:AQ653)</f>
        <v>0</v>
      </c>
      <c r="AF653" s="287">
        <f t="shared" ref="AF653:AQ654" si="1374">SUM(AF671,AF689)</f>
        <v>0</v>
      </c>
      <c r="AG653" s="288">
        <f t="shared" si="1374"/>
        <v>0</v>
      </c>
      <c r="AH653" s="288">
        <f t="shared" si="1374"/>
        <v>0</v>
      </c>
      <c r="AI653" s="288">
        <f t="shared" si="1374"/>
        <v>0</v>
      </c>
      <c r="AJ653" s="288">
        <f t="shared" si="1374"/>
        <v>0</v>
      </c>
      <c r="AK653" s="288">
        <f t="shared" si="1374"/>
        <v>0</v>
      </c>
      <c r="AL653" s="288">
        <f t="shared" si="1374"/>
        <v>0</v>
      </c>
      <c r="AM653" s="288">
        <f t="shared" si="1374"/>
        <v>0</v>
      </c>
      <c r="AN653" s="288">
        <f t="shared" si="1374"/>
        <v>0</v>
      </c>
      <c r="AO653" s="288">
        <f t="shared" si="1374"/>
        <v>0</v>
      </c>
      <c r="AP653" s="288">
        <f t="shared" si="1374"/>
        <v>0</v>
      </c>
      <c r="AQ653" s="290">
        <f t="shared" si="1374"/>
        <v>0</v>
      </c>
    </row>
    <row r="654" spans="2:43" s="41" customFormat="1" ht="7.8" customHeight="1" x14ac:dyDescent="0.25">
      <c r="B654" s="282"/>
      <c r="C654" s="295"/>
      <c r="D654" s="296"/>
      <c r="E654" s="297" t="s">
        <v>33</v>
      </c>
      <c r="F654" s="298">
        <f t="shared" si="1366"/>
        <v>0</v>
      </c>
      <c r="G654" s="298">
        <f t="shared" si="1255"/>
        <v>0</v>
      </c>
      <c r="H654" s="298">
        <f t="shared" si="1367"/>
        <v>0</v>
      </c>
      <c r="I654" s="299">
        <f t="shared" si="1368"/>
        <v>0</v>
      </c>
      <c r="J654" s="300">
        <f t="shared" si="1368"/>
        <v>0</v>
      </c>
      <c r="K654" s="300">
        <f t="shared" si="1368"/>
        <v>0</v>
      </c>
      <c r="L654" s="300">
        <f t="shared" si="1368"/>
        <v>0</v>
      </c>
      <c r="M654" s="301">
        <f t="shared" si="1368"/>
        <v>0</v>
      </c>
      <c r="N654" s="298">
        <f t="shared" si="1369"/>
        <v>0</v>
      </c>
      <c r="O654" s="299">
        <f t="shared" si="1370"/>
        <v>0</v>
      </c>
      <c r="P654" s="300">
        <f t="shared" si="1370"/>
        <v>0</v>
      </c>
      <c r="Q654" s="300">
        <f t="shared" si="1370"/>
        <v>0</v>
      </c>
      <c r="R654" s="300">
        <f t="shared" si="1370"/>
        <v>0</v>
      </c>
      <c r="S654" s="301">
        <f t="shared" si="1370"/>
        <v>0</v>
      </c>
      <c r="T654" s="298">
        <f t="shared" si="1371"/>
        <v>0</v>
      </c>
      <c r="U654" s="299">
        <f t="shared" si="1372"/>
        <v>0</v>
      </c>
      <c r="V654" s="300">
        <f t="shared" si="1372"/>
        <v>0</v>
      </c>
      <c r="W654" s="300">
        <f t="shared" si="1372"/>
        <v>0</v>
      </c>
      <c r="X654" s="300">
        <f t="shared" si="1372"/>
        <v>0</v>
      </c>
      <c r="Y654" s="302">
        <f t="shared" si="1372"/>
        <v>0</v>
      </c>
      <c r="AA654" s="291"/>
      <c r="AB654" s="303"/>
      <c r="AC654" s="304"/>
      <c r="AD654" s="305" t="s">
        <v>33</v>
      </c>
      <c r="AE654" s="298">
        <f t="shared" si="1373"/>
        <v>0</v>
      </c>
      <c r="AF654" s="299">
        <f t="shared" si="1374"/>
        <v>0</v>
      </c>
      <c r="AG654" s="300">
        <f t="shared" si="1374"/>
        <v>0</v>
      </c>
      <c r="AH654" s="300">
        <f t="shared" si="1374"/>
        <v>0</v>
      </c>
      <c r="AI654" s="300">
        <f t="shared" si="1374"/>
        <v>0</v>
      </c>
      <c r="AJ654" s="300">
        <f t="shared" si="1374"/>
        <v>0</v>
      </c>
      <c r="AK654" s="300">
        <f t="shared" si="1374"/>
        <v>0</v>
      </c>
      <c r="AL654" s="300">
        <f t="shared" si="1374"/>
        <v>0</v>
      </c>
      <c r="AM654" s="300">
        <f t="shared" si="1374"/>
        <v>0</v>
      </c>
      <c r="AN654" s="300">
        <f t="shared" si="1374"/>
        <v>0</v>
      </c>
      <c r="AO654" s="300">
        <f t="shared" si="1374"/>
        <v>0</v>
      </c>
      <c r="AP654" s="300">
        <f t="shared" si="1374"/>
        <v>0</v>
      </c>
      <c r="AQ654" s="302">
        <f t="shared" si="1374"/>
        <v>0</v>
      </c>
    </row>
    <row r="655" spans="2:43" ht="7.8" customHeight="1" x14ac:dyDescent="0.25">
      <c r="B655" s="282"/>
      <c r="C655" s="295"/>
      <c r="D655" s="306"/>
      <c r="E655" s="307" t="s">
        <v>30</v>
      </c>
      <c r="F655" s="308">
        <f t="shared" si="1264"/>
        <v>0</v>
      </c>
      <c r="G655" s="308">
        <f t="shared" si="1264"/>
        <v>0</v>
      </c>
      <c r="H655" s="308">
        <f t="shared" si="1264"/>
        <v>0</v>
      </c>
      <c r="I655" s="309">
        <f t="shared" si="1264"/>
        <v>0</v>
      </c>
      <c r="J655" s="310">
        <f t="shared" si="1264"/>
        <v>0</v>
      </c>
      <c r="K655" s="310">
        <f t="shared" si="1264"/>
        <v>0</v>
      </c>
      <c r="L655" s="310">
        <f t="shared" si="1264"/>
        <v>0</v>
      </c>
      <c r="M655" s="311">
        <f t="shared" si="1264"/>
        <v>0</v>
      </c>
      <c r="N655" s="308">
        <f t="shared" si="1264"/>
        <v>0</v>
      </c>
      <c r="O655" s="309">
        <f t="shared" si="1264"/>
        <v>0</v>
      </c>
      <c r="P655" s="310">
        <f t="shared" si="1264"/>
        <v>0</v>
      </c>
      <c r="Q655" s="310">
        <f t="shared" si="1264"/>
        <v>0</v>
      </c>
      <c r="R655" s="310">
        <f t="shared" si="1264"/>
        <v>0</v>
      </c>
      <c r="S655" s="311">
        <f t="shared" si="1264"/>
        <v>0</v>
      </c>
      <c r="T655" s="308">
        <f t="shared" si="1264"/>
        <v>0</v>
      </c>
      <c r="U655" s="309">
        <f t="shared" si="1264"/>
        <v>0</v>
      </c>
      <c r="V655" s="310">
        <f t="shared" si="1264"/>
        <v>0</v>
      </c>
      <c r="W655" s="310">
        <f t="shared" si="1264"/>
        <v>0</v>
      </c>
      <c r="X655" s="310">
        <f t="shared" si="1264"/>
        <v>0</v>
      </c>
      <c r="Y655" s="312">
        <f t="shared" si="1264"/>
        <v>0</v>
      </c>
      <c r="AA655" s="291"/>
      <c r="AB655" s="303"/>
      <c r="AC655" s="313"/>
      <c r="AD655" s="314" t="s">
        <v>30</v>
      </c>
      <c r="AE655" s="308">
        <f t="shared" ref="AE655:AQ655" si="1375">IFERROR(AE654/AE653,0)</f>
        <v>0</v>
      </c>
      <c r="AF655" s="309">
        <f t="shared" si="1375"/>
        <v>0</v>
      </c>
      <c r="AG655" s="310">
        <f t="shared" si="1375"/>
        <v>0</v>
      </c>
      <c r="AH655" s="310">
        <f t="shared" si="1375"/>
        <v>0</v>
      </c>
      <c r="AI655" s="310">
        <f t="shared" si="1375"/>
        <v>0</v>
      </c>
      <c r="AJ655" s="310">
        <f t="shared" si="1375"/>
        <v>0</v>
      </c>
      <c r="AK655" s="310">
        <f t="shared" si="1375"/>
        <v>0</v>
      </c>
      <c r="AL655" s="310">
        <f t="shared" si="1375"/>
        <v>0</v>
      </c>
      <c r="AM655" s="310">
        <f t="shared" si="1375"/>
        <v>0</v>
      </c>
      <c r="AN655" s="310">
        <f t="shared" si="1375"/>
        <v>0</v>
      </c>
      <c r="AO655" s="310">
        <f t="shared" si="1375"/>
        <v>0</v>
      </c>
      <c r="AP655" s="310">
        <f t="shared" si="1375"/>
        <v>0</v>
      </c>
      <c r="AQ655" s="312">
        <f t="shared" si="1375"/>
        <v>0</v>
      </c>
    </row>
    <row r="656" spans="2:43" s="605" customFormat="1" ht="7.8" customHeight="1" x14ac:dyDescent="0.25">
      <c r="B656" s="282"/>
      <c r="C656" s="295"/>
      <c r="D656" s="315" t="s">
        <v>40</v>
      </c>
      <c r="E656" s="316" t="s">
        <v>32</v>
      </c>
      <c r="F656" s="317">
        <f t="shared" ref="F656:F657" si="1376">SUM(G656,H656,N656,T656)</f>
        <v>7800</v>
      </c>
      <c r="G656" s="317">
        <f t="shared" ref="G656:G657" si="1377">SUM(G674,G692)</f>
        <v>959</v>
      </c>
      <c r="H656" s="317">
        <f t="shared" ref="H656:H657" si="1378">SUM(I656:M656)</f>
        <v>344</v>
      </c>
      <c r="I656" s="318">
        <f t="shared" ref="I656:M657" si="1379">SUM(I674,I692)</f>
        <v>0</v>
      </c>
      <c r="J656" s="319">
        <f t="shared" si="1379"/>
        <v>280</v>
      </c>
      <c r="K656" s="319">
        <f t="shared" si="1379"/>
        <v>64</v>
      </c>
      <c r="L656" s="319">
        <f t="shared" si="1379"/>
        <v>0</v>
      </c>
      <c r="M656" s="320">
        <f t="shared" si="1379"/>
        <v>0</v>
      </c>
      <c r="N656" s="317">
        <f t="shared" ref="N656:N657" si="1380">SUM(O656:S656)</f>
        <v>1112</v>
      </c>
      <c r="O656" s="318">
        <f t="shared" ref="O656:S657" si="1381">SUM(O674,O692)</f>
        <v>631</v>
      </c>
      <c r="P656" s="319">
        <f t="shared" si="1381"/>
        <v>253</v>
      </c>
      <c r="Q656" s="319">
        <f t="shared" si="1381"/>
        <v>226</v>
      </c>
      <c r="R656" s="319">
        <f t="shared" si="1381"/>
        <v>0</v>
      </c>
      <c r="S656" s="320">
        <f t="shared" si="1381"/>
        <v>2</v>
      </c>
      <c r="T656" s="317">
        <f t="shared" ref="T656:T657" si="1382">SUM(U656:Y656)</f>
        <v>5385</v>
      </c>
      <c r="U656" s="318">
        <f t="shared" ref="U656:Y657" si="1383">SUM(U674,U692)</f>
        <v>461</v>
      </c>
      <c r="V656" s="319">
        <f t="shared" si="1383"/>
        <v>2887</v>
      </c>
      <c r="W656" s="319">
        <f t="shared" si="1383"/>
        <v>1480</v>
      </c>
      <c r="X656" s="319">
        <f t="shared" si="1383"/>
        <v>355</v>
      </c>
      <c r="Y656" s="321">
        <f t="shared" si="1383"/>
        <v>202</v>
      </c>
      <c r="AA656" s="291"/>
      <c r="AB656" s="303"/>
      <c r="AC656" s="322" t="s">
        <v>40</v>
      </c>
      <c r="AD656" s="323" t="s">
        <v>32</v>
      </c>
      <c r="AE656" s="317">
        <f t="shared" ref="AE656:AE657" si="1384">SUM(AF656:AQ656)</f>
        <v>4</v>
      </c>
      <c r="AF656" s="318">
        <f t="shared" ref="AF656:AQ657" si="1385">SUM(AF674,AF692)</f>
        <v>0</v>
      </c>
      <c r="AG656" s="319">
        <f t="shared" si="1385"/>
        <v>0</v>
      </c>
      <c r="AH656" s="319">
        <f t="shared" si="1385"/>
        <v>0</v>
      </c>
      <c r="AI656" s="319">
        <f t="shared" si="1385"/>
        <v>4</v>
      </c>
      <c r="AJ656" s="319">
        <f t="shared" si="1385"/>
        <v>0</v>
      </c>
      <c r="AK656" s="319">
        <f t="shared" si="1385"/>
        <v>0</v>
      </c>
      <c r="AL656" s="319">
        <f t="shared" si="1385"/>
        <v>0</v>
      </c>
      <c r="AM656" s="319">
        <f t="shared" si="1385"/>
        <v>0</v>
      </c>
      <c r="AN656" s="319">
        <f t="shared" si="1385"/>
        <v>0</v>
      </c>
      <c r="AO656" s="319">
        <f t="shared" si="1385"/>
        <v>0</v>
      </c>
      <c r="AP656" s="319">
        <f t="shared" si="1385"/>
        <v>0</v>
      </c>
      <c r="AQ656" s="321">
        <f t="shared" si="1385"/>
        <v>0</v>
      </c>
    </row>
    <row r="657" spans="2:43" s="606" customFormat="1" ht="7.8" customHeight="1" x14ac:dyDescent="0.25">
      <c r="B657" s="282"/>
      <c r="C657" s="295"/>
      <c r="D657" s="296"/>
      <c r="E657" s="297" t="s">
        <v>33</v>
      </c>
      <c r="F657" s="298">
        <f t="shared" si="1376"/>
        <v>1316623.71</v>
      </c>
      <c r="G657" s="298">
        <f t="shared" si="1377"/>
        <v>149604</v>
      </c>
      <c r="H657" s="298">
        <f t="shared" si="1378"/>
        <v>55874.31</v>
      </c>
      <c r="I657" s="299">
        <f t="shared" si="1379"/>
        <v>0</v>
      </c>
      <c r="J657" s="300">
        <f t="shared" si="1379"/>
        <v>45794.31</v>
      </c>
      <c r="K657" s="300">
        <f t="shared" si="1379"/>
        <v>10080</v>
      </c>
      <c r="L657" s="300">
        <f t="shared" si="1379"/>
        <v>0</v>
      </c>
      <c r="M657" s="301">
        <f t="shared" si="1379"/>
        <v>0</v>
      </c>
      <c r="N657" s="298">
        <f t="shared" si="1380"/>
        <v>185227</v>
      </c>
      <c r="O657" s="299">
        <f t="shared" si="1381"/>
        <v>107120</v>
      </c>
      <c r="P657" s="300">
        <f t="shared" si="1381"/>
        <v>37697</v>
      </c>
      <c r="Q657" s="300">
        <f t="shared" si="1381"/>
        <v>39990</v>
      </c>
      <c r="R657" s="300">
        <f t="shared" si="1381"/>
        <v>0</v>
      </c>
      <c r="S657" s="301">
        <f t="shared" si="1381"/>
        <v>420</v>
      </c>
      <c r="T657" s="298">
        <f t="shared" si="1382"/>
        <v>925918.4</v>
      </c>
      <c r="U657" s="299">
        <f t="shared" si="1383"/>
        <v>110127.70000000004</v>
      </c>
      <c r="V657" s="300">
        <f t="shared" si="1383"/>
        <v>468079.44999999995</v>
      </c>
      <c r="W657" s="300">
        <f t="shared" si="1383"/>
        <v>257831.25</v>
      </c>
      <c r="X657" s="300">
        <f t="shared" si="1383"/>
        <v>53734</v>
      </c>
      <c r="Y657" s="302">
        <f t="shared" si="1383"/>
        <v>36146</v>
      </c>
      <c r="AA657" s="291"/>
      <c r="AB657" s="303"/>
      <c r="AC657" s="304"/>
      <c r="AD657" s="305" t="s">
        <v>33</v>
      </c>
      <c r="AE657" s="298">
        <f t="shared" si="1384"/>
        <v>670</v>
      </c>
      <c r="AF657" s="299">
        <f t="shared" si="1385"/>
        <v>0</v>
      </c>
      <c r="AG657" s="300">
        <f t="shared" si="1385"/>
        <v>0</v>
      </c>
      <c r="AH657" s="300">
        <f t="shared" si="1385"/>
        <v>0</v>
      </c>
      <c r="AI657" s="300">
        <f t="shared" si="1385"/>
        <v>670</v>
      </c>
      <c r="AJ657" s="300">
        <f t="shared" si="1385"/>
        <v>0</v>
      </c>
      <c r="AK657" s="300">
        <f t="shared" si="1385"/>
        <v>0</v>
      </c>
      <c r="AL657" s="300">
        <f t="shared" si="1385"/>
        <v>0</v>
      </c>
      <c r="AM657" s="300">
        <f t="shared" si="1385"/>
        <v>0</v>
      </c>
      <c r="AN657" s="300">
        <f t="shared" si="1385"/>
        <v>0</v>
      </c>
      <c r="AO657" s="300">
        <f t="shared" si="1385"/>
        <v>0</v>
      </c>
      <c r="AP657" s="300">
        <f t="shared" si="1385"/>
        <v>0</v>
      </c>
      <c r="AQ657" s="302">
        <f t="shared" si="1385"/>
        <v>0</v>
      </c>
    </row>
    <row r="658" spans="2:43" s="605" customFormat="1" ht="7.8" customHeight="1" x14ac:dyDescent="0.25">
      <c r="B658" s="282"/>
      <c r="C658" s="295"/>
      <c r="D658" s="306"/>
      <c r="E658" s="307" t="s">
        <v>30</v>
      </c>
      <c r="F658" s="308">
        <f t="shared" si="1275"/>
        <v>168.79791153846153</v>
      </c>
      <c r="G658" s="308">
        <f t="shared" si="1275"/>
        <v>156</v>
      </c>
      <c r="H658" s="308">
        <f t="shared" si="1275"/>
        <v>162.42531976744186</v>
      </c>
      <c r="I658" s="309">
        <f t="shared" si="1275"/>
        <v>0</v>
      </c>
      <c r="J658" s="310">
        <f t="shared" si="1275"/>
        <v>163.55110714285715</v>
      </c>
      <c r="K658" s="310">
        <f t="shared" si="1275"/>
        <v>157.5</v>
      </c>
      <c r="L658" s="310">
        <f t="shared" si="1275"/>
        <v>0</v>
      </c>
      <c r="M658" s="311">
        <f t="shared" si="1275"/>
        <v>0</v>
      </c>
      <c r="N658" s="308">
        <f t="shared" si="1275"/>
        <v>166.57104316546761</v>
      </c>
      <c r="O658" s="309">
        <f t="shared" si="1275"/>
        <v>169.7622820919176</v>
      </c>
      <c r="P658" s="310">
        <f t="shared" si="1275"/>
        <v>149</v>
      </c>
      <c r="Q658" s="310">
        <f t="shared" si="1275"/>
        <v>176.94690265486724</v>
      </c>
      <c r="R658" s="310">
        <f t="shared" si="1275"/>
        <v>0</v>
      </c>
      <c r="S658" s="311">
        <f t="shared" si="1275"/>
        <v>210</v>
      </c>
      <c r="T658" s="308">
        <f t="shared" si="1275"/>
        <v>171.94399257195914</v>
      </c>
      <c r="U658" s="309">
        <f t="shared" si="1275"/>
        <v>238.88872017353589</v>
      </c>
      <c r="V658" s="310">
        <f t="shared" si="1275"/>
        <v>162.13351229650155</v>
      </c>
      <c r="W658" s="310">
        <f t="shared" si="1275"/>
        <v>174.21030405405406</v>
      </c>
      <c r="X658" s="310">
        <f t="shared" si="1275"/>
        <v>151.36338028169016</v>
      </c>
      <c r="Y658" s="312">
        <f t="shared" si="1275"/>
        <v>178.94059405940595</v>
      </c>
      <c r="AA658" s="291"/>
      <c r="AB658" s="303"/>
      <c r="AC658" s="313"/>
      <c r="AD658" s="314" t="s">
        <v>30</v>
      </c>
      <c r="AE658" s="308">
        <f t="shared" ref="AE658:AQ658" si="1386">IFERROR(AE657/AE656,0)</f>
        <v>167.5</v>
      </c>
      <c r="AF658" s="309">
        <f t="shared" si="1386"/>
        <v>0</v>
      </c>
      <c r="AG658" s="310">
        <f t="shared" si="1386"/>
        <v>0</v>
      </c>
      <c r="AH658" s="310">
        <f t="shared" si="1386"/>
        <v>0</v>
      </c>
      <c r="AI658" s="310">
        <f t="shared" si="1386"/>
        <v>167.5</v>
      </c>
      <c r="AJ658" s="310">
        <f t="shared" si="1386"/>
        <v>0</v>
      </c>
      <c r="AK658" s="310">
        <f t="shared" si="1386"/>
        <v>0</v>
      </c>
      <c r="AL658" s="310">
        <f t="shared" si="1386"/>
        <v>0</v>
      </c>
      <c r="AM658" s="310">
        <f t="shared" si="1386"/>
        <v>0</v>
      </c>
      <c r="AN658" s="310">
        <f t="shared" si="1386"/>
        <v>0</v>
      </c>
      <c r="AO658" s="310">
        <f t="shared" si="1386"/>
        <v>0</v>
      </c>
      <c r="AP658" s="310">
        <f t="shared" si="1386"/>
        <v>0</v>
      </c>
      <c r="AQ658" s="312">
        <f t="shared" si="1386"/>
        <v>0</v>
      </c>
    </row>
    <row r="659" spans="2:43" ht="7.8" customHeight="1" x14ac:dyDescent="0.25">
      <c r="B659" s="282"/>
      <c r="C659" s="295"/>
      <c r="D659" s="315" t="s">
        <v>41</v>
      </c>
      <c r="E659" s="316" t="s">
        <v>32</v>
      </c>
      <c r="F659" s="317">
        <f t="shared" ref="F659:F660" si="1387">SUM(G659,H659,N659,T659)</f>
        <v>0</v>
      </c>
      <c r="G659" s="317">
        <f t="shared" ref="G659:G660" si="1388">SUM(G677,G695)</f>
        <v>0</v>
      </c>
      <c r="H659" s="317">
        <f t="shared" ref="H659:H660" si="1389">SUM(I659:M659)</f>
        <v>0</v>
      </c>
      <c r="I659" s="318">
        <f t="shared" ref="I659:M660" si="1390">SUM(I677,I695)</f>
        <v>0</v>
      </c>
      <c r="J659" s="319">
        <f t="shared" si="1390"/>
        <v>0</v>
      </c>
      <c r="K659" s="319">
        <f t="shared" si="1390"/>
        <v>0</v>
      </c>
      <c r="L659" s="319">
        <f t="shared" si="1390"/>
        <v>0</v>
      </c>
      <c r="M659" s="320">
        <f t="shared" si="1390"/>
        <v>0</v>
      </c>
      <c r="N659" s="317">
        <f t="shared" ref="N659:N660" si="1391">SUM(O659:S659)</f>
        <v>0</v>
      </c>
      <c r="O659" s="318">
        <f t="shared" ref="O659:S660" si="1392">SUM(O677,O695)</f>
        <v>0</v>
      </c>
      <c r="P659" s="319">
        <f t="shared" si="1392"/>
        <v>0</v>
      </c>
      <c r="Q659" s="319">
        <f t="shared" si="1392"/>
        <v>0</v>
      </c>
      <c r="R659" s="319">
        <f t="shared" si="1392"/>
        <v>0</v>
      </c>
      <c r="S659" s="320">
        <f t="shared" si="1392"/>
        <v>0</v>
      </c>
      <c r="T659" s="317">
        <f t="shared" ref="T659:T660" si="1393">SUM(U659:Y659)</f>
        <v>0</v>
      </c>
      <c r="U659" s="318">
        <f t="shared" ref="U659:Y660" si="1394">SUM(U677,U695)</f>
        <v>0</v>
      </c>
      <c r="V659" s="319">
        <f t="shared" si="1394"/>
        <v>0</v>
      </c>
      <c r="W659" s="319">
        <f t="shared" si="1394"/>
        <v>0</v>
      </c>
      <c r="X659" s="319">
        <f t="shared" si="1394"/>
        <v>0</v>
      </c>
      <c r="Y659" s="321">
        <f t="shared" si="1394"/>
        <v>0</v>
      </c>
      <c r="AA659" s="291"/>
      <c r="AB659" s="303"/>
      <c r="AC659" s="322" t="s">
        <v>41</v>
      </c>
      <c r="AD659" s="323" t="s">
        <v>32</v>
      </c>
      <c r="AE659" s="317">
        <f t="shared" ref="AE659:AE660" si="1395">SUM(AF659:AQ659)</f>
        <v>0</v>
      </c>
      <c r="AF659" s="318">
        <f t="shared" ref="AF659:AQ660" si="1396">SUM(AF677,AF695)</f>
        <v>0</v>
      </c>
      <c r="AG659" s="319">
        <f t="shared" si="1396"/>
        <v>0</v>
      </c>
      <c r="AH659" s="319">
        <f t="shared" si="1396"/>
        <v>0</v>
      </c>
      <c r="AI659" s="319">
        <f t="shared" si="1396"/>
        <v>0</v>
      </c>
      <c r="AJ659" s="319">
        <f t="shared" si="1396"/>
        <v>0</v>
      </c>
      <c r="AK659" s="319">
        <f t="shared" si="1396"/>
        <v>0</v>
      </c>
      <c r="AL659" s="319">
        <f t="shared" si="1396"/>
        <v>0</v>
      </c>
      <c r="AM659" s="319">
        <f t="shared" si="1396"/>
        <v>0</v>
      </c>
      <c r="AN659" s="319">
        <f t="shared" si="1396"/>
        <v>0</v>
      </c>
      <c r="AO659" s="319">
        <f t="shared" si="1396"/>
        <v>0</v>
      </c>
      <c r="AP659" s="319">
        <f t="shared" si="1396"/>
        <v>0</v>
      </c>
      <c r="AQ659" s="321">
        <f t="shared" si="1396"/>
        <v>0</v>
      </c>
    </row>
    <row r="660" spans="2:43" s="41" customFormat="1" ht="7.8" customHeight="1" x14ac:dyDescent="0.25">
      <c r="B660" s="282"/>
      <c r="C660" s="295"/>
      <c r="D660" s="296"/>
      <c r="E660" s="297" t="s">
        <v>33</v>
      </c>
      <c r="F660" s="298">
        <f t="shared" si="1387"/>
        <v>0</v>
      </c>
      <c r="G660" s="298">
        <f t="shared" si="1388"/>
        <v>0</v>
      </c>
      <c r="H660" s="298">
        <f t="shared" si="1389"/>
        <v>0</v>
      </c>
      <c r="I660" s="299">
        <f t="shared" si="1390"/>
        <v>0</v>
      </c>
      <c r="J660" s="300">
        <f t="shared" si="1390"/>
        <v>0</v>
      </c>
      <c r="K660" s="300">
        <f t="shared" si="1390"/>
        <v>0</v>
      </c>
      <c r="L660" s="300">
        <f t="shared" si="1390"/>
        <v>0</v>
      </c>
      <c r="M660" s="301">
        <f t="shared" si="1390"/>
        <v>0</v>
      </c>
      <c r="N660" s="298">
        <f t="shared" si="1391"/>
        <v>0</v>
      </c>
      <c r="O660" s="299">
        <f t="shared" si="1392"/>
        <v>0</v>
      </c>
      <c r="P660" s="300">
        <f t="shared" si="1392"/>
        <v>0</v>
      </c>
      <c r="Q660" s="300">
        <f t="shared" si="1392"/>
        <v>0</v>
      </c>
      <c r="R660" s="300">
        <f t="shared" si="1392"/>
        <v>0</v>
      </c>
      <c r="S660" s="301">
        <f t="shared" si="1392"/>
        <v>0</v>
      </c>
      <c r="T660" s="298">
        <f t="shared" si="1393"/>
        <v>0</v>
      </c>
      <c r="U660" s="299">
        <f t="shared" si="1394"/>
        <v>0</v>
      </c>
      <c r="V660" s="300">
        <f t="shared" si="1394"/>
        <v>0</v>
      </c>
      <c r="W660" s="300">
        <f t="shared" si="1394"/>
        <v>0</v>
      </c>
      <c r="X660" s="300">
        <f t="shared" si="1394"/>
        <v>0</v>
      </c>
      <c r="Y660" s="302">
        <f t="shared" si="1394"/>
        <v>0</v>
      </c>
      <c r="AA660" s="291"/>
      <c r="AB660" s="303"/>
      <c r="AC660" s="304"/>
      <c r="AD660" s="305" t="s">
        <v>33</v>
      </c>
      <c r="AE660" s="298">
        <f t="shared" si="1395"/>
        <v>0</v>
      </c>
      <c r="AF660" s="299">
        <f t="shared" si="1396"/>
        <v>0</v>
      </c>
      <c r="AG660" s="300">
        <f t="shared" si="1396"/>
        <v>0</v>
      </c>
      <c r="AH660" s="300">
        <f t="shared" si="1396"/>
        <v>0</v>
      </c>
      <c r="AI660" s="300">
        <f t="shared" si="1396"/>
        <v>0</v>
      </c>
      <c r="AJ660" s="300">
        <f t="shared" si="1396"/>
        <v>0</v>
      </c>
      <c r="AK660" s="300">
        <f t="shared" si="1396"/>
        <v>0</v>
      </c>
      <c r="AL660" s="300">
        <f t="shared" si="1396"/>
        <v>0</v>
      </c>
      <c r="AM660" s="300">
        <f t="shared" si="1396"/>
        <v>0</v>
      </c>
      <c r="AN660" s="300">
        <f t="shared" si="1396"/>
        <v>0</v>
      </c>
      <c r="AO660" s="300">
        <f t="shared" si="1396"/>
        <v>0</v>
      </c>
      <c r="AP660" s="300">
        <f t="shared" si="1396"/>
        <v>0</v>
      </c>
      <c r="AQ660" s="302">
        <f t="shared" si="1396"/>
        <v>0</v>
      </c>
    </row>
    <row r="661" spans="2:43" ht="7.8" customHeight="1" x14ac:dyDescent="0.25">
      <c r="B661" s="282"/>
      <c r="C661" s="295"/>
      <c r="D661" s="306"/>
      <c r="E661" s="307" t="s">
        <v>30</v>
      </c>
      <c r="F661" s="308">
        <f t="shared" si="1286"/>
        <v>0</v>
      </c>
      <c r="G661" s="308">
        <f t="shared" si="1286"/>
        <v>0</v>
      </c>
      <c r="H661" s="308">
        <f t="shared" si="1286"/>
        <v>0</v>
      </c>
      <c r="I661" s="309">
        <f t="shared" si="1286"/>
        <v>0</v>
      </c>
      <c r="J661" s="310">
        <f t="shared" si="1286"/>
        <v>0</v>
      </c>
      <c r="K661" s="310">
        <f t="shared" si="1286"/>
        <v>0</v>
      </c>
      <c r="L661" s="310">
        <f t="shared" si="1286"/>
        <v>0</v>
      </c>
      <c r="M661" s="311">
        <f t="shared" si="1286"/>
        <v>0</v>
      </c>
      <c r="N661" s="308">
        <f t="shared" si="1286"/>
        <v>0</v>
      </c>
      <c r="O661" s="309">
        <f t="shared" si="1286"/>
        <v>0</v>
      </c>
      <c r="P661" s="310">
        <f t="shared" si="1286"/>
        <v>0</v>
      </c>
      <c r="Q661" s="310">
        <f t="shared" si="1286"/>
        <v>0</v>
      </c>
      <c r="R661" s="310">
        <f t="shared" si="1286"/>
        <v>0</v>
      </c>
      <c r="S661" s="311">
        <f t="shared" si="1286"/>
        <v>0</v>
      </c>
      <c r="T661" s="308">
        <f t="shared" si="1286"/>
        <v>0</v>
      </c>
      <c r="U661" s="309">
        <f t="shared" si="1286"/>
        <v>0</v>
      </c>
      <c r="V661" s="310">
        <f t="shared" si="1286"/>
        <v>0</v>
      </c>
      <c r="W661" s="310">
        <f t="shared" si="1286"/>
        <v>0</v>
      </c>
      <c r="X661" s="310">
        <f t="shared" si="1286"/>
        <v>0</v>
      </c>
      <c r="Y661" s="312">
        <f t="shared" si="1286"/>
        <v>0</v>
      </c>
      <c r="AA661" s="291"/>
      <c r="AB661" s="303"/>
      <c r="AC661" s="313"/>
      <c r="AD661" s="314" t="s">
        <v>30</v>
      </c>
      <c r="AE661" s="308">
        <f t="shared" ref="AE661:AQ661" si="1397">IFERROR(AE660/AE659,0)</f>
        <v>0</v>
      </c>
      <c r="AF661" s="309">
        <f t="shared" si="1397"/>
        <v>0</v>
      </c>
      <c r="AG661" s="310">
        <f t="shared" si="1397"/>
        <v>0</v>
      </c>
      <c r="AH661" s="310">
        <f t="shared" si="1397"/>
        <v>0</v>
      </c>
      <c r="AI661" s="310">
        <f t="shared" si="1397"/>
        <v>0</v>
      </c>
      <c r="AJ661" s="310">
        <f t="shared" si="1397"/>
        <v>0</v>
      </c>
      <c r="AK661" s="310">
        <f t="shared" si="1397"/>
        <v>0</v>
      </c>
      <c r="AL661" s="310">
        <f t="shared" si="1397"/>
        <v>0</v>
      </c>
      <c r="AM661" s="310">
        <f t="shared" si="1397"/>
        <v>0</v>
      </c>
      <c r="AN661" s="310">
        <f t="shared" si="1397"/>
        <v>0</v>
      </c>
      <c r="AO661" s="310">
        <f t="shared" si="1397"/>
        <v>0</v>
      </c>
      <c r="AP661" s="310">
        <f t="shared" si="1397"/>
        <v>0</v>
      </c>
      <c r="AQ661" s="312">
        <f t="shared" si="1397"/>
        <v>0</v>
      </c>
    </row>
    <row r="662" spans="2:43" ht="7.8" customHeight="1" x14ac:dyDescent="0.25">
      <c r="B662" s="282"/>
      <c r="C662" s="295"/>
      <c r="D662" s="324" t="s">
        <v>42</v>
      </c>
      <c r="E662" s="325" t="s">
        <v>32</v>
      </c>
      <c r="F662" s="326">
        <f t="shared" ref="F662:F663" si="1398">SUM(G662,H662,N662,T662)</f>
        <v>7446</v>
      </c>
      <c r="G662" s="326">
        <f t="shared" ref="G662:G663" si="1399">SUM(G680,G698)</f>
        <v>0</v>
      </c>
      <c r="H662" s="326">
        <f t="shared" ref="H662:H663" si="1400">SUM(I662:M662)</f>
        <v>605</v>
      </c>
      <c r="I662" s="327">
        <f t="shared" ref="I662:M663" si="1401">SUM(I680,I698)</f>
        <v>80</v>
      </c>
      <c r="J662" s="328">
        <f t="shared" si="1401"/>
        <v>460</v>
      </c>
      <c r="K662" s="328">
        <f t="shared" si="1401"/>
        <v>0</v>
      </c>
      <c r="L662" s="328">
        <f t="shared" si="1401"/>
        <v>65</v>
      </c>
      <c r="M662" s="329">
        <f t="shared" si="1401"/>
        <v>0</v>
      </c>
      <c r="N662" s="326">
        <f t="shared" ref="N662:N663" si="1402">SUM(O662:S662)</f>
        <v>975</v>
      </c>
      <c r="O662" s="327">
        <f t="shared" ref="O662:S663" si="1403">SUM(O680,O698)</f>
        <v>600</v>
      </c>
      <c r="P662" s="328">
        <f t="shared" si="1403"/>
        <v>275</v>
      </c>
      <c r="Q662" s="328">
        <f t="shared" si="1403"/>
        <v>100</v>
      </c>
      <c r="R662" s="328">
        <f t="shared" si="1403"/>
        <v>0</v>
      </c>
      <c r="S662" s="329">
        <f t="shared" si="1403"/>
        <v>0</v>
      </c>
      <c r="T662" s="326">
        <f t="shared" ref="T662:T663" si="1404">SUM(U662:Y662)</f>
        <v>5866</v>
      </c>
      <c r="U662" s="327">
        <f t="shared" ref="U662:Y663" si="1405">SUM(U680,U698)</f>
        <v>750</v>
      </c>
      <c r="V662" s="328">
        <f t="shared" si="1405"/>
        <v>2483</v>
      </c>
      <c r="W662" s="328">
        <f t="shared" si="1405"/>
        <v>1883</v>
      </c>
      <c r="X662" s="328">
        <f t="shared" si="1405"/>
        <v>100</v>
      </c>
      <c r="Y662" s="330">
        <f t="shared" si="1405"/>
        <v>650</v>
      </c>
      <c r="AA662" s="291"/>
      <c r="AB662" s="303"/>
      <c r="AC662" s="331" t="s">
        <v>42</v>
      </c>
      <c r="AD662" s="332" t="s">
        <v>32</v>
      </c>
      <c r="AE662" s="333">
        <f t="shared" ref="AE662:AE663" si="1406">SUM(AF662:AQ662)</f>
        <v>0</v>
      </c>
      <c r="AF662" s="334">
        <f t="shared" ref="AF662:AQ663" si="1407">SUM(AF680,AF698)</f>
        <v>0</v>
      </c>
      <c r="AG662" s="335">
        <f t="shared" si="1407"/>
        <v>0</v>
      </c>
      <c r="AH662" s="335">
        <f t="shared" si="1407"/>
        <v>0</v>
      </c>
      <c r="AI662" s="335">
        <f t="shared" si="1407"/>
        <v>0</v>
      </c>
      <c r="AJ662" s="335">
        <f t="shared" si="1407"/>
        <v>0</v>
      </c>
      <c r="AK662" s="335">
        <f t="shared" si="1407"/>
        <v>0</v>
      </c>
      <c r="AL662" s="335">
        <f t="shared" si="1407"/>
        <v>0</v>
      </c>
      <c r="AM662" s="335">
        <f t="shared" si="1407"/>
        <v>0</v>
      </c>
      <c r="AN662" s="335">
        <f t="shared" si="1407"/>
        <v>0</v>
      </c>
      <c r="AO662" s="335">
        <f t="shared" si="1407"/>
        <v>0</v>
      </c>
      <c r="AP662" s="335">
        <f t="shared" si="1407"/>
        <v>0</v>
      </c>
      <c r="AQ662" s="336">
        <f t="shared" si="1407"/>
        <v>0</v>
      </c>
    </row>
    <row r="663" spans="2:43" s="41" customFormat="1" ht="7.8" customHeight="1" x14ac:dyDescent="0.25">
      <c r="B663" s="282"/>
      <c r="C663" s="295"/>
      <c r="D663" s="337"/>
      <c r="E663" s="338" t="s">
        <v>33</v>
      </c>
      <c r="F663" s="339">
        <f t="shared" si="1398"/>
        <v>1384900</v>
      </c>
      <c r="G663" s="339">
        <f t="shared" si="1399"/>
        <v>0</v>
      </c>
      <c r="H663" s="339">
        <f t="shared" si="1400"/>
        <v>86100</v>
      </c>
      <c r="I663" s="340">
        <f t="shared" si="1401"/>
        <v>11200</v>
      </c>
      <c r="J663" s="341">
        <f t="shared" si="1401"/>
        <v>65150</v>
      </c>
      <c r="K663" s="341">
        <f t="shared" si="1401"/>
        <v>0</v>
      </c>
      <c r="L663" s="341">
        <f t="shared" si="1401"/>
        <v>9750</v>
      </c>
      <c r="M663" s="342">
        <f t="shared" si="1401"/>
        <v>0</v>
      </c>
      <c r="N663" s="339">
        <f t="shared" si="1402"/>
        <v>157800</v>
      </c>
      <c r="O663" s="340">
        <f t="shared" si="1403"/>
        <v>100800</v>
      </c>
      <c r="P663" s="341">
        <f t="shared" si="1403"/>
        <v>38500</v>
      </c>
      <c r="Q663" s="341">
        <f t="shared" si="1403"/>
        <v>18500</v>
      </c>
      <c r="R663" s="341">
        <f t="shared" si="1403"/>
        <v>0</v>
      </c>
      <c r="S663" s="342">
        <f t="shared" si="1403"/>
        <v>0</v>
      </c>
      <c r="T663" s="339">
        <f t="shared" si="1404"/>
        <v>1141000</v>
      </c>
      <c r="U663" s="340">
        <f t="shared" si="1405"/>
        <v>135000</v>
      </c>
      <c r="V663" s="341">
        <f t="shared" si="1405"/>
        <v>490000</v>
      </c>
      <c r="W663" s="341">
        <f t="shared" si="1405"/>
        <v>374000</v>
      </c>
      <c r="X663" s="341">
        <f t="shared" si="1405"/>
        <v>18500</v>
      </c>
      <c r="Y663" s="343">
        <f t="shared" si="1405"/>
        <v>123500</v>
      </c>
      <c r="AA663" s="291"/>
      <c r="AB663" s="303"/>
      <c r="AC663" s="344"/>
      <c r="AD663" s="345" t="s">
        <v>33</v>
      </c>
      <c r="AE663" s="346">
        <f t="shared" si="1406"/>
        <v>0</v>
      </c>
      <c r="AF663" s="347">
        <f t="shared" si="1407"/>
        <v>0</v>
      </c>
      <c r="AG663" s="348">
        <f t="shared" si="1407"/>
        <v>0</v>
      </c>
      <c r="AH663" s="348">
        <f t="shared" si="1407"/>
        <v>0</v>
      </c>
      <c r="AI663" s="348">
        <f t="shared" si="1407"/>
        <v>0</v>
      </c>
      <c r="AJ663" s="348">
        <f t="shared" si="1407"/>
        <v>0</v>
      </c>
      <c r="AK663" s="348">
        <f t="shared" si="1407"/>
        <v>0</v>
      </c>
      <c r="AL663" s="348">
        <f t="shared" si="1407"/>
        <v>0</v>
      </c>
      <c r="AM663" s="348">
        <f t="shared" si="1407"/>
        <v>0</v>
      </c>
      <c r="AN663" s="348">
        <f t="shared" si="1407"/>
        <v>0</v>
      </c>
      <c r="AO663" s="348">
        <f t="shared" si="1407"/>
        <v>0</v>
      </c>
      <c r="AP663" s="348">
        <f t="shared" si="1407"/>
        <v>0</v>
      </c>
      <c r="AQ663" s="349">
        <f t="shared" si="1407"/>
        <v>0</v>
      </c>
    </row>
    <row r="664" spans="2:43" ht="7.8" customHeight="1" x14ac:dyDescent="0.25">
      <c r="B664" s="282"/>
      <c r="C664" s="295"/>
      <c r="D664" s="350"/>
      <c r="E664" s="351" t="s">
        <v>30</v>
      </c>
      <c r="F664" s="352">
        <f t="shared" si="1297"/>
        <v>185.99247918345421</v>
      </c>
      <c r="G664" s="352">
        <f t="shared" si="1297"/>
        <v>0</v>
      </c>
      <c r="H664" s="352">
        <f t="shared" si="1297"/>
        <v>142.31404958677686</v>
      </c>
      <c r="I664" s="353">
        <f t="shared" si="1297"/>
        <v>140</v>
      </c>
      <c r="J664" s="354">
        <f t="shared" si="1297"/>
        <v>141.63043478260869</v>
      </c>
      <c r="K664" s="354">
        <f t="shared" si="1297"/>
        <v>0</v>
      </c>
      <c r="L664" s="354">
        <f t="shared" si="1297"/>
        <v>150</v>
      </c>
      <c r="M664" s="355">
        <f t="shared" si="1297"/>
        <v>0</v>
      </c>
      <c r="N664" s="352">
        <f t="shared" si="1297"/>
        <v>161.84615384615384</v>
      </c>
      <c r="O664" s="353">
        <f t="shared" si="1297"/>
        <v>168</v>
      </c>
      <c r="P664" s="354">
        <f t="shared" si="1297"/>
        <v>140</v>
      </c>
      <c r="Q664" s="354">
        <f t="shared" si="1297"/>
        <v>185</v>
      </c>
      <c r="R664" s="354">
        <f t="shared" si="1297"/>
        <v>0</v>
      </c>
      <c r="S664" s="355">
        <f t="shared" si="1297"/>
        <v>0</v>
      </c>
      <c r="T664" s="352">
        <f t="shared" si="1297"/>
        <v>194.51073985680191</v>
      </c>
      <c r="U664" s="353">
        <f t="shared" si="1297"/>
        <v>180</v>
      </c>
      <c r="V664" s="354">
        <f t="shared" si="1297"/>
        <v>197.3419250906162</v>
      </c>
      <c r="W664" s="354">
        <f t="shared" si="1297"/>
        <v>198.61922464152948</v>
      </c>
      <c r="X664" s="354">
        <f t="shared" si="1297"/>
        <v>185</v>
      </c>
      <c r="Y664" s="356">
        <f t="shared" si="1297"/>
        <v>190</v>
      </c>
      <c r="AA664" s="291"/>
      <c r="AB664" s="303"/>
      <c r="AC664" s="357"/>
      <c r="AD664" s="358" t="s">
        <v>30</v>
      </c>
      <c r="AE664" s="359">
        <f t="shared" ref="AE664:AQ664" si="1408">IFERROR(AE663/AE662,0)</f>
        <v>0</v>
      </c>
      <c r="AF664" s="360">
        <f t="shared" si="1408"/>
        <v>0</v>
      </c>
      <c r="AG664" s="361">
        <f t="shared" si="1408"/>
        <v>0</v>
      </c>
      <c r="AH664" s="361">
        <f t="shared" si="1408"/>
        <v>0</v>
      </c>
      <c r="AI664" s="361">
        <f t="shared" si="1408"/>
        <v>0</v>
      </c>
      <c r="AJ664" s="361">
        <f t="shared" si="1408"/>
        <v>0</v>
      </c>
      <c r="AK664" s="361">
        <f t="shared" si="1408"/>
        <v>0</v>
      </c>
      <c r="AL664" s="361">
        <f t="shared" si="1408"/>
        <v>0</v>
      </c>
      <c r="AM664" s="361">
        <f t="shared" si="1408"/>
        <v>0</v>
      </c>
      <c r="AN664" s="361">
        <f t="shared" si="1408"/>
        <v>0</v>
      </c>
      <c r="AO664" s="361">
        <f t="shared" si="1408"/>
        <v>0</v>
      </c>
      <c r="AP664" s="361">
        <f t="shared" si="1408"/>
        <v>0</v>
      </c>
      <c r="AQ664" s="362">
        <f t="shared" si="1408"/>
        <v>0</v>
      </c>
    </row>
    <row r="665" spans="2:43" ht="7.8" customHeight="1" x14ac:dyDescent="0.25">
      <c r="B665" s="282"/>
      <c r="C665" s="295"/>
      <c r="D665" s="363" t="s">
        <v>43</v>
      </c>
      <c r="E665" s="316" t="s">
        <v>32</v>
      </c>
      <c r="F665" s="317">
        <f t="shared" ref="F665:Y667" si="1409">F662-F659</f>
        <v>7446</v>
      </c>
      <c r="G665" s="317">
        <f t="shared" si="1409"/>
        <v>0</v>
      </c>
      <c r="H665" s="317">
        <f t="shared" si="1409"/>
        <v>605</v>
      </c>
      <c r="I665" s="318">
        <f t="shared" si="1409"/>
        <v>80</v>
      </c>
      <c r="J665" s="319">
        <f t="shared" si="1409"/>
        <v>460</v>
      </c>
      <c r="K665" s="319">
        <f t="shared" si="1409"/>
        <v>0</v>
      </c>
      <c r="L665" s="319">
        <f t="shared" si="1409"/>
        <v>65</v>
      </c>
      <c r="M665" s="320">
        <f t="shared" si="1409"/>
        <v>0</v>
      </c>
      <c r="N665" s="317">
        <f t="shared" si="1409"/>
        <v>975</v>
      </c>
      <c r="O665" s="318">
        <f t="shared" si="1409"/>
        <v>600</v>
      </c>
      <c r="P665" s="319">
        <f t="shared" si="1409"/>
        <v>275</v>
      </c>
      <c r="Q665" s="319">
        <f t="shared" si="1409"/>
        <v>100</v>
      </c>
      <c r="R665" s="319">
        <f t="shared" si="1409"/>
        <v>0</v>
      </c>
      <c r="S665" s="320">
        <f t="shared" si="1409"/>
        <v>0</v>
      </c>
      <c r="T665" s="317">
        <f t="shared" si="1409"/>
        <v>5866</v>
      </c>
      <c r="U665" s="318">
        <f t="shared" si="1409"/>
        <v>750</v>
      </c>
      <c r="V665" s="319">
        <f t="shared" si="1409"/>
        <v>2483</v>
      </c>
      <c r="W665" s="319">
        <f t="shared" si="1409"/>
        <v>1883</v>
      </c>
      <c r="X665" s="319">
        <f t="shared" si="1409"/>
        <v>100</v>
      </c>
      <c r="Y665" s="321">
        <f t="shared" si="1409"/>
        <v>650</v>
      </c>
      <c r="AA665" s="291"/>
      <c r="AB665" s="303"/>
      <c r="AC665" s="364" t="s">
        <v>43</v>
      </c>
      <c r="AD665" s="323" t="s">
        <v>32</v>
      </c>
      <c r="AE665" s="317">
        <f t="shared" ref="AE665:AQ667" si="1410">AE662-AE659</f>
        <v>0</v>
      </c>
      <c r="AF665" s="318">
        <f t="shared" si="1410"/>
        <v>0</v>
      </c>
      <c r="AG665" s="319">
        <f t="shared" si="1410"/>
        <v>0</v>
      </c>
      <c r="AH665" s="319">
        <f t="shared" si="1410"/>
        <v>0</v>
      </c>
      <c r="AI665" s="319">
        <f t="shared" si="1410"/>
        <v>0</v>
      </c>
      <c r="AJ665" s="319">
        <f t="shared" si="1410"/>
        <v>0</v>
      </c>
      <c r="AK665" s="319">
        <f t="shared" si="1410"/>
        <v>0</v>
      </c>
      <c r="AL665" s="319">
        <f t="shared" si="1410"/>
        <v>0</v>
      </c>
      <c r="AM665" s="319">
        <f t="shared" si="1410"/>
        <v>0</v>
      </c>
      <c r="AN665" s="319">
        <f t="shared" si="1410"/>
        <v>0</v>
      </c>
      <c r="AO665" s="319">
        <f t="shared" si="1410"/>
        <v>0</v>
      </c>
      <c r="AP665" s="319">
        <f t="shared" si="1410"/>
        <v>0</v>
      </c>
      <c r="AQ665" s="321">
        <f t="shared" si="1410"/>
        <v>0</v>
      </c>
    </row>
    <row r="666" spans="2:43" s="366" customFormat="1" ht="7.8" customHeight="1" x14ac:dyDescent="0.25">
      <c r="B666" s="282"/>
      <c r="C666" s="295"/>
      <c r="D666" s="296"/>
      <c r="E666" s="365" t="s">
        <v>33</v>
      </c>
      <c r="F666" s="298">
        <f t="shared" si="1409"/>
        <v>1384900</v>
      </c>
      <c r="G666" s="298">
        <f t="shared" si="1409"/>
        <v>0</v>
      </c>
      <c r="H666" s="298">
        <f t="shared" si="1409"/>
        <v>86100</v>
      </c>
      <c r="I666" s="299">
        <f t="shared" si="1409"/>
        <v>11200</v>
      </c>
      <c r="J666" s="300">
        <f t="shared" si="1409"/>
        <v>65150</v>
      </c>
      <c r="K666" s="300">
        <f t="shared" si="1409"/>
        <v>0</v>
      </c>
      <c r="L666" s="300">
        <f t="shared" si="1409"/>
        <v>9750</v>
      </c>
      <c r="M666" s="301">
        <f t="shared" si="1409"/>
        <v>0</v>
      </c>
      <c r="N666" s="298">
        <f t="shared" si="1409"/>
        <v>157800</v>
      </c>
      <c r="O666" s="299">
        <f t="shared" si="1409"/>
        <v>100800</v>
      </c>
      <c r="P666" s="300">
        <f t="shared" si="1409"/>
        <v>38500</v>
      </c>
      <c r="Q666" s="300">
        <f t="shared" si="1409"/>
        <v>18500</v>
      </c>
      <c r="R666" s="300">
        <f t="shared" si="1409"/>
        <v>0</v>
      </c>
      <c r="S666" s="301">
        <f t="shared" si="1409"/>
        <v>0</v>
      </c>
      <c r="T666" s="298">
        <f t="shared" si="1409"/>
        <v>1141000</v>
      </c>
      <c r="U666" s="299">
        <f t="shared" si="1409"/>
        <v>135000</v>
      </c>
      <c r="V666" s="300">
        <f t="shared" si="1409"/>
        <v>490000</v>
      </c>
      <c r="W666" s="300">
        <f t="shared" si="1409"/>
        <v>374000</v>
      </c>
      <c r="X666" s="300">
        <f t="shared" si="1409"/>
        <v>18500</v>
      </c>
      <c r="Y666" s="302">
        <f t="shared" si="1409"/>
        <v>123500</v>
      </c>
      <c r="AA666" s="291"/>
      <c r="AB666" s="303"/>
      <c r="AC666" s="367"/>
      <c r="AD666" s="368" t="s">
        <v>33</v>
      </c>
      <c r="AE666" s="298">
        <f t="shared" si="1410"/>
        <v>0</v>
      </c>
      <c r="AF666" s="299">
        <f t="shared" si="1410"/>
        <v>0</v>
      </c>
      <c r="AG666" s="300">
        <f t="shared" si="1410"/>
        <v>0</v>
      </c>
      <c r="AH666" s="300">
        <f t="shared" si="1410"/>
        <v>0</v>
      </c>
      <c r="AI666" s="300">
        <f t="shared" si="1410"/>
        <v>0</v>
      </c>
      <c r="AJ666" s="300">
        <f t="shared" si="1410"/>
        <v>0</v>
      </c>
      <c r="AK666" s="300">
        <f t="shared" si="1410"/>
        <v>0</v>
      </c>
      <c r="AL666" s="300">
        <f t="shared" si="1410"/>
        <v>0</v>
      </c>
      <c r="AM666" s="300">
        <f t="shared" si="1410"/>
        <v>0</v>
      </c>
      <c r="AN666" s="300">
        <f t="shared" si="1410"/>
        <v>0</v>
      </c>
      <c r="AO666" s="300">
        <f t="shared" si="1410"/>
        <v>0</v>
      </c>
      <c r="AP666" s="300">
        <f t="shared" si="1410"/>
        <v>0</v>
      </c>
      <c r="AQ666" s="302">
        <f t="shared" si="1410"/>
        <v>0</v>
      </c>
    </row>
    <row r="667" spans="2:43" ht="7.8" customHeight="1" x14ac:dyDescent="0.25">
      <c r="B667" s="282"/>
      <c r="C667" s="295"/>
      <c r="D667" s="306"/>
      <c r="E667" s="307" t="s">
        <v>30</v>
      </c>
      <c r="F667" s="308">
        <f t="shared" si="1409"/>
        <v>185.99247918345421</v>
      </c>
      <c r="G667" s="308">
        <f t="shared" si="1409"/>
        <v>0</v>
      </c>
      <c r="H667" s="308">
        <f t="shared" si="1409"/>
        <v>142.31404958677686</v>
      </c>
      <c r="I667" s="309">
        <f t="shared" si="1409"/>
        <v>140</v>
      </c>
      <c r="J667" s="310">
        <f t="shared" si="1409"/>
        <v>141.63043478260869</v>
      </c>
      <c r="K667" s="310">
        <f t="shared" si="1409"/>
        <v>0</v>
      </c>
      <c r="L667" s="310">
        <f t="shared" si="1409"/>
        <v>150</v>
      </c>
      <c r="M667" s="311">
        <f t="shared" si="1409"/>
        <v>0</v>
      </c>
      <c r="N667" s="308">
        <f t="shared" si="1409"/>
        <v>161.84615384615384</v>
      </c>
      <c r="O667" s="309">
        <f t="shared" si="1409"/>
        <v>168</v>
      </c>
      <c r="P667" s="310">
        <f t="shared" si="1409"/>
        <v>140</v>
      </c>
      <c r="Q667" s="310">
        <f t="shared" si="1409"/>
        <v>185</v>
      </c>
      <c r="R667" s="310">
        <f t="shared" si="1409"/>
        <v>0</v>
      </c>
      <c r="S667" s="311">
        <f t="shared" si="1409"/>
        <v>0</v>
      </c>
      <c r="T667" s="308">
        <f t="shared" si="1409"/>
        <v>194.51073985680191</v>
      </c>
      <c r="U667" s="309">
        <f t="shared" si="1409"/>
        <v>180</v>
      </c>
      <c r="V667" s="310">
        <f t="shared" si="1409"/>
        <v>197.3419250906162</v>
      </c>
      <c r="W667" s="310">
        <f t="shared" si="1409"/>
        <v>198.61922464152948</v>
      </c>
      <c r="X667" s="310">
        <f t="shared" si="1409"/>
        <v>185</v>
      </c>
      <c r="Y667" s="312">
        <f t="shared" si="1409"/>
        <v>190</v>
      </c>
      <c r="AA667" s="291"/>
      <c r="AB667" s="303"/>
      <c r="AC667" s="369"/>
      <c r="AD667" s="314" t="s">
        <v>30</v>
      </c>
      <c r="AE667" s="308">
        <f t="shared" si="1410"/>
        <v>0</v>
      </c>
      <c r="AF667" s="309">
        <f t="shared" si="1410"/>
        <v>0</v>
      </c>
      <c r="AG667" s="310">
        <f t="shared" si="1410"/>
        <v>0</v>
      </c>
      <c r="AH667" s="310">
        <f t="shared" si="1410"/>
        <v>0</v>
      </c>
      <c r="AI667" s="310">
        <f t="shared" si="1410"/>
        <v>0</v>
      </c>
      <c r="AJ667" s="310">
        <f t="shared" si="1410"/>
        <v>0</v>
      </c>
      <c r="AK667" s="310">
        <f t="shared" si="1410"/>
        <v>0</v>
      </c>
      <c r="AL667" s="310">
        <f t="shared" si="1410"/>
        <v>0</v>
      </c>
      <c r="AM667" s="310">
        <f t="shared" si="1410"/>
        <v>0</v>
      </c>
      <c r="AN667" s="310">
        <f t="shared" si="1410"/>
        <v>0</v>
      </c>
      <c r="AO667" s="310">
        <f t="shared" si="1410"/>
        <v>0</v>
      </c>
      <c r="AP667" s="310">
        <f t="shared" si="1410"/>
        <v>0</v>
      </c>
      <c r="AQ667" s="312">
        <f t="shared" si="1410"/>
        <v>0</v>
      </c>
    </row>
    <row r="668" spans="2:43" ht="7.8" customHeight="1" x14ac:dyDescent="0.25">
      <c r="B668" s="282"/>
      <c r="C668" s="295"/>
      <c r="D668" s="363" t="s">
        <v>44</v>
      </c>
      <c r="E668" s="316" t="s">
        <v>32</v>
      </c>
      <c r="F668" s="370" t="str">
        <f t="shared" ref="F668:Y670" si="1411">IFERROR((F662-F659)/ABS(F659),"")</f>
        <v/>
      </c>
      <c r="G668" s="370" t="str">
        <f t="shared" si="1411"/>
        <v/>
      </c>
      <c r="H668" s="370" t="str">
        <f t="shared" si="1411"/>
        <v/>
      </c>
      <c r="I668" s="371" t="str">
        <f t="shared" si="1411"/>
        <v/>
      </c>
      <c r="J668" s="372" t="str">
        <f t="shared" si="1411"/>
        <v/>
      </c>
      <c r="K668" s="372" t="str">
        <f t="shared" si="1411"/>
        <v/>
      </c>
      <c r="L668" s="372" t="str">
        <f t="shared" si="1411"/>
        <v/>
      </c>
      <c r="M668" s="373" t="str">
        <f t="shared" si="1411"/>
        <v/>
      </c>
      <c r="N668" s="370" t="str">
        <f t="shared" si="1411"/>
        <v/>
      </c>
      <c r="O668" s="371" t="str">
        <f t="shared" si="1411"/>
        <v/>
      </c>
      <c r="P668" s="372" t="str">
        <f t="shared" si="1411"/>
        <v/>
      </c>
      <c r="Q668" s="372" t="str">
        <f t="shared" si="1411"/>
        <v/>
      </c>
      <c r="R668" s="372" t="str">
        <f t="shared" si="1411"/>
        <v/>
      </c>
      <c r="S668" s="373" t="str">
        <f t="shared" si="1411"/>
        <v/>
      </c>
      <c r="T668" s="370" t="str">
        <f t="shared" si="1411"/>
        <v/>
      </c>
      <c r="U668" s="371" t="str">
        <f t="shared" si="1411"/>
        <v/>
      </c>
      <c r="V668" s="372" t="str">
        <f t="shared" si="1411"/>
        <v/>
      </c>
      <c r="W668" s="372" t="str">
        <f t="shared" si="1411"/>
        <v/>
      </c>
      <c r="X668" s="372" t="str">
        <f t="shared" si="1411"/>
        <v/>
      </c>
      <c r="Y668" s="374" t="str">
        <f t="shared" si="1411"/>
        <v/>
      </c>
      <c r="AA668" s="291"/>
      <c r="AB668" s="303"/>
      <c r="AC668" s="364" t="s">
        <v>44</v>
      </c>
      <c r="AD668" s="323" t="s">
        <v>32</v>
      </c>
      <c r="AE668" s="370" t="str">
        <f t="shared" ref="AE668:AQ670" si="1412">IFERROR((AE662-AE659)/ABS(AE659),"")</f>
        <v/>
      </c>
      <c r="AF668" s="371" t="str">
        <f t="shared" si="1412"/>
        <v/>
      </c>
      <c r="AG668" s="372" t="str">
        <f t="shared" si="1412"/>
        <v/>
      </c>
      <c r="AH668" s="372" t="str">
        <f t="shared" si="1412"/>
        <v/>
      </c>
      <c r="AI668" s="372" t="str">
        <f t="shared" si="1412"/>
        <v/>
      </c>
      <c r="AJ668" s="372" t="str">
        <f t="shared" si="1412"/>
        <v/>
      </c>
      <c r="AK668" s="372" t="str">
        <f t="shared" si="1412"/>
        <v/>
      </c>
      <c r="AL668" s="372" t="str">
        <f t="shared" si="1412"/>
        <v/>
      </c>
      <c r="AM668" s="372" t="str">
        <f t="shared" si="1412"/>
        <v/>
      </c>
      <c r="AN668" s="372" t="str">
        <f t="shared" si="1412"/>
        <v/>
      </c>
      <c r="AO668" s="372" t="str">
        <f t="shared" si="1412"/>
        <v/>
      </c>
      <c r="AP668" s="372" t="str">
        <f t="shared" si="1412"/>
        <v/>
      </c>
      <c r="AQ668" s="374" t="str">
        <f t="shared" si="1412"/>
        <v/>
      </c>
    </row>
    <row r="669" spans="2:43" ht="7.8" customHeight="1" x14ac:dyDescent="0.25">
      <c r="B669" s="282"/>
      <c r="C669" s="295"/>
      <c r="D669" s="296"/>
      <c r="E669" s="375" t="s">
        <v>33</v>
      </c>
      <c r="F669" s="376" t="str">
        <f t="shared" si="1411"/>
        <v/>
      </c>
      <c r="G669" s="376" t="str">
        <f t="shared" si="1411"/>
        <v/>
      </c>
      <c r="H669" s="376" t="str">
        <f t="shared" si="1411"/>
        <v/>
      </c>
      <c r="I669" s="377" t="str">
        <f t="shared" si="1411"/>
        <v/>
      </c>
      <c r="J669" s="378" t="str">
        <f t="shared" si="1411"/>
        <v/>
      </c>
      <c r="K669" s="378" t="str">
        <f t="shared" si="1411"/>
        <v/>
      </c>
      <c r="L669" s="378" t="str">
        <f t="shared" si="1411"/>
        <v/>
      </c>
      <c r="M669" s="379" t="str">
        <f t="shared" si="1411"/>
        <v/>
      </c>
      <c r="N669" s="376" t="str">
        <f t="shared" si="1411"/>
        <v/>
      </c>
      <c r="O669" s="377" t="str">
        <f t="shared" si="1411"/>
        <v/>
      </c>
      <c r="P669" s="378" t="str">
        <f t="shared" si="1411"/>
        <v/>
      </c>
      <c r="Q669" s="378" t="str">
        <f t="shared" si="1411"/>
        <v/>
      </c>
      <c r="R669" s="378" t="str">
        <f t="shared" si="1411"/>
        <v/>
      </c>
      <c r="S669" s="379" t="str">
        <f t="shared" si="1411"/>
        <v/>
      </c>
      <c r="T669" s="376" t="str">
        <f t="shared" si="1411"/>
        <v/>
      </c>
      <c r="U669" s="377" t="str">
        <f t="shared" si="1411"/>
        <v/>
      </c>
      <c r="V669" s="378" t="str">
        <f t="shared" si="1411"/>
        <v/>
      </c>
      <c r="W669" s="378" t="str">
        <f t="shared" si="1411"/>
        <v/>
      </c>
      <c r="X669" s="378" t="str">
        <f t="shared" si="1411"/>
        <v/>
      </c>
      <c r="Y669" s="380" t="str">
        <f t="shared" si="1411"/>
        <v/>
      </c>
      <c r="AA669" s="291"/>
      <c r="AB669" s="303"/>
      <c r="AC669" s="367"/>
      <c r="AD669" s="381" t="s">
        <v>33</v>
      </c>
      <c r="AE669" s="376" t="str">
        <f t="shared" si="1412"/>
        <v/>
      </c>
      <c r="AF669" s="377" t="str">
        <f t="shared" si="1412"/>
        <v/>
      </c>
      <c r="AG669" s="378" t="str">
        <f t="shared" si="1412"/>
        <v/>
      </c>
      <c r="AH669" s="378" t="str">
        <f t="shared" si="1412"/>
        <v/>
      </c>
      <c r="AI669" s="378" t="str">
        <f t="shared" si="1412"/>
        <v/>
      </c>
      <c r="AJ669" s="378" t="str">
        <f t="shared" si="1412"/>
        <v/>
      </c>
      <c r="AK669" s="378" t="str">
        <f t="shared" si="1412"/>
        <v/>
      </c>
      <c r="AL669" s="378" t="str">
        <f t="shared" si="1412"/>
        <v/>
      </c>
      <c r="AM669" s="378" t="str">
        <f t="shared" si="1412"/>
        <v/>
      </c>
      <c r="AN669" s="378" t="str">
        <f t="shared" si="1412"/>
        <v/>
      </c>
      <c r="AO669" s="378" t="str">
        <f t="shared" si="1412"/>
        <v/>
      </c>
      <c r="AP669" s="378" t="str">
        <f t="shared" si="1412"/>
        <v/>
      </c>
      <c r="AQ669" s="380" t="str">
        <f t="shared" si="1412"/>
        <v/>
      </c>
    </row>
    <row r="670" spans="2:43" ht="7.8" customHeight="1" x14ac:dyDescent="0.25">
      <c r="B670" s="282"/>
      <c r="C670" s="382"/>
      <c r="D670" s="383"/>
      <c r="E670" s="384" t="s">
        <v>30</v>
      </c>
      <c r="F670" s="385" t="str">
        <f t="shared" si="1411"/>
        <v/>
      </c>
      <c r="G670" s="385" t="str">
        <f t="shared" si="1411"/>
        <v/>
      </c>
      <c r="H670" s="385" t="str">
        <f t="shared" si="1411"/>
        <v/>
      </c>
      <c r="I670" s="386" t="str">
        <f t="shared" si="1411"/>
        <v/>
      </c>
      <c r="J670" s="387" t="str">
        <f t="shared" si="1411"/>
        <v/>
      </c>
      <c r="K670" s="387" t="str">
        <f t="shared" si="1411"/>
        <v/>
      </c>
      <c r="L670" s="387" t="str">
        <f t="shared" si="1411"/>
        <v/>
      </c>
      <c r="M670" s="388" t="str">
        <f t="shared" si="1411"/>
        <v/>
      </c>
      <c r="N670" s="385" t="str">
        <f t="shared" si="1411"/>
        <v/>
      </c>
      <c r="O670" s="386" t="str">
        <f t="shared" si="1411"/>
        <v/>
      </c>
      <c r="P670" s="387" t="str">
        <f t="shared" si="1411"/>
        <v/>
      </c>
      <c r="Q670" s="387" t="str">
        <f t="shared" si="1411"/>
        <v/>
      </c>
      <c r="R670" s="387" t="str">
        <f t="shared" si="1411"/>
        <v/>
      </c>
      <c r="S670" s="388" t="str">
        <f t="shared" si="1411"/>
        <v/>
      </c>
      <c r="T670" s="385" t="str">
        <f t="shared" si="1411"/>
        <v/>
      </c>
      <c r="U670" s="386" t="str">
        <f t="shared" si="1411"/>
        <v/>
      </c>
      <c r="V670" s="387" t="str">
        <f t="shared" si="1411"/>
        <v/>
      </c>
      <c r="W670" s="387" t="str">
        <f t="shared" si="1411"/>
        <v/>
      </c>
      <c r="X670" s="387" t="str">
        <f t="shared" si="1411"/>
        <v/>
      </c>
      <c r="Y670" s="389" t="str">
        <f t="shared" si="1411"/>
        <v/>
      </c>
      <c r="AA670" s="291"/>
      <c r="AB670" s="390"/>
      <c r="AC670" s="391"/>
      <c r="AD670" s="392" t="s">
        <v>30</v>
      </c>
      <c r="AE670" s="385" t="str">
        <f t="shared" si="1412"/>
        <v/>
      </c>
      <c r="AF670" s="386" t="str">
        <f t="shared" si="1412"/>
        <v/>
      </c>
      <c r="AG670" s="387" t="str">
        <f t="shared" si="1412"/>
        <v/>
      </c>
      <c r="AH670" s="387" t="str">
        <f t="shared" si="1412"/>
        <v/>
      </c>
      <c r="AI670" s="387" t="str">
        <f t="shared" si="1412"/>
        <v/>
      </c>
      <c r="AJ670" s="387" t="str">
        <f t="shared" si="1412"/>
        <v/>
      </c>
      <c r="AK670" s="387" t="str">
        <f t="shared" si="1412"/>
        <v/>
      </c>
      <c r="AL670" s="387" t="str">
        <f t="shared" si="1412"/>
        <v/>
      </c>
      <c r="AM670" s="387" t="str">
        <f t="shared" si="1412"/>
        <v/>
      </c>
      <c r="AN670" s="387" t="str">
        <f t="shared" si="1412"/>
        <v/>
      </c>
      <c r="AO670" s="387" t="str">
        <f t="shared" si="1412"/>
        <v/>
      </c>
      <c r="AP670" s="387" t="str">
        <f t="shared" si="1412"/>
        <v/>
      </c>
      <c r="AQ670" s="389" t="str">
        <f t="shared" si="1412"/>
        <v/>
      </c>
    </row>
    <row r="671" spans="2:43" ht="7.8" customHeight="1" x14ac:dyDescent="0.25">
      <c r="B671" s="282"/>
      <c r="C671" s="393" t="s">
        <v>48</v>
      </c>
      <c r="D671" s="394" t="s">
        <v>39</v>
      </c>
      <c r="E671" s="395" t="s">
        <v>32</v>
      </c>
      <c r="F671" s="396">
        <f t="shared" ref="F671:F672" si="1413">SUM(G671,H671,N671,T671)</f>
        <v>0</v>
      </c>
      <c r="G671" s="396"/>
      <c r="H671" s="396">
        <f t="shared" ref="H671:H672" si="1414">SUM(I671:M671)</f>
        <v>0</v>
      </c>
      <c r="I671" s="397"/>
      <c r="J671" s="398"/>
      <c r="K671" s="398"/>
      <c r="L671" s="398"/>
      <c r="M671" s="399"/>
      <c r="N671" s="396">
        <f t="shared" ref="N671:N672" si="1415">SUM(O671:S671)</f>
        <v>0</v>
      </c>
      <c r="O671" s="397"/>
      <c r="P671" s="398"/>
      <c r="Q671" s="398"/>
      <c r="R671" s="398"/>
      <c r="S671" s="399"/>
      <c r="T671" s="396">
        <f t="shared" ref="T671:T672" si="1416">SUM(U671:Y671)</f>
        <v>0</v>
      </c>
      <c r="U671" s="397"/>
      <c r="V671" s="398"/>
      <c r="W671" s="398"/>
      <c r="X671" s="398"/>
      <c r="Y671" s="400"/>
      <c r="AA671" s="291"/>
      <c r="AB671" s="401" t="s">
        <v>48</v>
      </c>
      <c r="AC671" s="402" t="s">
        <v>39</v>
      </c>
      <c r="AD671" s="403" t="s">
        <v>32</v>
      </c>
      <c r="AE671" s="396">
        <f t="shared" ref="AE671:AE672" si="1417">SUM(AF671:AQ671)</f>
        <v>0</v>
      </c>
      <c r="AF671" s="397">
        <f>$R$77</f>
        <v>0</v>
      </c>
      <c r="AG671" s="398">
        <f>$R$131</f>
        <v>0</v>
      </c>
      <c r="AH671" s="398">
        <f>$R$185</f>
        <v>0</v>
      </c>
      <c r="AI671" s="398">
        <f>$R$239</f>
        <v>0</v>
      </c>
      <c r="AJ671" s="398">
        <f>$R$293</f>
        <v>0</v>
      </c>
      <c r="AK671" s="398">
        <f>$R$347</f>
        <v>0</v>
      </c>
      <c r="AL671" s="398">
        <f>$R$401</f>
        <v>0</v>
      </c>
      <c r="AM671" s="398">
        <f>$R$455</f>
        <v>0</v>
      </c>
      <c r="AN671" s="398">
        <f>$R$509</f>
        <v>0</v>
      </c>
      <c r="AO671" s="398">
        <f>$R$563</f>
        <v>0</v>
      </c>
      <c r="AP671" s="398">
        <f>$R$617</f>
        <v>0</v>
      </c>
      <c r="AQ671" s="400">
        <f>$R$671</f>
        <v>0</v>
      </c>
    </row>
    <row r="672" spans="2:43" s="41" customFormat="1" ht="7.8" customHeight="1" x14ac:dyDescent="0.25">
      <c r="B672" s="282"/>
      <c r="C672" s="404"/>
      <c r="D672" s="405"/>
      <c r="E672" s="406" t="s">
        <v>33</v>
      </c>
      <c r="F672" s="407">
        <f t="shared" si="1413"/>
        <v>0</v>
      </c>
      <c r="G672" s="407"/>
      <c r="H672" s="407">
        <f t="shared" si="1414"/>
        <v>0</v>
      </c>
      <c r="I672" s="408"/>
      <c r="J672" s="409"/>
      <c r="K672" s="409"/>
      <c r="L672" s="409"/>
      <c r="M672" s="410"/>
      <c r="N672" s="407">
        <f t="shared" si="1415"/>
        <v>0</v>
      </c>
      <c r="O672" s="408"/>
      <c r="P672" s="409"/>
      <c r="Q672" s="409"/>
      <c r="R672" s="409"/>
      <c r="S672" s="410"/>
      <c r="T672" s="407">
        <f t="shared" si="1416"/>
        <v>0</v>
      </c>
      <c r="U672" s="408"/>
      <c r="V672" s="409"/>
      <c r="W672" s="409"/>
      <c r="X672" s="409"/>
      <c r="Y672" s="411"/>
      <c r="AA672" s="291"/>
      <c r="AB672" s="412"/>
      <c r="AC672" s="413"/>
      <c r="AD672" s="414" t="s">
        <v>33</v>
      </c>
      <c r="AE672" s="407">
        <f t="shared" si="1417"/>
        <v>0</v>
      </c>
      <c r="AF672" s="408">
        <f>$R$78</f>
        <v>0</v>
      </c>
      <c r="AG672" s="409">
        <f>$R$132</f>
        <v>0</v>
      </c>
      <c r="AH672" s="409">
        <f>$R$186</f>
        <v>0</v>
      </c>
      <c r="AI672" s="409">
        <f>$R$240</f>
        <v>0</v>
      </c>
      <c r="AJ672" s="409">
        <f>$R$294</f>
        <v>0</v>
      </c>
      <c r="AK672" s="409">
        <f>$R$348</f>
        <v>0</v>
      </c>
      <c r="AL672" s="409">
        <f>$R$402</f>
        <v>0</v>
      </c>
      <c r="AM672" s="409">
        <f>$R$456</f>
        <v>0</v>
      </c>
      <c r="AN672" s="409">
        <f>$R$510</f>
        <v>0</v>
      </c>
      <c r="AO672" s="409">
        <f>$R$564</f>
        <v>0</v>
      </c>
      <c r="AP672" s="409">
        <f>$R$618</f>
        <v>0</v>
      </c>
      <c r="AQ672" s="411">
        <f>$R$672</f>
        <v>0</v>
      </c>
    </row>
    <row r="673" spans="2:43" ht="7.8" customHeight="1" x14ac:dyDescent="0.25">
      <c r="B673" s="282"/>
      <c r="C673" s="404"/>
      <c r="D673" s="415"/>
      <c r="E673" s="416" t="s">
        <v>30</v>
      </c>
      <c r="F673" s="417">
        <f t="shared" si="1308"/>
        <v>0</v>
      </c>
      <c r="G673" s="417">
        <f t="shared" si="1308"/>
        <v>0</v>
      </c>
      <c r="H673" s="417">
        <f t="shared" si="1308"/>
        <v>0</v>
      </c>
      <c r="I673" s="418">
        <f t="shared" si="1308"/>
        <v>0</v>
      </c>
      <c r="J673" s="419">
        <f t="shared" si="1308"/>
        <v>0</v>
      </c>
      <c r="K673" s="419">
        <f t="shared" si="1308"/>
        <v>0</v>
      </c>
      <c r="L673" s="419">
        <f t="shared" si="1308"/>
        <v>0</v>
      </c>
      <c r="M673" s="420">
        <f t="shared" si="1308"/>
        <v>0</v>
      </c>
      <c r="N673" s="417">
        <f t="shared" si="1308"/>
        <v>0</v>
      </c>
      <c r="O673" s="418">
        <f t="shared" si="1308"/>
        <v>0</v>
      </c>
      <c r="P673" s="419">
        <f t="shared" si="1308"/>
        <v>0</v>
      </c>
      <c r="Q673" s="419">
        <f t="shared" si="1308"/>
        <v>0</v>
      </c>
      <c r="R673" s="419">
        <f t="shared" si="1308"/>
        <v>0</v>
      </c>
      <c r="S673" s="420">
        <f t="shared" si="1308"/>
        <v>0</v>
      </c>
      <c r="T673" s="417">
        <f t="shared" si="1308"/>
        <v>0</v>
      </c>
      <c r="U673" s="418">
        <f t="shared" si="1308"/>
        <v>0</v>
      </c>
      <c r="V673" s="419">
        <f t="shared" si="1308"/>
        <v>0</v>
      </c>
      <c r="W673" s="419">
        <f t="shared" si="1308"/>
        <v>0</v>
      </c>
      <c r="X673" s="419">
        <f t="shared" si="1308"/>
        <v>0</v>
      </c>
      <c r="Y673" s="421">
        <f t="shared" si="1308"/>
        <v>0</v>
      </c>
      <c r="AA673" s="291"/>
      <c r="AB673" s="412"/>
      <c r="AC673" s="422"/>
      <c r="AD673" s="423" t="s">
        <v>30</v>
      </c>
      <c r="AE673" s="417">
        <f t="shared" ref="AE673:AQ673" si="1418">IFERROR(AE672/AE671,0)</f>
        <v>0</v>
      </c>
      <c r="AF673" s="418">
        <f t="shared" si="1418"/>
        <v>0</v>
      </c>
      <c r="AG673" s="419">
        <f t="shared" si="1418"/>
        <v>0</v>
      </c>
      <c r="AH673" s="419">
        <f t="shared" si="1418"/>
        <v>0</v>
      </c>
      <c r="AI673" s="419">
        <f t="shared" si="1418"/>
        <v>0</v>
      </c>
      <c r="AJ673" s="419">
        <f t="shared" si="1418"/>
        <v>0</v>
      </c>
      <c r="AK673" s="419">
        <f t="shared" si="1418"/>
        <v>0</v>
      </c>
      <c r="AL673" s="419">
        <f t="shared" si="1418"/>
        <v>0</v>
      </c>
      <c r="AM673" s="419">
        <f t="shared" si="1418"/>
        <v>0</v>
      </c>
      <c r="AN673" s="419">
        <f t="shared" si="1418"/>
        <v>0</v>
      </c>
      <c r="AO673" s="419">
        <f t="shared" si="1418"/>
        <v>0</v>
      </c>
      <c r="AP673" s="419">
        <f t="shared" si="1418"/>
        <v>0</v>
      </c>
      <c r="AQ673" s="421">
        <f t="shared" si="1418"/>
        <v>0</v>
      </c>
    </row>
    <row r="674" spans="2:43" ht="7.8" customHeight="1" x14ac:dyDescent="0.25">
      <c r="B674" s="282"/>
      <c r="C674" s="404"/>
      <c r="D674" s="424" t="s">
        <v>40</v>
      </c>
      <c r="E674" s="425" t="s">
        <v>32</v>
      </c>
      <c r="F674" s="426">
        <f t="shared" ref="F674:F675" si="1419">SUM(G674,H674,N674,T674)</f>
        <v>5693</v>
      </c>
      <c r="G674" s="426">
        <v>711</v>
      </c>
      <c r="H674" s="426">
        <f t="shared" ref="H674:H675" si="1420">SUM(I674:M674)</f>
        <v>278</v>
      </c>
      <c r="I674" s="427">
        <v>0</v>
      </c>
      <c r="J674" s="428">
        <v>246</v>
      </c>
      <c r="K674" s="428">
        <v>32</v>
      </c>
      <c r="L674" s="428">
        <v>0</v>
      </c>
      <c r="M674" s="429">
        <v>0</v>
      </c>
      <c r="N674" s="426">
        <f t="shared" ref="N674:N675" si="1421">SUM(O674:S674)</f>
        <v>807</v>
      </c>
      <c r="O674" s="427">
        <v>452</v>
      </c>
      <c r="P674" s="428">
        <v>186</v>
      </c>
      <c r="Q674" s="428">
        <v>167</v>
      </c>
      <c r="R674" s="428">
        <v>0</v>
      </c>
      <c r="S674" s="429">
        <v>2</v>
      </c>
      <c r="T674" s="426">
        <f t="shared" ref="T674:T675" si="1422">SUM(U674:Y674)</f>
        <v>3897</v>
      </c>
      <c r="U674" s="427">
        <v>343</v>
      </c>
      <c r="V674" s="428">
        <v>2102</v>
      </c>
      <c r="W674" s="428">
        <v>1071</v>
      </c>
      <c r="X674" s="428">
        <v>245</v>
      </c>
      <c r="Y674" s="430">
        <v>136</v>
      </c>
      <c r="AA674" s="291"/>
      <c r="AB674" s="412"/>
      <c r="AC674" s="431" t="s">
        <v>40</v>
      </c>
      <c r="AD674" s="432" t="s">
        <v>32</v>
      </c>
      <c r="AE674" s="426">
        <f t="shared" ref="AE674:AE675" si="1423">SUM(AF674:AQ674)</f>
        <v>4</v>
      </c>
      <c r="AF674" s="427">
        <f>$R$80</f>
        <v>0</v>
      </c>
      <c r="AG674" s="428">
        <f>$R$134</f>
        <v>0</v>
      </c>
      <c r="AH674" s="428">
        <f>$R$188</f>
        <v>0</v>
      </c>
      <c r="AI674" s="428">
        <f>$R$242</f>
        <v>4</v>
      </c>
      <c r="AJ674" s="428">
        <f>$R$296</f>
        <v>0</v>
      </c>
      <c r="AK674" s="428">
        <f>$R$350</f>
        <v>0</v>
      </c>
      <c r="AL674" s="428">
        <f>$R$404</f>
        <v>0</v>
      </c>
      <c r="AM674" s="428">
        <f>$R$458</f>
        <v>0</v>
      </c>
      <c r="AN674" s="428">
        <f>$R$512</f>
        <v>0</v>
      </c>
      <c r="AO674" s="428">
        <f>$R$566</f>
        <v>0</v>
      </c>
      <c r="AP674" s="428">
        <f>$R$620</f>
        <v>0</v>
      </c>
      <c r="AQ674" s="430">
        <f>$R$674</f>
        <v>0</v>
      </c>
    </row>
    <row r="675" spans="2:43" s="41" customFormat="1" ht="7.8" customHeight="1" x14ac:dyDescent="0.25">
      <c r="B675" s="282"/>
      <c r="C675" s="404"/>
      <c r="D675" s="405"/>
      <c r="E675" s="406" t="s">
        <v>33</v>
      </c>
      <c r="F675" s="407">
        <f t="shared" si="1419"/>
        <v>949315.66999999993</v>
      </c>
      <c r="G675" s="407">
        <v>110871</v>
      </c>
      <c r="H675" s="407">
        <f t="shared" si="1420"/>
        <v>45234.31</v>
      </c>
      <c r="I675" s="408">
        <v>0</v>
      </c>
      <c r="J675" s="409">
        <v>40194.31</v>
      </c>
      <c r="K675" s="409">
        <v>5040</v>
      </c>
      <c r="L675" s="409">
        <v>0</v>
      </c>
      <c r="M675" s="410">
        <v>0</v>
      </c>
      <c r="N675" s="407">
        <f t="shared" si="1421"/>
        <v>134527</v>
      </c>
      <c r="O675" s="408">
        <v>76985</v>
      </c>
      <c r="P675" s="409">
        <v>27497</v>
      </c>
      <c r="Q675" s="409">
        <v>29625</v>
      </c>
      <c r="R675" s="409">
        <v>0</v>
      </c>
      <c r="S675" s="410">
        <v>420</v>
      </c>
      <c r="T675" s="407">
        <f t="shared" si="1422"/>
        <v>658683.36</v>
      </c>
      <c r="U675" s="408">
        <v>80101.100000000035</v>
      </c>
      <c r="V675" s="409">
        <v>337120.88999999996</v>
      </c>
      <c r="W675" s="409">
        <v>179862.37</v>
      </c>
      <c r="X675" s="409">
        <v>36767</v>
      </c>
      <c r="Y675" s="411">
        <v>24832</v>
      </c>
      <c r="AA675" s="291"/>
      <c r="AB675" s="412"/>
      <c r="AC675" s="413"/>
      <c r="AD675" s="414" t="s">
        <v>33</v>
      </c>
      <c r="AE675" s="407">
        <f t="shared" si="1423"/>
        <v>670</v>
      </c>
      <c r="AF675" s="408">
        <f>$R$81</f>
        <v>0</v>
      </c>
      <c r="AG675" s="409">
        <f>$R$135</f>
        <v>0</v>
      </c>
      <c r="AH675" s="409">
        <f>$R$189</f>
        <v>0</v>
      </c>
      <c r="AI675" s="409">
        <f>$R$243</f>
        <v>670</v>
      </c>
      <c r="AJ675" s="409">
        <f>$R$297</f>
        <v>0</v>
      </c>
      <c r="AK675" s="409">
        <f>$R$351</f>
        <v>0</v>
      </c>
      <c r="AL675" s="409">
        <f>$R$405</f>
        <v>0</v>
      </c>
      <c r="AM675" s="409">
        <f>$R$459</f>
        <v>0</v>
      </c>
      <c r="AN675" s="409">
        <f>$R$513</f>
        <v>0</v>
      </c>
      <c r="AO675" s="409">
        <f>$R$567</f>
        <v>0</v>
      </c>
      <c r="AP675" s="409">
        <f>$R$621</f>
        <v>0</v>
      </c>
      <c r="AQ675" s="411">
        <f>$R$675</f>
        <v>0</v>
      </c>
    </row>
    <row r="676" spans="2:43" ht="7.8" customHeight="1" x14ac:dyDescent="0.25">
      <c r="B676" s="282"/>
      <c r="C676" s="404"/>
      <c r="D676" s="415"/>
      <c r="E676" s="416" t="s">
        <v>30</v>
      </c>
      <c r="F676" s="417">
        <f t="shared" si="1315"/>
        <v>166.7513911821535</v>
      </c>
      <c r="G676" s="417">
        <f t="shared" si="1315"/>
        <v>155.9367088607595</v>
      </c>
      <c r="H676" s="417">
        <f t="shared" si="1315"/>
        <v>162.71334532374101</v>
      </c>
      <c r="I676" s="418">
        <f t="shared" si="1315"/>
        <v>0</v>
      </c>
      <c r="J676" s="419">
        <f t="shared" si="1315"/>
        <v>163.39150406504064</v>
      </c>
      <c r="K676" s="419">
        <f t="shared" si="1315"/>
        <v>157.5</v>
      </c>
      <c r="L676" s="419">
        <f t="shared" si="1315"/>
        <v>0</v>
      </c>
      <c r="M676" s="420">
        <f t="shared" si="1315"/>
        <v>0</v>
      </c>
      <c r="N676" s="417">
        <f t="shared" si="1315"/>
        <v>166.70012391573729</v>
      </c>
      <c r="O676" s="418">
        <f t="shared" si="1315"/>
        <v>170.32079646017698</v>
      </c>
      <c r="P676" s="419">
        <f t="shared" si="1315"/>
        <v>147.83333333333334</v>
      </c>
      <c r="Q676" s="419">
        <f t="shared" si="1315"/>
        <v>177.39520958083833</v>
      </c>
      <c r="R676" s="419">
        <f t="shared" si="1315"/>
        <v>0</v>
      </c>
      <c r="S676" s="420">
        <f t="shared" si="1315"/>
        <v>210</v>
      </c>
      <c r="T676" s="417">
        <f t="shared" si="1315"/>
        <v>169.0231870669746</v>
      </c>
      <c r="U676" s="418">
        <f t="shared" si="1315"/>
        <v>233.53090379008756</v>
      </c>
      <c r="V676" s="419">
        <f t="shared" si="1315"/>
        <v>160.38101332064699</v>
      </c>
      <c r="W676" s="419">
        <f t="shared" si="1315"/>
        <v>167.938720821662</v>
      </c>
      <c r="X676" s="419">
        <f t="shared" si="1315"/>
        <v>150.06938775510204</v>
      </c>
      <c r="Y676" s="421">
        <f t="shared" si="1315"/>
        <v>182.58823529411765</v>
      </c>
      <c r="AA676" s="291"/>
      <c r="AB676" s="412"/>
      <c r="AC676" s="422"/>
      <c r="AD676" s="423" t="s">
        <v>30</v>
      </c>
      <c r="AE676" s="417">
        <f t="shared" ref="AE676:AQ676" si="1424">IFERROR(AE675/AE674,0)</f>
        <v>167.5</v>
      </c>
      <c r="AF676" s="418">
        <f t="shared" si="1424"/>
        <v>0</v>
      </c>
      <c r="AG676" s="419">
        <f t="shared" si="1424"/>
        <v>0</v>
      </c>
      <c r="AH676" s="419">
        <f t="shared" si="1424"/>
        <v>0</v>
      </c>
      <c r="AI676" s="419">
        <f t="shared" si="1424"/>
        <v>167.5</v>
      </c>
      <c r="AJ676" s="419">
        <f t="shared" si="1424"/>
        <v>0</v>
      </c>
      <c r="AK676" s="419">
        <f t="shared" si="1424"/>
        <v>0</v>
      </c>
      <c r="AL676" s="419">
        <f t="shared" si="1424"/>
        <v>0</v>
      </c>
      <c r="AM676" s="419">
        <f t="shared" si="1424"/>
        <v>0</v>
      </c>
      <c r="AN676" s="419">
        <f t="shared" si="1424"/>
        <v>0</v>
      </c>
      <c r="AO676" s="419">
        <f t="shared" si="1424"/>
        <v>0</v>
      </c>
      <c r="AP676" s="419">
        <f t="shared" si="1424"/>
        <v>0</v>
      </c>
      <c r="AQ676" s="421">
        <f t="shared" si="1424"/>
        <v>0</v>
      </c>
    </row>
    <row r="677" spans="2:43" ht="7.8" customHeight="1" x14ac:dyDescent="0.25">
      <c r="B677" s="282"/>
      <c r="C677" s="404"/>
      <c r="D677" s="424" t="s">
        <v>41</v>
      </c>
      <c r="E677" s="425" t="s">
        <v>32</v>
      </c>
      <c r="F677" s="426">
        <f t="shared" ref="F677:F678" si="1425">SUM(G677,H677,N677,T677)</f>
        <v>0</v>
      </c>
      <c r="G677" s="426"/>
      <c r="H677" s="426">
        <f t="shared" ref="H677:H678" si="1426">SUM(I677:M677)</f>
        <v>0</v>
      </c>
      <c r="I677" s="427"/>
      <c r="J677" s="428"/>
      <c r="K677" s="428"/>
      <c r="L677" s="428"/>
      <c r="M677" s="429"/>
      <c r="N677" s="426">
        <f t="shared" ref="N677:N678" si="1427">SUM(O677:S677)</f>
        <v>0</v>
      </c>
      <c r="O677" s="427"/>
      <c r="P677" s="428"/>
      <c r="Q677" s="428"/>
      <c r="R677" s="428"/>
      <c r="S677" s="429"/>
      <c r="T677" s="426">
        <f t="shared" ref="T677:T678" si="1428">SUM(U677:Y677)</f>
        <v>0</v>
      </c>
      <c r="U677" s="427"/>
      <c r="V677" s="428"/>
      <c r="W677" s="428"/>
      <c r="X677" s="428"/>
      <c r="Y677" s="430"/>
      <c r="AA677" s="291"/>
      <c r="AB677" s="412"/>
      <c r="AC677" s="431" t="s">
        <v>41</v>
      </c>
      <c r="AD677" s="432" t="s">
        <v>32</v>
      </c>
      <c r="AE677" s="426">
        <f t="shared" ref="AE677:AE678" si="1429">SUM(AF677:AQ677)</f>
        <v>0</v>
      </c>
      <c r="AF677" s="427">
        <f>$R$83</f>
        <v>0</v>
      </c>
      <c r="AG677" s="428">
        <f>$R$137</f>
        <v>0</v>
      </c>
      <c r="AH677" s="428">
        <f>$R$191</f>
        <v>0</v>
      </c>
      <c r="AI677" s="428">
        <f>$R$245</f>
        <v>0</v>
      </c>
      <c r="AJ677" s="428">
        <f>$R$299</f>
        <v>0</v>
      </c>
      <c r="AK677" s="428">
        <f>$R$353</f>
        <v>0</v>
      </c>
      <c r="AL677" s="428">
        <f>$R$407</f>
        <v>0</v>
      </c>
      <c r="AM677" s="428">
        <f>$R$461</f>
        <v>0</v>
      </c>
      <c r="AN677" s="428">
        <f>$R$515</f>
        <v>0</v>
      </c>
      <c r="AO677" s="428">
        <f>$R$569</f>
        <v>0</v>
      </c>
      <c r="AP677" s="428">
        <f>$R$623</f>
        <v>0</v>
      </c>
      <c r="AQ677" s="430">
        <f>$R$677</f>
        <v>0</v>
      </c>
    </row>
    <row r="678" spans="2:43" s="41" customFormat="1" ht="7.8" customHeight="1" x14ac:dyDescent="0.25">
      <c r="B678" s="282"/>
      <c r="C678" s="404"/>
      <c r="D678" s="405"/>
      <c r="E678" s="406" t="s">
        <v>33</v>
      </c>
      <c r="F678" s="407">
        <f t="shared" si="1425"/>
        <v>0</v>
      </c>
      <c r="G678" s="407"/>
      <c r="H678" s="407">
        <f t="shared" si="1426"/>
        <v>0</v>
      </c>
      <c r="I678" s="408"/>
      <c r="J678" s="409"/>
      <c r="K678" s="409"/>
      <c r="L678" s="409"/>
      <c r="M678" s="410"/>
      <c r="N678" s="407">
        <f t="shared" si="1427"/>
        <v>0</v>
      </c>
      <c r="O678" s="408"/>
      <c r="P678" s="409"/>
      <c r="Q678" s="409"/>
      <c r="R678" s="409"/>
      <c r="S678" s="410"/>
      <c r="T678" s="407">
        <f t="shared" si="1428"/>
        <v>0</v>
      </c>
      <c r="U678" s="408"/>
      <c r="V678" s="409"/>
      <c r="W678" s="409"/>
      <c r="X678" s="409"/>
      <c r="Y678" s="411"/>
      <c r="AA678" s="291"/>
      <c r="AB678" s="412"/>
      <c r="AC678" s="413"/>
      <c r="AD678" s="414" t="s">
        <v>33</v>
      </c>
      <c r="AE678" s="407">
        <f t="shared" si="1429"/>
        <v>0</v>
      </c>
      <c r="AF678" s="408">
        <f>$R$84</f>
        <v>0</v>
      </c>
      <c r="AG678" s="409">
        <f>$R$138</f>
        <v>0</v>
      </c>
      <c r="AH678" s="409">
        <f>$R$192</f>
        <v>0</v>
      </c>
      <c r="AI678" s="409">
        <f>$R$246</f>
        <v>0</v>
      </c>
      <c r="AJ678" s="409">
        <f>$R$300</f>
        <v>0</v>
      </c>
      <c r="AK678" s="409">
        <f>$R$354</f>
        <v>0</v>
      </c>
      <c r="AL678" s="409">
        <f>$R$408</f>
        <v>0</v>
      </c>
      <c r="AM678" s="409">
        <f>$R$462</f>
        <v>0</v>
      </c>
      <c r="AN678" s="409">
        <f>$R$516</f>
        <v>0</v>
      </c>
      <c r="AO678" s="409">
        <f>$R$570</f>
        <v>0</v>
      </c>
      <c r="AP678" s="409">
        <f>$R$624</f>
        <v>0</v>
      </c>
      <c r="AQ678" s="411">
        <f>$R$678</f>
        <v>0</v>
      </c>
    </row>
    <row r="679" spans="2:43" ht="7.8" customHeight="1" x14ac:dyDescent="0.25">
      <c r="B679" s="282"/>
      <c r="C679" s="404"/>
      <c r="D679" s="415"/>
      <c r="E679" s="416" t="s">
        <v>30</v>
      </c>
      <c r="F679" s="417">
        <f t="shared" si="1322"/>
        <v>0</v>
      </c>
      <c r="G679" s="417">
        <f t="shared" si="1322"/>
        <v>0</v>
      </c>
      <c r="H679" s="417">
        <f t="shared" si="1322"/>
        <v>0</v>
      </c>
      <c r="I679" s="418">
        <f t="shared" si="1322"/>
        <v>0</v>
      </c>
      <c r="J679" s="419">
        <f t="shared" si="1322"/>
        <v>0</v>
      </c>
      <c r="K679" s="419">
        <f t="shared" si="1322"/>
        <v>0</v>
      </c>
      <c r="L679" s="419">
        <f t="shared" si="1322"/>
        <v>0</v>
      </c>
      <c r="M679" s="420">
        <f t="shared" si="1322"/>
        <v>0</v>
      </c>
      <c r="N679" s="417">
        <f t="shared" si="1322"/>
        <v>0</v>
      </c>
      <c r="O679" s="418">
        <f t="shared" si="1322"/>
        <v>0</v>
      </c>
      <c r="P679" s="419">
        <f t="shared" si="1322"/>
        <v>0</v>
      </c>
      <c r="Q679" s="419">
        <f t="shared" si="1322"/>
        <v>0</v>
      </c>
      <c r="R679" s="419">
        <f t="shared" si="1322"/>
        <v>0</v>
      </c>
      <c r="S679" s="420">
        <f t="shared" si="1322"/>
        <v>0</v>
      </c>
      <c r="T679" s="417">
        <f t="shared" si="1322"/>
        <v>0</v>
      </c>
      <c r="U679" s="418">
        <f t="shared" si="1322"/>
        <v>0</v>
      </c>
      <c r="V679" s="419">
        <f t="shared" si="1322"/>
        <v>0</v>
      </c>
      <c r="W679" s="419">
        <f t="shared" si="1322"/>
        <v>0</v>
      </c>
      <c r="X679" s="419">
        <f t="shared" si="1322"/>
        <v>0</v>
      </c>
      <c r="Y679" s="421">
        <f t="shared" si="1322"/>
        <v>0</v>
      </c>
      <c r="AA679" s="291"/>
      <c r="AB679" s="412"/>
      <c r="AC679" s="422"/>
      <c r="AD679" s="423" t="s">
        <v>30</v>
      </c>
      <c r="AE679" s="417">
        <f t="shared" ref="AE679:AQ679" si="1430">IFERROR(AE678/AE677,0)</f>
        <v>0</v>
      </c>
      <c r="AF679" s="418">
        <f t="shared" si="1430"/>
        <v>0</v>
      </c>
      <c r="AG679" s="419">
        <f t="shared" si="1430"/>
        <v>0</v>
      </c>
      <c r="AH679" s="419">
        <f t="shared" si="1430"/>
        <v>0</v>
      </c>
      <c r="AI679" s="419">
        <f t="shared" si="1430"/>
        <v>0</v>
      </c>
      <c r="AJ679" s="419">
        <f t="shared" si="1430"/>
        <v>0</v>
      </c>
      <c r="AK679" s="419">
        <f t="shared" si="1430"/>
        <v>0</v>
      </c>
      <c r="AL679" s="419">
        <f t="shared" si="1430"/>
        <v>0</v>
      </c>
      <c r="AM679" s="419">
        <f t="shared" si="1430"/>
        <v>0</v>
      </c>
      <c r="AN679" s="419">
        <f t="shared" si="1430"/>
        <v>0</v>
      </c>
      <c r="AO679" s="419">
        <f t="shared" si="1430"/>
        <v>0</v>
      </c>
      <c r="AP679" s="419">
        <f t="shared" si="1430"/>
        <v>0</v>
      </c>
      <c r="AQ679" s="421">
        <f t="shared" si="1430"/>
        <v>0</v>
      </c>
    </row>
    <row r="680" spans="2:43" ht="7.8" customHeight="1" x14ac:dyDescent="0.25">
      <c r="B680" s="282"/>
      <c r="C680" s="404"/>
      <c r="D680" s="433" t="s">
        <v>42</v>
      </c>
      <c r="E680" s="434" t="s">
        <v>32</v>
      </c>
      <c r="F680" s="435">
        <f t="shared" ref="F680:F681" si="1431">SUM(G680,H680,N680,T680)</f>
        <v>5668</v>
      </c>
      <c r="G680" s="435">
        <v>0</v>
      </c>
      <c r="H680" s="435">
        <v>465</v>
      </c>
      <c r="I680" s="436">
        <v>65</v>
      </c>
      <c r="J680" s="437">
        <v>350</v>
      </c>
      <c r="K680" s="437">
        <v>0</v>
      </c>
      <c r="L680" s="437">
        <v>50</v>
      </c>
      <c r="M680" s="438">
        <v>0</v>
      </c>
      <c r="N680" s="435">
        <f t="shared" ref="N680:N681" si="1432">SUM(O680:S680)</f>
        <v>720</v>
      </c>
      <c r="O680" s="436">
        <v>450</v>
      </c>
      <c r="P680" s="437">
        <v>200</v>
      </c>
      <c r="Q680" s="437">
        <v>70</v>
      </c>
      <c r="R680" s="437">
        <v>0</v>
      </c>
      <c r="S680" s="438">
        <v>0</v>
      </c>
      <c r="T680" s="435">
        <f t="shared" ref="T680:T681" si="1433">SUM(U680:Y680)</f>
        <v>4483</v>
      </c>
      <c r="U680" s="436">
        <v>546</v>
      </c>
      <c r="V680" s="437">
        <v>2108</v>
      </c>
      <c r="W680" s="437">
        <v>1222</v>
      </c>
      <c r="X680" s="437">
        <v>81</v>
      </c>
      <c r="Y680" s="439">
        <v>526</v>
      </c>
      <c r="AA680" s="291"/>
      <c r="AB680" s="412"/>
      <c r="AC680" s="440" t="s">
        <v>42</v>
      </c>
      <c r="AD680" s="441" t="s">
        <v>32</v>
      </c>
      <c r="AE680" s="442">
        <f t="shared" ref="AE680:AE681" si="1434">SUM(AF680:AQ680)</f>
        <v>0</v>
      </c>
      <c r="AF680" s="443">
        <f>$R$86</f>
        <v>0</v>
      </c>
      <c r="AG680" s="444">
        <f>$R$140</f>
        <v>0</v>
      </c>
      <c r="AH680" s="444">
        <f>$R$194</f>
        <v>0</v>
      </c>
      <c r="AI680" s="444">
        <f>$R$248</f>
        <v>0</v>
      </c>
      <c r="AJ680" s="444">
        <f>$R$302</f>
        <v>0</v>
      </c>
      <c r="AK680" s="444">
        <f>$R$356</f>
        <v>0</v>
      </c>
      <c r="AL680" s="444">
        <f>$R$410</f>
        <v>0</v>
      </c>
      <c r="AM680" s="444">
        <f>$R$464</f>
        <v>0</v>
      </c>
      <c r="AN680" s="444">
        <f>$R$518</f>
        <v>0</v>
      </c>
      <c r="AO680" s="444">
        <f>$R$572</f>
        <v>0</v>
      </c>
      <c r="AP680" s="444">
        <f>$R$626</f>
        <v>0</v>
      </c>
      <c r="AQ680" s="445">
        <f>$R$680</f>
        <v>0</v>
      </c>
    </row>
    <row r="681" spans="2:43" s="41" customFormat="1" ht="7.8" customHeight="1" x14ac:dyDescent="0.25">
      <c r="B681" s="282"/>
      <c r="C681" s="404"/>
      <c r="D681" s="446"/>
      <c r="E681" s="447" t="s">
        <v>33</v>
      </c>
      <c r="F681" s="448">
        <f t="shared" si="1431"/>
        <v>1083110</v>
      </c>
      <c r="G681" s="448">
        <v>0</v>
      </c>
      <c r="H681" s="448">
        <v>67350</v>
      </c>
      <c r="I681" s="449">
        <v>9100</v>
      </c>
      <c r="J681" s="450">
        <v>50750</v>
      </c>
      <c r="K681" s="450">
        <v>0</v>
      </c>
      <c r="L681" s="450">
        <v>7500</v>
      </c>
      <c r="M681" s="451">
        <v>0</v>
      </c>
      <c r="N681" s="448">
        <f t="shared" si="1432"/>
        <v>116550</v>
      </c>
      <c r="O681" s="449">
        <v>75600</v>
      </c>
      <c r="P681" s="450">
        <v>28000</v>
      </c>
      <c r="Q681" s="450">
        <v>12950</v>
      </c>
      <c r="R681" s="450">
        <v>0</v>
      </c>
      <c r="S681" s="451">
        <v>0</v>
      </c>
      <c r="T681" s="448">
        <f t="shared" si="1433"/>
        <v>899210</v>
      </c>
      <c r="U681" s="449">
        <v>98280</v>
      </c>
      <c r="V681" s="450">
        <v>424375</v>
      </c>
      <c r="W681" s="450">
        <v>261630</v>
      </c>
      <c r="X681" s="450">
        <v>14985</v>
      </c>
      <c r="Y681" s="452">
        <v>99940</v>
      </c>
      <c r="AA681" s="291"/>
      <c r="AB681" s="412"/>
      <c r="AC681" s="453"/>
      <c r="AD681" s="454" t="s">
        <v>33</v>
      </c>
      <c r="AE681" s="455">
        <f t="shared" si="1434"/>
        <v>0</v>
      </c>
      <c r="AF681" s="456">
        <f>$R$87</f>
        <v>0</v>
      </c>
      <c r="AG681" s="457">
        <f>$R$141</f>
        <v>0</v>
      </c>
      <c r="AH681" s="457">
        <f>$R$195</f>
        <v>0</v>
      </c>
      <c r="AI681" s="457">
        <f>$R$249</f>
        <v>0</v>
      </c>
      <c r="AJ681" s="457">
        <f>$R$303</f>
        <v>0</v>
      </c>
      <c r="AK681" s="457">
        <f>$R$357</f>
        <v>0</v>
      </c>
      <c r="AL681" s="457">
        <f>$R$411</f>
        <v>0</v>
      </c>
      <c r="AM681" s="457">
        <f>$R$465</f>
        <v>0</v>
      </c>
      <c r="AN681" s="457">
        <f>$R$519</f>
        <v>0</v>
      </c>
      <c r="AO681" s="457">
        <f>$R$573</f>
        <v>0</v>
      </c>
      <c r="AP681" s="457">
        <f>$R$627</f>
        <v>0</v>
      </c>
      <c r="AQ681" s="458">
        <f>$R$681</f>
        <v>0</v>
      </c>
    </row>
    <row r="682" spans="2:43" ht="7.8" customHeight="1" x14ac:dyDescent="0.25">
      <c r="B682" s="282"/>
      <c r="C682" s="404"/>
      <c r="D682" s="459"/>
      <c r="E682" s="460" t="s">
        <v>30</v>
      </c>
      <c r="F682" s="461">
        <f t="shared" si="1328"/>
        <v>191.09209597741707</v>
      </c>
      <c r="G682" s="461">
        <f t="shared" si="1328"/>
        <v>0</v>
      </c>
      <c r="H682" s="461">
        <f t="shared" si="1328"/>
        <v>144.83870967741936</v>
      </c>
      <c r="I682" s="462">
        <f t="shared" si="1328"/>
        <v>140</v>
      </c>
      <c r="J682" s="463">
        <f t="shared" si="1328"/>
        <v>145</v>
      </c>
      <c r="K682" s="463">
        <f t="shared" si="1328"/>
        <v>0</v>
      </c>
      <c r="L682" s="463">
        <f t="shared" si="1328"/>
        <v>150</v>
      </c>
      <c r="M682" s="464"/>
      <c r="N682" s="461">
        <f t="shared" si="1329"/>
        <v>161.875</v>
      </c>
      <c r="O682" s="462">
        <f t="shared" si="1329"/>
        <v>168</v>
      </c>
      <c r="P682" s="463">
        <f t="shared" si="1329"/>
        <v>140</v>
      </c>
      <c r="Q682" s="463">
        <f t="shared" si="1329"/>
        <v>185</v>
      </c>
      <c r="R682" s="463">
        <f t="shared" si="1329"/>
        <v>0</v>
      </c>
      <c r="S682" s="464">
        <f t="shared" si="1329"/>
        <v>0</v>
      </c>
      <c r="T682" s="461">
        <f t="shared" si="1329"/>
        <v>200.58219942003123</v>
      </c>
      <c r="U682" s="462">
        <f t="shared" si="1329"/>
        <v>180</v>
      </c>
      <c r="V682" s="463">
        <f t="shared" si="1329"/>
        <v>201.31641366223909</v>
      </c>
      <c r="W682" s="463">
        <f t="shared" si="1329"/>
        <v>214.0998363338789</v>
      </c>
      <c r="X682" s="463">
        <f t="shared" si="1329"/>
        <v>185</v>
      </c>
      <c r="Y682" s="465">
        <f t="shared" si="1329"/>
        <v>190</v>
      </c>
      <c r="AA682" s="291"/>
      <c r="AB682" s="412"/>
      <c r="AC682" s="466"/>
      <c r="AD682" s="467" t="s">
        <v>30</v>
      </c>
      <c r="AE682" s="468">
        <f t="shared" ref="AE682:AQ682" si="1435">IFERROR(AE681/AE680,0)</f>
        <v>0</v>
      </c>
      <c r="AF682" s="469">
        <f t="shared" si="1435"/>
        <v>0</v>
      </c>
      <c r="AG682" s="470">
        <f t="shared" si="1435"/>
        <v>0</v>
      </c>
      <c r="AH682" s="470">
        <f t="shared" si="1435"/>
        <v>0</v>
      </c>
      <c r="AI682" s="470">
        <f t="shared" si="1435"/>
        <v>0</v>
      </c>
      <c r="AJ682" s="470">
        <f t="shared" si="1435"/>
        <v>0</v>
      </c>
      <c r="AK682" s="470">
        <f t="shared" si="1435"/>
        <v>0</v>
      </c>
      <c r="AL682" s="470">
        <f t="shared" si="1435"/>
        <v>0</v>
      </c>
      <c r="AM682" s="470">
        <f t="shared" si="1435"/>
        <v>0</v>
      </c>
      <c r="AN682" s="470">
        <f t="shared" si="1435"/>
        <v>0</v>
      </c>
      <c r="AO682" s="470">
        <f t="shared" si="1435"/>
        <v>0</v>
      </c>
      <c r="AP682" s="470">
        <f t="shared" si="1435"/>
        <v>0</v>
      </c>
      <c r="AQ682" s="471">
        <f t="shared" si="1435"/>
        <v>0</v>
      </c>
    </row>
    <row r="683" spans="2:43" ht="7.8" customHeight="1" x14ac:dyDescent="0.25">
      <c r="B683" s="282"/>
      <c r="C683" s="404"/>
      <c r="D683" s="472" t="s">
        <v>43</v>
      </c>
      <c r="E683" s="425" t="s">
        <v>32</v>
      </c>
      <c r="F683" s="426">
        <f t="shared" ref="F683:Y685" si="1436">F680-F677</f>
        <v>5668</v>
      </c>
      <c r="G683" s="426">
        <f t="shared" si="1436"/>
        <v>0</v>
      </c>
      <c r="H683" s="426">
        <f t="shared" si="1436"/>
        <v>465</v>
      </c>
      <c r="I683" s="427">
        <f t="shared" si="1436"/>
        <v>65</v>
      </c>
      <c r="J683" s="428">
        <f t="shared" si="1436"/>
        <v>350</v>
      </c>
      <c r="K683" s="428">
        <f t="shared" si="1436"/>
        <v>0</v>
      </c>
      <c r="L683" s="428">
        <f t="shared" si="1436"/>
        <v>50</v>
      </c>
      <c r="M683" s="429">
        <f t="shared" si="1436"/>
        <v>0</v>
      </c>
      <c r="N683" s="426">
        <f t="shared" si="1436"/>
        <v>720</v>
      </c>
      <c r="O683" s="427">
        <f t="shared" si="1436"/>
        <v>450</v>
      </c>
      <c r="P683" s="428">
        <f t="shared" si="1436"/>
        <v>200</v>
      </c>
      <c r="Q683" s="428">
        <f t="shared" si="1436"/>
        <v>70</v>
      </c>
      <c r="R683" s="428">
        <f t="shared" si="1436"/>
        <v>0</v>
      </c>
      <c r="S683" s="429">
        <f t="shared" si="1436"/>
        <v>0</v>
      </c>
      <c r="T683" s="426">
        <f t="shared" si="1436"/>
        <v>4483</v>
      </c>
      <c r="U683" s="427">
        <f t="shared" si="1436"/>
        <v>546</v>
      </c>
      <c r="V683" s="428">
        <f t="shared" si="1436"/>
        <v>2108</v>
      </c>
      <c r="W683" s="428">
        <f t="shared" si="1436"/>
        <v>1222</v>
      </c>
      <c r="X683" s="428">
        <f t="shared" si="1436"/>
        <v>81</v>
      </c>
      <c r="Y683" s="430">
        <f t="shared" si="1436"/>
        <v>526</v>
      </c>
      <c r="AA683" s="291"/>
      <c r="AB683" s="412"/>
      <c r="AC683" s="473" t="s">
        <v>43</v>
      </c>
      <c r="AD683" s="432" t="s">
        <v>32</v>
      </c>
      <c r="AE683" s="426">
        <f t="shared" ref="AE683:AQ685" si="1437">AE680-AE677</f>
        <v>0</v>
      </c>
      <c r="AF683" s="427">
        <f t="shared" si="1437"/>
        <v>0</v>
      </c>
      <c r="AG683" s="428">
        <f t="shared" si="1437"/>
        <v>0</v>
      </c>
      <c r="AH683" s="428">
        <f t="shared" si="1437"/>
        <v>0</v>
      </c>
      <c r="AI683" s="428">
        <f t="shared" si="1437"/>
        <v>0</v>
      </c>
      <c r="AJ683" s="428">
        <f t="shared" si="1437"/>
        <v>0</v>
      </c>
      <c r="AK683" s="428">
        <f t="shared" si="1437"/>
        <v>0</v>
      </c>
      <c r="AL683" s="428">
        <f t="shared" si="1437"/>
        <v>0</v>
      </c>
      <c r="AM683" s="428">
        <f t="shared" si="1437"/>
        <v>0</v>
      </c>
      <c r="AN683" s="428">
        <f t="shared" si="1437"/>
        <v>0</v>
      </c>
      <c r="AO683" s="428">
        <f t="shared" si="1437"/>
        <v>0</v>
      </c>
      <c r="AP683" s="428">
        <f t="shared" si="1437"/>
        <v>0</v>
      </c>
      <c r="AQ683" s="430">
        <f t="shared" si="1437"/>
        <v>0</v>
      </c>
    </row>
    <row r="684" spans="2:43" s="366" customFormat="1" ht="7.8" customHeight="1" x14ac:dyDescent="0.25">
      <c r="B684" s="282"/>
      <c r="C684" s="404"/>
      <c r="D684" s="405"/>
      <c r="E684" s="474" t="s">
        <v>33</v>
      </c>
      <c r="F684" s="407">
        <f t="shared" si="1436"/>
        <v>1083110</v>
      </c>
      <c r="G684" s="407">
        <f t="shared" si="1436"/>
        <v>0</v>
      </c>
      <c r="H684" s="407">
        <f t="shared" si="1436"/>
        <v>67350</v>
      </c>
      <c r="I684" s="408">
        <f t="shared" si="1436"/>
        <v>9100</v>
      </c>
      <c r="J684" s="409">
        <f t="shared" si="1436"/>
        <v>50750</v>
      </c>
      <c r="K684" s="409">
        <f t="shared" si="1436"/>
        <v>0</v>
      </c>
      <c r="L684" s="409">
        <f t="shared" si="1436"/>
        <v>7500</v>
      </c>
      <c r="M684" s="410">
        <f t="shared" si="1436"/>
        <v>0</v>
      </c>
      <c r="N684" s="407">
        <f t="shared" si="1436"/>
        <v>116550</v>
      </c>
      <c r="O684" s="408">
        <f t="shared" si="1436"/>
        <v>75600</v>
      </c>
      <c r="P684" s="409">
        <f t="shared" si="1436"/>
        <v>28000</v>
      </c>
      <c r="Q684" s="409">
        <f t="shared" si="1436"/>
        <v>12950</v>
      </c>
      <c r="R684" s="409">
        <f t="shared" si="1436"/>
        <v>0</v>
      </c>
      <c r="S684" s="410">
        <f t="shared" si="1436"/>
        <v>0</v>
      </c>
      <c r="T684" s="407">
        <f t="shared" si="1436"/>
        <v>899210</v>
      </c>
      <c r="U684" s="408">
        <f t="shared" si="1436"/>
        <v>98280</v>
      </c>
      <c r="V684" s="409">
        <f t="shared" si="1436"/>
        <v>424375</v>
      </c>
      <c r="W684" s="409">
        <f t="shared" si="1436"/>
        <v>261630</v>
      </c>
      <c r="X684" s="409">
        <f t="shared" si="1436"/>
        <v>14985</v>
      </c>
      <c r="Y684" s="411">
        <f t="shared" si="1436"/>
        <v>99940</v>
      </c>
      <c r="AA684" s="291"/>
      <c r="AB684" s="412"/>
      <c r="AC684" s="475"/>
      <c r="AD684" s="476" t="s">
        <v>33</v>
      </c>
      <c r="AE684" s="407">
        <f t="shared" si="1437"/>
        <v>0</v>
      </c>
      <c r="AF684" s="408">
        <f t="shared" si="1437"/>
        <v>0</v>
      </c>
      <c r="AG684" s="409">
        <f t="shared" si="1437"/>
        <v>0</v>
      </c>
      <c r="AH684" s="409">
        <f t="shared" si="1437"/>
        <v>0</v>
      </c>
      <c r="AI684" s="409">
        <f t="shared" si="1437"/>
        <v>0</v>
      </c>
      <c r="AJ684" s="409">
        <f t="shared" si="1437"/>
        <v>0</v>
      </c>
      <c r="AK684" s="409">
        <f t="shared" si="1437"/>
        <v>0</v>
      </c>
      <c r="AL684" s="409">
        <f t="shared" si="1437"/>
        <v>0</v>
      </c>
      <c r="AM684" s="409">
        <f t="shared" si="1437"/>
        <v>0</v>
      </c>
      <c r="AN684" s="409">
        <f t="shared" si="1437"/>
        <v>0</v>
      </c>
      <c r="AO684" s="409">
        <f t="shared" si="1437"/>
        <v>0</v>
      </c>
      <c r="AP684" s="409">
        <f t="shared" si="1437"/>
        <v>0</v>
      </c>
      <c r="AQ684" s="411">
        <f t="shared" si="1437"/>
        <v>0</v>
      </c>
    </row>
    <row r="685" spans="2:43" ht="7.8" customHeight="1" x14ac:dyDescent="0.25">
      <c r="B685" s="282"/>
      <c r="C685" s="404"/>
      <c r="D685" s="415"/>
      <c r="E685" s="416" t="s">
        <v>30</v>
      </c>
      <c r="F685" s="417">
        <f t="shared" si="1436"/>
        <v>191.09209597741707</v>
      </c>
      <c r="G685" s="417">
        <f t="shared" si="1436"/>
        <v>0</v>
      </c>
      <c r="H685" s="417">
        <f t="shared" si="1436"/>
        <v>144.83870967741936</v>
      </c>
      <c r="I685" s="418">
        <f t="shared" si="1436"/>
        <v>140</v>
      </c>
      <c r="J685" s="419">
        <f t="shared" si="1436"/>
        <v>145</v>
      </c>
      <c r="K685" s="419">
        <f t="shared" si="1436"/>
        <v>0</v>
      </c>
      <c r="L685" s="419">
        <f t="shared" si="1436"/>
        <v>150</v>
      </c>
      <c r="M685" s="420">
        <f t="shared" si="1436"/>
        <v>0</v>
      </c>
      <c r="N685" s="417">
        <f t="shared" si="1436"/>
        <v>161.875</v>
      </c>
      <c r="O685" s="418">
        <f t="shared" si="1436"/>
        <v>168</v>
      </c>
      <c r="P685" s="419">
        <f t="shared" si="1436"/>
        <v>140</v>
      </c>
      <c r="Q685" s="419">
        <f t="shared" si="1436"/>
        <v>185</v>
      </c>
      <c r="R685" s="419">
        <f t="shared" si="1436"/>
        <v>0</v>
      </c>
      <c r="S685" s="420">
        <f t="shared" si="1436"/>
        <v>0</v>
      </c>
      <c r="T685" s="417">
        <f t="shared" si="1436"/>
        <v>200.58219942003123</v>
      </c>
      <c r="U685" s="418">
        <f t="shared" si="1436"/>
        <v>180</v>
      </c>
      <c r="V685" s="419">
        <f t="shared" si="1436"/>
        <v>201.31641366223909</v>
      </c>
      <c r="W685" s="419">
        <f t="shared" si="1436"/>
        <v>214.0998363338789</v>
      </c>
      <c r="X685" s="419">
        <f t="shared" si="1436"/>
        <v>185</v>
      </c>
      <c r="Y685" s="421">
        <f t="shared" si="1436"/>
        <v>190</v>
      </c>
      <c r="AA685" s="291"/>
      <c r="AB685" s="412"/>
      <c r="AC685" s="477"/>
      <c r="AD685" s="423" t="s">
        <v>30</v>
      </c>
      <c r="AE685" s="417">
        <f t="shared" si="1437"/>
        <v>0</v>
      </c>
      <c r="AF685" s="418">
        <f t="shared" si="1437"/>
        <v>0</v>
      </c>
      <c r="AG685" s="419">
        <f t="shared" si="1437"/>
        <v>0</v>
      </c>
      <c r="AH685" s="419">
        <f t="shared" si="1437"/>
        <v>0</v>
      </c>
      <c r="AI685" s="419">
        <f t="shared" si="1437"/>
        <v>0</v>
      </c>
      <c r="AJ685" s="419">
        <f t="shared" si="1437"/>
        <v>0</v>
      </c>
      <c r="AK685" s="419">
        <f t="shared" si="1437"/>
        <v>0</v>
      </c>
      <c r="AL685" s="419">
        <f t="shared" si="1437"/>
        <v>0</v>
      </c>
      <c r="AM685" s="419">
        <f t="shared" si="1437"/>
        <v>0</v>
      </c>
      <c r="AN685" s="419">
        <f t="shared" si="1437"/>
        <v>0</v>
      </c>
      <c r="AO685" s="419">
        <f t="shared" si="1437"/>
        <v>0</v>
      </c>
      <c r="AP685" s="419">
        <f t="shared" si="1437"/>
        <v>0</v>
      </c>
      <c r="AQ685" s="421">
        <f t="shared" si="1437"/>
        <v>0</v>
      </c>
    </row>
    <row r="686" spans="2:43" ht="7.8" customHeight="1" x14ac:dyDescent="0.25">
      <c r="B686" s="282"/>
      <c r="C686" s="404"/>
      <c r="D686" s="472" t="s">
        <v>44</v>
      </c>
      <c r="E686" s="425" t="s">
        <v>32</v>
      </c>
      <c r="F686" s="478" t="str">
        <f t="shared" ref="F686:Y688" si="1438">IFERROR((F680-F677)/ABS(F677),"")</f>
        <v/>
      </c>
      <c r="G686" s="478" t="str">
        <f t="shared" si="1438"/>
        <v/>
      </c>
      <c r="H686" s="478" t="str">
        <f t="shared" si="1438"/>
        <v/>
      </c>
      <c r="I686" s="479" t="str">
        <f t="shared" si="1438"/>
        <v/>
      </c>
      <c r="J686" s="480" t="str">
        <f t="shared" si="1438"/>
        <v/>
      </c>
      <c r="K686" s="480" t="str">
        <f t="shared" si="1438"/>
        <v/>
      </c>
      <c r="L686" s="480" t="str">
        <f t="shared" si="1438"/>
        <v/>
      </c>
      <c r="M686" s="481" t="str">
        <f t="shared" si="1438"/>
        <v/>
      </c>
      <c r="N686" s="478" t="str">
        <f t="shared" si="1438"/>
        <v/>
      </c>
      <c r="O686" s="479" t="str">
        <f t="shared" si="1438"/>
        <v/>
      </c>
      <c r="P686" s="480" t="str">
        <f t="shared" si="1438"/>
        <v/>
      </c>
      <c r="Q686" s="480" t="str">
        <f t="shared" si="1438"/>
        <v/>
      </c>
      <c r="R686" s="480" t="str">
        <f t="shared" si="1438"/>
        <v/>
      </c>
      <c r="S686" s="481" t="str">
        <f t="shared" si="1438"/>
        <v/>
      </c>
      <c r="T686" s="478" t="str">
        <f t="shared" si="1438"/>
        <v/>
      </c>
      <c r="U686" s="479" t="str">
        <f t="shared" si="1438"/>
        <v/>
      </c>
      <c r="V686" s="480" t="str">
        <f t="shared" si="1438"/>
        <v/>
      </c>
      <c r="W686" s="480" t="str">
        <f t="shared" si="1438"/>
        <v/>
      </c>
      <c r="X686" s="480" t="str">
        <f t="shared" si="1438"/>
        <v/>
      </c>
      <c r="Y686" s="482" t="str">
        <f t="shared" si="1438"/>
        <v/>
      </c>
      <c r="AA686" s="291"/>
      <c r="AB686" s="412"/>
      <c r="AC686" s="473" t="s">
        <v>44</v>
      </c>
      <c r="AD686" s="432" t="s">
        <v>32</v>
      </c>
      <c r="AE686" s="478" t="str">
        <f t="shared" ref="AE686:AQ688" si="1439">IFERROR((AE680-AE677)/ABS(AE677),"")</f>
        <v/>
      </c>
      <c r="AF686" s="479" t="str">
        <f t="shared" si="1439"/>
        <v/>
      </c>
      <c r="AG686" s="480" t="str">
        <f t="shared" si="1439"/>
        <v/>
      </c>
      <c r="AH686" s="480" t="str">
        <f t="shared" si="1439"/>
        <v/>
      </c>
      <c r="AI686" s="480" t="str">
        <f t="shared" si="1439"/>
        <v/>
      </c>
      <c r="AJ686" s="480" t="str">
        <f t="shared" si="1439"/>
        <v/>
      </c>
      <c r="AK686" s="480" t="str">
        <f t="shared" si="1439"/>
        <v/>
      </c>
      <c r="AL686" s="480" t="str">
        <f t="shared" si="1439"/>
        <v/>
      </c>
      <c r="AM686" s="480" t="str">
        <f t="shared" si="1439"/>
        <v/>
      </c>
      <c r="AN686" s="480" t="str">
        <f t="shared" si="1439"/>
        <v/>
      </c>
      <c r="AO686" s="480" t="str">
        <f t="shared" si="1439"/>
        <v/>
      </c>
      <c r="AP686" s="480" t="str">
        <f t="shared" si="1439"/>
        <v/>
      </c>
      <c r="AQ686" s="482" t="str">
        <f t="shared" si="1439"/>
        <v/>
      </c>
    </row>
    <row r="687" spans="2:43" ht="7.8" customHeight="1" x14ac:dyDescent="0.25">
      <c r="B687" s="282"/>
      <c r="C687" s="404"/>
      <c r="D687" s="405"/>
      <c r="E687" s="483" t="s">
        <v>33</v>
      </c>
      <c r="F687" s="484" t="str">
        <f t="shared" si="1438"/>
        <v/>
      </c>
      <c r="G687" s="484" t="str">
        <f t="shared" si="1438"/>
        <v/>
      </c>
      <c r="H687" s="484" t="str">
        <f t="shared" si="1438"/>
        <v/>
      </c>
      <c r="I687" s="485" t="str">
        <f t="shared" si="1438"/>
        <v/>
      </c>
      <c r="J687" s="486" t="str">
        <f t="shared" si="1438"/>
        <v/>
      </c>
      <c r="K687" s="486" t="str">
        <f t="shared" si="1438"/>
        <v/>
      </c>
      <c r="L687" s="486" t="str">
        <f t="shared" si="1438"/>
        <v/>
      </c>
      <c r="M687" s="487" t="str">
        <f t="shared" si="1438"/>
        <v/>
      </c>
      <c r="N687" s="484" t="str">
        <f t="shared" si="1438"/>
        <v/>
      </c>
      <c r="O687" s="485" t="str">
        <f t="shared" si="1438"/>
        <v/>
      </c>
      <c r="P687" s="486" t="str">
        <f t="shared" si="1438"/>
        <v/>
      </c>
      <c r="Q687" s="486" t="str">
        <f t="shared" si="1438"/>
        <v/>
      </c>
      <c r="R687" s="486" t="str">
        <f t="shared" si="1438"/>
        <v/>
      </c>
      <c r="S687" s="487" t="str">
        <f t="shared" si="1438"/>
        <v/>
      </c>
      <c r="T687" s="484" t="str">
        <f t="shared" si="1438"/>
        <v/>
      </c>
      <c r="U687" s="485" t="str">
        <f t="shared" si="1438"/>
        <v/>
      </c>
      <c r="V687" s="486" t="str">
        <f t="shared" si="1438"/>
        <v/>
      </c>
      <c r="W687" s="486" t="str">
        <f t="shared" si="1438"/>
        <v/>
      </c>
      <c r="X687" s="486" t="str">
        <f t="shared" si="1438"/>
        <v/>
      </c>
      <c r="Y687" s="488" t="str">
        <f t="shared" si="1438"/>
        <v/>
      </c>
      <c r="AA687" s="291"/>
      <c r="AB687" s="412"/>
      <c r="AC687" s="475"/>
      <c r="AD687" s="489" t="s">
        <v>33</v>
      </c>
      <c r="AE687" s="484" t="str">
        <f t="shared" si="1439"/>
        <v/>
      </c>
      <c r="AF687" s="485" t="str">
        <f t="shared" si="1439"/>
        <v/>
      </c>
      <c r="AG687" s="486" t="str">
        <f t="shared" si="1439"/>
        <v/>
      </c>
      <c r="AH687" s="486" t="str">
        <f t="shared" si="1439"/>
        <v/>
      </c>
      <c r="AI687" s="486" t="str">
        <f t="shared" si="1439"/>
        <v/>
      </c>
      <c r="AJ687" s="486" t="str">
        <f t="shared" si="1439"/>
        <v/>
      </c>
      <c r="AK687" s="486" t="str">
        <f t="shared" si="1439"/>
        <v/>
      </c>
      <c r="AL687" s="486" t="str">
        <f t="shared" si="1439"/>
        <v/>
      </c>
      <c r="AM687" s="486" t="str">
        <f t="shared" si="1439"/>
        <v/>
      </c>
      <c r="AN687" s="486" t="str">
        <f t="shared" si="1439"/>
        <v/>
      </c>
      <c r="AO687" s="486" t="str">
        <f t="shared" si="1439"/>
        <v/>
      </c>
      <c r="AP687" s="486" t="str">
        <f t="shared" si="1439"/>
        <v/>
      </c>
      <c r="AQ687" s="488" t="str">
        <f t="shared" si="1439"/>
        <v/>
      </c>
    </row>
    <row r="688" spans="2:43" ht="7.8" customHeight="1" x14ac:dyDescent="0.25">
      <c r="B688" s="282"/>
      <c r="C688" s="490"/>
      <c r="D688" s="405"/>
      <c r="E688" s="483" t="s">
        <v>30</v>
      </c>
      <c r="F688" s="484" t="str">
        <f t="shared" si="1438"/>
        <v/>
      </c>
      <c r="G688" s="484" t="str">
        <f t="shared" si="1438"/>
        <v/>
      </c>
      <c r="H688" s="484" t="str">
        <f t="shared" si="1438"/>
        <v/>
      </c>
      <c r="I688" s="485" t="str">
        <f t="shared" si="1438"/>
        <v/>
      </c>
      <c r="J688" s="486" t="str">
        <f t="shared" si="1438"/>
        <v/>
      </c>
      <c r="K688" s="486" t="str">
        <f t="shared" si="1438"/>
        <v/>
      </c>
      <c r="L688" s="486" t="str">
        <f t="shared" si="1438"/>
        <v/>
      </c>
      <c r="M688" s="487" t="str">
        <f t="shared" si="1438"/>
        <v/>
      </c>
      <c r="N688" s="484" t="str">
        <f t="shared" si="1438"/>
        <v/>
      </c>
      <c r="O688" s="485" t="str">
        <f t="shared" si="1438"/>
        <v/>
      </c>
      <c r="P688" s="486" t="str">
        <f t="shared" si="1438"/>
        <v/>
      </c>
      <c r="Q688" s="486" t="str">
        <f t="shared" si="1438"/>
        <v/>
      </c>
      <c r="R688" s="486" t="str">
        <f t="shared" si="1438"/>
        <v/>
      </c>
      <c r="S688" s="487" t="str">
        <f t="shared" si="1438"/>
        <v/>
      </c>
      <c r="T688" s="484" t="str">
        <f t="shared" si="1438"/>
        <v/>
      </c>
      <c r="U688" s="485" t="str">
        <f t="shared" si="1438"/>
        <v/>
      </c>
      <c r="V688" s="486" t="str">
        <f t="shared" si="1438"/>
        <v/>
      </c>
      <c r="W688" s="486" t="str">
        <f t="shared" si="1438"/>
        <v/>
      </c>
      <c r="X688" s="486" t="str">
        <f t="shared" si="1438"/>
        <v/>
      </c>
      <c r="Y688" s="488" t="str">
        <f t="shared" si="1438"/>
        <v/>
      </c>
      <c r="AA688" s="291"/>
      <c r="AB688" s="412"/>
      <c r="AC688" s="475"/>
      <c r="AD688" s="489" t="s">
        <v>30</v>
      </c>
      <c r="AE688" s="484" t="str">
        <f t="shared" si="1439"/>
        <v/>
      </c>
      <c r="AF688" s="485" t="str">
        <f t="shared" si="1439"/>
        <v/>
      </c>
      <c r="AG688" s="486" t="str">
        <f t="shared" si="1439"/>
        <v/>
      </c>
      <c r="AH688" s="486" t="str">
        <f t="shared" si="1439"/>
        <v/>
      </c>
      <c r="AI688" s="486" t="str">
        <f t="shared" si="1439"/>
        <v/>
      </c>
      <c r="AJ688" s="486" t="str">
        <f t="shared" si="1439"/>
        <v/>
      </c>
      <c r="AK688" s="486" t="str">
        <f t="shared" si="1439"/>
        <v/>
      </c>
      <c r="AL688" s="486" t="str">
        <f t="shared" si="1439"/>
        <v/>
      </c>
      <c r="AM688" s="486" t="str">
        <f t="shared" si="1439"/>
        <v/>
      </c>
      <c r="AN688" s="486" t="str">
        <f t="shared" si="1439"/>
        <v/>
      </c>
      <c r="AO688" s="486" t="str">
        <f t="shared" si="1439"/>
        <v/>
      </c>
      <c r="AP688" s="486" t="str">
        <f t="shared" si="1439"/>
        <v/>
      </c>
      <c r="AQ688" s="488" t="str">
        <f t="shared" si="1439"/>
        <v/>
      </c>
    </row>
    <row r="689" spans="2:43" ht="7.8" customHeight="1" x14ac:dyDescent="0.25">
      <c r="B689" s="282"/>
      <c r="C689" s="491" t="s">
        <v>49</v>
      </c>
      <c r="D689" s="492" t="s">
        <v>39</v>
      </c>
      <c r="E689" s="493" t="s">
        <v>32</v>
      </c>
      <c r="F689" s="494">
        <f t="shared" ref="F689:F690" si="1440">SUM(G689,H689,N689,T689)</f>
        <v>0</v>
      </c>
      <c r="G689" s="494"/>
      <c r="H689" s="494">
        <f t="shared" ref="H689:H690" si="1441">SUM(I689:M689)</f>
        <v>0</v>
      </c>
      <c r="I689" s="495"/>
      <c r="J689" s="496"/>
      <c r="K689" s="496"/>
      <c r="L689" s="496"/>
      <c r="M689" s="497"/>
      <c r="N689" s="494">
        <f t="shared" ref="N689:N690" si="1442">SUM(O689:S689)</f>
        <v>0</v>
      </c>
      <c r="O689" s="495"/>
      <c r="P689" s="496"/>
      <c r="Q689" s="496"/>
      <c r="R689" s="496"/>
      <c r="S689" s="497"/>
      <c r="T689" s="494">
        <f t="shared" ref="T689:T690" si="1443">SUM(U689:Y689)</f>
        <v>0</v>
      </c>
      <c r="U689" s="495"/>
      <c r="V689" s="496"/>
      <c r="W689" s="496"/>
      <c r="X689" s="496"/>
      <c r="Y689" s="498"/>
      <c r="AA689" s="291"/>
      <c r="AB689" s="499" t="s">
        <v>49</v>
      </c>
      <c r="AC689" s="500" t="s">
        <v>39</v>
      </c>
      <c r="AD689" s="501" t="s">
        <v>32</v>
      </c>
      <c r="AE689" s="494">
        <f t="shared" ref="AE689:AE690" si="1444">SUM(AF689:AQ689)</f>
        <v>0</v>
      </c>
      <c r="AF689" s="495">
        <f>$R$95</f>
        <v>0</v>
      </c>
      <c r="AG689" s="496">
        <f>$R$149</f>
        <v>0</v>
      </c>
      <c r="AH689" s="496">
        <f>$R$203</f>
        <v>0</v>
      </c>
      <c r="AI689" s="496">
        <f>$R$257</f>
        <v>0</v>
      </c>
      <c r="AJ689" s="496">
        <f>$R$311</f>
        <v>0</v>
      </c>
      <c r="AK689" s="496">
        <f>$R$365</f>
        <v>0</v>
      </c>
      <c r="AL689" s="496">
        <f>$R$419</f>
        <v>0</v>
      </c>
      <c r="AM689" s="496">
        <f>$R$473</f>
        <v>0</v>
      </c>
      <c r="AN689" s="496">
        <f>$R$527</f>
        <v>0</v>
      </c>
      <c r="AO689" s="496">
        <f>$R$581</f>
        <v>0</v>
      </c>
      <c r="AP689" s="496">
        <f>$R$635</f>
        <v>0</v>
      </c>
      <c r="AQ689" s="498">
        <f>$R$689</f>
        <v>0</v>
      </c>
    </row>
    <row r="690" spans="2:43" s="41" customFormat="1" ht="7.8" customHeight="1" x14ac:dyDescent="0.25">
      <c r="B690" s="282"/>
      <c r="C690" s="404"/>
      <c r="D690" s="405"/>
      <c r="E690" s="406" t="s">
        <v>33</v>
      </c>
      <c r="F690" s="407">
        <f t="shared" si="1440"/>
        <v>0</v>
      </c>
      <c r="G690" s="407"/>
      <c r="H690" s="407">
        <f t="shared" si="1441"/>
        <v>0</v>
      </c>
      <c r="I690" s="408"/>
      <c r="J690" s="409"/>
      <c r="K690" s="409"/>
      <c r="L690" s="409"/>
      <c r="M690" s="410"/>
      <c r="N690" s="407">
        <f t="shared" si="1442"/>
        <v>0</v>
      </c>
      <c r="O690" s="408"/>
      <c r="P690" s="409"/>
      <c r="Q690" s="409"/>
      <c r="R690" s="409"/>
      <c r="S690" s="410"/>
      <c r="T690" s="407">
        <f t="shared" si="1443"/>
        <v>0</v>
      </c>
      <c r="U690" s="408"/>
      <c r="V690" s="409"/>
      <c r="W690" s="409"/>
      <c r="X690" s="409"/>
      <c r="Y690" s="411"/>
      <c r="AA690" s="291"/>
      <c r="AB690" s="412"/>
      <c r="AC690" s="413"/>
      <c r="AD690" s="414" t="s">
        <v>33</v>
      </c>
      <c r="AE690" s="407">
        <f t="shared" si="1444"/>
        <v>0</v>
      </c>
      <c r="AF690" s="408">
        <f>$R$96</f>
        <v>0</v>
      </c>
      <c r="AG690" s="409">
        <f>$R$150</f>
        <v>0</v>
      </c>
      <c r="AH690" s="409">
        <f>$R$204</f>
        <v>0</v>
      </c>
      <c r="AI690" s="409">
        <f>$R$258</f>
        <v>0</v>
      </c>
      <c r="AJ690" s="409">
        <f>$R$312</f>
        <v>0</v>
      </c>
      <c r="AK690" s="409">
        <f>$R$366</f>
        <v>0</v>
      </c>
      <c r="AL690" s="409">
        <f>$R$420</f>
        <v>0</v>
      </c>
      <c r="AM690" s="409">
        <f>$R$474</f>
        <v>0</v>
      </c>
      <c r="AN690" s="409">
        <f>$R$528</f>
        <v>0</v>
      </c>
      <c r="AO690" s="409">
        <f>$R$582</f>
        <v>0</v>
      </c>
      <c r="AP690" s="409">
        <f>$R$636</f>
        <v>0</v>
      </c>
      <c r="AQ690" s="411">
        <f>$R$690</f>
        <v>0</v>
      </c>
    </row>
    <row r="691" spans="2:43" ht="7.8" customHeight="1" x14ac:dyDescent="0.25">
      <c r="B691" s="282"/>
      <c r="C691" s="404"/>
      <c r="D691" s="415"/>
      <c r="E691" s="416" t="s">
        <v>30</v>
      </c>
      <c r="F691" s="417">
        <f t="shared" si="1340"/>
        <v>0</v>
      </c>
      <c r="G691" s="417">
        <f t="shared" si="1340"/>
        <v>0</v>
      </c>
      <c r="H691" s="417">
        <f t="shared" si="1340"/>
        <v>0</v>
      </c>
      <c r="I691" s="418">
        <f t="shared" si="1340"/>
        <v>0</v>
      </c>
      <c r="J691" s="419">
        <f t="shared" si="1340"/>
        <v>0</v>
      </c>
      <c r="K691" s="419">
        <f t="shared" si="1340"/>
        <v>0</v>
      </c>
      <c r="L691" s="419">
        <f t="shared" si="1340"/>
        <v>0</v>
      </c>
      <c r="M691" s="420">
        <f t="shared" si="1340"/>
        <v>0</v>
      </c>
      <c r="N691" s="417">
        <f t="shared" si="1340"/>
        <v>0</v>
      </c>
      <c r="O691" s="418">
        <f t="shared" si="1340"/>
        <v>0</v>
      </c>
      <c r="P691" s="419">
        <f t="shared" si="1340"/>
        <v>0</v>
      </c>
      <c r="Q691" s="419">
        <f t="shared" si="1340"/>
        <v>0</v>
      </c>
      <c r="R691" s="419">
        <f t="shared" si="1340"/>
        <v>0</v>
      </c>
      <c r="S691" s="420">
        <f t="shared" si="1340"/>
        <v>0</v>
      </c>
      <c r="T691" s="417">
        <f t="shared" si="1340"/>
        <v>0</v>
      </c>
      <c r="U691" s="418">
        <f t="shared" si="1340"/>
        <v>0</v>
      </c>
      <c r="V691" s="419">
        <f t="shared" si="1340"/>
        <v>0</v>
      </c>
      <c r="W691" s="419">
        <f t="shared" si="1340"/>
        <v>0</v>
      </c>
      <c r="X691" s="419">
        <f t="shared" si="1340"/>
        <v>0</v>
      </c>
      <c r="Y691" s="421">
        <f t="shared" si="1340"/>
        <v>0</v>
      </c>
      <c r="AA691" s="291"/>
      <c r="AB691" s="412"/>
      <c r="AC691" s="422"/>
      <c r="AD691" s="423" t="s">
        <v>30</v>
      </c>
      <c r="AE691" s="417">
        <f t="shared" ref="AE691:AQ691" si="1445">IFERROR(AE690/AE689,0)</f>
        <v>0</v>
      </c>
      <c r="AF691" s="418">
        <f t="shared" si="1445"/>
        <v>0</v>
      </c>
      <c r="AG691" s="419">
        <f t="shared" si="1445"/>
        <v>0</v>
      </c>
      <c r="AH691" s="419">
        <f t="shared" si="1445"/>
        <v>0</v>
      </c>
      <c r="AI691" s="419">
        <f t="shared" si="1445"/>
        <v>0</v>
      </c>
      <c r="AJ691" s="419">
        <f t="shared" si="1445"/>
        <v>0</v>
      </c>
      <c r="AK691" s="419">
        <f t="shared" si="1445"/>
        <v>0</v>
      </c>
      <c r="AL691" s="419">
        <f t="shared" si="1445"/>
        <v>0</v>
      </c>
      <c r="AM691" s="419">
        <f t="shared" si="1445"/>
        <v>0</v>
      </c>
      <c r="AN691" s="419">
        <f t="shared" si="1445"/>
        <v>0</v>
      </c>
      <c r="AO691" s="419">
        <f t="shared" si="1445"/>
        <v>0</v>
      </c>
      <c r="AP691" s="419">
        <f t="shared" si="1445"/>
        <v>0</v>
      </c>
      <c r="AQ691" s="421">
        <f t="shared" si="1445"/>
        <v>0</v>
      </c>
    </row>
    <row r="692" spans="2:43" ht="7.8" customHeight="1" x14ac:dyDescent="0.25">
      <c r="B692" s="282"/>
      <c r="C692" s="404"/>
      <c r="D692" s="424" t="s">
        <v>40</v>
      </c>
      <c r="E692" s="425" t="s">
        <v>32</v>
      </c>
      <c r="F692" s="426">
        <f t="shared" ref="F692:F693" si="1446">SUM(G692,H692,N692,T692)</f>
        <v>2107</v>
      </c>
      <c r="G692" s="426">
        <v>248</v>
      </c>
      <c r="H692" s="426">
        <f t="shared" ref="H692:H693" si="1447">SUM(I692:M692)</f>
        <v>66</v>
      </c>
      <c r="I692" s="427">
        <v>0</v>
      </c>
      <c r="J692" s="428">
        <v>34</v>
      </c>
      <c r="K692" s="428">
        <v>32</v>
      </c>
      <c r="L692" s="428">
        <v>0</v>
      </c>
      <c r="M692" s="429">
        <v>0</v>
      </c>
      <c r="N692" s="426">
        <f t="shared" ref="N692:N693" si="1448">SUM(O692:S692)</f>
        <v>305</v>
      </c>
      <c r="O692" s="427">
        <v>179</v>
      </c>
      <c r="P692" s="428">
        <v>67</v>
      </c>
      <c r="Q692" s="428">
        <v>59</v>
      </c>
      <c r="R692" s="428">
        <v>0</v>
      </c>
      <c r="S692" s="429">
        <v>0</v>
      </c>
      <c r="T692" s="426">
        <f t="shared" ref="T692:T693" si="1449">SUM(U692:Y692)</f>
        <v>1488</v>
      </c>
      <c r="U692" s="427">
        <v>118</v>
      </c>
      <c r="V692" s="428">
        <v>785</v>
      </c>
      <c r="W692" s="428">
        <v>409</v>
      </c>
      <c r="X692" s="428">
        <v>110</v>
      </c>
      <c r="Y692" s="430">
        <v>66</v>
      </c>
      <c r="AA692" s="291"/>
      <c r="AB692" s="412"/>
      <c r="AC692" s="431" t="s">
        <v>40</v>
      </c>
      <c r="AD692" s="432" t="s">
        <v>32</v>
      </c>
      <c r="AE692" s="426">
        <f t="shared" ref="AE692:AE693" si="1450">SUM(AF692:AQ692)</f>
        <v>0</v>
      </c>
      <c r="AF692" s="427">
        <f>$R$98</f>
        <v>0</v>
      </c>
      <c r="AG692" s="428">
        <f>$R$152</f>
        <v>0</v>
      </c>
      <c r="AH692" s="428">
        <f>$R$206</f>
        <v>0</v>
      </c>
      <c r="AI692" s="428">
        <f>$R$260</f>
        <v>0</v>
      </c>
      <c r="AJ692" s="428">
        <f>$R$314</f>
        <v>0</v>
      </c>
      <c r="AK692" s="428">
        <f>$R$368</f>
        <v>0</v>
      </c>
      <c r="AL692" s="428">
        <f>$R$422</f>
        <v>0</v>
      </c>
      <c r="AM692" s="428">
        <f>$R$476</f>
        <v>0</v>
      </c>
      <c r="AN692" s="428">
        <f>$R$530</f>
        <v>0</v>
      </c>
      <c r="AO692" s="428">
        <f>$R$584</f>
        <v>0</v>
      </c>
      <c r="AP692" s="428">
        <f>$R$638</f>
        <v>0</v>
      </c>
      <c r="AQ692" s="430">
        <f>$R$692</f>
        <v>0</v>
      </c>
    </row>
    <row r="693" spans="2:43" s="41" customFormat="1" ht="7.8" customHeight="1" x14ac:dyDescent="0.25">
      <c r="B693" s="282"/>
      <c r="C693" s="404"/>
      <c r="D693" s="405"/>
      <c r="E693" s="406" t="s">
        <v>33</v>
      </c>
      <c r="F693" s="407">
        <f t="shared" si="1446"/>
        <v>367308.04000000004</v>
      </c>
      <c r="G693" s="407">
        <v>38733</v>
      </c>
      <c r="H693" s="407">
        <f t="shared" si="1447"/>
        <v>10640</v>
      </c>
      <c r="I693" s="408">
        <v>0</v>
      </c>
      <c r="J693" s="409">
        <v>5600</v>
      </c>
      <c r="K693" s="409">
        <v>5040</v>
      </c>
      <c r="L693" s="409">
        <v>0</v>
      </c>
      <c r="M693" s="410">
        <v>0</v>
      </c>
      <c r="N693" s="407">
        <f t="shared" si="1448"/>
        <v>50700</v>
      </c>
      <c r="O693" s="408">
        <v>30135</v>
      </c>
      <c r="P693" s="409">
        <v>10200</v>
      </c>
      <c r="Q693" s="409">
        <v>10365</v>
      </c>
      <c r="R693" s="409">
        <v>0</v>
      </c>
      <c r="S693" s="410">
        <v>0</v>
      </c>
      <c r="T693" s="407">
        <f t="shared" si="1449"/>
        <v>267235.04000000004</v>
      </c>
      <c r="U693" s="408">
        <v>30026.6</v>
      </c>
      <c r="V693" s="409">
        <v>130958.56</v>
      </c>
      <c r="W693" s="409">
        <v>77968.88</v>
      </c>
      <c r="X693" s="409">
        <v>16967</v>
      </c>
      <c r="Y693" s="411">
        <v>11314</v>
      </c>
      <c r="AA693" s="291"/>
      <c r="AB693" s="412"/>
      <c r="AC693" s="413"/>
      <c r="AD693" s="414" t="s">
        <v>33</v>
      </c>
      <c r="AE693" s="407">
        <f t="shared" si="1450"/>
        <v>0</v>
      </c>
      <c r="AF693" s="408">
        <f>$R$99</f>
        <v>0</v>
      </c>
      <c r="AG693" s="409">
        <f>$R$153</f>
        <v>0</v>
      </c>
      <c r="AH693" s="409">
        <f>$R$207</f>
        <v>0</v>
      </c>
      <c r="AI693" s="409">
        <f>$R$261</f>
        <v>0</v>
      </c>
      <c r="AJ693" s="409">
        <f>$R$315</f>
        <v>0</v>
      </c>
      <c r="AK693" s="409">
        <f>$R$369</f>
        <v>0</v>
      </c>
      <c r="AL693" s="409">
        <f>$R$423</f>
        <v>0</v>
      </c>
      <c r="AM693" s="409">
        <f>$R$477</f>
        <v>0</v>
      </c>
      <c r="AN693" s="409">
        <f>$R$531</f>
        <v>0</v>
      </c>
      <c r="AO693" s="409">
        <f>$R$585</f>
        <v>0</v>
      </c>
      <c r="AP693" s="409">
        <f>$R$639</f>
        <v>0</v>
      </c>
      <c r="AQ693" s="411">
        <f>$R$693</f>
        <v>0</v>
      </c>
    </row>
    <row r="694" spans="2:43" ht="7.8" customHeight="1" x14ac:dyDescent="0.25">
      <c r="B694" s="282"/>
      <c r="C694" s="404"/>
      <c r="D694" s="415"/>
      <c r="E694" s="416" t="s">
        <v>30</v>
      </c>
      <c r="F694" s="417">
        <f t="shared" si="1347"/>
        <v>174.32749881347891</v>
      </c>
      <c r="G694" s="417">
        <f t="shared" si="1347"/>
        <v>156.18145161290323</v>
      </c>
      <c r="H694" s="417">
        <f t="shared" si="1347"/>
        <v>161.21212121212122</v>
      </c>
      <c r="I694" s="418">
        <f t="shared" si="1347"/>
        <v>0</v>
      </c>
      <c r="J694" s="419">
        <f t="shared" si="1347"/>
        <v>164.70588235294119</v>
      </c>
      <c r="K694" s="419">
        <f t="shared" si="1347"/>
        <v>157.5</v>
      </c>
      <c r="L694" s="419">
        <f t="shared" si="1347"/>
        <v>0</v>
      </c>
      <c r="M694" s="420">
        <f t="shared" si="1347"/>
        <v>0</v>
      </c>
      <c r="N694" s="417">
        <f t="shared" si="1347"/>
        <v>166.2295081967213</v>
      </c>
      <c r="O694" s="418">
        <f t="shared" si="1347"/>
        <v>168.35195530726256</v>
      </c>
      <c r="P694" s="419">
        <f t="shared" si="1347"/>
        <v>152.23880597014926</v>
      </c>
      <c r="Q694" s="419">
        <f t="shared" si="1347"/>
        <v>175.67796610169492</v>
      </c>
      <c r="R694" s="419">
        <f t="shared" si="1347"/>
        <v>0</v>
      </c>
      <c r="S694" s="420">
        <f t="shared" si="1347"/>
        <v>0</v>
      </c>
      <c r="T694" s="417">
        <f t="shared" si="1347"/>
        <v>179.59344086021508</v>
      </c>
      <c r="U694" s="418">
        <f t="shared" si="1347"/>
        <v>254.46271186440677</v>
      </c>
      <c r="V694" s="419">
        <f t="shared" si="1347"/>
        <v>166.82619108280255</v>
      </c>
      <c r="W694" s="419">
        <f t="shared" si="1347"/>
        <v>190.63295843520783</v>
      </c>
      <c r="X694" s="419">
        <f t="shared" si="1347"/>
        <v>154.24545454545455</v>
      </c>
      <c r="Y694" s="421">
        <f t="shared" si="1347"/>
        <v>171.42424242424244</v>
      </c>
      <c r="AA694" s="291"/>
      <c r="AB694" s="412"/>
      <c r="AC694" s="422"/>
      <c r="AD694" s="423" t="s">
        <v>30</v>
      </c>
      <c r="AE694" s="417">
        <f t="shared" ref="AE694:AQ694" si="1451">IFERROR(AE693/AE692,0)</f>
        <v>0</v>
      </c>
      <c r="AF694" s="418">
        <f t="shared" si="1451"/>
        <v>0</v>
      </c>
      <c r="AG694" s="419">
        <f t="shared" si="1451"/>
        <v>0</v>
      </c>
      <c r="AH694" s="419">
        <f t="shared" si="1451"/>
        <v>0</v>
      </c>
      <c r="AI694" s="419">
        <f t="shared" si="1451"/>
        <v>0</v>
      </c>
      <c r="AJ694" s="419">
        <f t="shared" si="1451"/>
        <v>0</v>
      </c>
      <c r="AK694" s="419">
        <f t="shared" si="1451"/>
        <v>0</v>
      </c>
      <c r="AL694" s="419">
        <f t="shared" si="1451"/>
        <v>0</v>
      </c>
      <c r="AM694" s="419">
        <f t="shared" si="1451"/>
        <v>0</v>
      </c>
      <c r="AN694" s="419">
        <f t="shared" si="1451"/>
        <v>0</v>
      </c>
      <c r="AO694" s="419">
        <f t="shared" si="1451"/>
        <v>0</v>
      </c>
      <c r="AP694" s="419">
        <f t="shared" si="1451"/>
        <v>0</v>
      </c>
      <c r="AQ694" s="421">
        <f t="shared" si="1451"/>
        <v>0</v>
      </c>
    </row>
    <row r="695" spans="2:43" ht="7.8" customHeight="1" x14ac:dyDescent="0.25">
      <c r="B695" s="282"/>
      <c r="C695" s="404"/>
      <c r="D695" s="424" t="s">
        <v>41</v>
      </c>
      <c r="E695" s="425" t="s">
        <v>32</v>
      </c>
      <c r="F695" s="426">
        <f t="shared" ref="F695:F696" si="1452">SUM(G695,H695,N695,T695)</f>
        <v>0</v>
      </c>
      <c r="G695" s="426"/>
      <c r="H695" s="426">
        <f t="shared" ref="H695:H696" si="1453">SUM(I695:M695)</f>
        <v>0</v>
      </c>
      <c r="I695" s="427"/>
      <c r="J695" s="428"/>
      <c r="K695" s="428"/>
      <c r="L695" s="428"/>
      <c r="M695" s="429"/>
      <c r="N695" s="426">
        <f t="shared" ref="N695:N696" si="1454">SUM(O695:S695)</f>
        <v>0</v>
      </c>
      <c r="O695" s="427"/>
      <c r="P695" s="428"/>
      <c r="Q695" s="428"/>
      <c r="R695" s="428"/>
      <c r="S695" s="429"/>
      <c r="T695" s="426">
        <f t="shared" ref="T695:T696" si="1455">SUM(U695:Y695)</f>
        <v>0</v>
      </c>
      <c r="U695" s="427"/>
      <c r="V695" s="428"/>
      <c r="W695" s="428"/>
      <c r="X695" s="428"/>
      <c r="Y695" s="430"/>
      <c r="AA695" s="291"/>
      <c r="AB695" s="412"/>
      <c r="AC695" s="431" t="s">
        <v>41</v>
      </c>
      <c r="AD695" s="432" t="s">
        <v>32</v>
      </c>
      <c r="AE695" s="426">
        <f t="shared" ref="AE695:AE696" si="1456">SUM(AF695:AQ695)</f>
        <v>0</v>
      </c>
      <c r="AF695" s="427">
        <f>$R$101</f>
        <v>0</v>
      </c>
      <c r="AG695" s="428">
        <f>$R$155</f>
        <v>0</v>
      </c>
      <c r="AH695" s="428">
        <f>$R$209</f>
        <v>0</v>
      </c>
      <c r="AI695" s="428">
        <f>$R$263</f>
        <v>0</v>
      </c>
      <c r="AJ695" s="428">
        <f>$R$317</f>
        <v>0</v>
      </c>
      <c r="AK695" s="428">
        <f>$R$371</f>
        <v>0</v>
      </c>
      <c r="AL695" s="428">
        <f>$R$425</f>
        <v>0</v>
      </c>
      <c r="AM695" s="428">
        <f>$R$479</f>
        <v>0</v>
      </c>
      <c r="AN695" s="428">
        <f>$R$533</f>
        <v>0</v>
      </c>
      <c r="AO695" s="428">
        <f>$R$587</f>
        <v>0</v>
      </c>
      <c r="AP695" s="428">
        <f>$R$641</f>
        <v>0</v>
      </c>
      <c r="AQ695" s="430">
        <f>$R$695</f>
        <v>0</v>
      </c>
    </row>
    <row r="696" spans="2:43" s="41" customFormat="1" ht="7.8" customHeight="1" x14ac:dyDescent="0.25">
      <c r="B696" s="282"/>
      <c r="C696" s="404"/>
      <c r="D696" s="405"/>
      <c r="E696" s="406" t="s">
        <v>33</v>
      </c>
      <c r="F696" s="407">
        <f t="shared" si="1452"/>
        <v>0</v>
      </c>
      <c r="G696" s="407"/>
      <c r="H696" s="407">
        <f t="shared" si="1453"/>
        <v>0</v>
      </c>
      <c r="I696" s="408"/>
      <c r="J696" s="409"/>
      <c r="K696" s="409"/>
      <c r="L696" s="409"/>
      <c r="M696" s="410"/>
      <c r="N696" s="407">
        <f t="shared" si="1454"/>
        <v>0</v>
      </c>
      <c r="O696" s="408"/>
      <c r="P696" s="409"/>
      <c r="Q696" s="409"/>
      <c r="R696" s="409"/>
      <c r="S696" s="410"/>
      <c r="T696" s="407">
        <f t="shared" si="1455"/>
        <v>0</v>
      </c>
      <c r="U696" s="408"/>
      <c r="V696" s="409"/>
      <c r="W696" s="409"/>
      <c r="X696" s="409"/>
      <c r="Y696" s="411"/>
      <c r="AA696" s="291"/>
      <c r="AB696" s="412"/>
      <c r="AC696" s="413"/>
      <c r="AD696" s="414" t="s">
        <v>33</v>
      </c>
      <c r="AE696" s="407">
        <f t="shared" si="1456"/>
        <v>0</v>
      </c>
      <c r="AF696" s="408">
        <f>$R$102</f>
        <v>0</v>
      </c>
      <c r="AG696" s="409">
        <f>$R$156</f>
        <v>0</v>
      </c>
      <c r="AH696" s="409">
        <f>$R$210</f>
        <v>0</v>
      </c>
      <c r="AI696" s="409">
        <f>$R$264</f>
        <v>0</v>
      </c>
      <c r="AJ696" s="409">
        <f>$R$318</f>
        <v>0</v>
      </c>
      <c r="AK696" s="409">
        <f>$R$372</f>
        <v>0</v>
      </c>
      <c r="AL696" s="409">
        <f>$R$426</f>
        <v>0</v>
      </c>
      <c r="AM696" s="409">
        <f>$R$480</f>
        <v>0</v>
      </c>
      <c r="AN696" s="409">
        <f>$R$534</f>
        <v>0</v>
      </c>
      <c r="AO696" s="409">
        <f>$R$588</f>
        <v>0</v>
      </c>
      <c r="AP696" s="409">
        <f>$R$642</f>
        <v>0</v>
      </c>
      <c r="AQ696" s="411">
        <f>$R$696</f>
        <v>0</v>
      </c>
    </row>
    <row r="697" spans="2:43" ht="7.8" customHeight="1" x14ac:dyDescent="0.25">
      <c r="B697" s="282"/>
      <c r="C697" s="404"/>
      <c r="D697" s="415"/>
      <c r="E697" s="416" t="s">
        <v>30</v>
      </c>
      <c r="F697" s="417">
        <f t="shared" si="1354"/>
        <v>0</v>
      </c>
      <c r="G697" s="417">
        <f t="shared" si="1354"/>
        <v>0</v>
      </c>
      <c r="H697" s="417">
        <f t="shared" si="1354"/>
        <v>0</v>
      </c>
      <c r="I697" s="418">
        <f t="shared" si="1354"/>
        <v>0</v>
      </c>
      <c r="J697" s="419">
        <f t="shared" si="1354"/>
        <v>0</v>
      </c>
      <c r="K697" s="419">
        <f t="shared" si="1354"/>
        <v>0</v>
      </c>
      <c r="L697" s="419">
        <f t="shared" si="1354"/>
        <v>0</v>
      </c>
      <c r="M697" s="420">
        <f t="shared" si="1354"/>
        <v>0</v>
      </c>
      <c r="N697" s="417">
        <f t="shared" si="1354"/>
        <v>0</v>
      </c>
      <c r="O697" s="418">
        <f t="shared" si="1354"/>
        <v>0</v>
      </c>
      <c r="P697" s="419">
        <f t="shared" si="1354"/>
        <v>0</v>
      </c>
      <c r="Q697" s="419">
        <f t="shared" si="1354"/>
        <v>0</v>
      </c>
      <c r="R697" s="419">
        <f t="shared" si="1354"/>
        <v>0</v>
      </c>
      <c r="S697" s="420">
        <f t="shared" si="1354"/>
        <v>0</v>
      </c>
      <c r="T697" s="417">
        <f t="shared" si="1354"/>
        <v>0</v>
      </c>
      <c r="U697" s="418">
        <f t="shared" si="1354"/>
        <v>0</v>
      </c>
      <c r="V697" s="419">
        <f t="shared" si="1354"/>
        <v>0</v>
      </c>
      <c r="W697" s="419">
        <f t="shared" si="1354"/>
        <v>0</v>
      </c>
      <c r="X697" s="419">
        <f t="shared" si="1354"/>
        <v>0</v>
      </c>
      <c r="Y697" s="421">
        <f t="shared" si="1354"/>
        <v>0</v>
      </c>
      <c r="AA697" s="291"/>
      <c r="AB697" s="412"/>
      <c r="AC697" s="422"/>
      <c r="AD697" s="423" t="s">
        <v>30</v>
      </c>
      <c r="AE697" s="417">
        <f t="shared" ref="AE697:AQ697" si="1457">IFERROR(AE696/AE695,0)</f>
        <v>0</v>
      </c>
      <c r="AF697" s="418">
        <f t="shared" si="1457"/>
        <v>0</v>
      </c>
      <c r="AG697" s="419">
        <f t="shared" si="1457"/>
        <v>0</v>
      </c>
      <c r="AH697" s="419">
        <f t="shared" si="1457"/>
        <v>0</v>
      </c>
      <c r="AI697" s="419">
        <f t="shared" si="1457"/>
        <v>0</v>
      </c>
      <c r="AJ697" s="419">
        <f t="shared" si="1457"/>
        <v>0</v>
      </c>
      <c r="AK697" s="419">
        <f t="shared" si="1457"/>
        <v>0</v>
      </c>
      <c r="AL697" s="419">
        <f t="shared" si="1457"/>
        <v>0</v>
      </c>
      <c r="AM697" s="419">
        <f t="shared" si="1457"/>
        <v>0</v>
      </c>
      <c r="AN697" s="419">
        <f t="shared" si="1457"/>
        <v>0</v>
      </c>
      <c r="AO697" s="419">
        <f t="shared" si="1457"/>
        <v>0</v>
      </c>
      <c r="AP697" s="419">
        <f t="shared" si="1457"/>
        <v>0</v>
      </c>
      <c r="AQ697" s="421">
        <f t="shared" si="1457"/>
        <v>0</v>
      </c>
    </row>
    <row r="698" spans="2:43" ht="7.8" customHeight="1" x14ac:dyDescent="0.25">
      <c r="B698" s="282"/>
      <c r="C698" s="404"/>
      <c r="D698" s="433" t="s">
        <v>42</v>
      </c>
      <c r="E698" s="434" t="s">
        <v>32</v>
      </c>
      <c r="F698" s="435">
        <f t="shared" ref="F698:F699" si="1458">SUM(G698,H698,N698,T698)</f>
        <v>1778</v>
      </c>
      <c r="G698" s="435">
        <v>0</v>
      </c>
      <c r="H698" s="435">
        <v>140</v>
      </c>
      <c r="I698" s="436">
        <v>15</v>
      </c>
      <c r="J698" s="437">
        <v>110</v>
      </c>
      <c r="K698" s="437">
        <v>0</v>
      </c>
      <c r="L698" s="437">
        <v>15</v>
      </c>
      <c r="M698" s="438">
        <v>0</v>
      </c>
      <c r="N698" s="435">
        <f t="shared" ref="N698:N699" si="1459">SUM(O698:S698)</f>
        <v>255</v>
      </c>
      <c r="O698" s="436">
        <v>150</v>
      </c>
      <c r="P698" s="437">
        <v>75</v>
      </c>
      <c r="Q698" s="437">
        <v>30</v>
      </c>
      <c r="R698" s="437">
        <v>0</v>
      </c>
      <c r="S698" s="438">
        <v>0</v>
      </c>
      <c r="T698" s="435">
        <f t="shared" ref="T698:T699" si="1460">SUM(U698:Y698)</f>
        <v>1383</v>
      </c>
      <c r="U698" s="436">
        <v>204</v>
      </c>
      <c r="V698" s="437">
        <v>375</v>
      </c>
      <c r="W698" s="437">
        <v>661</v>
      </c>
      <c r="X698" s="437">
        <v>19</v>
      </c>
      <c r="Y698" s="439">
        <v>124</v>
      </c>
      <c r="AA698" s="291"/>
      <c r="AB698" s="412"/>
      <c r="AC698" s="440" t="s">
        <v>42</v>
      </c>
      <c r="AD698" s="441" t="s">
        <v>32</v>
      </c>
      <c r="AE698" s="442">
        <f t="shared" ref="AE698:AE699" si="1461">SUM(AF698:AQ698)</f>
        <v>0</v>
      </c>
      <c r="AF698" s="443">
        <f>$R$104</f>
        <v>0</v>
      </c>
      <c r="AG698" s="444">
        <f>$R$158</f>
        <v>0</v>
      </c>
      <c r="AH698" s="444">
        <f>$R$212</f>
        <v>0</v>
      </c>
      <c r="AI698" s="444">
        <f>$R$266</f>
        <v>0</v>
      </c>
      <c r="AJ698" s="444">
        <f>$R$320</f>
        <v>0</v>
      </c>
      <c r="AK698" s="444">
        <f>$R$374</f>
        <v>0</v>
      </c>
      <c r="AL698" s="444">
        <f>$R$428</f>
        <v>0</v>
      </c>
      <c r="AM698" s="444">
        <f>$R$482</f>
        <v>0</v>
      </c>
      <c r="AN698" s="444">
        <f>$R$536</f>
        <v>0</v>
      </c>
      <c r="AO698" s="444">
        <f>$R$590</f>
        <v>0</v>
      </c>
      <c r="AP698" s="444">
        <f>$R$644</f>
        <v>0</v>
      </c>
      <c r="AQ698" s="445">
        <f>$R$698</f>
        <v>0</v>
      </c>
    </row>
    <row r="699" spans="2:43" s="41" customFormat="1" ht="7.8" customHeight="1" x14ac:dyDescent="0.25">
      <c r="B699" s="282"/>
      <c r="C699" s="404"/>
      <c r="D699" s="446"/>
      <c r="E699" s="447" t="s">
        <v>33</v>
      </c>
      <c r="F699" s="448">
        <f t="shared" si="1458"/>
        <v>301790</v>
      </c>
      <c r="G699" s="448">
        <v>0</v>
      </c>
      <c r="H699" s="448">
        <v>18750</v>
      </c>
      <c r="I699" s="449">
        <v>2100</v>
      </c>
      <c r="J699" s="450">
        <v>14400</v>
      </c>
      <c r="K699" s="450">
        <v>0</v>
      </c>
      <c r="L699" s="450">
        <v>2250</v>
      </c>
      <c r="M699" s="451">
        <v>0</v>
      </c>
      <c r="N699" s="448">
        <f t="shared" si="1459"/>
        <v>41250</v>
      </c>
      <c r="O699" s="449">
        <v>25200</v>
      </c>
      <c r="P699" s="450">
        <v>10500</v>
      </c>
      <c r="Q699" s="450">
        <v>5550</v>
      </c>
      <c r="R699" s="450">
        <v>0</v>
      </c>
      <c r="S699" s="451">
        <v>0</v>
      </c>
      <c r="T699" s="448">
        <f t="shared" si="1460"/>
        <v>241790</v>
      </c>
      <c r="U699" s="449">
        <v>36720</v>
      </c>
      <c r="V699" s="450">
        <v>65625</v>
      </c>
      <c r="W699" s="450">
        <v>112370</v>
      </c>
      <c r="X699" s="450">
        <v>3515</v>
      </c>
      <c r="Y699" s="452">
        <v>23560</v>
      </c>
      <c r="AA699" s="291"/>
      <c r="AB699" s="412"/>
      <c r="AC699" s="453"/>
      <c r="AD699" s="454" t="s">
        <v>33</v>
      </c>
      <c r="AE699" s="455">
        <f t="shared" si="1461"/>
        <v>0</v>
      </c>
      <c r="AF699" s="456">
        <f>$R$105</f>
        <v>0</v>
      </c>
      <c r="AG699" s="457">
        <f>$R$159</f>
        <v>0</v>
      </c>
      <c r="AH699" s="457">
        <f>$R$213</f>
        <v>0</v>
      </c>
      <c r="AI699" s="457">
        <f>$R$267</f>
        <v>0</v>
      </c>
      <c r="AJ699" s="457">
        <f>$R$321</f>
        <v>0</v>
      </c>
      <c r="AK699" s="457">
        <f>$R$375</f>
        <v>0</v>
      </c>
      <c r="AL699" s="457">
        <f>$R$429</f>
        <v>0</v>
      </c>
      <c r="AM699" s="457">
        <f>$R$483</f>
        <v>0</v>
      </c>
      <c r="AN699" s="457">
        <f>$R$537</f>
        <v>0</v>
      </c>
      <c r="AO699" s="457">
        <f>$R$591</f>
        <v>0</v>
      </c>
      <c r="AP699" s="457">
        <f>$R$645</f>
        <v>0</v>
      </c>
      <c r="AQ699" s="458">
        <f>$R$699</f>
        <v>0</v>
      </c>
    </row>
    <row r="700" spans="2:43" ht="7.8" customHeight="1" x14ac:dyDescent="0.25">
      <c r="B700" s="282"/>
      <c r="C700" s="404"/>
      <c r="D700" s="459"/>
      <c r="E700" s="460" t="s">
        <v>30</v>
      </c>
      <c r="F700" s="461">
        <f t="shared" si="1360"/>
        <v>169.73565804274466</v>
      </c>
      <c r="G700" s="461">
        <f t="shared" si="1360"/>
        <v>0</v>
      </c>
      <c r="H700" s="461">
        <f t="shared" si="1360"/>
        <v>133.92857142857142</v>
      </c>
      <c r="I700" s="462">
        <f t="shared" si="1360"/>
        <v>140</v>
      </c>
      <c r="J700" s="463">
        <f t="shared" si="1360"/>
        <v>130.90909090909091</v>
      </c>
      <c r="K700" s="463">
        <f t="shared" si="1360"/>
        <v>0</v>
      </c>
      <c r="L700" s="463">
        <f t="shared" si="1360"/>
        <v>150</v>
      </c>
      <c r="M700" s="464">
        <f t="shared" si="1360"/>
        <v>0</v>
      </c>
      <c r="N700" s="461">
        <f t="shared" si="1360"/>
        <v>161.76470588235293</v>
      </c>
      <c r="O700" s="462">
        <f t="shared" si="1360"/>
        <v>168</v>
      </c>
      <c r="P700" s="463">
        <f t="shared" si="1360"/>
        <v>140</v>
      </c>
      <c r="Q700" s="463">
        <f t="shared" si="1360"/>
        <v>185</v>
      </c>
      <c r="R700" s="463">
        <f t="shared" si="1360"/>
        <v>0</v>
      </c>
      <c r="S700" s="464">
        <f t="shared" si="1360"/>
        <v>0</v>
      </c>
      <c r="T700" s="461">
        <f t="shared" si="1360"/>
        <v>174.83007953723788</v>
      </c>
      <c r="U700" s="462">
        <f t="shared" si="1360"/>
        <v>180</v>
      </c>
      <c r="V700" s="463">
        <f t="shared" si="1360"/>
        <v>175</v>
      </c>
      <c r="W700" s="463">
        <f t="shared" si="1360"/>
        <v>170</v>
      </c>
      <c r="X700" s="463">
        <f t="shared" si="1360"/>
        <v>185</v>
      </c>
      <c r="Y700" s="465">
        <f t="shared" si="1360"/>
        <v>190</v>
      </c>
      <c r="AA700" s="291"/>
      <c r="AB700" s="412"/>
      <c r="AC700" s="466"/>
      <c r="AD700" s="467" t="s">
        <v>30</v>
      </c>
      <c r="AE700" s="468">
        <f t="shared" ref="AE700:AQ700" si="1462">IFERROR(AE699/AE698,0)</f>
        <v>0</v>
      </c>
      <c r="AF700" s="469">
        <f t="shared" si="1462"/>
        <v>0</v>
      </c>
      <c r="AG700" s="470">
        <f t="shared" si="1462"/>
        <v>0</v>
      </c>
      <c r="AH700" s="470">
        <f t="shared" si="1462"/>
        <v>0</v>
      </c>
      <c r="AI700" s="470">
        <f t="shared" si="1462"/>
        <v>0</v>
      </c>
      <c r="AJ700" s="470">
        <f t="shared" si="1462"/>
        <v>0</v>
      </c>
      <c r="AK700" s="470">
        <f t="shared" si="1462"/>
        <v>0</v>
      </c>
      <c r="AL700" s="470">
        <f t="shared" si="1462"/>
        <v>0</v>
      </c>
      <c r="AM700" s="470">
        <f t="shared" si="1462"/>
        <v>0</v>
      </c>
      <c r="AN700" s="470">
        <f t="shared" si="1462"/>
        <v>0</v>
      </c>
      <c r="AO700" s="470">
        <f t="shared" si="1462"/>
        <v>0</v>
      </c>
      <c r="AP700" s="470">
        <f t="shared" si="1462"/>
        <v>0</v>
      </c>
      <c r="AQ700" s="471">
        <f t="shared" si="1462"/>
        <v>0</v>
      </c>
    </row>
    <row r="701" spans="2:43" ht="7.8" customHeight="1" x14ac:dyDescent="0.25">
      <c r="B701" s="282"/>
      <c r="C701" s="404"/>
      <c r="D701" s="472" t="s">
        <v>43</v>
      </c>
      <c r="E701" s="425" t="s">
        <v>32</v>
      </c>
      <c r="F701" s="426">
        <f t="shared" ref="F701:Y703" si="1463">F698-F695</f>
        <v>1778</v>
      </c>
      <c r="G701" s="426">
        <f t="shared" si="1463"/>
        <v>0</v>
      </c>
      <c r="H701" s="426">
        <f t="shared" si="1463"/>
        <v>140</v>
      </c>
      <c r="I701" s="427">
        <f t="shared" si="1463"/>
        <v>15</v>
      </c>
      <c r="J701" s="428">
        <f t="shared" si="1463"/>
        <v>110</v>
      </c>
      <c r="K701" s="428">
        <f t="shared" si="1463"/>
        <v>0</v>
      </c>
      <c r="L701" s="428">
        <f t="shared" si="1463"/>
        <v>15</v>
      </c>
      <c r="M701" s="429">
        <f t="shared" si="1463"/>
        <v>0</v>
      </c>
      <c r="N701" s="426">
        <f t="shared" si="1463"/>
        <v>255</v>
      </c>
      <c r="O701" s="427">
        <f t="shared" si="1463"/>
        <v>150</v>
      </c>
      <c r="P701" s="428">
        <f t="shared" si="1463"/>
        <v>75</v>
      </c>
      <c r="Q701" s="428">
        <f t="shared" si="1463"/>
        <v>30</v>
      </c>
      <c r="R701" s="428">
        <f t="shared" si="1463"/>
        <v>0</v>
      </c>
      <c r="S701" s="429">
        <f t="shared" si="1463"/>
        <v>0</v>
      </c>
      <c r="T701" s="426">
        <f t="shared" si="1463"/>
        <v>1383</v>
      </c>
      <c r="U701" s="427">
        <f t="shared" si="1463"/>
        <v>204</v>
      </c>
      <c r="V701" s="428">
        <f t="shared" si="1463"/>
        <v>375</v>
      </c>
      <c r="W701" s="428">
        <f t="shared" si="1463"/>
        <v>661</v>
      </c>
      <c r="X701" s="428">
        <f t="shared" si="1463"/>
        <v>19</v>
      </c>
      <c r="Y701" s="430">
        <f t="shared" si="1463"/>
        <v>124</v>
      </c>
      <c r="AA701" s="291"/>
      <c r="AB701" s="412"/>
      <c r="AC701" s="473" t="s">
        <v>43</v>
      </c>
      <c r="AD701" s="432" t="s">
        <v>32</v>
      </c>
      <c r="AE701" s="426">
        <f t="shared" ref="AE701:AQ703" si="1464">AE698-AE695</f>
        <v>0</v>
      </c>
      <c r="AF701" s="427">
        <f t="shared" si="1464"/>
        <v>0</v>
      </c>
      <c r="AG701" s="428">
        <f t="shared" si="1464"/>
        <v>0</v>
      </c>
      <c r="AH701" s="428">
        <f t="shared" si="1464"/>
        <v>0</v>
      </c>
      <c r="AI701" s="428">
        <f t="shared" si="1464"/>
        <v>0</v>
      </c>
      <c r="AJ701" s="428">
        <f t="shared" si="1464"/>
        <v>0</v>
      </c>
      <c r="AK701" s="428">
        <f t="shared" si="1464"/>
        <v>0</v>
      </c>
      <c r="AL701" s="428">
        <f t="shared" si="1464"/>
        <v>0</v>
      </c>
      <c r="AM701" s="428">
        <f t="shared" si="1464"/>
        <v>0</v>
      </c>
      <c r="AN701" s="428">
        <f t="shared" si="1464"/>
        <v>0</v>
      </c>
      <c r="AO701" s="428">
        <f t="shared" si="1464"/>
        <v>0</v>
      </c>
      <c r="AP701" s="428">
        <f t="shared" si="1464"/>
        <v>0</v>
      </c>
      <c r="AQ701" s="430">
        <f t="shared" si="1464"/>
        <v>0</v>
      </c>
    </row>
    <row r="702" spans="2:43" s="366" customFormat="1" ht="7.8" customHeight="1" x14ac:dyDescent="0.25">
      <c r="B702" s="282"/>
      <c r="C702" s="404"/>
      <c r="D702" s="405"/>
      <c r="E702" s="474" t="s">
        <v>33</v>
      </c>
      <c r="F702" s="407">
        <f t="shared" si="1463"/>
        <v>301790</v>
      </c>
      <c r="G702" s="407">
        <f t="shared" si="1463"/>
        <v>0</v>
      </c>
      <c r="H702" s="407">
        <f t="shared" si="1463"/>
        <v>18750</v>
      </c>
      <c r="I702" s="408">
        <f t="shared" si="1463"/>
        <v>2100</v>
      </c>
      <c r="J702" s="409">
        <f t="shared" si="1463"/>
        <v>14400</v>
      </c>
      <c r="K702" s="409">
        <f t="shared" si="1463"/>
        <v>0</v>
      </c>
      <c r="L702" s="409">
        <f t="shared" si="1463"/>
        <v>2250</v>
      </c>
      <c r="M702" s="410">
        <f t="shared" si="1463"/>
        <v>0</v>
      </c>
      <c r="N702" s="407">
        <f t="shared" si="1463"/>
        <v>41250</v>
      </c>
      <c r="O702" s="408">
        <f t="shared" si="1463"/>
        <v>25200</v>
      </c>
      <c r="P702" s="409">
        <f t="shared" si="1463"/>
        <v>10500</v>
      </c>
      <c r="Q702" s="409">
        <f t="shared" si="1463"/>
        <v>5550</v>
      </c>
      <c r="R702" s="409">
        <f t="shared" si="1463"/>
        <v>0</v>
      </c>
      <c r="S702" s="410">
        <f t="shared" si="1463"/>
        <v>0</v>
      </c>
      <c r="T702" s="407">
        <f t="shared" si="1463"/>
        <v>241790</v>
      </c>
      <c r="U702" s="408">
        <f t="shared" si="1463"/>
        <v>36720</v>
      </c>
      <c r="V702" s="409">
        <f t="shared" si="1463"/>
        <v>65625</v>
      </c>
      <c r="W702" s="409">
        <f t="shared" si="1463"/>
        <v>112370</v>
      </c>
      <c r="X702" s="409">
        <f t="shared" si="1463"/>
        <v>3515</v>
      </c>
      <c r="Y702" s="411">
        <f t="shared" si="1463"/>
        <v>23560</v>
      </c>
      <c r="AA702" s="291"/>
      <c r="AB702" s="412"/>
      <c r="AC702" s="475"/>
      <c r="AD702" s="476" t="s">
        <v>33</v>
      </c>
      <c r="AE702" s="407">
        <f t="shared" si="1464"/>
        <v>0</v>
      </c>
      <c r="AF702" s="408">
        <f t="shared" si="1464"/>
        <v>0</v>
      </c>
      <c r="AG702" s="409">
        <f t="shared" si="1464"/>
        <v>0</v>
      </c>
      <c r="AH702" s="409">
        <f t="shared" si="1464"/>
        <v>0</v>
      </c>
      <c r="AI702" s="409">
        <f t="shared" si="1464"/>
        <v>0</v>
      </c>
      <c r="AJ702" s="409">
        <f t="shared" si="1464"/>
        <v>0</v>
      </c>
      <c r="AK702" s="409">
        <f t="shared" si="1464"/>
        <v>0</v>
      </c>
      <c r="AL702" s="409">
        <f t="shared" si="1464"/>
        <v>0</v>
      </c>
      <c r="AM702" s="409">
        <f t="shared" si="1464"/>
        <v>0</v>
      </c>
      <c r="AN702" s="409">
        <f t="shared" si="1464"/>
        <v>0</v>
      </c>
      <c r="AO702" s="409">
        <f t="shared" si="1464"/>
        <v>0</v>
      </c>
      <c r="AP702" s="409">
        <f t="shared" si="1464"/>
        <v>0</v>
      </c>
      <c r="AQ702" s="411">
        <f t="shared" si="1464"/>
        <v>0</v>
      </c>
    </row>
    <row r="703" spans="2:43" ht="7.8" customHeight="1" x14ac:dyDescent="0.25">
      <c r="B703" s="282"/>
      <c r="C703" s="404"/>
      <c r="D703" s="415"/>
      <c r="E703" s="416" t="s">
        <v>30</v>
      </c>
      <c r="F703" s="417">
        <f t="shared" si="1463"/>
        <v>169.73565804274466</v>
      </c>
      <c r="G703" s="417">
        <f t="shared" si="1463"/>
        <v>0</v>
      </c>
      <c r="H703" s="417">
        <f t="shared" si="1463"/>
        <v>133.92857142857142</v>
      </c>
      <c r="I703" s="418">
        <f t="shared" si="1463"/>
        <v>140</v>
      </c>
      <c r="J703" s="419">
        <f t="shared" si="1463"/>
        <v>130.90909090909091</v>
      </c>
      <c r="K703" s="419">
        <f t="shared" si="1463"/>
        <v>0</v>
      </c>
      <c r="L703" s="419">
        <f t="shared" si="1463"/>
        <v>150</v>
      </c>
      <c r="M703" s="420">
        <f t="shared" si="1463"/>
        <v>0</v>
      </c>
      <c r="N703" s="417">
        <f t="shared" si="1463"/>
        <v>161.76470588235293</v>
      </c>
      <c r="O703" s="418">
        <f t="shared" si="1463"/>
        <v>168</v>
      </c>
      <c r="P703" s="419">
        <f t="shared" si="1463"/>
        <v>140</v>
      </c>
      <c r="Q703" s="419">
        <f t="shared" si="1463"/>
        <v>185</v>
      </c>
      <c r="R703" s="419">
        <f t="shared" si="1463"/>
        <v>0</v>
      </c>
      <c r="S703" s="420">
        <f t="shared" si="1463"/>
        <v>0</v>
      </c>
      <c r="T703" s="417">
        <f t="shared" si="1463"/>
        <v>174.83007953723788</v>
      </c>
      <c r="U703" s="418">
        <f t="shared" si="1463"/>
        <v>180</v>
      </c>
      <c r="V703" s="419">
        <f t="shared" si="1463"/>
        <v>175</v>
      </c>
      <c r="W703" s="419">
        <f t="shared" si="1463"/>
        <v>170</v>
      </c>
      <c r="X703" s="419">
        <f t="shared" si="1463"/>
        <v>185</v>
      </c>
      <c r="Y703" s="421">
        <f t="shared" si="1463"/>
        <v>190</v>
      </c>
      <c r="AA703" s="291"/>
      <c r="AB703" s="412"/>
      <c r="AC703" s="477"/>
      <c r="AD703" s="423" t="s">
        <v>30</v>
      </c>
      <c r="AE703" s="417">
        <f t="shared" si="1464"/>
        <v>0</v>
      </c>
      <c r="AF703" s="418">
        <f t="shared" si="1464"/>
        <v>0</v>
      </c>
      <c r="AG703" s="419">
        <f t="shared" si="1464"/>
        <v>0</v>
      </c>
      <c r="AH703" s="419">
        <f t="shared" si="1464"/>
        <v>0</v>
      </c>
      <c r="AI703" s="419">
        <f t="shared" si="1464"/>
        <v>0</v>
      </c>
      <c r="AJ703" s="419">
        <f t="shared" si="1464"/>
        <v>0</v>
      </c>
      <c r="AK703" s="419">
        <f t="shared" si="1464"/>
        <v>0</v>
      </c>
      <c r="AL703" s="419">
        <f t="shared" si="1464"/>
        <v>0</v>
      </c>
      <c r="AM703" s="419">
        <f t="shared" si="1464"/>
        <v>0</v>
      </c>
      <c r="AN703" s="419">
        <f t="shared" si="1464"/>
        <v>0</v>
      </c>
      <c r="AO703" s="419">
        <f t="shared" si="1464"/>
        <v>0</v>
      </c>
      <c r="AP703" s="419">
        <f t="shared" si="1464"/>
        <v>0</v>
      </c>
      <c r="AQ703" s="421">
        <f t="shared" si="1464"/>
        <v>0</v>
      </c>
    </row>
    <row r="704" spans="2:43" ht="7.8" customHeight="1" x14ac:dyDescent="0.25">
      <c r="B704" s="282"/>
      <c r="C704" s="404"/>
      <c r="D704" s="472" t="s">
        <v>44</v>
      </c>
      <c r="E704" s="425" t="s">
        <v>32</v>
      </c>
      <c r="F704" s="478" t="str">
        <f t="shared" ref="F704:Y706" si="1465">IFERROR((F698-F695)/ABS(F695),"")</f>
        <v/>
      </c>
      <c r="G704" s="478" t="str">
        <f t="shared" si="1465"/>
        <v/>
      </c>
      <c r="H704" s="478" t="str">
        <f t="shared" si="1465"/>
        <v/>
      </c>
      <c r="I704" s="479" t="str">
        <f t="shared" si="1465"/>
        <v/>
      </c>
      <c r="J704" s="480" t="str">
        <f t="shared" si="1465"/>
        <v/>
      </c>
      <c r="K704" s="480" t="str">
        <f t="shared" si="1465"/>
        <v/>
      </c>
      <c r="L704" s="480" t="str">
        <f t="shared" si="1465"/>
        <v/>
      </c>
      <c r="M704" s="481" t="str">
        <f t="shared" si="1465"/>
        <v/>
      </c>
      <c r="N704" s="478" t="str">
        <f t="shared" si="1465"/>
        <v/>
      </c>
      <c r="O704" s="479" t="str">
        <f t="shared" si="1465"/>
        <v/>
      </c>
      <c r="P704" s="480" t="str">
        <f t="shared" si="1465"/>
        <v/>
      </c>
      <c r="Q704" s="480" t="str">
        <f t="shared" si="1465"/>
        <v/>
      </c>
      <c r="R704" s="480" t="str">
        <f t="shared" si="1465"/>
        <v/>
      </c>
      <c r="S704" s="481" t="str">
        <f t="shared" si="1465"/>
        <v/>
      </c>
      <c r="T704" s="478" t="str">
        <f t="shared" si="1465"/>
        <v/>
      </c>
      <c r="U704" s="479" t="str">
        <f t="shared" si="1465"/>
        <v/>
      </c>
      <c r="V704" s="480" t="str">
        <f t="shared" si="1465"/>
        <v/>
      </c>
      <c r="W704" s="480" t="str">
        <f t="shared" si="1465"/>
        <v/>
      </c>
      <c r="X704" s="480" t="str">
        <f t="shared" si="1465"/>
        <v/>
      </c>
      <c r="Y704" s="482" t="str">
        <f t="shared" si="1465"/>
        <v/>
      </c>
      <c r="AA704" s="291"/>
      <c r="AB704" s="412"/>
      <c r="AC704" s="473" t="s">
        <v>44</v>
      </c>
      <c r="AD704" s="432" t="s">
        <v>32</v>
      </c>
      <c r="AE704" s="478" t="str">
        <f t="shared" ref="AE704:AQ706" si="1466">IFERROR((AE698-AE695)/ABS(AE695),"")</f>
        <v/>
      </c>
      <c r="AF704" s="479" t="str">
        <f t="shared" si="1466"/>
        <v/>
      </c>
      <c r="AG704" s="480" t="str">
        <f t="shared" si="1466"/>
        <v/>
      </c>
      <c r="AH704" s="480" t="str">
        <f t="shared" si="1466"/>
        <v/>
      </c>
      <c r="AI704" s="480" t="str">
        <f t="shared" si="1466"/>
        <v/>
      </c>
      <c r="AJ704" s="480" t="str">
        <f t="shared" si="1466"/>
        <v/>
      </c>
      <c r="AK704" s="480" t="str">
        <f t="shared" si="1466"/>
        <v/>
      </c>
      <c r="AL704" s="480" t="str">
        <f t="shared" si="1466"/>
        <v/>
      </c>
      <c r="AM704" s="480" t="str">
        <f t="shared" si="1466"/>
        <v/>
      </c>
      <c r="AN704" s="480" t="str">
        <f t="shared" si="1466"/>
        <v/>
      </c>
      <c r="AO704" s="480" t="str">
        <f t="shared" si="1466"/>
        <v/>
      </c>
      <c r="AP704" s="480" t="str">
        <f t="shared" si="1466"/>
        <v/>
      </c>
      <c r="AQ704" s="482" t="str">
        <f t="shared" si="1466"/>
        <v/>
      </c>
    </row>
    <row r="705" spans="2:43" ht="7.8" customHeight="1" x14ac:dyDescent="0.25">
      <c r="B705" s="282"/>
      <c r="C705" s="404"/>
      <c r="D705" s="405"/>
      <c r="E705" s="483" t="s">
        <v>33</v>
      </c>
      <c r="F705" s="484" t="str">
        <f t="shared" si="1465"/>
        <v/>
      </c>
      <c r="G705" s="484" t="str">
        <f t="shared" si="1465"/>
        <v/>
      </c>
      <c r="H705" s="484" t="str">
        <f t="shared" si="1465"/>
        <v/>
      </c>
      <c r="I705" s="485" t="str">
        <f t="shared" si="1465"/>
        <v/>
      </c>
      <c r="J705" s="486" t="str">
        <f t="shared" si="1465"/>
        <v/>
      </c>
      <c r="K705" s="486" t="str">
        <f t="shared" si="1465"/>
        <v/>
      </c>
      <c r="L705" s="486" t="str">
        <f t="shared" si="1465"/>
        <v/>
      </c>
      <c r="M705" s="487" t="str">
        <f t="shared" si="1465"/>
        <v/>
      </c>
      <c r="N705" s="484" t="str">
        <f t="shared" si="1465"/>
        <v/>
      </c>
      <c r="O705" s="485" t="str">
        <f t="shared" si="1465"/>
        <v/>
      </c>
      <c r="P705" s="486" t="str">
        <f t="shared" si="1465"/>
        <v/>
      </c>
      <c r="Q705" s="486" t="str">
        <f t="shared" si="1465"/>
        <v/>
      </c>
      <c r="R705" s="486" t="str">
        <f t="shared" si="1465"/>
        <v/>
      </c>
      <c r="S705" s="487" t="str">
        <f t="shared" si="1465"/>
        <v/>
      </c>
      <c r="T705" s="484" t="str">
        <f t="shared" si="1465"/>
        <v/>
      </c>
      <c r="U705" s="485" t="str">
        <f t="shared" si="1465"/>
        <v/>
      </c>
      <c r="V705" s="486" t="str">
        <f t="shared" si="1465"/>
        <v/>
      </c>
      <c r="W705" s="486" t="str">
        <f t="shared" si="1465"/>
        <v/>
      </c>
      <c r="X705" s="486" t="str">
        <f t="shared" si="1465"/>
        <v/>
      </c>
      <c r="Y705" s="488" t="str">
        <f t="shared" si="1465"/>
        <v/>
      </c>
      <c r="AA705" s="291"/>
      <c r="AB705" s="412"/>
      <c r="AC705" s="475"/>
      <c r="AD705" s="489" t="s">
        <v>33</v>
      </c>
      <c r="AE705" s="484" t="str">
        <f t="shared" si="1466"/>
        <v/>
      </c>
      <c r="AF705" s="485" t="str">
        <f t="shared" si="1466"/>
        <v/>
      </c>
      <c r="AG705" s="486" t="str">
        <f t="shared" si="1466"/>
        <v/>
      </c>
      <c r="AH705" s="486" t="str">
        <f t="shared" si="1466"/>
        <v/>
      </c>
      <c r="AI705" s="486" t="str">
        <f t="shared" si="1466"/>
        <v/>
      </c>
      <c r="AJ705" s="486" t="str">
        <f t="shared" si="1466"/>
        <v/>
      </c>
      <c r="AK705" s="486" t="str">
        <f t="shared" si="1466"/>
        <v/>
      </c>
      <c r="AL705" s="486" t="str">
        <f t="shared" si="1466"/>
        <v/>
      </c>
      <c r="AM705" s="486" t="str">
        <f t="shared" si="1466"/>
        <v/>
      </c>
      <c r="AN705" s="486" t="str">
        <f t="shared" si="1466"/>
        <v/>
      </c>
      <c r="AO705" s="486" t="str">
        <f t="shared" si="1466"/>
        <v/>
      </c>
      <c r="AP705" s="486" t="str">
        <f t="shared" si="1466"/>
        <v/>
      </c>
      <c r="AQ705" s="488" t="str">
        <f t="shared" si="1466"/>
        <v/>
      </c>
    </row>
    <row r="706" spans="2:43" ht="7.8" customHeight="1" thickBot="1" x14ac:dyDescent="0.3">
      <c r="B706" s="607"/>
      <c r="C706" s="608"/>
      <c r="D706" s="609"/>
      <c r="E706" s="610" t="s">
        <v>30</v>
      </c>
      <c r="F706" s="611" t="str">
        <f t="shared" si="1465"/>
        <v/>
      </c>
      <c r="G706" s="611" t="str">
        <f t="shared" si="1465"/>
        <v/>
      </c>
      <c r="H706" s="611" t="str">
        <f t="shared" si="1465"/>
        <v/>
      </c>
      <c r="I706" s="612" t="str">
        <f t="shared" si="1465"/>
        <v/>
      </c>
      <c r="J706" s="613" t="str">
        <f t="shared" si="1465"/>
        <v/>
      </c>
      <c r="K706" s="613" t="str">
        <f t="shared" si="1465"/>
        <v/>
      </c>
      <c r="L706" s="613" t="str">
        <f t="shared" si="1465"/>
        <v/>
      </c>
      <c r="M706" s="614" t="str">
        <f t="shared" si="1465"/>
        <v/>
      </c>
      <c r="N706" s="611" t="str">
        <f t="shared" si="1465"/>
        <v/>
      </c>
      <c r="O706" s="612" t="str">
        <f t="shared" si="1465"/>
        <v/>
      </c>
      <c r="P706" s="613" t="str">
        <f t="shared" si="1465"/>
        <v/>
      </c>
      <c r="Q706" s="613" t="str">
        <f t="shared" si="1465"/>
        <v/>
      </c>
      <c r="R706" s="613" t="str">
        <f t="shared" si="1465"/>
        <v/>
      </c>
      <c r="S706" s="614" t="str">
        <f t="shared" si="1465"/>
        <v/>
      </c>
      <c r="T706" s="611" t="str">
        <f t="shared" si="1465"/>
        <v/>
      </c>
      <c r="U706" s="612" t="str">
        <f t="shared" si="1465"/>
        <v/>
      </c>
      <c r="V706" s="613" t="str">
        <f t="shared" si="1465"/>
        <v/>
      </c>
      <c r="W706" s="613" t="str">
        <f t="shared" si="1465"/>
        <v/>
      </c>
      <c r="X706" s="613" t="str">
        <f t="shared" si="1465"/>
        <v/>
      </c>
      <c r="Y706" s="615" t="str">
        <f t="shared" si="1465"/>
        <v/>
      </c>
      <c r="AA706" s="291"/>
      <c r="AB706" s="510"/>
      <c r="AC706" s="511"/>
      <c r="AD706" s="512" t="s">
        <v>30</v>
      </c>
      <c r="AE706" s="505" t="str">
        <f t="shared" si="1466"/>
        <v/>
      </c>
      <c r="AF706" s="506" t="str">
        <f t="shared" si="1466"/>
        <v/>
      </c>
      <c r="AG706" s="507" t="str">
        <f t="shared" si="1466"/>
        <v/>
      </c>
      <c r="AH706" s="507" t="str">
        <f t="shared" si="1466"/>
        <v/>
      </c>
      <c r="AI706" s="507" t="str">
        <f t="shared" si="1466"/>
        <v/>
      </c>
      <c r="AJ706" s="507" t="str">
        <f t="shared" si="1466"/>
        <v/>
      </c>
      <c r="AK706" s="507" t="str">
        <f t="shared" si="1466"/>
        <v/>
      </c>
      <c r="AL706" s="507" t="str">
        <f t="shared" si="1466"/>
        <v/>
      </c>
      <c r="AM706" s="507" t="str">
        <f t="shared" si="1466"/>
        <v/>
      </c>
      <c r="AN706" s="507" t="str">
        <f t="shared" si="1466"/>
        <v/>
      </c>
      <c r="AO706" s="507" t="str">
        <f t="shared" si="1466"/>
        <v/>
      </c>
      <c r="AP706" s="507" t="str">
        <f t="shared" si="1466"/>
        <v/>
      </c>
      <c r="AQ706" s="509" t="str">
        <f t="shared" si="1466"/>
        <v/>
      </c>
    </row>
    <row r="707" spans="2:43" ht="7.8" customHeight="1" x14ac:dyDescent="0.25">
      <c r="B707" s="616"/>
      <c r="C707" s="617"/>
      <c r="D707" s="617"/>
      <c r="E707" s="618"/>
      <c r="F707" s="619"/>
      <c r="G707" s="619"/>
      <c r="H707" s="619"/>
      <c r="I707" s="619"/>
      <c r="J707" s="619"/>
      <c r="K707" s="619"/>
      <c r="L707" s="619"/>
      <c r="M707" s="619"/>
      <c r="N707" s="619"/>
      <c r="O707" s="619"/>
      <c r="P707" s="619"/>
      <c r="Q707" s="619"/>
      <c r="R707" s="619"/>
      <c r="S707" s="619"/>
      <c r="T707" s="619"/>
      <c r="U707" s="619"/>
      <c r="V707" s="619"/>
      <c r="W707" s="619"/>
      <c r="X707" s="619"/>
      <c r="Y707" s="619"/>
      <c r="AA707" s="291" t="s">
        <v>70</v>
      </c>
      <c r="AB707" s="292" t="s">
        <v>9</v>
      </c>
      <c r="AC707" s="293" t="s">
        <v>39</v>
      </c>
      <c r="AD707" s="294" t="s">
        <v>32</v>
      </c>
      <c r="AE707" s="286">
        <f t="shared" ref="AE707:AE708" si="1467">SUM(AF707:AQ707)</f>
        <v>0</v>
      </c>
      <c r="AF707" s="287">
        <f t="shared" ref="AF707:AQ708" si="1468">SUM(AF725,AF743)</f>
        <v>0</v>
      </c>
      <c r="AG707" s="288">
        <f t="shared" si="1468"/>
        <v>0</v>
      </c>
      <c r="AH707" s="288">
        <f t="shared" si="1468"/>
        <v>0</v>
      </c>
      <c r="AI707" s="288">
        <f t="shared" si="1468"/>
        <v>0</v>
      </c>
      <c r="AJ707" s="288">
        <f t="shared" si="1468"/>
        <v>0</v>
      </c>
      <c r="AK707" s="288">
        <f t="shared" si="1468"/>
        <v>0</v>
      </c>
      <c r="AL707" s="288">
        <f t="shared" si="1468"/>
        <v>0</v>
      </c>
      <c r="AM707" s="288">
        <f t="shared" si="1468"/>
        <v>0</v>
      </c>
      <c r="AN707" s="288">
        <f t="shared" si="1468"/>
        <v>0</v>
      </c>
      <c r="AO707" s="288">
        <f t="shared" si="1468"/>
        <v>0</v>
      </c>
      <c r="AP707" s="288">
        <f t="shared" si="1468"/>
        <v>0</v>
      </c>
      <c r="AQ707" s="290">
        <f t="shared" si="1468"/>
        <v>0</v>
      </c>
    </row>
    <row r="708" spans="2:43" s="41" customFormat="1" ht="7.8" customHeight="1" x14ac:dyDescent="0.25">
      <c r="B708" s="616"/>
      <c r="C708" s="617"/>
      <c r="D708" s="617"/>
      <c r="E708" s="620"/>
      <c r="F708" s="621"/>
      <c r="G708" s="621"/>
      <c r="H708" s="621"/>
      <c r="I708" s="621"/>
      <c r="J708" s="621"/>
      <c r="K708" s="621"/>
      <c r="L708" s="621"/>
      <c r="M708" s="621"/>
      <c r="N708" s="621"/>
      <c r="O708" s="621"/>
      <c r="P708" s="621"/>
      <c r="Q708" s="621"/>
      <c r="R708" s="621"/>
      <c r="S708" s="621"/>
      <c r="T708" s="621"/>
      <c r="U708" s="621"/>
      <c r="V708" s="621"/>
      <c r="W708" s="621"/>
      <c r="X708" s="621"/>
      <c r="Y708" s="621"/>
      <c r="AA708" s="291"/>
      <c r="AB708" s="303"/>
      <c r="AC708" s="304"/>
      <c r="AD708" s="305" t="s">
        <v>33</v>
      </c>
      <c r="AE708" s="298">
        <f t="shared" si="1467"/>
        <v>0</v>
      </c>
      <c r="AF708" s="299">
        <f t="shared" si="1468"/>
        <v>0</v>
      </c>
      <c r="AG708" s="300">
        <f t="shared" si="1468"/>
        <v>0</v>
      </c>
      <c r="AH708" s="300">
        <f t="shared" si="1468"/>
        <v>0</v>
      </c>
      <c r="AI708" s="300">
        <f t="shared" si="1468"/>
        <v>0</v>
      </c>
      <c r="AJ708" s="300">
        <f t="shared" si="1468"/>
        <v>0</v>
      </c>
      <c r="AK708" s="300">
        <f t="shared" si="1468"/>
        <v>0</v>
      </c>
      <c r="AL708" s="300">
        <f t="shared" si="1468"/>
        <v>0</v>
      </c>
      <c r="AM708" s="300">
        <f t="shared" si="1468"/>
        <v>0</v>
      </c>
      <c r="AN708" s="300">
        <f t="shared" si="1468"/>
        <v>0</v>
      </c>
      <c r="AO708" s="300">
        <f t="shared" si="1468"/>
        <v>0</v>
      </c>
      <c r="AP708" s="300">
        <f t="shared" si="1468"/>
        <v>0</v>
      </c>
      <c r="AQ708" s="302">
        <f t="shared" si="1468"/>
        <v>0</v>
      </c>
    </row>
    <row r="709" spans="2:43" ht="7.8" customHeight="1" x14ac:dyDescent="0.25">
      <c r="B709" s="616"/>
      <c r="C709" s="617"/>
      <c r="D709" s="617"/>
      <c r="E709" s="618"/>
      <c r="F709" s="619"/>
      <c r="G709" s="619"/>
      <c r="H709" s="619"/>
      <c r="I709" s="619"/>
      <c r="J709" s="619"/>
      <c r="K709" s="619"/>
      <c r="L709" s="619"/>
      <c r="M709" s="619"/>
      <c r="N709" s="619"/>
      <c r="O709" s="619"/>
      <c r="P709" s="619"/>
      <c r="Q709" s="619"/>
      <c r="R709" s="619"/>
      <c r="S709" s="619"/>
      <c r="T709" s="619"/>
      <c r="U709" s="619"/>
      <c r="V709" s="619"/>
      <c r="W709" s="619"/>
      <c r="X709" s="619"/>
      <c r="Y709" s="619"/>
      <c r="AA709" s="291"/>
      <c r="AB709" s="303"/>
      <c r="AC709" s="313"/>
      <c r="AD709" s="314" t="s">
        <v>30</v>
      </c>
      <c r="AE709" s="308">
        <f t="shared" ref="AE709:AQ709" si="1469">IFERROR(AE708/AE707,0)</f>
        <v>0</v>
      </c>
      <c r="AF709" s="309">
        <f t="shared" si="1469"/>
        <v>0</v>
      </c>
      <c r="AG709" s="310">
        <f t="shared" si="1469"/>
        <v>0</v>
      </c>
      <c r="AH709" s="310">
        <f t="shared" si="1469"/>
        <v>0</v>
      </c>
      <c r="AI709" s="310">
        <f t="shared" si="1469"/>
        <v>0</v>
      </c>
      <c r="AJ709" s="310">
        <f t="shared" si="1469"/>
        <v>0</v>
      </c>
      <c r="AK709" s="310">
        <f t="shared" si="1469"/>
        <v>0</v>
      </c>
      <c r="AL709" s="310">
        <f t="shared" si="1469"/>
        <v>0</v>
      </c>
      <c r="AM709" s="310">
        <f t="shared" si="1469"/>
        <v>0</v>
      </c>
      <c r="AN709" s="310">
        <f t="shared" si="1469"/>
        <v>0</v>
      </c>
      <c r="AO709" s="310">
        <f t="shared" si="1469"/>
        <v>0</v>
      </c>
      <c r="AP709" s="310">
        <f t="shared" si="1469"/>
        <v>0</v>
      </c>
      <c r="AQ709" s="312">
        <f t="shared" si="1469"/>
        <v>0</v>
      </c>
    </row>
    <row r="710" spans="2:43" ht="7.8" customHeight="1" x14ac:dyDescent="0.25">
      <c r="B710" s="616"/>
      <c r="C710" s="617"/>
      <c r="D710" s="617"/>
      <c r="E710" s="618"/>
      <c r="F710" s="619"/>
      <c r="G710" s="619"/>
      <c r="H710" s="619"/>
      <c r="I710" s="619"/>
      <c r="J710" s="619"/>
      <c r="K710" s="619"/>
      <c r="L710" s="619"/>
      <c r="M710" s="619"/>
      <c r="N710" s="619"/>
      <c r="O710" s="619"/>
      <c r="P710" s="619"/>
      <c r="Q710" s="619"/>
      <c r="R710" s="619"/>
      <c r="S710" s="619"/>
      <c r="T710" s="619"/>
      <c r="U710" s="619"/>
      <c r="V710" s="619"/>
      <c r="W710" s="619"/>
      <c r="X710" s="619"/>
      <c r="Y710" s="619"/>
      <c r="AA710" s="291"/>
      <c r="AB710" s="303"/>
      <c r="AC710" s="322" t="s">
        <v>40</v>
      </c>
      <c r="AD710" s="323" t="s">
        <v>32</v>
      </c>
      <c r="AE710" s="317">
        <f t="shared" ref="AE710:AE711" si="1470">SUM(AF710:AQ710)</f>
        <v>69</v>
      </c>
      <c r="AF710" s="318">
        <f t="shared" ref="AF710:AQ711" si="1471">SUM(AF728,AF746)</f>
        <v>5</v>
      </c>
      <c r="AG710" s="319">
        <f t="shared" si="1471"/>
        <v>4</v>
      </c>
      <c r="AH710" s="319">
        <f t="shared" si="1471"/>
        <v>0</v>
      </c>
      <c r="AI710" s="319">
        <f t="shared" si="1471"/>
        <v>5</v>
      </c>
      <c r="AJ710" s="319">
        <f t="shared" si="1471"/>
        <v>10</v>
      </c>
      <c r="AK710" s="319">
        <f t="shared" si="1471"/>
        <v>5</v>
      </c>
      <c r="AL710" s="319">
        <f t="shared" si="1471"/>
        <v>7</v>
      </c>
      <c r="AM710" s="319">
        <f t="shared" si="1471"/>
        <v>8</v>
      </c>
      <c r="AN710" s="319">
        <f t="shared" si="1471"/>
        <v>11</v>
      </c>
      <c r="AO710" s="319">
        <f t="shared" si="1471"/>
        <v>3</v>
      </c>
      <c r="AP710" s="319">
        <f t="shared" si="1471"/>
        <v>9</v>
      </c>
      <c r="AQ710" s="321">
        <f t="shared" si="1471"/>
        <v>2</v>
      </c>
    </row>
    <row r="711" spans="2:43" s="41" customFormat="1" ht="7.8" customHeight="1" x14ac:dyDescent="0.25">
      <c r="B711" s="616"/>
      <c r="C711" s="617"/>
      <c r="D711" s="617"/>
      <c r="E711" s="620"/>
      <c r="F711" s="621"/>
      <c r="G711" s="621"/>
      <c r="H711" s="621"/>
      <c r="I711" s="621"/>
      <c r="J711" s="621"/>
      <c r="K711" s="621"/>
      <c r="L711" s="621"/>
      <c r="M711" s="621"/>
      <c r="N711" s="621"/>
      <c r="O711" s="621"/>
      <c r="P711" s="621"/>
      <c r="Q711" s="621"/>
      <c r="R711" s="621"/>
      <c r="S711" s="621"/>
      <c r="T711" s="621"/>
      <c r="U711" s="621"/>
      <c r="V711" s="621"/>
      <c r="W711" s="621"/>
      <c r="X711" s="621"/>
      <c r="Y711" s="621"/>
      <c r="AA711" s="291"/>
      <c r="AB711" s="303"/>
      <c r="AC711" s="304"/>
      <c r="AD711" s="305" t="s">
        <v>33</v>
      </c>
      <c r="AE711" s="298">
        <f t="shared" si="1470"/>
        <v>10630</v>
      </c>
      <c r="AF711" s="299">
        <f t="shared" si="1471"/>
        <v>645</v>
      </c>
      <c r="AG711" s="300">
        <f t="shared" si="1471"/>
        <v>640</v>
      </c>
      <c r="AH711" s="300">
        <f t="shared" si="1471"/>
        <v>0</v>
      </c>
      <c r="AI711" s="300">
        <f t="shared" si="1471"/>
        <v>840</v>
      </c>
      <c r="AJ711" s="300">
        <f t="shared" si="1471"/>
        <v>1370</v>
      </c>
      <c r="AK711" s="300">
        <f t="shared" si="1471"/>
        <v>675</v>
      </c>
      <c r="AL711" s="300">
        <f t="shared" si="1471"/>
        <v>1260</v>
      </c>
      <c r="AM711" s="300">
        <f t="shared" si="1471"/>
        <v>1320</v>
      </c>
      <c r="AN711" s="300">
        <f t="shared" si="1471"/>
        <v>1540</v>
      </c>
      <c r="AO711" s="300">
        <f t="shared" si="1471"/>
        <v>420</v>
      </c>
      <c r="AP711" s="300">
        <f t="shared" si="1471"/>
        <v>1500</v>
      </c>
      <c r="AQ711" s="302">
        <f t="shared" si="1471"/>
        <v>420</v>
      </c>
    </row>
    <row r="712" spans="2:43" ht="7.8" customHeight="1" x14ac:dyDescent="0.25">
      <c r="B712" s="616"/>
      <c r="C712" s="617"/>
      <c r="D712" s="617"/>
      <c r="E712" s="618"/>
      <c r="F712" s="619"/>
      <c r="G712" s="619"/>
      <c r="H712" s="619"/>
      <c r="I712" s="619"/>
      <c r="J712" s="619"/>
      <c r="K712" s="619"/>
      <c r="L712" s="619"/>
      <c r="M712" s="619"/>
      <c r="N712" s="619"/>
      <c r="O712" s="619"/>
      <c r="P712" s="619"/>
      <c r="Q712" s="619"/>
      <c r="R712" s="619"/>
      <c r="S712" s="619"/>
      <c r="T712" s="619"/>
      <c r="U712" s="619"/>
      <c r="V712" s="619"/>
      <c r="W712" s="619"/>
      <c r="X712" s="619"/>
      <c r="Y712" s="619"/>
      <c r="AA712" s="291"/>
      <c r="AB712" s="303"/>
      <c r="AC712" s="313"/>
      <c r="AD712" s="314" t="s">
        <v>30</v>
      </c>
      <c r="AE712" s="308">
        <f t="shared" ref="AE712:AQ712" si="1472">IFERROR(AE711/AE710,0)</f>
        <v>154.05797101449275</v>
      </c>
      <c r="AF712" s="309">
        <f t="shared" si="1472"/>
        <v>129</v>
      </c>
      <c r="AG712" s="310">
        <f t="shared" si="1472"/>
        <v>160</v>
      </c>
      <c r="AH712" s="310">
        <f t="shared" si="1472"/>
        <v>0</v>
      </c>
      <c r="AI712" s="310">
        <f t="shared" si="1472"/>
        <v>168</v>
      </c>
      <c r="AJ712" s="310">
        <f t="shared" si="1472"/>
        <v>137</v>
      </c>
      <c r="AK712" s="310">
        <f t="shared" si="1472"/>
        <v>135</v>
      </c>
      <c r="AL712" s="310">
        <f t="shared" si="1472"/>
        <v>180</v>
      </c>
      <c r="AM712" s="310">
        <f t="shared" si="1472"/>
        <v>165</v>
      </c>
      <c r="AN712" s="310">
        <f t="shared" si="1472"/>
        <v>140</v>
      </c>
      <c r="AO712" s="310">
        <f t="shared" si="1472"/>
        <v>140</v>
      </c>
      <c r="AP712" s="310">
        <f t="shared" si="1472"/>
        <v>166.66666666666666</v>
      </c>
      <c r="AQ712" s="312">
        <f t="shared" si="1472"/>
        <v>210</v>
      </c>
    </row>
    <row r="713" spans="2:43" ht="7.8" customHeight="1" x14ac:dyDescent="0.25">
      <c r="B713" s="616"/>
      <c r="C713" s="617"/>
      <c r="D713" s="617"/>
      <c r="E713" s="618"/>
      <c r="F713" s="619"/>
      <c r="G713" s="619"/>
      <c r="H713" s="619"/>
      <c r="I713" s="619"/>
      <c r="J713" s="619"/>
      <c r="K713" s="619"/>
      <c r="L713" s="619"/>
      <c r="M713" s="619"/>
      <c r="N713" s="619"/>
      <c r="O713" s="619"/>
      <c r="P713" s="619"/>
      <c r="Q713" s="619"/>
      <c r="R713" s="619"/>
      <c r="S713" s="619"/>
      <c r="T713" s="619"/>
      <c r="U713" s="619"/>
      <c r="V713" s="619"/>
      <c r="W713" s="619"/>
      <c r="X713" s="619"/>
      <c r="Y713" s="619"/>
      <c r="AA713" s="291"/>
      <c r="AB713" s="303"/>
      <c r="AC713" s="322" t="s">
        <v>41</v>
      </c>
      <c r="AD713" s="323" t="s">
        <v>32</v>
      </c>
      <c r="AE713" s="317">
        <f t="shared" ref="AE713:AE714" si="1473">SUM(AF713:AQ713)</f>
        <v>92</v>
      </c>
      <c r="AF713" s="318">
        <f t="shared" ref="AF713:AQ714" si="1474">SUM(AF731,AF749)</f>
        <v>0</v>
      </c>
      <c r="AG713" s="319">
        <f t="shared" si="1474"/>
        <v>13</v>
      </c>
      <c r="AH713" s="319">
        <f t="shared" si="1474"/>
        <v>8</v>
      </c>
      <c r="AI713" s="319">
        <f t="shared" si="1474"/>
        <v>9</v>
      </c>
      <c r="AJ713" s="319">
        <f t="shared" si="1474"/>
        <v>27</v>
      </c>
      <c r="AK713" s="319">
        <f t="shared" si="1474"/>
        <v>9</v>
      </c>
      <c r="AL713" s="319">
        <f t="shared" si="1474"/>
        <v>10</v>
      </c>
      <c r="AM713" s="319">
        <f t="shared" si="1474"/>
        <v>16</v>
      </c>
      <c r="AN713" s="319">
        <f t="shared" si="1474"/>
        <v>0</v>
      </c>
      <c r="AO713" s="319">
        <f t="shared" si="1474"/>
        <v>0</v>
      </c>
      <c r="AP713" s="319">
        <f t="shared" si="1474"/>
        <v>0</v>
      </c>
      <c r="AQ713" s="321">
        <f t="shared" si="1474"/>
        <v>0</v>
      </c>
    </row>
    <row r="714" spans="2:43" s="41" customFormat="1" ht="7.8" customHeight="1" x14ac:dyDescent="0.25">
      <c r="B714" s="616"/>
      <c r="C714" s="617"/>
      <c r="D714" s="617"/>
      <c r="E714" s="620"/>
      <c r="F714" s="621"/>
      <c r="G714" s="621"/>
      <c r="H714" s="621"/>
      <c r="I714" s="621"/>
      <c r="J714" s="621"/>
      <c r="K714" s="621"/>
      <c r="L714" s="621"/>
      <c r="M714" s="621"/>
      <c r="N714" s="621"/>
      <c r="O714" s="621"/>
      <c r="P714" s="621"/>
      <c r="Q714" s="621"/>
      <c r="R714" s="621"/>
      <c r="S714" s="621"/>
      <c r="T714" s="621"/>
      <c r="U714" s="621"/>
      <c r="V714" s="621"/>
      <c r="W714" s="621"/>
      <c r="X714" s="621"/>
      <c r="Y714" s="621"/>
      <c r="AA714" s="291"/>
      <c r="AB714" s="303"/>
      <c r="AC714" s="304"/>
      <c r="AD714" s="305" t="s">
        <v>33</v>
      </c>
      <c r="AE714" s="298">
        <f t="shared" si="1473"/>
        <v>15186.52</v>
      </c>
      <c r="AF714" s="299">
        <f t="shared" si="1474"/>
        <v>0</v>
      </c>
      <c r="AG714" s="300">
        <f t="shared" si="1474"/>
        <v>2315</v>
      </c>
      <c r="AH714" s="300">
        <f t="shared" si="1474"/>
        <v>1240</v>
      </c>
      <c r="AI714" s="300">
        <f t="shared" si="1474"/>
        <v>1290</v>
      </c>
      <c r="AJ714" s="300">
        <f t="shared" si="1474"/>
        <v>4520</v>
      </c>
      <c r="AK714" s="300">
        <f t="shared" si="1474"/>
        <v>1660</v>
      </c>
      <c r="AL714" s="300">
        <f t="shared" si="1474"/>
        <v>1710</v>
      </c>
      <c r="AM714" s="300">
        <f t="shared" si="1474"/>
        <v>2451.5200000000004</v>
      </c>
      <c r="AN714" s="300">
        <f t="shared" si="1474"/>
        <v>0</v>
      </c>
      <c r="AO714" s="300">
        <f t="shared" si="1474"/>
        <v>0</v>
      </c>
      <c r="AP714" s="300">
        <f t="shared" si="1474"/>
        <v>0</v>
      </c>
      <c r="AQ714" s="302">
        <f t="shared" si="1474"/>
        <v>0</v>
      </c>
    </row>
    <row r="715" spans="2:43" ht="7.8" customHeight="1" x14ac:dyDescent="0.25">
      <c r="B715" s="616"/>
      <c r="C715" s="617"/>
      <c r="D715" s="617"/>
      <c r="E715" s="618"/>
      <c r="F715" s="619"/>
      <c r="G715" s="619"/>
      <c r="H715" s="619"/>
      <c r="I715" s="619"/>
      <c r="J715" s="619"/>
      <c r="K715" s="619"/>
      <c r="L715" s="619"/>
      <c r="M715" s="619"/>
      <c r="N715" s="619"/>
      <c r="O715" s="619"/>
      <c r="P715" s="619"/>
      <c r="Q715" s="619"/>
      <c r="R715" s="619"/>
      <c r="S715" s="619"/>
      <c r="T715" s="619"/>
      <c r="U715" s="619"/>
      <c r="V715" s="619"/>
      <c r="W715" s="619"/>
      <c r="X715" s="619"/>
      <c r="Y715" s="619"/>
      <c r="AA715" s="291"/>
      <c r="AB715" s="303"/>
      <c r="AC715" s="313"/>
      <c r="AD715" s="314" t="s">
        <v>30</v>
      </c>
      <c r="AE715" s="308">
        <f t="shared" ref="AE715:AQ715" si="1475">IFERROR(AE714/AE713,0)</f>
        <v>165.07086956521741</v>
      </c>
      <c r="AF715" s="309">
        <f t="shared" si="1475"/>
        <v>0</v>
      </c>
      <c r="AG715" s="310">
        <f t="shared" si="1475"/>
        <v>178.07692307692307</v>
      </c>
      <c r="AH715" s="310">
        <f t="shared" si="1475"/>
        <v>155</v>
      </c>
      <c r="AI715" s="310">
        <f t="shared" si="1475"/>
        <v>143.33333333333334</v>
      </c>
      <c r="AJ715" s="310">
        <f t="shared" si="1475"/>
        <v>167.40740740740742</v>
      </c>
      <c r="AK715" s="310">
        <f t="shared" si="1475"/>
        <v>184.44444444444446</v>
      </c>
      <c r="AL715" s="310">
        <f t="shared" si="1475"/>
        <v>171</v>
      </c>
      <c r="AM715" s="310">
        <f t="shared" si="1475"/>
        <v>153.22000000000003</v>
      </c>
      <c r="AN715" s="310">
        <f t="shared" si="1475"/>
        <v>0</v>
      </c>
      <c r="AO715" s="310">
        <f t="shared" si="1475"/>
        <v>0</v>
      </c>
      <c r="AP715" s="310">
        <f t="shared" si="1475"/>
        <v>0</v>
      </c>
      <c r="AQ715" s="312">
        <f t="shared" si="1475"/>
        <v>0</v>
      </c>
    </row>
    <row r="716" spans="2:43" ht="7.8" customHeight="1" x14ac:dyDescent="0.25">
      <c r="B716" s="616"/>
      <c r="C716" s="617"/>
      <c r="D716" s="617"/>
      <c r="E716" s="618"/>
      <c r="F716" s="619"/>
      <c r="G716" s="619"/>
      <c r="H716" s="619"/>
      <c r="I716" s="619"/>
      <c r="J716" s="619"/>
      <c r="K716" s="619"/>
      <c r="L716" s="619"/>
      <c r="M716" s="619"/>
      <c r="N716" s="619"/>
      <c r="O716" s="619"/>
      <c r="P716" s="619"/>
      <c r="Q716" s="619"/>
      <c r="R716" s="619"/>
      <c r="S716" s="619"/>
      <c r="T716" s="619"/>
      <c r="U716" s="619"/>
      <c r="V716" s="619"/>
      <c r="W716" s="619"/>
      <c r="X716" s="619"/>
      <c r="Y716" s="619"/>
      <c r="AA716" s="291"/>
      <c r="AB716" s="303"/>
      <c r="AC716" s="331" t="s">
        <v>42</v>
      </c>
      <c r="AD716" s="332" t="s">
        <v>32</v>
      </c>
      <c r="AE716" s="333">
        <f t="shared" ref="AE716:AE717" si="1476">SUM(AF716:AQ716)</f>
        <v>0</v>
      </c>
      <c r="AF716" s="334">
        <f t="shared" ref="AF716:AQ717" si="1477">SUM(AF734,AF752)</f>
        <v>0</v>
      </c>
      <c r="AG716" s="335">
        <f t="shared" si="1477"/>
        <v>0</v>
      </c>
      <c r="AH716" s="335">
        <f t="shared" si="1477"/>
        <v>0</v>
      </c>
      <c r="AI716" s="335">
        <f t="shared" si="1477"/>
        <v>0</v>
      </c>
      <c r="AJ716" s="335">
        <f t="shared" si="1477"/>
        <v>0</v>
      </c>
      <c r="AK716" s="335">
        <f t="shared" si="1477"/>
        <v>0</v>
      </c>
      <c r="AL716" s="335">
        <f t="shared" si="1477"/>
        <v>0</v>
      </c>
      <c r="AM716" s="335">
        <f t="shared" si="1477"/>
        <v>0</v>
      </c>
      <c r="AN716" s="335">
        <f t="shared" si="1477"/>
        <v>0</v>
      </c>
      <c r="AO716" s="335">
        <f t="shared" si="1477"/>
        <v>0</v>
      </c>
      <c r="AP716" s="335">
        <f t="shared" si="1477"/>
        <v>0</v>
      </c>
      <c r="AQ716" s="336">
        <f t="shared" si="1477"/>
        <v>0</v>
      </c>
    </row>
    <row r="717" spans="2:43" s="41" customFormat="1" ht="7.8" customHeight="1" x14ac:dyDescent="0.25">
      <c r="B717" s="616"/>
      <c r="C717" s="617"/>
      <c r="D717" s="617"/>
      <c r="E717" s="620"/>
      <c r="F717" s="621"/>
      <c r="G717" s="621"/>
      <c r="H717" s="621"/>
      <c r="I717" s="621"/>
      <c r="J717" s="621"/>
      <c r="K717" s="621"/>
      <c r="L717" s="621"/>
      <c r="M717" s="621"/>
      <c r="N717" s="621"/>
      <c r="O717" s="621"/>
      <c r="P717" s="621"/>
      <c r="Q717" s="621"/>
      <c r="R717" s="621"/>
      <c r="S717" s="621"/>
      <c r="T717" s="621"/>
      <c r="U717" s="621"/>
      <c r="V717" s="621"/>
      <c r="W717" s="621"/>
      <c r="X717" s="621"/>
      <c r="Y717" s="621"/>
      <c r="AA717" s="291"/>
      <c r="AB717" s="303"/>
      <c r="AC717" s="344"/>
      <c r="AD717" s="345" t="s">
        <v>33</v>
      </c>
      <c r="AE717" s="346">
        <f t="shared" si="1476"/>
        <v>0</v>
      </c>
      <c r="AF717" s="347">
        <f t="shared" si="1477"/>
        <v>0</v>
      </c>
      <c r="AG717" s="348">
        <f t="shared" si="1477"/>
        <v>0</v>
      </c>
      <c r="AH717" s="348">
        <f t="shared" si="1477"/>
        <v>0</v>
      </c>
      <c r="AI717" s="348">
        <f t="shared" si="1477"/>
        <v>0</v>
      </c>
      <c r="AJ717" s="348">
        <f t="shared" si="1477"/>
        <v>0</v>
      </c>
      <c r="AK717" s="348">
        <f t="shared" si="1477"/>
        <v>0</v>
      </c>
      <c r="AL717" s="348">
        <f t="shared" si="1477"/>
        <v>0</v>
      </c>
      <c r="AM717" s="348">
        <f t="shared" si="1477"/>
        <v>0</v>
      </c>
      <c r="AN717" s="348">
        <f t="shared" si="1477"/>
        <v>0</v>
      </c>
      <c r="AO717" s="348">
        <f t="shared" si="1477"/>
        <v>0</v>
      </c>
      <c r="AP717" s="348">
        <f t="shared" si="1477"/>
        <v>0</v>
      </c>
      <c r="AQ717" s="349">
        <f t="shared" si="1477"/>
        <v>0</v>
      </c>
    </row>
    <row r="718" spans="2:43" ht="7.8" customHeight="1" x14ac:dyDescent="0.25">
      <c r="B718" s="616"/>
      <c r="C718" s="617"/>
      <c r="D718" s="617"/>
      <c r="E718" s="618"/>
      <c r="F718" s="619"/>
      <c r="G718" s="619"/>
      <c r="H718" s="619"/>
      <c r="I718" s="619"/>
      <c r="J718" s="619"/>
      <c r="K718" s="619"/>
      <c r="L718" s="619"/>
      <c r="M718" s="619"/>
      <c r="N718" s="619"/>
      <c r="O718" s="619"/>
      <c r="P718" s="619"/>
      <c r="Q718" s="619"/>
      <c r="R718" s="619"/>
      <c r="S718" s="619"/>
      <c r="T718" s="619"/>
      <c r="U718" s="619"/>
      <c r="V718" s="619"/>
      <c r="W718" s="619"/>
      <c r="X718" s="619"/>
      <c r="Y718" s="619"/>
      <c r="AA718" s="291"/>
      <c r="AB718" s="303"/>
      <c r="AC718" s="357"/>
      <c r="AD718" s="358" t="s">
        <v>30</v>
      </c>
      <c r="AE718" s="359">
        <f t="shared" ref="AE718:AQ718" si="1478">IFERROR(AE717/AE716,0)</f>
        <v>0</v>
      </c>
      <c r="AF718" s="360">
        <f t="shared" si="1478"/>
        <v>0</v>
      </c>
      <c r="AG718" s="361">
        <f t="shared" si="1478"/>
        <v>0</v>
      </c>
      <c r="AH718" s="361">
        <f t="shared" si="1478"/>
        <v>0</v>
      </c>
      <c r="AI718" s="361">
        <f t="shared" si="1478"/>
        <v>0</v>
      </c>
      <c r="AJ718" s="361">
        <f t="shared" si="1478"/>
        <v>0</v>
      </c>
      <c r="AK718" s="361">
        <f t="shared" si="1478"/>
        <v>0</v>
      </c>
      <c r="AL718" s="361">
        <f t="shared" si="1478"/>
        <v>0</v>
      </c>
      <c r="AM718" s="361">
        <f t="shared" si="1478"/>
        <v>0</v>
      </c>
      <c r="AN718" s="361">
        <f t="shared" si="1478"/>
        <v>0</v>
      </c>
      <c r="AO718" s="361">
        <f t="shared" si="1478"/>
        <v>0</v>
      </c>
      <c r="AP718" s="361">
        <f t="shared" si="1478"/>
        <v>0</v>
      </c>
      <c r="AQ718" s="362">
        <f t="shared" si="1478"/>
        <v>0</v>
      </c>
    </row>
    <row r="719" spans="2:43" ht="7.8" customHeight="1" x14ac:dyDescent="0.25">
      <c r="B719" s="616"/>
      <c r="C719" s="617"/>
      <c r="D719" s="617"/>
      <c r="E719" s="618"/>
      <c r="F719" s="622"/>
      <c r="G719" s="622"/>
      <c r="H719" s="622"/>
      <c r="I719" s="622"/>
      <c r="J719" s="622"/>
      <c r="K719" s="622"/>
      <c r="L719" s="622"/>
      <c r="M719" s="622"/>
      <c r="N719" s="622"/>
      <c r="O719" s="622"/>
      <c r="P719" s="622"/>
      <c r="Q719" s="622"/>
      <c r="R719" s="622"/>
      <c r="S719" s="622"/>
      <c r="T719" s="622"/>
      <c r="U719" s="622"/>
      <c r="V719" s="622"/>
      <c r="W719" s="622"/>
      <c r="X719" s="622"/>
      <c r="Y719" s="622"/>
      <c r="AA719" s="291"/>
      <c r="AB719" s="303"/>
      <c r="AC719" s="364" t="s">
        <v>43</v>
      </c>
      <c r="AD719" s="323" t="s">
        <v>32</v>
      </c>
      <c r="AE719" s="317">
        <f t="shared" ref="AE719:AQ721" si="1479">AE716-AE713</f>
        <v>-92</v>
      </c>
      <c r="AF719" s="318">
        <f t="shared" si="1479"/>
        <v>0</v>
      </c>
      <c r="AG719" s="319">
        <f t="shared" si="1479"/>
        <v>-13</v>
      </c>
      <c r="AH719" s="319">
        <f t="shared" si="1479"/>
        <v>-8</v>
      </c>
      <c r="AI719" s="319">
        <f t="shared" si="1479"/>
        <v>-9</v>
      </c>
      <c r="AJ719" s="319">
        <f t="shared" si="1479"/>
        <v>-27</v>
      </c>
      <c r="AK719" s="319">
        <f t="shared" si="1479"/>
        <v>-9</v>
      </c>
      <c r="AL719" s="319">
        <f t="shared" si="1479"/>
        <v>-10</v>
      </c>
      <c r="AM719" s="319">
        <f t="shared" si="1479"/>
        <v>-16</v>
      </c>
      <c r="AN719" s="319">
        <f t="shared" si="1479"/>
        <v>0</v>
      </c>
      <c r="AO719" s="319">
        <f t="shared" si="1479"/>
        <v>0</v>
      </c>
      <c r="AP719" s="319">
        <f t="shared" si="1479"/>
        <v>0</v>
      </c>
      <c r="AQ719" s="321">
        <f t="shared" si="1479"/>
        <v>0</v>
      </c>
    </row>
    <row r="720" spans="2:43" s="366" customFormat="1" ht="7.8" customHeight="1" x14ac:dyDescent="0.25">
      <c r="B720" s="616"/>
      <c r="C720" s="617"/>
      <c r="D720" s="617"/>
      <c r="E720" s="623"/>
      <c r="F720" s="622"/>
      <c r="G720" s="622"/>
      <c r="H720" s="622"/>
      <c r="I720" s="622"/>
      <c r="J720" s="622"/>
      <c r="K720" s="622"/>
      <c r="L720" s="622"/>
      <c r="M720" s="622"/>
      <c r="N720" s="622"/>
      <c r="O720" s="622"/>
      <c r="P720" s="622"/>
      <c r="Q720" s="622"/>
      <c r="R720" s="622"/>
      <c r="S720" s="622"/>
      <c r="T720" s="622"/>
      <c r="U720" s="622"/>
      <c r="V720" s="622"/>
      <c r="W720" s="622"/>
      <c r="X720" s="622"/>
      <c r="Y720" s="622"/>
      <c r="AA720" s="291"/>
      <c r="AB720" s="303"/>
      <c r="AC720" s="367"/>
      <c r="AD720" s="368" t="s">
        <v>33</v>
      </c>
      <c r="AE720" s="298">
        <f t="shared" si="1479"/>
        <v>-15186.52</v>
      </c>
      <c r="AF720" s="299">
        <f t="shared" si="1479"/>
        <v>0</v>
      </c>
      <c r="AG720" s="300">
        <f t="shared" si="1479"/>
        <v>-2315</v>
      </c>
      <c r="AH720" s="300">
        <f t="shared" si="1479"/>
        <v>-1240</v>
      </c>
      <c r="AI720" s="300">
        <f t="shared" si="1479"/>
        <v>-1290</v>
      </c>
      <c r="AJ720" s="300">
        <f t="shared" si="1479"/>
        <v>-4520</v>
      </c>
      <c r="AK720" s="300">
        <f t="shared" si="1479"/>
        <v>-1660</v>
      </c>
      <c r="AL720" s="300">
        <f t="shared" si="1479"/>
        <v>-1710</v>
      </c>
      <c r="AM720" s="300">
        <f t="shared" si="1479"/>
        <v>-2451.5200000000004</v>
      </c>
      <c r="AN720" s="300">
        <f t="shared" si="1479"/>
        <v>0</v>
      </c>
      <c r="AO720" s="300">
        <f t="shared" si="1479"/>
        <v>0</v>
      </c>
      <c r="AP720" s="300">
        <f t="shared" si="1479"/>
        <v>0</v>
      </c>
      <c r="AQ720" s="302">
        <f t="shared" si="1479"/>
        <v>0</v>
      </c>
    </row>
    <row r="721" spans="2:43" ht="7.8" customHeight="1" x14ac:dyDescent="0.25">
      <c r="B721" s="616"/>
      <c r="C721" s="617"/>
      <c r="D721" s="617"/>
      <c r="E721" s="618"/>
      <c r="F721" s="622"/>
      <c r="G721" s="622"/>
      <c r="H721" s="622"/>
      <c r="I721" s="622"/>
      <c r="J721" s="622"/>
      <c r="K721" s="622"/>
      <c r="L721" s="622"/>
      <c r="M721" s="622"/>
      <c r="N721" s="622"/>
      <c r="O721" s="622"/>
      <c r="P721" s="622"/>
      <c r="Q721" s="622"/>
      <c r="R721" s="622"/>
      <c r="S721" s="622"/>
      <c r="T721" s="622"/>
      <c r="U721" s="622"/>
      <c r="V721" s="622"/>
      <c r="W721" s="622"/>
      <c r="X721" s="622"/>
      <c r="Y721" s="622"/>
      <c r="AA721" s="291"/>
      <c r="AB721" s="303"/>
      <c r="AC721" s="369"/>
      <c r="AD721" s="314" t="s">
        <v>30</v>
      </c>
      <c r="AE721" s="308">
        <f t="shared" si="1479"/>
        <v>-165.07086956521741</v>
      </c>
      <c r="AF721" s="309">
        <f t="shared" si="1479"/>
        <v>0</v>
      </c>
      <c r="AG721" s="310">
        <f t="shared" si="1479"/>
        <v>-178.07692307692307</v>
      </c>
      <c r="AH721" s="310">
        <f t="shared" si="1479"/>
        <v>-155</v>
      </c>
      <c r="AI721" s="310">
        <f t="shared" si="1479"/>
        <v>-143.33333333333334</v>
      </c>
      <c r="AJ721" s="310">
        <f t="shared" si="1479"/>
        <v>-167.40740740740742</v>
      </c>
      <c r="AK721" s="310">
        <f t="shared" si="1479"/>
        <v>-184.44444444444446</v>
      </c>
      <c r="AL721" s="310">
        <f t="shared" si="1479"/>
        <v>-171</v>
      </c>
      <c r="AM721" s="310">
        <f t="shared" si="1479"/>
        <v>-153.22000000000003</v>
      </c>
      <c r="AN721" s="310">
        <f t="shared" si="1479"/>
        <v>0</v>
      </c>
      <c r="AO721" s="310">
        <f t="shared" si="1479"/>
        <v>0</v>
      </c>
      <c r="AP721" s="310">
        <f t="shared" si="1479"/>
        <v>0</v>
      </c>
      <c r="AQ721" s="312">
        <f t="shared" si="1479"/>
        <v>0</v>
      </c>
    </row>
    <row r="722" spans="2:43" ht="7.8" customHeight="1" x14ac:dyDescent="0.25">
      <c r="B722" s="616"/>
      <c r="C722" s="617"/>
      <c r="D722" s="617"/>
      <c r="E722" s="618"/>
      <c r="F722" s="624"/>
      <c r="G722" s="624"/>
      <c r="H722" s="624"/>
      <c r="I722" s="624"/>
      <c r="J722" s="624"/>
      <c r="K722" s="624"/>
      <c r="L722" s="624"/>
      <c r="M722" s="624"/>
      <c r="N722" s="624"/>
      <c r="O722" s="624"/>
      <c r="P722" s="624"/>
      <c r="Q722" s="624"/>
      <c r="R722" s="624"/>
      <c r="S722" s="624"/>
      <c r="T722" s="624"/>
      <c r="U722" s="624"/>
      <c r="V722" s="624"/>
      <c r="W722" s="624"/>
      <c r="X722" s="624"/>
      <c r="Y722" s="624"/>
      <c r="AA722" s="291"/>
      <c r="AB722" s="303"/>
      <c r="AC722" s="364" t="s">
        <v>44</v>
      </c>
      <c r="AD722" s="323" t="s">
        <v>32</v>
      </c>
      <c r="AE722" s="370">
        <f t="shared" ref="AE722:AQ724" si="1480">IFERROR((AE716-AE713)/ABS(AE713),"")</f>
        <v>-1</v>
      </c>
      <c r="AF722" s="371" t="str">
        <f t="shared" si="1480"/>
        <v/>
      </c>
      <c r="AG722" s="372">
        <f t="shared" si="1480"/>
        <v>-1</v>
      </c>
      <c r="AH722" s="372">
        <f t="shared" si="1480"/>
        <v>-1</v>
      </c>
      <c r="AI722" s="372">
        <f t="shared" si="1480"/>
        <v>-1</v>
      </c>
      <c r="AJ722" s="372">
        <f t="shared" si="1480"/>
        <v>-1</v>
      </c>
      <c r="AK722" s="372">
        <f t="shared" si="1480"/>
        <v>-1</v>
      </c>
      <c r="AL722" s="372">
        <f t="shared" si="1480"/>
        <v>-1</v>
      </c>
      <c r="AM722" s="372">
        <f t="shared" si="1480"/>
        <v>-1</v>
      </c>
      <c r="AN722" s="372" t="str">
        <f t="shared" si="1480"/>
        <v/>
      </c>
      <c r="AO722" s="372" t="str">
        <f t="shared" si="1480"/>
        <v/>
      </c>
      <c r="AP722" s="372" t="str">
        <f t="shared" si="1480"/>
        <v/>
      </c>
      <c r="AQ722" s="374" t="str">
        <f t="shared" si="1480"/>
        <v/>
      </c>
    </row>
    <row r="723" spans="2:43" ht="7.8" customHeight="1" x14ac:dyDescent="0.25">
      <c r="B723" s="616"/>
      <c r="C723" s="617"/>
      <c r="D723" s="617"/>
      <c r="E723" s="618"/>
      <c r="F723" s="624"/>
      <c r="G723" s="624"/>
      <c r="H723" s="624"/>
      <c r="I723" s="624"/>
      <c r="J723" s="624"/>
      <c r="K723" s="624"/>
      <c r="L723" s="624"/>
      <c r="M723" s="624"/>
      <c r="N723" s="624"/>
      <c r="O723" s="624"/>
      <c r="P723" s="624"/>
      <c r="Q723" s="624"/>
      <c r="R723" s="624"/>
      <c r="S723" s="624"/>
      <c r="T723" s="624"/>
      <c r="U723" s="624"/>
      <c r="V723" s="624"/>
      <c r="W723" s="624"/>
      <c r="X723" s="624"/>
      <c r="Y723" s="624"/>
      <c r="AA723" s="291"/>
      <c r="AB723" s="303"/>
      <c r="AC723" s="367"/>
      <c r="AD723" s="381" t="s">
        <v>33</v>
      </c>
      <c r="AE723" s="376">
        <f t="shared" si="1480"/>
        <v>-1</v>
      </c>
      <c r="AF723" s="377" t="str">
        <f t="shared" si="1480"/>
        <v/>
      </c>
      <c r="AG723" s="378">
        <f t="shared" si="1480"/>
        <v>-1</v>
      </c>
      <c r="AH723" s="378">
        <f t="shared" si="1480"/>
        <v>-1</v>
      </c>
      <c r="AI723" s="378">
        <f t="shared" si="1480"/>
        <v>-1</v>
      </c>
      <c r="AJ723" s="378">
        <f t="shared" si="1480"/>
        <v>-1</v>
      </c>
      <c r="AK723" s="378">
        <f t="shared" si="1480"/>
        <v>-1</v>
      </c>
      <c r="AL723" s="378">
        <f t="shared" si="1480"/>
        <v>-1</v>
      </c>
      <c r="AM723" s="378">
        <f t="shared" si="1480"/>
        <v>-1</v>
      </c>
      <c r="AN723" s="378" t="str">
        <f t="shared" si="1480"/>
        <v/>
      </c>
      <c r="AO723" s="378" t="str">
        <f t="shared" si="1480"/>
        <v/>
      </c>
      <c r="AP723" s="378" t="str">
        <f t="shared" si="1480"/>
        <v/>
      </c>
      <c r="AQ723" s="380" t="str">
        <f t="shared" si="1480"/>
        <v/>
      </c>
    </row>
    <row r="724" spans="2:43" ht="7.8" customHeight="1" x14ac:dyDescent="0.25">
      <c r="B724" s="616"/>
      <c r="C724" s="617"/>
      <c r="D724" s="617"/>
      <c r="E724" s="618"/>
      <c r="F724" s="624"/>
      <c r="G724" s="624"/>
      <c r="H724" s="624"/>
      <c r="I724" s="624"/>
      <c r="J724" s="624"/>
      <c r="K724" s="624"/>
      <c r="L724" s="624"/>
      <c r="M724" s="624"/>
      <c r="N724" s="624"/>
      <c r="O724" s="624"/>
      <c r="P724" s="624"/>
      <c r="Q724" s="624"/>
      <c r="R724" s="624"/>
      <c r="S724" s="624"/>
      <c r="T724" s="624"/>
      <c r="U724" s="624"/>
      <c r="V724" s="624"/>
      <c r="W724" s="624"/>
      <c r="X724" s="624"/>
      <c r="Y724" s="624"/>
      <c r="AA724" s="291"/>
      <c r="AB724" s="390"/>
      <c r="AC724" s="391"/>
      <c r="AD724" s="392" t="s">
        <v>30</v>
      </c>
      <c r="AE724" s="385">
        <f t="shared" si="1480"/>
        <v>-1</v>
      </c>
      <c r="AF724" s="386" t="str">
        <f t="shared" si="1480"/>
        <v/>
      </c>
      <c r="AG724" s="387">
        <f t="shared" si="1480"/>
        <v>-1</v>
      </c>
      <c r="AH724" s="387">
        <f t="shared" si="1480"/>
        <v>-1</v>
      </c>
      <c r="AI724" s="387">
        <f t="shared" si="1480"/>
        <v>-1</v>
      </c>
      <c r="AJ724" s="387">
        <f t="shared" si="1480"/>
        <v>-1</v>
      </c>
      <c r="AK724" s="387">
        <f t="shared" si="1480"/>
        <v>-1</v>
      </c>
      <c r="AL724" s="387">
        <f t="shared" si="1480"/>
        <v>-1</v>
      </c>
      <c r="AM724" s="387">
        <f t="shared" si="1480"/>
        <v>-1</v>
      </c>
      <c r="AN724" s="387" t="str">
        <f t="shared" si="1480"/>
        <v/>
      </c>
      <c r="AO724" s="387" t="str">
        <f t="shared" si="1480"/>
        <v/>
      </c>
      <c r="AP724" s="387" t="str">
        <f t="shared" si="1480"/>
        <v/>
      </c>
      <c r="AQ724" s="389" t="str">
        <f t="shared" si="1480"/>
        <v/>
      </c>
    </row>
    <row r="725" spans="2:43" ht="7.8" customHeight="1" x14ac:dyDescent="0.25">
      <c r="B725" s="616"/>
      <c r="C725" s="625"/>
      <c r="D725" s="617"/>
      <c r="E725" s="618"/>
      <c r="F725" s="619"/>
      <c r="G725" s="619"/>
      <c r="H725" s="619"/>
      <c r="I725" s="619"/>
      <c r="J725" s="619"/>
      <c r="K725" s="619"/>
      <c r="L725" s="619"/>
      <c r="M725" s="619"/>
      <c r="N725" s="619"/>
      <c r="O725" s="619"/>
      <c r="P725" s="619"/>
      <c r="Q725" s="619"/>
      <c r="R725" s="619"/>
      <c r="S725" s="619"/>
      <c r="T725" s="619"/>
      <c r="U725" s="619"/>
      <c r="V725" s="619"/>
      <c r="W725" s="619"/>
      <c r="X725" s="619"/>
      <c r="Y725" s="619"/>
      <c r="AA725" s="291"/>
      <c r="AB725" s="401" t="s">
        <v>48</v>
      </c>
      <c r="AC725" s="402" t="s">
        <v>39</v>
      </c>
      <c r="AD725" s="403" t="s">
        <v>32</v>
      </c>
      <c r="AE725" s="396">
        <f t="shared" ref="AE725:AE726" si="1481">SUM(AF725:AQ725)</f>
        <v>0</v>
      </c>
      <c r="AF725" s="397">
        <f>$S$77</f>
        <v>0</v>
      </c>
      <c r="AG725" s="398">
        <f>$S$131</f>
        <v>0</v>
      </c>
      <c r="AH725" s="398">
        <f>$S$185</f>
        <v>0</v>
      </c>
      <c r="AI725" s="398">
        <f>$S$239</f>
        <v>0</v>
      </c>
      <c r="AJ725" s="398">
        <f>$S$293</f>
        <v>0</v>
      </c>
      <c r="AK725" s="398">
        <f>$S$347</f>
        <v>0</v>
      </c>
      <c r="AL725" s="398">
        <f>$S$401</f>
        <v>0</v>
      </c>
      <c r="AM725" s="398">
        <f>$S$455</f>
        <v>0</v>
      </c>
      <c r="AN725" s="398">
        <f>$S$509</f>
        <v>0</v>
      </c>
      <c r="AO725" s="398">
        <f>$S$563</f>
        <v>0</v>
      </c>
      <c r="AP725" s="398">
        <f>$S$617</f>
        <v>0</v>
      </c>
      <c r="AQ725" s="400">
        <f>$S$671</f>
        <v>0</v>
      </c>
    </row>
    <row r="726" spans="2:43" s="41" customFormat="1" ht="7.8" customHeight="1" x14ac:dyDescent="0.25">
      <c r="B726" s="616"/>
      <c r="C726" s="625"/>
      <c r="D726" s="617"/>
      <c r="E726" s="620"/>
      <c r="F726" s="621"/>
      <c r="G726" s="621"/>
      <c r="H726" s="621"/>
      <c r="I726" s="621"/>
      <c r="J726" s="621"/>
      <c r="K726" s="621"/>
      <c r="L726" s="621"/>
      <c r="M726" s="621"/>
      <c r="N726" s="621"/>
      <c r="O726" s="621"/>
      <c r="P726" s="621"/>
      <c r="Q726" s="621"/>
      <c r="R726" s="621"/>
      <c r="S726" s="621"/>
      <c r="T726" s="621"/>
      <c r="U726" s="621"/>
      <c r="V726" s="621"/>
      <c r="W726" s="621"/>
      <c r="X726" s="621"/>
      <c r="Y726" s="621"/>
      <c r="AA726" s="291"/>
      <c r="AB726" s="412"/>
      <c r="AC726" s="413"/>
      <c r="AD726" s="414" t="s">
        <v>33</v>
      </c>
      <c r="AE726" s="407">
        <f t="shared" si="1481"/>
        <v>0</v>
      </c>
      <c r="AF726" s="408">
        <f>$S$78</f>
        <v>0</v>
      </c>
      <c r="AG726" s="409">
        <f>$S$132</f>
        <v>0</v>
      </c>
      <c r="AH726" s="409">
        <f>$S$186</f>
        <v>0</v>
      </c>
      <c r="AI726" s="409">
        <f>$S$240</f>
        <v>0</v>
      </c>
      <c r="AJ726" s="409">
        <f>$S$294</f>
        <v>0</v>
      </c>
      <c r="AK726" s="409">
        <f>$S$348</f>
        <v>0</v>
      </c>
      <c r="AL726" s="409">
        <f>$S$402</f>
        <v>0</v>
      </c>
      <c r="AM726" s="409">
        <f>$S$456</f>
        <v>0</v>
      </c>
      <c r="AN726" s="409">
        <f>$S$510</f>
        <v>0</v>
      </c>
      <c r="AO726" s="409">
        <f>$S$564</f>
        <v>0</v>
      </c>
      <c r="AP726" s="409">
        <f>$S$618</f>
        <v>0</v>
      </c>
      <c r="AQ726" s="411">
        <f>$S$672</f>
        <v>0</v>
      </c>
    </row>
    <row r="727" spans="2:43" ht="7.8" customHeight="1" x14ac:dyDescent="0.25">
      <c r="B727" s="616"/>
      <c r="C727" s="625"/>
      <c r="D727" s="617"/>
      <c r="E727" s="618"/>
      <c r="F727" s="619"/>
      <c r="G727" s="619"/>
      <c r="H727" s="619"/>
      <c r="I727" s="619"/>
      <c r="J727" s="619"/>
      <c r="K727" s="619"/>
      <c r="L727" s="619"/>
      <c r="M727" s="619"/>
      <c r="N727" s="619"/>
      <c r="O727" s="619"/>
      <c r="P727" s="619"/>
      <c r="Q727" s="619"/>
      <c r="R727" s="619"/>
      <c r="S727" s="619"/>
      <c r="T727" s="619"/>
      <c r="U727" s="619"/>
      <c r="V727" s="619"/>
      <c r="W727" s="619"/>
      <c r="X727" s="619"/>
      <c r="Y727" s="619"/>
      <c r="AA727" s="291"/>
      <c r="AB727" s="412"/>
      <c r="AC727" s="422"/>
      <c r="AD727" s="423" t="s">
        <v>30</v>
      </c>
      <c r="AE727" s="417">
        <f t="shared" ref="AE727:AQ727" si="1482">IFERROR(AE726/AE725,0)</f>
        <v>0</v>
      </c>
      <c r="AF727" s="418">
        <f t="shared" si="1482"/>
        <v>0</v>
      </c>
      <c r="AG727" s="419">
        <f t="shared" si="1482"/>
        <v>0</v>
      </c>
      <c r="AH727" s="419">
        <f t="shared" si="1482"/>
        <v>0</v>
      </c>
      <c r="AI727" s="419">
        <f t="shared" si="1482"/>
        <v>0</v>
      </c>
      <c r="AJ727" s="419">
        <f t="shared" si="1482"/>
        <v>0</v>
      </c>
      <c r="AK727" s="419">
        <f t="shared" si="1482"/>
        <v>0</v>
      </c>
      <c r="AL727" s="419">
        <f t="shared" si="1482"/>
        <v>0</v>
      </c>
      <c r="AM727" s="419">
        <f t="shared" si="1482"/>
        <v>0</v>
      </c>
      <c r="AN727" s="419">
        <f t="shared" si="1482"/>
        <v>0</v>
      </c>
      <c r="AO727" s="419">
        <f t="shared" si="1482"/>
        <v>0</v>
      </c>
      <c r="AP727" s="419">
        <f t="shared" si="1482"/>
        <v>0</v>
      </c>
      <c r="AQ727" s="421">
        <f t="shared" si="1482"/>
        <v>0</v>
      </c>
    </row>
    <row r="728" spans="2:43" ht="7.8" customHeight="1" x14ac:dyDescent="0.25">
      <c r="B728" s="616"/>
      <c r="C728" s="625"/>
      <c r="D728" s="617"/>
      <c r="E728" s="618"/>
      <c r="F728" s="619"/>
      <c r="G728" s="619"/>
      <c r="H728" s="619"/>
      <c r="I728" s="619"/>
      <c r="J728" s="619"/>
      <c r="K728" s="619"/>
      <c r="L728" s="619"/>
      <c r="M728" s="619"/>
      <c r="N728" s="619"/>
      <c r="O728" s="619"/>
      <c r="P728" s="619"/>
      <c r="Q728" s="619"/>
      <c r="R728" s="619"/>
      <c r="S728" s="619"/>
      <c r="T728" s="619"/>
      <c r="U728" s="619"/>
      <c r="V728" s="619"/>
      <c r="W728" s="619"/>
      <c r="X728" s="619"/>
      <c r="Y728" s="619"/>
      <c r="AA728" s="291"/>
      <c r="AB728" s="412"/>
      <c r="AC728" s="431" t="s">
        <v>40</v>
      </c>
      <c r="AD728" s="432" t="s">
        <v>32</v>
      </c>
      <c r="AE728" s="426">
        <f t="shared" ref="AE728:AE729" si="1483">SUM(AF728:AQ728)</f>
        <v>55</v>
      </c>
      <c r="AF728" s="427">
        <f>$S$80</f>
        <v>5</v>
      </c>
      <c r="AG728" s="428">
        <f>$S$134</f>
        <v>3</v>
      </c>
      <c r="AH728" s="428">
        <f>$S$188</f>
        <v>0</v>
      </c>
      <c r="AI728" s="428">
        <f>$S$242</f>
        <v>5</v>
      </c>
      <c r="AJ728" s="428">
        <f>$S$296</f>
        <v>7</v>
      </c>
      <c r="AK728" s="428">
        <f>$S$350</f>
        <v>5</v>
      </c>
      <c r="AL728" s="428">
        <f>$S$404</f>
        <v>5</v>
      </c>
      <c r="AM728" s="428">
        <f>$S$458</f>
        <v>5</v>
      </c>
      <c r="AN728" s="428">
        <f>$S$512</f>
        <v>10</v>
      </c>
      <c r="AO728" s="428">
        <f>$S$566</f>
        <v>2</v>
      </c>
      <c r="AP728" s="428">
        <f>$S$620</f>
        <v>6</v>
      </c>
      <c r="AQ728" s="430">
        <f>$S$674</f>
        <v>2</v>
      </c>
    </row>
    <row r="729" spans="2:43" s="41" customFormat="1" ht="7.8" customHeight="1" x14ac:dyDescent="0.25">
      <c r="B729" s="616"/>
      <c r="C729" s="625"/>
      <c r="D729" s="617"/>
      <c r="E729" s="620"/>
      <c r="F729" s="621"/>
      <c r="G729" s="621"/>
      <c r="H729" s="621"/>
      <c r="I729" s="621"/>
      <c r="J729" s="621"/>
      <c r="K729" s="621"/>
      <c r="L729" s="621"/>
      <c r="M729" s="621"/>
      <c r="N729" s="621"/>
      <c r="O729" s="621"/>
      <c r="P729" s="621"/>
      <c r="Q729" s="621"/>
      <c r="R729" s="621"/>
      <c r="S729" s="621"/>
      <c r="T729" s="621"/>
      <c r="U729" s="621"/>
      <c r="V729" s="621"/>
      <c r="W729" s="621"/>
      <c r="X729" s="621"/>
      <c r="Y729" s="621"/>
      <c r="AA729" s="291"/>
      <c r="AB729" s="412"/>
      <c r="AC729" s="413"/>
      <c r="AD729" s="414" t="s">
        <v>33</v>
      </c>
      <c r="AE729" s="407">
        <f t="shared" si="1483"/>
        <v>8375</v>
      </c>
      <c r="AF729" s="408">
        <f>$S$81</f>
        <v>645</v>
      </c>
      <c r="AG729" s="409">
        <f>$S$135</f>
        <v>480</v>
      </c>
      <c r="AH729" s="409">
        <f>$S$189</f>
        <v>0</v>
      </c>
      <c r="AI729" s="409">
        <f>$S$243</f>
        <v>840</v>
      </c>
      <c r="AJ729" s="409">
        <f>$S$297</f>
        <v>955</v>
      </c>
      <c r="AK729" s="409">
        <f>$S$351</f>
        <v>675</v>
      </c>
      <c r="AL729" s="409">
        <f>$S$405</f>
        <v>900</v>
      </c>
      <c r="AM729" s="409">
        <f>$S$459</f>
        <v>780</v>
      </c>
      <c r="AN729" s="409">
        <f>$S$513</f>
        <v>1400</v>
      </c>
      <c r="AO729" s="409">
        <f>$S$567</f>
        <v>280</v>
      </c>
      <c r="AP729" s="409">
        <f>$S$621</f>
        <v>1000</v>
      </c>
      <c r="AQ729" s="411">
        <f>$S$675</f>
        <v>420</v>
      </c>
    </row>
    <row r="730" spans="2:43" ht="7.8" customHeight="1" x14ac:dyDescent="0.25">
      <c r="B730" s="616"/>
      <c r="C730" s="625"/>
      <c r="D730" s="617"/>
      <c r="E730" s="618"/>
      <c r="F730" s="619"/>
      <c r="G730" s="619"/>
      <c r="H730" s="619"/>
      <c r="I730" s="619"/>
      <c r="J730" s="619"/>
      <c r="K730" s="619"/>
      <c r="L730" s="619"/>
      <c r="M730" s="619"/>
      <c r="N730" s="619"/>
      <c r="O730" s="619"/>
      <c r="P730" s="619"/>
      <c r="Q730" s="619"/>
      <c r="R730" s="619"/>
      <c r="S730" s="619"/>
      <c r="T730" s="619"/>
      <c r="U730" s="619"/>
      <c r="V730" s="619"/>
      <c r="W730" s="619"/>
      <c r="X730" s="619"/>
      <c r="Y730" s="619"/>
      <c r="AA730" s="291"/>
      <c r="AB730" s="412"/>
      <c r="AC730" s="422"/>
      <c r="AD730" s="423" t="s">
        <v>30</v>
      </c>
      <c r="AE730" s="417">
        <f t="shared" ref="AE730:AQ730" si="1484">IFERROR(AE729/AE728,0)</f>
        <v>152.27272727272728</v>
      </c>
      <c r="AF730" s="418">
        <f t="shared" si="1484"/>
        <v>129</v>
      </c>
      <c r="AG730" s="419">
        <f t="shared" si="1484"/>
        <v>160</v>
      </c>
      <c r="AH730" s="419">
        <f t="shared" si="1484"/>
        <v>0</v>
      </c>
      <c r="AI730" s="419">
        <f t="shared" si="1484"/>
        <v>168</v>
      </c>
      <c r="AJ730" s="419">
        <f t="shared" si="1484"/>
        <v>136.42857142857142</v>
      </c>
      <c r="AK730" s="419">
        <f t="shared" si="1484"/>
        <v>135</v>
      </c>
      <c r="AL730" s="419">
        <f t="shared" si="1484"/>
        <v>180</v>
      </c>
      <c r="AM730" s="419">
        <f t="shared" si="1484"/>
        <v>156</v>
      </c>
      <c r="AN730" s="419">
        <f t="shared" si="1484"/>
        <v>140</v>
      </c>
      <c r="AO730" s="419">
        <f t="shared" si="1484"/>
        <v>140</v>
      </c>
      <c r="AP730" s="419">
        <f t="shared" si="1484"/>
        <v>166.66666666666666</v>
      </c>
      <c r="AQ730" s="421">
        <f t="shared" si="1484"/>
        <v>210</v>
      </c>
    </row>
    <row r="731" spans="2:43" ht="7.8" customHeight="1" x14ac:dyDescent="0.25">
      <c r="B731" s="616"/>
      <c r="C731" s="625"/>
      <c r="D731" s="617"/>
      <c r="E731" s="618"/>
      <c r="F731" s="619"/>
      <c r="G731" s="619"/>
      <c r="H731" s="619"/>
      <c r="I731" s="619"/>
      <c r="J731" s="619"/>
      <c r="K731" s="619"/>
      <c r="L731" s="619"/>
      <c r="M731" s="619"/>
      <c r="N731" s="619"/>
      <c r="O731" s="619"/>
      <c r="P731" s="619"/>
      <c r="Q731" s="619"/>
      <c r="R731" s="619"/>
      <c r="S731" s="619"/>
      <c r="T731" s="619"/>
      <c r="U731" s="619"/>
      <c r="V731" s="619"/>
      <c r="W731" s="619"/>
      <c r="X731" s="619"/>
      <c r="Y731" s="619"/>
      <c r="AA731" s="291"/>
      <c r="AB731" s="412"/>
      <c r="AC731" s="431" t="s">
        <v>41</v>
      </c>
      <c r="AD731" s="432" t="s">
        <v>32</v>
      </c>
      <c r="AE731" s="426">
        <f t="shared" ref="AE731:AE732" si="1485">SUM(AF731:AQ731)</f>
        <v>60</v>
      </c>
      <c r="AF731" s="427">
        <f>$S$83</f>
        <v>0</v>
      </c>
      <c r="AG731" s="428">
        <f>$S$137</f>
        <v>7</v>
      </c>
      <c r="AH731" s="428">
        <f>$S$191</f>
        <v>5</v>
      </c>
      <c r="AI731" s="428">
        <f>$S$245</f>
        <v>6</v>
      </c>
      <c r="AJ731" s="428">
        <f>$S$299</f>
        <v>19</v>
      </c>
      <c r="AK731" s="428">
        <f>$S$353</f>
        <v>6</v>
      </c>
      <c r="AL731" s="428">
        <f>$S$407</f>
        <v>5</v>
      </c>
      <c r="AM731" s="428">
        <f>$S$461</f>
        <v>12</v>
      </c>
      <c r="AN731" s="428">
        <f>$S$515</f>
        <v>0</v>
      </c>
      <c r="AO731" s="428">
        <f>$S$569</f>
        <v>0</v>
      </c>
      <c r="AP731" s="428">
        <f>$S$623</f>
        <v>0</v>
      </c>
      <c r="AQ731" s="430">
        <f>$S$677</f>
        <v>0</v>
      </c>
    </row>
    <row r="732" spans="2:43" s="41" customFormat="1" ht="7.8" customHeight="1" x14ac:dyDescent="0.25">
      <c r="B732" s="616"/>
      <c r="C732" s="625"/>
      <c r="D732" s="617"/>
      <c r="E732" s="620"/>
      <c r="F732" s="621"/>
      <c r="G732" s="621"/>
      <c r="H732" s="621"/>
      <c r="I732" s="621"/>
      <c r="J732" s="621"/>
      <c r="K732" s="621"/>
      <c r="L732" s="621"/>
      <c r="M732" s="621"/>
      <c r="N732" s="621"/>
      <c r="O732" s="621"/>
      <c r="P732" s="621"/>
      <c r="Q732" s="621"/>
      <c r="R732" s="621"/>
      <c r="S732" s="621"/>
      <c r="T732" s="621"/>
      <c r="U732" s="621"/>
      <c r="V732" s="621"/>
      <c r="W732" s="621"/>
      <c r="X732" s="621"/>
      <c r="Y732" s="621"/>
      <c r="AA732" s="291"/>
      <c r="AB732" s="412"/>
      <c r="AC732" s="413"/>
      <c r="AD732" s="414" t="s">
        <v>33</v>
      </c>
      <c r="AE732" s="407">
        <f t="shared" si="1485"/>
        <v>9763.68</v>
      </c>
      <c r="AF732" s="408">
        <f>$S$84</f>
        <v>0</v>
      </c>
      <c r="AG732" s="409">
        <f>$S$138</f>
        <v>1225</v>
      </c>
      <c r="AH732" s="409">
        <f>$S$192</f>
        <v>775</v>
      </c>
      <c r="AI732" s="409">
        <f>$S$246</f>
        <v>858</v>
      </c>
      <c r="AJ732" s="409">
        <f>$S$300</f>
        <v>3163</v>
      </c>
      <c r="AK732" s="409">
        <f>$S$354</f>
        <v>1080</v>
      </c>
      <c r="AL732" s="409">
        <f>$S$408</f>
        <v>855</v>
      </c>
      <c r="AM732" s="409">
        <f>$S$462</f>
        <v>1807.6800000000005</v>
      </c>
      <c r="AN732" s="409">
        <f>$S$516</f>
        <v>0</v>
      </c>
      <c r="AO732" s="409">
        <f>$S$570</f>
        <v>0</v>
      </c>
      <c r="AP732" s="409">
        <f>$S$624</f>
        <v>0</v>
      </c>
      <c r="AQ732" s="411">
        <f>$S$678</f>
        <v>0</v>
      </c>
    </row>
    <row r="733" spans="2:43" ht="7.8" customHeight="1" x14ac:dyDescent="0.25">
      <c r="B733" s="616"/>
      <c r="C733" s="625"/>
      <c r="D733" s="617"/>
      <c r="E733" s="618"/>
      <c r="F733" s="619"/>
      <c r="G733" s="619"/>
      <c r="H733" s="619"/>
      <c r="I733" s="619"/>
      <c r="J733" s="619"/>
      <c r="K733" s="619"/>
      <c r="L733" s="619"/>
      <c r="M733" s="619"/>
      <c r="N733" s="619"/>
      <c r="O733" s="619"/>
      <c r="P733" s="619"/>
      <c r="Q733" s="619"/>
      <c r="R733" s="619"/>
      <c r="S733" s="619"/>
      <c r="T733" s="619"/>
      <c r="U733" s="619"/>
      <c r="V733" s="619"/>
      <c r="W733" s="619"/>
      <c r="X733" s="619"/>
      <c r="Y733" s="619"/>
      <c r="AA733" s="291"/>
      <c r="AB733" s="412"/>
      <c r="AC733" s="422"/>
      <c r="AD733" s="423" t="s">
        <v>30</v>
      </c>
      <c r="AE733" s="417">
        <f t="shared" ref="AE733:AQ733" si="1486">IFERROR(AE732/AE731,0)</f>
        <v>162.72800000000001</v>
      </c>
      <c r="AF733" s="418">
        <f t="shared" si="1486"/>
        <v>0</v>
      </c>
      <c r="AG733" s="419">
        <f t="shared" si="1486"/>
        <v>175</v>
      </c>
      <c r="AH733" s="419">
        <f t="shared" si="1486"/>
        <v>155</v>
      </c>
      <c r="AI733" s="419">
        <f t="shared" si="1486"/>
        <v>143</v>
      </c>
      <c r="AJ733" s="419">
        <f t="shared" si="1486"/>
        <v>166.47368421052633</v>
      </c>
      <c r="AK733" s="419">
        <f t="shared" si="1486"/>
        <v>180</v>
      </c>
      <c r="AL733" s="419">
        <f t="shared" si="1486"/>
        <v>171</v>
      </c>
      <c r="AM733" s="419">
        <f t="shared" si="1486"/>
        <v>150.64000000000004</v>
      </c>
      <c r="AN733" s="419">
        <f t="shared" si="1486"/>
        <v>0</v>
      </c>
      <c r="AO733" s="419">
        <f t="shared" si="1486"/>
        <v>0</v>
      </c>
      <c r="AP733" s="419">
        <f t="shared" si="1486"/>
        <v>0</v>
      </c>
      <c r="AQ733" s="421">
        <f t="shared" si="1486"/>
        <v>0</v>
      </c>
    </row>
    <row r="734" spans="2:43" ht="7.8" customHeight="1" x14ac:dyDescent="0.25">
      <c r="B734" s="616"/>
      <c r="C734" s="625"/>
      <c r="D734" s="617"/>
      <c r="E734" s="618"/>
      <c r="F734" s="619"/>
      <c r="G734" s="619"/>
      <c r="H734" s="619"/>
      <c r="I734" s="619"/>
      <c r="J734" s="619"/>
      <c r="K734" s="619"/>
      <c r="L734" s="619"/>
      <c r="M734" s="619"/>
      <c r="N734" s="619"/>
      <c r="O734" s="619"/>
      <c r="P734" s="619"/>
      <c r="Q734" s="619"/>
      <c r="R734" s="619"/>
      <c r="S734" s="619"/>
      <c r="T734" s="619"/>
      <c r="U734" s="619"/>
      <c r="V734" s="619"/>
      <c r="W734" s="619"/>
      <c r="X734" s="619"/>
      <c r="Y734" s="619"/>
      <c r="AA734" s="291"/>
      <c r="AB734" s="412"/>
      <c r="AC734" s="440" t="s">
        <v>42</v>
      </c>
      <c r="AD734" s="441" t="s">
        <v>32</v>
      </c>
      <c r="AE734" s="442">
        <f t="shared" ref="AE734:AE735" si="1487">SUM(AF734:AQ734)</f>
        <v>0</v>
      </c>
      <c r="AF734" s="443">
        <f>$S$86</f>
        <v>0</v>
      </c>
      <c r="AG734" s="444">
        <f>$S$140</f>
        <v>0</v>
      </c>
      <c r="AH734" s="444">
        <f>$S$194</f>
        <v>0</v>
      </c>
      <c r="AI734" s="444">
        <f>$S$248</f>
        <v>0</v>
      </c>
      <c r="AJ734" s="444">
        <f>$S$302</f>
        <v>0</v>
      </c>
      <c r="AK734" s="444">
        <f>$S$356</f>
        <v>0</v>
      </c>
      <c r="AL734" s="444">
        <f>$S$410</f>
        <v>0</v>
      </c>
      <c r="AM734" s="444">
        <f>$S$464</f>
        <v>0</v>
      </c>
      <c r="AN734" s="444">
        <f>$S$518</f>
        <v>0</v>
      </c>
      <c r="AO734" s="444">
        <f>$S$572</f>
        <v>0</v>
      </c>
      <c r="AP734" s="444">
        <f>$S$626</f>
        <v>0</v>
      </c>
      <c r="AQ734" s="445">
        <f>$S$680</f>
        <v>0</v>
      </c>
    </row>
    <row r="735" spans="2:43" s="41" customFormat="1" ht="7.8" customHeight="1" x14ac:dyDescent="0.25">
      <c r="B735" s="616"/>
      <c r="C735" s="625"/>
      <c r="D735" s="617"/>
      <c r="E735" s="620"/>
      <c r="F735" s="621"/>
      <c r="G735" s="621"/>
      <c r="H735" s="621"/>
      <c r="I735" s="621"/>
      <c r="J735" s="621"/>
      <c r="K735" s="621"/>
      <c r="L735" s="621"/>
      <c r="M735" s="621"/>
      <c r="N735" s="621"/>
      <c r="O735" s="621"/>
      <c r="P735" s="621"/>
      <c r="Q735" s="621"/>
      <c r="R735" s="621"/>
      <c r="S735" s="621"/>
      <c r="T735" s="621"/>
      <c r="U735" s="621"/>
      <c r="V735" s="621"/>
      <c r="W735" s="621"/>
      <c r="X735" s="621"/>
      <c r="Y735" s="621"/>
      <c r="AA735" s="291"/>
      <c r="AB735" s="412"/>
      <c r="AC735" s="453"/>
      <c r="AD735" s="454" t="s">
        <v>33</v>
      </c>
      <c r="AE735" s="455">
        <f t="shared" si="1487"/>
        <v>0</v>
      </c>
      <c r="AF735" s="456">
        <f>$S$87</f>
        <v>0</v>
      </c>
      <c r="AG735" s="457">
        <f>$S$141</f>
        <v>0</v>
      </c>
      <c r="AH735" s="457">
        <f>$S$195</f>
        <v>0</v>
      </c>
      <c r="AI735" s="457">
        <f>$S$249</f>
        <v>0</v>
      </c>
      <c r="AJ735" s="457">
        <f>$S$303</f>
        <v>0</v>
      </c>
      <c r="AK735" s="457">
        <f>$S$357</f>
        <v>0</v>
      </c>
      <c r="AL735" s="457">
        <f>$S$411</f>
        <v>0</v>
      </c>
      <c r="AM735" s="457">
        <f>$S$465</f>
        <v>0</v>
      </c>
      <c r="AN735" s="457">
        <f>$S$519</f>
        <v>0</v>
      </c>
      <c r="AO735" s="457">
        <f>$S$573</f>
        <v>0</v>
      </c>
      <c r="AP735" s="457">
        <f>$S$627</f>
        <v>0</v>
      </c>
      <c r="AQ735" s="458">
        <f>$S$681</f>
        <v>0</v>
      </c>
    </row>
    <row r="736" spans="2:43" ht="7.8" customHeight="1" x14ac:dyDescent="0.25">
      <c r="B736" s="616"/>
      <c r="C736" s="625"/>
      <c r="D736" s="617"/>
      <c r="E736" s="618"/>
      <c r="F736" s="619"/>
      <c r="G736" s="619"/>
      <c r="H736" s="619"/>
      <c r="I736" s="619"/>
      <c r="J736" s="619"/>
      <c r="K736" s="619"/>
      <c r="L736" s="619"/>
      <c r="M736" s="619"/>
      <c r="N736" s="619"/>
      <c r="O736" s="619"/>
      <c r="P736" s="619"/>
      <c r="Q736" s="619"/>
      <c r="R736" s="619"/>
      <c r="S736" s="619"/>
      <c r="T736" s="619"/>
      <c r="U736" s="619"/>
      <c r="V736" s="619"/>
      <c r="W736" s="619"/>
      <c r="X736" s="619"/>
      <c r="Y736" s="619"/>
      <c r="AA736" s="291"/>
      <c r="AB736" s="412"/>
      <c r="AC736" s="466"/>
      <c r="AD736" s="467" t="s">
        <v>30</v>
      </c>
      <c r="AE736" s="468">
        <f t="shared" ref="AE736:AQ736" si="1488">IFERROR(AE735/AE734,0)</f>
        <v>0</v>
      </c>
      <c r="AF736" s="469">
        <f t="shared" si="1488"/>
        <v>0</v>
      </c>
      <c r="AG736" s="470">
        <f t="shared" si="1488"/>
        <v>0</v>
      </c>
      <c r="AH736" s="470">
        <f t="shared" si="1488"/>
        <v>0</v>
      </c>
      <c r="AI736" s="470">
        <f t="shared" si="1488"/>
        <v>0</v>
      </c>
      <c r="AJ736" s="470">
        <f t="shared" si="1488"/>
        <v>0</v>
      </c>
      <c r="AK736" s="470">
        <f t="shared" si="1488"/>
        <v>0</v>
      </c>
      <c r="AL736" s="470">
        <f t="shared" si="1488"/>
        <v>0</v>
      </c>
      <c r="AM736" s="470">
        <f t="shared" si="1488"/>
        <v>0</v>
      </c>
      <c r="AN736" s="470">
        <f t="shared" si="1488"/>
        <v>0</v>
      </c>
      <c r="AO736" s="470">
        <f t="shared" si="1488"/>
        <v>0</v>
      </c>
      <c r="AP736" s="470">
        <f t="shared" si="1488"/>
        <v>0</v>
      </c>
      <c r="AQ736" s="471">
        <f t="shared" si="1488"/>
        <v>0</v>
      </c>
    </row>
    <row r="737" spans="2:43" ht="7.8" customHeight="1" x14ac:dyDescent="0.25">
      <c r="B737" s="616"/>
      <c r="C737" s="625"/>
      <c r="D737" s="617"/>
      <c r="E737" s="618"/>
      <c r="F737" s="622"/>
      <c r="G737" s="622"/>
      <c r="H737" s="622"/>
      <c r="I737" s="622"/>
      <c r="J737" s="622"/>
      <c r="K737" s="622"/>
      <c r="L737" s="622"/>
      <c r="M737" s="622"/>
      <c r="N737" s="622"/>
      <c r="O737" s="622"/>
      <c r="P737" s="622"/>
      <c r="Q737" s="622"/>
      <c r="R737" s="622"/>
      <c r="S737" s="622"/>
      <c r="T737" s="622"/>
      <c r="U737" s="622"/>
      <c r="V737" s="622"/>
      <c r="W737" s="622"/>
      <c r="X737" s="622"/>
      <c r="Y737" s="622"/>
      <c r="AA737" s="291"/>
      <c r="AB737" s="412"/>
      <c r="AC737" s="473" t="s">
        <v>43</v>
      </c>
      <c r="AD737" s="432" t="s">
        <v>32</v>
      </c>
      <c r="AE737" s="426">
        <f t="shared" ref="AE737:AQ739" si="1489">AE734-AE731</f>
        <v>-60</v>
      </c>
      <c r="AF737" s="427">
        <f t="shared" si="1489"/>
        <v>0</v>
      </c>
      <c r="AG737" s="428">
        <f t="shared" si="1489"/>
        <v>-7</v>
      </c>
      <c r="AH737" s="428">
        <f t="shared" si="1489"/>
        <v>-5</v>
      </c>
      <c r="AI737" s="428">
        <f t="shared" si="1489"/>
        <v>-6</v>
      </c>
      <c r="AJ737" s="428">
        <f t="shared" si="1489"/>
        <v>-19</v>
      </c>
      <c r="AK737" s="428">
        <f t="shared" si="1489"/>
        <v>-6</v>
      </c>
      <c r="AL737" s="428">
        <f t="shared" si="1489"/>
        <v>-5</v>
      </c>
      <c r="AM737" s="428">
        <f t="shared" si="1489"/>
        <v>-12</v>
      </c>
      <c r="AN737" s="428">
        <f t="shared" si="1489"/>
        <v>0</v>
      </c>
      <c r="AO737" s="428">
        <f t="shared" si="1489"/>
        <v>0</v>
      </c>
      <c r="AP737" s="428">
        <f t="shared" si="1489"/>
        <v>0</v>
      </c>
      <c r="AQ737" s="430">
        <f t="shared" si="1489"/>
        <v>0</v>
      </c>
    </row>
    <row r="738" spans="2:43" s="366" customFormat="1" ht="7.8" customHeight="1" x14ac:dyDescent="0.25">
      <c r="B738" s="616"/>
      <c r="C738" s="625"/>
      <c r="D738" s="617"/>
      <c r="E738" s="623"/>
      <c r="F738" s="622"/>
      <c r="G738" s="622"/>
      <c r="H738" s="622"/>
      <c r="I738" s="622"/>
      <c r="J738" s="622"/>
      <c r="K738" s="622"/>
      <c r="L738" s="622"/>
      <c r="M738" s="622"/>
      <c r="N738" s="622"/>
      <c r="O738" s="622"/>
      <c r="P738" s="622"/>
      <c r="Q738" s="622"/>
      <c r="R738" s="622"/>
      <c r="S738" s="622"/>
      <c r="T738" s="622"/>
      <c r="U738" s="622"/>
      <c r="V738" s="622"/>
      <c r="W738" s="622"/>
      <c r="X738" s="622"/>
      <c r="Y738" s="622"/>
      <c r="AA738" s="291"/>
      <c r="AB738" s="412"/>
      <c r="AC738" s="475"/>
      <c r="AD738" s="476" t="s">
        <v>33</v>
      </c>
      <c r="AE738" s="407">
        <f t="shared" si="1489"/>
        <v>-9763.68</v>
      </c>
      <c r="AF738" s="408">
        <f t="shared" si="1489"/>
        <v>0</v>
      </c>
      <c r="AG738" s="409">
        <f t="shared" si="1489"/>
        <v>-1225</v>
      </c>
      <c r="AH738" s="409">
        <f t="shared" si="1489"/>
        <v>-775</v>
      </c>
      <c r="AI738" s="409">
        <f t="shared" si="1489"/>
        <v>-858</v>
      </c>
      <c r="AJ738" s="409">
        <f t="shared" si="1489"/>
        <v>-3163</v>
      </c>
      <c r="AK738" s="409">
        <f t="shared" si="1489"/>
        <v>-1080</v>
      </c>
      <c r="AL738" s="409">
        <f t="shared" si="1489"/>
        <v>-855</v>
      </c>
      <c r="AM738" s="409">
        <f t="shared" si="1489"/>
        <v>-1807.6800000000005</v>
      </c>
      <c r="AN738" s="409">
        <f t="shared" si="1489"/>
        <v>0</v>
      </c>
      <c r="AO738" s="409">
        <f t="shared" si="1489"/>
        <v>0</v>
      </c>
      <c r="AP738" s="409">
        <f t="shared" si="1489"/>
        <v>0</v>
      </c>
      <c r="AQ738" s="411">
        <f t="shared" si="1489"/>
        <v>0</v>
      </c>
    </row>
    <row r="739" spans="2:43" ht="7.8" customHeight="1" x14ac:dyDescent="0.25">
      <c r="B739" s="616"/>
      <c r="C739" s="625"/>
      <c r="D739" s="617"/>
      <c r="E739" s="618"/>
      <c r="F739" s="622"/>
      <c r="G739" s="622"/>
      <c r="H739" s="622"/>
      <c r="I739" s="622"/>
      <c r="J739" s="622"/>
      <c r="K739" s="622"/>
      <c r="L739" s="622"/>
      <c r="M739" s="622"/>
      <c r="N739" s="622"/>
      <c r="O739" s="622"/>
      <c r="P739" s="622"/>
      <c r="Q739" s="622"/>
      <c r="R739" s="622"/>
      <c r="S739" s="622"/>
      <c r="T739" s="622"/>
      <c r="U739" s="622"/>
      <c r="V739" s="622"/>
      <c r="W739" s="622"/>
      <c r="X739" s="622"/>
      <c r="Y739" s="622"/>
      <c r="AA739" s="291"/>
      <c r="AB739" s="412"/>
      <c r="AC739" s="477"/>
      <c r="AD739" s="423" t="s">
        <v>30</v>
      </c>
      <c r="AE739" s="417">
        <f t="shared" si="1489"/>
        <v>-162.72800000000001</v>
      </c>
      <c r="AF739" s="418">
        <f t="shared" si="1489"/>
        <v>0</v>
      </c>
      <c r="AG739" s="419">
        <f t="shared" si="1489"/>
        <v>-175</v>
      </c>
      <c r="AH739" s="419">
        <f t="shared" si="1489"/>
        <v>-155</v>
      </c>
      <c r="AI739" s="419">
        <f t="shared" si="1489"/>
        <v>-143</v>
      </c>
      <c r="AJ739" s="419">
        <f t="shared" si="1489"/>
        <v>-166.47368421052633</v>
      </c>
      <c r="AK739" s="419">
        <f t="shared" si="1489"/>
        <v>-180</v>
      </c>
      <c r="AL739" s="419">
        <f t="shared" si="1489"/>
        <v>-171</v>
      </c>
      <c r="AM739" s="419">
        <f t="shared" si="1489"/>
        <v>-150.64000000000004</v>
      </c>
      <c r="AN739" s="419">
        <f t="shared" si="1489"/>
        <v>0</v>
      </c>
      <c r="AO739" s="419">
        <f t="shared" si="1489"/>
        <v>0</v>
      </c>
      <c r="AP739" s="419">
        <f t="shared" si="1489"/>
        <v>0</v>
      </c>
      <c r="AQ739" s="421">
        <f t="shared" si="1489"/>
        <v>0</v>
      </c>
    </row>
    <row r="740" spans="2:43" ht="7.8" customHeight="1" x14ac:dyDescent="0.25">
      <c r="B740" s="616"/>
      <c r="C740" s="625"/>
      <c r="D740" s="617"/>
      <c r="E740" s="618"/>
      <c r="F740" s="624"/>
      <c r="G740" s="624"/>
      <c r="H740" s="624"/>
      <c r="I740" s="624"/>
      <c r="J740" s="624"/>
      <c r="K740" s="624"/>
      <c r="L740" s="624"/>
      <c r="M740" s="624"/>
      <c r="N740" s="624"/>
      <c r="O740" s="624"/>
      <c r="P740" s="624"/>
      <c r="Q740" s="624"/>
      <c r="R740" s="624"/>
      <c r="S740" s="624"/>
      <c r="T740" s="624"/>
      <c r="U740" s="624"/>
      <c r="V740" s="624"/>
      <c r="W740" s="624"/>
      <c r="X740" s="624"/>
      <c r="Y740" s="624"/>
      <c r="AA740" s="291"/>
      <c r="AB740" s="412"/>
      <c r="AC740" s="473" t="s">
        <v>44</v>
      </c>
      <c r="AD740" s="432" t="s">
        <v>32</v>
      </c>
      <c r="AE740" s="478">
        <f t="shared" ref="AE740:AQ742" si="1490">IFERROR((AE734-AE731)/ABS(AE731),"")</f>
        <v>-1</v>
      </c>
      <c r="AF740" s="479" t="str">
        <f t="shared" si="1490"/>
        <v/>
      </c>
      <c r="AG740" s="480">
        <f t="shared" si="1490"/>
        <v>-1</v>
      </c>
      <c r="AH740" s="480">
        <f t="shared" si="1490"/>
        <v>-1</v>
      </c>
      <c r="AI740" s="480">
        <f t="shared" si="1490"/>
        <v>-1</v>
      </c>
      <c r="AJ740" s="480">
        <f t="shared" si="1490"/>
        <v>-1</v>
      </c>
      <c r="AK740" s="480">
        <f t="shared" si="1490"/>
        <v>-1</v>
      </c>
      <c r="AL740" s="480">
        <f t="shared" si="1490"/>
        <v>-1</v>
      </c>
      <c r="AM740" s="480">
        <f t="shared" si="1490"/>
        <v>-1</v>
      </c>
      <c r="AN740" s="480" t="str">
        <f t="shared" si="1490"/>
        <v/>
      </c>
      <c r="AO740" s="480" t="str">
        <f t="shared" si="1490"/>
        <v/>
      </c>
      <c r="AP740" s="480" t="str">
        <f t="shared" si="1490"/>
        <v/>
      </c>
      <c r="AQ740" s="482" t="str">
        <f t="shared" si="1490"/>
        <v/>
      </c>
    </row>
    <row r="741" spans="2:43" ht="7.8" customHeight="1" x14ac:dyDescent="0.25">
      <c r="B741" s="616"/>
      <c r="C741" s="625"/>
      <c r="D741" s="617"/>
      <c r="E741" s="618"/>
      <c r="F741" s="624"/>
      <c r="G741" s="624"/>
      <c r="H741" s="624"/>
      <c r="I741" s="624"/>
      <c r="J741" s="624"/>
      <c r="K741" s="624"/>
      <c r="L741" s="624"/>
      <c r="M741" s="624"/>
      <c r="N741" s="624"/>
      <c r="O741" s="624"/>
      <c r="P741" s="624"/>
      <c r="Q741" s="624"/>
      <c r="R741" s="624"/>
      <c r="S741" s="624"/>
      <c r="T741" s="624"/>
      <c r="U741" s="624"/>
      <c r="V741" s="624"/>
      <c r="W741" s="624"/>
      <c r="X741" s="624"/>
      <c r="Y741" s="624"/>
      <c r="AA741" s="291"/>
      <c r="AB741" s="412"/>
      <c r="AC741" s="475"/>
      <c r="AD741" s="489" t="s">
        <v>33</v>
      </c>
      <c r="AE741" s="484">
        <f t="shared" si="1490"/>
        <v>-1</v>
      </c>
      <c r="AF741" s="485" t="str">
        <f t="shared" si="1490"/>
        <v/>
      </c>
      <c r="AG741" s="486">
        <f t="shared" si="1490"/>
        <v>-1</v>
      </c>
      <c r="AH741" s="486">
        <f t="shared" si="1490"/>
        <v>-1</v>
      </c>
      <c r="AI741" s="486">
        <f t="shared" si="1490"/>
        <v>-1</v>
      </c>
      <c r="AJ741" s="486">
        <f t="shared" si="1490"/>
        <v>-1</v>
      </c>
      <c r="AK741" s="486">
        <f t="shared" si="1490"/>
        <v>-1</v>
      </c>
      <c r="AL741" s="486">
        <f t="shared" si="1490"/>
        <v>-1</v>
      </c>
      <c r="AM741" s="486">
        <f t="shared" si="1490"/>
        <v>-1</v>
      </c>
      <c r="AN741" s="486" t="str">
        <f t="shared" si="1490"/>
        <v/>
      </c>
      <c r="AO741" s="486" t="str">
        <f t="shared" si="1490"/>
        <v/>
      </c>
      <c r="AP741" s="486" t="str">
        <f t="shared" si="1490"/>
        <v/>
      </c>
      <c r="AQ741" s="488" t="str">
        <f t="shared" si="1490"/>
        <v/>
      </c>
    </row>
    <row r="742" spans="2:43" ht="7.8" customHeight="1" x14ac:dyDescent="0.25">
      <c r="B742" s="616"/>
      <c r="C742" s="625"/>
      <c r="D742" s="617"/>
      <c r="E742" s="618"/>
      <c r="F742" s="624"/>
      <c r="G742" s="624"/>
      <c r="H742" s="624"/>
      <c r="I742" s="624"/>
      <c r="J742" s="624"/>
      <c r="K742" s="624"/>
      <c r="L742" s="624"/>
      <c r="M742" s="624"/>
      <c r="N742" s="624"/>
      <c r="O742" s="624"/>
      <c r="P742" s="624"/>
      <c r="Q742" s="624"/>
      <c r="R742" s="624"/>
      <c r="S742" s="624"/>
      <c r="T742" s="624"/>
      <c r="U742" s="624"/>
      <c r="V742" s="624"/>
      <c r="W742" s="624"/>
      <c r="X742" s="624"/>
      <c r="Y742" s="624"/>
      <c r="AA742" s="291"/>
      <c r="AB742" s="412"/>
      <c r="AC742" s="475"/>
      <c r="AD742" s="489" t="s">
        <v>30</v>
      </c>
      <c r="AE742" s="484">
        <f t="shared" si="1490"/>
        <v>-1</v>
      </c>
      <c r="AF742" s="485" t="str">
        <f t="shared" si="1490"/>
        <v/>
      </c>
      <c r="AG742" s="486">
        <f t="shared" si="1490"/>
        <v>-1</v>
      </c>
      <c r="AH742" s="486">
        <f t="shared" si="1490"/>
        <v>-1</v>
      </c>
      <c r="AI742" s="486">
        <f t="shared" si="1490"/>
        <v>-1</v>
      </c>
      <c r="AJ742" s="486">
        <f t="shared" si="1490"/>
        <v>-1</v>
      </c>
      <c r="AK742" s="486">
        <f t="shared" si="1490"/>
        <v>-1</v>
      </c>
      <c r="AL742" s="486">
        <f t="shared" si="1490"/>
        <v>-1</v>
      </c>
      <c r="AM742" s="486">
        <f t="shared" si="1490"/>
        <v>-1</v>
      </c>
      <c r="AN742" s="486" t="str">
        <f t="shared" si="1490"/>
        <v/>
      </c>
      <c r="AO742" s="486" t="str">
        <f t="shared" si="1490"/>
        <v/>
      </c>
      <c r="AP742" s="486" t="str">
        <f t="shared" si="1490"/>
        <v/>
      </c>
      <c r="AQ742" s="488" t="str">
        <f t="shared" si="1490"/>
        <v/>
      </c>
    </row>
    <row r="743" spans="2:43" ht="7.8" customHeight="1" x14ac:dyDescent="0.25">
      <c r="B743" s="616"/>
      <c r="C743" s="625"/>
      <c r="D743" s="617"/>
      <c r="E743" s="618"/>
      <c r="F743" s="619"/>
      <c r="G743" s="619"/>
      <c r="H743" s="619"/>
      <c r="I743" s="619"/>
      <c r="J743" s="619"/>
      <c r="K743" s="619"/>
      <c r="L743" s="619"/>
      <c r="M743" s="619"/>
      <c r="N743" s="619"/>
      <c r="O743" s="619"/>
      <c r="P743" s="619"/>
      <c r="Q743" s="619"/>
      <c r="R743" s="619"/>
      <c r="S743" s="619"/>
      <c r="T743" s="619"/>
      <c r="U743" s="619"/>
      <c r="V743" s="619"/>
      <c r="W743" s="619"/>
      <c r="X743" s="619"/>
      <c r="Y743" s="619"/>
      <c r="AA743" s="291"/>
      <c r="AB743" s="499" t="s">
        <v>49</v>
      </c>
      <c r="AC743" s="500" t="s">
        <v>39</v>
      </c>
      <c r="AD743" s="501" t="s">
        <v>32</v>
      </c>
      <c r="AE743" s="494">
        <f t="shared" ref="AE743:AE744" si="1491">SUM(AF743:AQ743)</f>
        <v>0</v>
      </c>
      <c r="AF743" s="495">
        <f>$S$95</f>
        <v>0</v>
      </c>
      <c r="AG743" s="496">
        <f>$S$149</f>
        <v>0</v>
      </c>
      <c r="AH743" s="496">
        <f>$S$203</f>
        <v>0</v>
      </c>
      <c r="AI743" s="496">
        <f>$S$257</f>
        <v>0</v>
      </c>
      <c r="AJ743" s="496">
        <f>$S$311</f>
        <v>0</v>
      </c>
      <c r="AK743" s="496">
        <f>$S$365</f>
        <v>0</v>
      </c>
      <c r="AL743" s="496">
        <f>$S$419</f>
        <v>0</v>
      </c>
      <c r="AM743" s="496">
        <f>$S$473</f>
        <v>0</v>
      </c>
      <c r="AN743" s="496">
        <f>$S$527</f>
        <v>0</v>
      </c>
      <c r="AO743" s="496">
        <f>$S$581</f>
        <v>0</v>
      </c>
      <c r="AP743" s="496">
        <f>$S$635</f>
        <v>0</v>
      </c>
      <c r="AQ743" s="498">
        <f>$S$689</f>
        <v>0</v>
      </c>
    </row>
    <row r="744" spans="2:43" s="41" customFormat="1" ht="7.8" customHeight="1" x14ac:dyDescent="0.25">
      <c r="B744" s="616"/>
      <c r="C744" s="625"/>
      <c r="D744" s="617"/>
      <c r="E744" s="620"/>
      <c r="F744" s="621"/>
      <c r="G744" s="621"/>
      <c r="H744" s="621"/>
      <c r="I744" s="621"/>
      <c r="J744" s="621"/>
      <c r="K744" s="621"/>
      <c r="L744" s="621"/>
      <c r="M744" s="621"/>
      <c r="N744" s="621"/>
      <c r="O744" s="621"/>
      <c r="P744" s="621"/>
      <c r="Q744" s="621"/>
      <c r="R744" s="621"/>
      <c r="S744" s="621"/>
      <c r="T744" s="621"/>
      <c r="U744" s="621"/>
      <c r="V744" s="621"/>
      <c r="W744" s="621"/>
      <c r="X744" s="621"/>
      <c r="Y744" s="621"/>
      <c r="AA744" s="291"/>
      <c r="AB744" s="412"/>
      <c r="AC744" s="413"/>
      <c r="AD744" s="414" t="s">
        <v>33</v>
      </c>
      <c r="AE744" s="407">
        <f t="shared" si="1491"/>
        <v>0</v>
      </c>
      <c r="AF744" s="408">
        <f>$S$96</f>
        <v>0</v>
      </c>
      <c r="AG744" s="409">
        <f>$S$150</f>
        <v>0</v>
      </c>
      <c r="AH744" s="409">
        <f>$S$204</f>
        <v>0</v>
      </c>
      <c r="AI744" s="409">
        <f>$S$258</f>
        <v>0</v>
      </c>
      <c r="AJ744" s="409">
        <f>$S$312</f>
        <v>0</v>
      </c>
      <c r="AK744" s="409">
        <f>$S$366</f>
        <v>0</v>
      </c>
      <c r="AL744" s="409">
        <f>$S$420</f>
        <v>0</v>
      </c>
      <c r="AM744" s="409">
        <f>$S$474</f>
        <v>0</v>
      </c>
      <c r="AN744" s="409">
        <f>$S$528</f>
        <v>0</v>
      </c>
      <c r="AO744" s="409">
        <f>$S$582</f>
        <v>0</v>
      </c>
      <c r="AP744" s="409">
        <f>$S$636</f>
        <v>0</v>
      </c>
      <c r="AQ744" s="411">
        <f>$S$690</f>
        <v>0</v>
      </c>
    </row>
    <row r="745" spans="2:43" ht="7.8" customHeight="1" x14ac:dyDescent="0.25">
      <c r="B745" s="616"/>
      <c r="C745" s="625"/>
      <c r="D745" s="617"/>
      <c r="E745" s="618"/>
      <c r="F745" s="619"/>
      <c r="G745" s="619"/>
      <c r="H745" s="619"/>
      <c r="I745" s="619"/>
      <c r="J745" s="619"/>
      <c r="K745" s="619"/>
      <c r="L745" s="619"/>
      <c r="M745" s="619"/>
      <c r="N745" s="619"/>
      <c r="O745" s="619"/>
      <c r="P745" s="619"/>
      <c r="Q745" s="619"/>
      <c r="R745" s="619"/>
      <c r="S745" s="619"/>
      <c r="T745" s="619"/>
      <c r="U745" s="619"/>
      <c r="V745" s="619"/>
      <c r="W745" s="619"/>
      <c r="X745" s="619"/>
      <c r="Y745" s="619"/>
      <c r="AA745" s="291"/>
      <c r="AB745" s="412"/>
      <c r="AC745" s="422"/>
      <c r="AD745" s="423" t="s">
        <v>30</v>
      </c>
      <c r="AE745" s="417">
        <f t="shared" ref="AE745:AQ745" si="1492">IFERROR(AE744/AE743,0)</f>
        <v>0</v>
      </c>
      <c r="AF745" s="418">
        <f t="shared" si="1492"/>
        <v>0</v>
      </c>
      <c r="AG745" s="419">
        <f t="shared" si="1492"/>
        <v>0</v>
      </c>
      <c r="AH745" s="419">
        <f t="shared" si="1492"/>
        <v>0</v>
      </c>
      <c r="AI745" s="419">
        <f t="shared" si="1492"/>
        <v>0</v>
      </c>
      <c r="AJ745" s="419">
        <f t="shared" si="1492"/>
        <v>0</v>
      </c>
      <c r="AK745" s="419">
        <f t="shared" si="1492"/>
        <v>0</v>
      </c>
      <c r="AL745" s="419">
        <f t="shared" si="1492"/>
        <v>0</v>
      </c>
      <c r="AM745" s="419">
        <f t="shared" si="1492"/>
        <v>0</v>
      </c>
      <c r="AN745" s="419">
        <f t="shared" si="1492"/>
        <v>0</v>
      </c>
      <c r="AO745" s="419">
        <f t="shared" si="1492"/>
        <v>0</v>
      </c>
      <c r="AP745" s="419">
        <f t="shared" si="1492"/>
        <v>0</v>
      </c>
      <c r="AQ745" s="421">
        <f t="shared" si="1492"/>
        <v>0</v>
      </c>
    </row>
    <row r="746" spans="2:43" ht="7.8" customHeight="1" x14ac:dyDescent="0.25">
      <c r="B746" s="616"/>
      <c r="C746" s="625"/>
      <c r="D746" s="617"/>
      <c r="E746" s="618"/>
      <c r="F746" s="619"/>
      <c r="G746" s="619"/>
      <c r="H746" s="619"/>
      <c r="I746" s="619"/>
      <c r="J746" s="619"/>
      <c r="K746" s="619"/>
      <c r="L746" s="619"/>
      <c r="M746" s="619"/>
      <c r="N746" s="619"/>
      <c r="O746" s="619"/>
      <c r="P746" s="619"/>
      <c r="Q746" s="619"/>
      <c r="R746" s="619"/>
      <c r="S746" s="619"/>
      <c r="T746" s="619"/>
      <c r="U746" s="619"/>
      <c r="V746" s="619"/>
      <c r="W746" s="619"/>
      <c r="X746" s="619"/>
      <c r="Y746" s="619"/>
      <c r="AA746" s="291"/>
      <c r="AB746" s="412"/>
      <c r="AC746" s="431" t="s">
        <v>40</v>
      </c>
      <c r="AD746" s="432" t="s">
        <v>32</v>
      </c>
      <c r="AE746" s="426">
        <f t="shared" ref="AE746:AE747" si="1493">SUM(AF746:AQ746)</f>
        <v>14</v>
      </c>
      <c r="AF746" s="427">
        <f>$S$98</f>
        <v>0</v>
      </c>
      <c r="AG746" s="428">
        <f>$S$152</f>
        <v>1</v>
      </c>
      <c r="AH746" s="428">
        <f>$S$206</f>
        <v>0</v>
      </c>
      <c r="AI746" s="428">
        <f>$S$260</f>
        <v>0</v>
      </c>
      <c r="AJ746" s="428">
        <f>$S$314</f>
        <v>3</v>
      </c>
      <c r="AK746" s="428">
        <f>$S$368</f>
        <v>0</v>
      </c>
      <c r="AL746" s="428">
        <f>$S$422</f>
        <v>2</v>
      </c>
      <c r="AM746" s="428">
        <f>$S$476</f>
        <v>3</v>
      </c>
      <c r="AN746" s="428">
        <f>$S$530</f>
        <v>1</v>
      </c>
      <c r="AO746" s="428">
        <f>$S$584</f>
        <v>1</v>
      </c>
      <c r="AP746" s="428">
        <f>$S$638</f>
        <v>3</v>
      </c>
      <c r="AQ746" s="430">
        <f>$S$692</f>
        <v>0</v>
      </c>
    </row>
    <row r="747" spans="2:43" s="41" customFormat="1" ht="7.8" customHeight="1" x14ac:dyDescent="0.25">
      <c r="B747" s="616"/>
      <c r="C747" s="625"/>
      <c r="D747" s="617"/>
      <c r="E747" s="620"/>
      <c r="F747" s="621"/>
      <c r="G747" s="621"/>
      <c r="H747" s="621"/>
      <c r="I747" s="621"/>
      <c r="J747" s="621"/>
      <c r="K747" s="621"/>
      <c r="L747" s="621"/>
      <c r="M747" s="621"/>
      <c r="N747" s="621"/>
      <c r="O747" s="621"/>
      <c r="P747" s="621"/>
      <c r="Q747" s="621"/>
      <c r="R747" s="621"/>
      <c r="S747" s="621"/>
      <c r="T747" s="621"/>
      <c r="U747" s="621"/>
      <c r="V747" s="621"/>
      <c r="W747" s="621"/>
      <c r="X747" s="621"/>
      <c r="Y747" s="621"/>
      <c r="AA747" s="291"/>
      <c r="AB747" s="412"/>
      <c r="AC747" s="413"/>
      <c r="AD747" s="414" t="s">
        <v>33</v>
      </c>
      <c r="AE747" s="407">
        <f t="shared" si="1493"/>
        <v>2255</v>
      </c>
      <c r="AF747" s="408">
        <f>$S$99</f>
        <v>0</v>
      </c>
      <c r="AG747" s="409">
        <f>$S$153</f>
        <v>160</v>
      </c>
      <c r="AH747" s="409">
        <f>$S$207</f>
        <v>0</v>
      </c>
      <c r="AI747" s="409">
        <f>$S$261</f>
        <v>0</v>
      </c>
      <c r="AJ747" s="409">
        <f>$S$315</f>
        <v>415</v>
      </c>
      <c r="AK747" s="409">
        <f>$S$369</f>
        <v>0</v>
      </c>
      <c r="AL747" s="409">
        <f>$S$423</f>
        <v>360</v>
      </c>
      <c r="AM747" s="409">
        <f>$S$477</f>
        <v>540</v>
      </c>
      <c r="AN747" s="409">
        <f>$S$531</f>
        <v>140</v>
      </c>
      <c r="AO747" s="409">
        <f>$S$585</f>
        <v>140</v>
      </c>
      <c r="AP747" s="409">
        <f>$S$639</f>
        <v>500</v>
      </c>
      <c r="AQ747" s="411">
        <f>$S$693</f>
        <v>0</v>
      </c>
    </row>
    <row r="748" spans="2:43" ht="7.8" customHeight="1" x14ac:dyDescent="0.25">
      <c r="B748" s="616"/>
      <c r="C748" s="625"/>
      <c r="D748" s="617"/>
      <c r="E748" s="618"/>
      <c r="F748" s="619"/>
      <c r="G748" s="619"/>
      <c r="H748" s="619"/>
      <c r="I748" s="619"/>
      <c r="J748" s="619"/>
      <c r="K748" s="619"/>
      <c r="L748" s="619"/>
      <c r="M748" s="619"/>
      <c r="N748" s="619"/>
      <c r="O748" s="619"/>
      <c r="P748" s="619"/>
      <c r="Q748" s="619"/>
      <c r="R748" s="619"/>
      <c r="S748" s="619"/>
      <c r="T748" s="619"/>
      <c r="U748" s="619"/>
      <c r="V748" s="619"/>
      <c r="W748" s="619"/>
      <c r="X748" s="619"/>
      <c r="Y748" s="619"/>
      <c r="AA748" s="291"/>
      <c r="AB748" s="412"/>
      <c r="AC748" s="422"/>
      <c r="AD748" s="423" t="s">
        <v>30</v>
      </c>
      <c r="AE748" s="417">
        <f t="shared" ref="AE748:AQ748" si="1494">IFERROR(AE747/AE746,0)</f>
        <v>161.07142857142858</v>
      </c>
      <c r="AF748" s="418">
        <f t="shared" si="1494"/>
        <v>0</v>
      </c>
      <c r="AG748" s="419">
        <f t="shared" si="1494"/>
        <v>160</v>
      </c>
      <c r="AH748" s="419">
        <f t="shared" si="1494"/>
        <v>0</v>
      </c>
      <c r="AI748" s="419">
        <f t="shared" si="1494"/>
        <v>0</v>
      </c>
      <c r="AJ748" s="419">
        <f t="shared" si="1494"/>
        <v>138.33333333333334</v>
      </c>
      <c r="AK748" s="419">
        <f t="shared" si="1494"/>
        <v>0</v>
      </c>
      <c r="AL748" s="419">
        <f t="shared" si="1494"/>
        <v>180</v>
      </c>
      <c r="AM748" s="419">
        <f t="shared" si="1494"/>
        <v>180</v>
      </c>
      <c r="AN748" s="419">
        <f t="shared" si="1494"/>
        <v>140</v>
      </c>
      <c r="AO748" s="419">
        <f t="shared" si="1494"/>
        <v>140</v>
      </c>
      <c r="AP748" s="419">
        <f t="shared" si="1494"/>
        <v>166.66666666666666</v>
      </c>
      <c r="AQ748" s="421">
        <f t="shared" si="1494"/>
        <v>0</v>
      </c>
    </row>
    <row r="749" spans="2:43" ht="7.8" customHeight="1" x14ac:dyDescent="0.25">
      <c r="B749" s="616"/>
      <c r="C749" s="625"/>
      <c r="D749" s="617"/>
      <c r="E749" s="618"/>
      <c r="F749" s="619"/>
      <c r="G749" s="619"/>
      <c r="H749" s="619"/>
      <c r="I749" s="619"/>
      <c r="J749" s="619"/>
      <c r="K749" s="619"/>
      <c r="L749" s="619"/>
      <c r="M749" s="619"/>
      <c r="N749" s="619"/>
      <c r="O749" s="619"/>
      <c r="P749" s="619"/>
      <c r="Q749" s="619"/>
      <c r="R749" s="619"/>
      <c r="S749" s="619"/>
      <c r="T749" s="619"/>
      <c r="U749" s="619"/>
      <c r="V749" s="619"/>
      <c r="W749" s="619"/>
      <c r="X749" s="619"/>
      <c r="Y749" s="619"/>
      <c r="AA749" s="291"/>
      <c r="AB749" s="412"/>
      <c r="AC749" s="431" t="s">
        <v>41</v>
      </c>
      <c r="AD749" s="432" t="s">
        <v>32</v>
      </c>
      <c r="AE749" s="426">
        <f t="shared" ref="AE749:AE750" si="1495">SUM(AF749:AQ749)</f>
        <v>32</v>
      </c>
      <c r="AF749" s="427">
        <f>$S$101</f>
        <v>0</v>
      </c>
      <c r="AG749" s="428">
        <f>$S$155</f>
        <v>6</v>
      </c>
      <c r="AH749" s="428">
        <f>$S$209</f>
        <v>3</v>
      </c>
      <c r="AI749" s="428">
        <f>$S$263</f>
        <v>3</v>
      </c>
      <c r="AJ749" s="428">
        <f>$S$317</f>
        <v>8</v>
      </c>
      <c r="AK749" s="428">
        <f>$S$371</f>
        <v>3</v>
      </c>
      <c r="AL749" s="428">
        <f>$S$425</f>
        <v>5</v>
      </c>
      <c r="AM749" s="428">
        <f>$S$479</f>
        <v>4</v>
      </c>
      <c r="AN749" s="428">
        <f>$S$533</f>
        <v>0</v>
      </c>
      <c r="AO749" s="428">
        <f>$S$587</f>
        <v>0</v>
      </c>
      <c r="AP749" s="428">
        <f>$S$641</f>
        <v>0</v>
      </c>
      <c r="AQ749" s="430">
        <f>$S$695</f>
        <v>0</v>
      </c>
    </row>
    <row r="750" spans="2:43" s="41" customFormat="1" ht="7.8" customHeight="1" x14ac:dyDescent="0.25">
      <c r="B750" s="616"/>
      <c r="C750" s="625"/>
      <c r="D750" s="617"/>
      <c r="E750" s="620"/>
      <c r="F750" s="621"/>
      <c r="G750" s="621"/>
      <c r="H750" s="621"/>
      <c r="I750" s="621"/>
      <c r="J750" s="621"/>
      <c r="K750" s="621"/>
      <c r="L750" s="621"/>
      <c r="M750" s="621"/>
      <c r="N750" s="621"/>
      <c r="O750" s="621"/>
      <c r="P750" s="621"/>
      <c r="Q750" s="621"/>
      <c r="R750" s="621"/>
      <c r="S750" s="621"/>
      <c r="T750" s="621"/>
      <c r="U750" s="621"/>
      <c r="V750" s="621"/>
      <c r="W750" s="621"/>
      <c r="X750" s="621"/>
      <c r="Y750" s="621"/>
      <c r="AA750" s="291"/>
      <c r="AB750" s="412"/>
      <c r="AC750" s="413"/>
      <c r="AD750" s="414" t="s">
        <v>33</v>
      </c>
      <c r="AE750" s="407">
        <f t="shared" si="1495"/>
        <v>5422.84</v>
      </c>
      <c r="AF750" s="408">
        <f>$S$102</f>
        <v>0</v>
      </c>
      <c r="AG750" s="409">
        <f>$S$156</f>
        <v>1090</v>
      </c>
      <c r="AH750" s="409">
        <f>$S$210</f>
        <v>465</v>
      </c>
      <c r="AI750" s="409">
        <f>$S$264</f>
        <v>432</v>
      </c>
      <c r="AJ750" s="409">
        <f>$S$318</f>
        <v>1357</v>
      </c>
      <c r="AK750" s="409">
        <f>$S$372</f>
        <v>580</v>
      </c>
      <c r="AL750" s="409">
        <f>$S$426</f>
        <v>855</v>
      </c>
      <c r="AM750" s="409">
        <f>$S$480</f>
        <v>643.83999999999992</v>
      </c>
      <c r="AN750" s="409">
        <f>$S$534</f>
        <v>0</v>
      </c>
      <c r="AO750" s="409">
        <f>$S$588</f>
        <v>0</v>
      </c>
      <c r="AP750" s="409">
        <f>$S$642</f>
        <v>0</v>
      </c>
      <c r="AQ750" s="411">
        <f>$S$696</f>
        <v>0</v>
      </c>
    </row>
    <row r="751" spans="2:43" ht="7.8" customHeight="1" x14ac:dyDescent="0.25">
      <c r="B751" s="616"/>
      <c r="C751" s="625"/>
      <c r="D751" s="617"/>
      <c r="E751" s="618"/>
      <c r="F751" s="619"/>
      <c r="G751" s="619"/>
      <c r="H751" s="619"/>
      <c r="I751" s="619"/>
      <c r="J751" s="619"/>
      <c r="K751" s="619"/>
      <c r="L751" s="619"/>
      <c r="M751" s="619"/>
      <c r="N751" s="619"/>
      <c r="O751" s="619"/>
      <c r="P751" s="619"/>
      <c r="Q751" s="619"/>
      <c r="R751" s="619"/>
      <c r="S751" s="619"/>
      <c r="T751" s="619"/>
      <c r="U751" s="619"/>
      <c r="V751" s="619"/>
      <c r="W751" s="619"/>
      <c r="X751" s="619"/>
      <c r="Y751" s="619"/>
      <c r="AA751" s="291"/>
      <c r="AB751" s="412"/>
      <c r="AC751" s="422"/>
      <c r="AD751" s="423" t="s">
        <v>30</v>
      </c>
      <c r="AE751" s="417">
        <f t="shared" ref="AE751:AQ751" si="1496">IFERROR(AE750/AE749,0)</f>
        <v>169.46375</v>
      </c>
      <c r="AF751" s="418">
        <f t="shared" si="1496"/>
        <v>0</v>
      </c>
      <c r="AG751" s="419">
        <f t="shared" si="1496"/>
        <v>181.66666666666666</v>
      </c>
      <c r="AH751" s="419">
        <f t="shared" si="1496"/>
        <v>155</v>
      </c>
      <c r="AI751" s="419">
        <f t="shared" si="1496"/>
        <v>144</v>
      </c>
      <c r="AJ751" s="419">
        <f t="shared" si="1496"/>
        <v>169.625</v>
      </c>
      <c r="AK751" s="419">
        <f t="shared" si="1496"/>
        <v>193.33333333333334</v>
      </c>
      <c r="AL751" s="419">
        <f t="shared" si="1496"/>
        <v>171</v>
      </c>
      <c r="AM751" s="419">
        <f t="shared" si="1496"/>
        <v>160.95999999999998</v>
      </c>
      <c r="AN751" s="419">
        <f t="shared" si="1496"/>
        <v>0</v>
      </c>
      <c r="AO751" s="419">
        <f t="shared" si="1496"/>
        <v>0</v>
      </c>
      <c r="AP751" s="419">
        <f t="shared" si="1496"/>
        <v>0</v>
      </c>
      <c r="AQ751" s="421">
        <f t="shared" si="1496"/>
        <v>0</v>
      </c>
    </row>
    <row r="752" spans="2:43" ht="7.8" customHeight="1" x14ac:dyDescent="0.25">
      <c r="B752" s="616"/>
      <c r="C752" s="625"/>
      <c r="D752" s="617"/>
      <c r="E752" s="618"/>
      <c r="F752" s="619"/>
      <c r="G752" s="619"/>
      <c r="H752" s="619"/>
      <c r="I752" s="619"/>
      <c r="J752" s="619"/>
      <c r="K752" s="619"/>
      <c r="L752" s="619"/>
      <c r="M752" s="619"/>
      <c r="N752" s="619"/>
      <c r="O752" s="619"/>
      <c r="P752" s="619"/>
      <c r="Q752" s="619"/>
      <c r="R752" s="619"/>
      <c r="S752" s="619"/>
      <c r="T752" s="619"/>
      <c r="U752" s="619"/>
      <c r="V752" s="619"/>
      <c r="W752" s="619"/>
      <c r="X752" s="619"/>
      <c r="Y752" s="619"/>
      <c r="AA752" s="291"/>
      <c r="AB752" s="412"/>
      <c r="AC752" s="440" t="s">
        <v>42</v>
      </c>
      <c r="AD752" s="441" t="s">
        <v>32</v>
      </c>
      <c r="AE752" s="442">
        <f t="shared" ref="AE752:AE753" si="1497">SUM(AF752:AQ752)</f>
        <v>0</v>
      </c>
      <c r="AF752" s="443">
        <f>$S$104</f>
        <v>0</v>
      </c>
      <c r="AG752" s="444">
        <f>$S$158</f>
        <v>0</v>
      </c>
      <c r="AH752" s="444">
        <f>$S$212</f>
        <v>0</v>
      </c>
      <c r="AI752" s="444">
        <f>$S$266</f>
        <v>0</v>
      </c>
      <c r="AJ752" s="444">
        <f>$S$320</f>
        <v>0</v>
      </c>
      <c r="AK752" s="444">
        <f>$S$374</f>
        <v>0</v>
      </c>
      <c r="AL752" s="444">
        <f>$S$428</f>
        <v>0</v>
      </c>
      <c r="AM752" s="444">
        <f>$S$482</f>
        <v>0</v>
      </c>
      <c r="AN752" s="444">
        <f>$S$536</f>
        <v>0</v>
      </c>
      <c r="AO752" s="444">
        <f>$S$590</f>
        <v>0</v>
      </c>
      <c r="AP752" s="444">
        <f>$S$644</f>
        <v>0</v>
      </c>
      <c r="AQ752" s="445">
        <f>$S$698</f>
        <v>0</v>
      </c>
    </row>
    <row r="753" spans="2:43" s="41" customFormat="1" ht="7.8" customHeight="1" x14ac:dyDescent="0.25">
      <c r="B753" s="616"/>
      <c r="C753" s="625"/>
      <c r="D753" s="617"/>
      <c r="E753" s="620"/>
      <c r="F753" s="621"/>
      <c r="G753" s="621"/>
      <c r="H753" s="621"/>
      <c r="I753" s="621"/>
      <c r="J753" s="621"/>
      <c r="K753" s="621"/>
      <c r="L753" s="621"/>
      <c r="M753" s="621"/>
      <c r="N753" s="621"/>
      <c r="O753" s="621"/>
      <c r="P753" s="621"/>
      <c r="Q753" s="621"/>
      <c r="R753" s="621"/>
      <c r="S753" s="621"/>
      <c r="T753" s="621"/>
      <c r="U753" s="621"/>
      <c r="V753" s="621"/>
      <c r="W753" s="621"/>
      <c r="X753" s="621"/>
      <c r="Y753" s="621"/>
      <c r="AA753" s="291"/>
      <c r="AB753" s="412"/>
      <c r="AC753" s="453"/>
      <c r="AD753" s="454" t="s">
        <v>33</v>
      </c>
      <c r="AE753" s="455">
        <f t="shared" si="1497"/>
        <v>0</v>
      </c>
      <c r="AF753" s="456">
        <f>$S$105</f>
        <v>0</v>
      </c>
      <c r="AG753" s="457">
        <f>$S$159</f>
        <v>0</v>
      </c>
      <c r="AH753" s="457">
        <f>$S$213</f>
        <v>0</v>
      </c>
      <c r="AI753" s="457">
        <f>$S$267</f>
        <v>0</v>
      </c>
      <c r="AJ753" s="457">
        <f>$S$321</f>
        <v>0</v>
      </c>
      <c r="AK753" s="457">
        <f>$S$375</f>
        <v>0</v>
      </c>
      <c r="AL753" s="457">
        <f>$S$429</f>
        <v>0</v>
      </c>
      <c r="AM753" s="457">
        <f>$S$483</f>
        <v>0</v>
      </c>
      <c r="AN753" s="457">
        <f>$S$537</f>
        <v>0</v>
      </c>
      <c r="AO753" s="457">
        <f>$S$591</f>
        <v>0</v>
      </c>
      <c r="AP753" s="457">
        <f>$S$645</f>
        <v>0</v>
      </c>
      <c r="AQ753" s="458">
        <f>$S$699</f>
        <v>0</v>
      </c>
    </row>
    <row r="754" spans="2:43" ht="7.8" customHeight="1" x14ac:dyDescent="0.25">
      <c r="B754" s="616"/>
      <c r="C754" s="625"/>
      <c r="D754" s="617"/>
      <c r="E754" s="618"/>
      <c r="F754" s="619"/>
      <c r="G754" s="619"/>
      <c r="H754" s="619"/>
      <c r="I754" s="619"/>
      <c r="J754" s="619"/>
      <c r="K754" s="619"/>
      <c r="L754" s="619"/>
      <c r="M754" s="619"/>
      <c r="N754" s="619"/>
      <c r="O754" s="619"/>
      <c r="P754" s="619"/>
      <c r="Q754" s="619"/>
      <c r="R754" s="619"/>
      <c r="S754" s="619"/>
      <c r="T754" s="619"/>
      <c r="U754" s="619"/>
      <c r="V754" s="619"/>
      <c r="W754" s="619"/>
      <c r="X754" s="619"/>
      <c r="Y754" s="619"/>
      <c r="AA754" s="291"/>
      <c r="AB754" s="412"/>
      <c r="AC754" s="466"/>
      <c r="AD754" s="467" t="s">
        <v>30</v>
      </c>
      <c r="AE754" s="468">
        <f t="shared" ref="AE754:AQ754" si="1498">IFERROR(AE753/AE752,0)</f>
        <v>0</v>
      </c>
      <c r="AF754" s="469">
        <f t="shared" si="1498"/>
        <v>0</v>
      </c>
      <c r="AG754" s="470">
        <f t="shared" si="1498"/>
        <v>0</v>
      </c>
      <c r="AH754" s="470">
        <f t="shared" si="1498"/>
        <v>0</v>
      </c>
      <c r="AI754" s="470">
        <f t="shared" si="1498"/>
        <v>0</v>
      </c>
      <c r="AJ754" s="470">
        <f t="shared" si="1498"/>
        <v>0</v>
      </c>
      <c r="AK754" s="470">
        <f t="shared" si="1498"/>
        <v>0</v>
      </c>
      <c r="AL754" s="470">
        <f t="shared" si="1498"/>
        <v>0</v>
      </c>
      <c r="AM754" s="470">
        <f t="shared" si="1498"/>
        <v>0</v>
      </c>
      <c r="AN754" s="470">
        <f t="shared" si="1498"/>
        <v>0</v>
      </c>
      <c r="AO754" s="470">
        <f t="shared" si="1498"/>
        <v>0</v>
      </c>
      <c r="AP754" s="470">
        <f t="shared" si="1498"/>
        <v>0</v>
      </c>
      <c r="AQ754" s="471">
        <f t="shared" si="1498"/>
        <v>0</v>
      </c>
    </row>
    <row r="755" spans="2:43" ht="7.8" customHeight="1" x14ac:dyDescent="0.25">
      <c r="B755" s="616"/>
      <c r="C755" s="625"/>
      <c r="D755" s="617"/>
      <c r="E755" s="618"/>
      <c r="F755" s="622"/>
      <c r="G755" s="622"/>
      <c r="H755" s="622"/>
      <c r="I755" s="622"/>
      <c r="J755" s="622"/>
      <c r="K755" s="622"/>
      <c r="L755" s="622"/>
      <c r="M755" s="622"/>
      <c r="N755" s="622"/>
      <c r="O755" s="622"/>
      <c r="P755" s="622"/>
      <c r="Q755" s="622"/>
      <c r="R755" s="622"/>
      <c r="S755" s="622"/>
      <c r="T755" s="622"/>
      <c r="U755" s="622"/>
      <c r="V755" s="622"/>
      <c r="W755" s="622"/>
      <c r="X755" s="622"/>
      <c r="Y755" s="622"/>
      <c r="AA755" s="291"/>
      <c r="AB755" s="412"/>
      <c r="AC755" s="473" t="s">
        <v>43</v>
      </c>
      <c r="AD755" s="432" t="s">
        <v>32</v>
      </c>
      <c r="AE755" s="426">
        <f t="shared" ref="AE755:AQ757" si="1499">AE752-AE749</f>
        <v>-32</v>
      </c>
      <c r="AF755" s="427">
        <f t="shared" si="1499"/>
        <v>0</v>
      </c>
      <c r="AG755" s="428">
        <f t="shared" si="1499"/>
        <v>-6</v>
      </c>
      <c r="AH755" s="428">
        <f t="shared" si="1499"/>
        <v>-3</v>
      </c>
      <c r="AI755" s="428">
        <f t="shared" si="1499"/>
        <v>-3</v>
      </c>
      <c r="AJ755" s="428">
        <f t="shared" si="1499"/>
        <v>-8</v>
      </c>
      <c r="AK755" s="428">
        <f t="shared" si="1499"/>
        <v>-3</v>
      </c>
      <c r="AL755" s="428">
        <f t="shared" si="1499"/>
        <v>-5</v>
      </c>
      <c r="AM755" s="428">
        <f t="shared" si="1499"/>
        <v>-4</v>
      </c>
      <c r="AN755" s="428">
        <f t="shared" si="1499"/>
        <v>0</v>
      </c>
      <c r="AO755" s="428">
        <f t="shared" si="1499"/>
        <v>0</v>
      </c>
      <c r="AP755" s="428">
        <f t="shared" si="1499"/>
        <v>0</v>
      </c>
      <c r="AQ755" s="430">
        <f t="shared" si="1499"/>
        <v>0</v>
      </c>
    </row>
    <row r="756" spans="2:43" s="366" customFormat="1" ht="7.8" customHeight="1" x14ac:dyDescent="0.25">
      <c r="B756" s="616"/>
      <c r="C756" s="625"/>
      <c r="D756" s="617"/>
      <c r="E756" s="623"/>
      <c r="F756" s="622"/>
      <c r="G756" s="622"/>
      <c r="H756" s="622"/>
      <c r="I756" s="622"/>
      <c r="J756" s="622"/>
      <c r="K756" s="622"/>
      <c r="L756" s="622"/>
      <c r="M756" s="622"/>
      <c r="N756" s="622"/>
      <c r="O756" s="622"/>
      <c r="P756" s="622"/>
      <c r="Q756" s="622"/>
      <c r="R756" s="622"/>
      <c r="S756" s="622"/>
      <c r="T756" s="622"/>
      <c r="U756" s="622"/>
      <c r="V756" s="622"/>
      <c r="W756" s="622"/>
      <c r="X756" s="622"/>
      <c r="Y756" s="622"/>
      <c r="AA756" s="291"/>
      <c r="AB756" s="412"/>
      <c r="AC756" s="475"/>
      <c r="AD756" s="476" t="s">
        <v>33</v>
      </c>
      <c r="AE756" s="407">
        <f t="shared" si="1499"/>
        <v>-5422.84</v>
      </c>
      <c r="AF756" s="408">
        <f t="shared" si="1499"/>
        <v>0</v>
      </c>
      <c r="AG756" s="409">
        <f t="shared" si="1499"/>
        <v>-1090</v>
      </c>
      <c r="AH756" s="409">
        <f t="shared" si="1499"/>
        <v>-465</v>
      </c>
      <c r="AI756" s="409">
        <f t="shared" si="1499"/>
        <v>-432</v>
      </c>
      <c r="AJ756" s="409">
        <f t="shared" si="1499"/>
        <v>-1357</v>
      </c>
      <c r="AK756" s="409">
        <f t="shared" si="1499"/>
        <v>-580</v>
      </c>
      <c r="AL756" s="409">
        <f t="shared" si="1499"/>
        <v>-855</v>
      </c>
      <c r="AM756" s="409">
        <f t="shared" si="1499"/>
        <v>-643.83999999999992</v>
      </c>
      <c r="AN756" s="409">
        <f t="shared" si="1499"/>
        <v>0</v>
      </c>
      <c r="AO756" s="409">
        <f t="shared" si="1499"/>
        <v>0</v>
      </c>
      <c r="AP756" s="409">
        <f t="shared" si="1499"/>
        <v>0</v>
      </c>
      <c r="AQ756" s="411">
        <f t="shared" si="1499"/>
        <v>0</v>
      </c>
    </row>
    <row r="757" spans="2:43" ht="7.8" customHeight="1" x14ac:dyDescent="0.25">
      <c r="B757" s="616"/>
      <c r="C757" s="625"/>
      <c r="D757" s="617"/>
      <c r="E757" s="618"/>
      <c r="F757" s="622"/>
      <c r="G757" s="622"/>
      <c r="H757" s="622"/>
      <c r="I757" s="622"/>
      <c r="J757" s="622"/>
      <c r="K757" s="622"/>
      <c r="L757" s="622"/>
      <c r="M757" s="622"/>
      <c r="N757" s="622"/>
      <c r="O757" s="622"/>
      <c r="P757" s="622"/>
      <c r="Q757" s="622"/>
      <c r="R757" s="622"/>
      <c r="S757" s="622"/>
      <c r="T757" s="622"/>
      <c r="U757" s="622"/>
      <c r="V757" s="622"/>
      <c r="W757" s="622"/>
      <c r="X757" s="622"/>
      <c r="Y757" s="622"/>
      <c r="AA757" s="291"/>
      <c r="AB757" s="412"/>
      <c r="AC757" s="477"/>
      <c r="AD757" s="423" t="s">
        <v>30</v>
      </c>
      <c r="AE757" s="417">
        <f t="shared" si="1499"/>
        <v>-169.46375</v>
      </c>
      <c r="AF757" s="418">
        <f t="shared" si="1499"/>
        <v>0</v>
      </c>
      <c r="AG757" s="419">
        <f t="shared" si="1499"/>
        <v>-181.66666666666666</v>
      </c>
      <c r="AH757" s="419">
        <f t="shared" si="1499"/>
        <v>-155</v>
      </c>
      <c r="AI757" s="419">
        <f t="shared" si="1499"/>
        <v>-144</v>
      </c>
      <c r="AJ757" s="419">
        <f t="shared" si="1499"/>
        <v>-169.625</v>
      </c>
      <c r="AK757" s="419">
        <f t="shared" si="1499"/>
        <v>-193.33333333333334</v>
      </c>
      <c r="AL757" s="419">
        <f t="shared" si="1499"/>
        <v>-171</v>
      </c>
      <c r="AM757" s="419">
        <f t="shared" si="1499"/>
        <v>-160.95999999999998</v>
      </c>
      <c r="AN757" s="419">
        <f t="shared" si="1499"/>
        <v>0</v>
      </c>
      <c r="AO757" s="419">
        <f t="shared" si="1499"/>
        <v>0</v>
      </c>
      <c r="AP757" s="419">
        <f t="shared" si="1499"/>
        <v>0</v>
      </c>
      <c r="AQ757" s="421">
        <f t="shared" si="1499"/>
        <v>0</v>
      </c>
    </row>
    <row r="758" spans="2:43" ht="7.8" customHeight="1" x14ac:dyDescent="0.25">
      <c r="B758" s="616"/>
      <c r="C758" s="625"/>
      <c r="D758" s="617"/>
      <c r="E758" s="618"/>
      <c r="F758" s="624"/>
      <c r="G758" s="624"/>
      <c r="H758" s="624"/>
      <c r="I758" s="624"/>
      <c r="J758" s="624"/>
      <c r="K758" s="624"/>
      <c r="L758" s="624"/>
      <c r="M758" s="624"/>
      <c r="N758" s="624"/>
      <c r="O758" s="624"/>
      <c r="P758" s="624"/>
      <c r="Q758" s="624"/>
      <c r="R758" s="624"/>
      <c r="S758" s="624"/>
      <c r="T758" s="624"/>
      <c r="U758" s="624"/>
      <c r="V758" s="624"/>
      <c r="W758" s="624"/>
      <c r="X758" s="624"/>
      <c r="Y758" s="624"/>
      <c r="AA758" s="291"/>
      <c r="AB758" s="412"/>
      <c r="AC758" s="473" t="s">
        <v>44</v>
      </c>
      <c r="AD758" s="432" t="s">
        <v>32</v>
      </c>
      <c r="AE758" s="478">
        <f t="shared" ref="AE758:AQ760" si="1500">IFERROR((AE752-AE749)/ABS(AE749),"")</f>
        <v>-1</v>
      </c>
      <c r="AF758" s="479" t="str">
        <f t="shared" si="1500"/>
        <v/>
      </c>
      <c r="AG758" s="480">
        <f t="shared" si="1500"/>
        <v>-1</v>
      </c>
      <c r="AH758" s="480">
        <f t="shared" si="1500"/>
        <v>-1</v>
      </c>
      <c r="AI758" s="480">
        <f t="shared" si="1500"/>
        <v>-1</v>
      </c>
      <c r="AJ758" s="480">
        <f t="shared" si="1500"/>
        <v>-1</v>
      </c>
      <c r="AK758" s="480">
        <f t="shared" si="1500"/>
        <v>-1</v>
      </c>
      <c r="AL758" s="480">
        <f t="shared" si="1500"/>
        <v>-1</v>
      </c>
      <c r="AM758" s="480">
        <f t="shared" si="1500"/>
        <v>-1</v>
      </c>
      <c r="AN758" s="480" t="str">
        <f t="shared" si="1500"/>
        <v/>
      </c>
      <c r="AO758" s="480" t="str">
        <f t="shared" si="1500"/>
        <v/>
      </c>
      <c r="AP758" s="480" t="str">
        <f t="shared" si="1500"/>
        <v/>
      </c>
      <c r="AQ758" s="482" t="str">
        <f t="shared" si="1500"/>
        <v/>
      </c>
    </row>
    <row r="759" spans="2:43" ht="7.8" customHeight="1" x14ac:dyDescent="0.25">
      <c r="B759" s="616"/>
      <c r="C759" s="625"/>
      <c r="D759" s="617"/>
      <c r="E759" s="618"/>
      <c r="F759" s="624"/>
      <c r="G759" s="624"/>
      <c r="H759" s="624"/>
      <c r="I759" s="624"/>
      <c r="J759" s="624"/>
      <c r="K759" s="624"/>
      <c r="L759" s="624"/>
      <c r="M759" s="624"/>
      <c r="N759" s="624"/>
      <c r="O759" s="624"/>
      <c r="P759" s="624"/>
      <c r="Q759" s="624"/>
      <c r="R759" s="624"/>
      <c r="S759" s="624"/>
      <c r="T759" s="624"/>
      <c r="U759" s="624"/>
      <c r="V759" s="624"/>
      <c r="W759" s="624"/>
      <c r="X759" s="624"/>
      <c r="Y759" s="624"/>
      <c r="AA759" s="291"/>
      <c r="AB759" s="412"/>
      <c r="AC759" s="475"/>
      <c r="AD759" s="489" t="s">
        <v>33</v>
      </c>
      <c r="AE759" s="484">
        <f t="shared" si="1500"/>
        <v>-1</v>
      </c>
      <c r="AF759" s="485" t="str">
        <f t="shared" si="1500"/>
        <v/>
      </c>
      <c r="AG759" s="486">
        <f t="shared" si="1500"/>
        <v>-1</v>
      </c>
      <c r="AH759" s="486">
        <f t="shared" si="1500"/>
        <v>-1</v>
      </c>
      <c r="AI759" s="486">
        <f t="shared" si="1500"/>
        <v>-1</v>
      </c>
      <c r="AJ759" s="486">
        <f t="shared" si="1500"/>
        <v>-1</v>
      </c>
      <c r="AK759" s="486">
        <f t="shared" si="1500"/>
        <v>-1</v>
      </c>
      <c r="AL759" s="486">
        <f t="shared" si="1500"/>
        <v>-1</v>
      </c>
      <c r="AM759" s="486">
        <f t="shared" si="1500"/>
        <v>-1</v>
      </c>
      <c r="AN759" s="486" t="str">
        <f t="shared" si="1500"/>
        <v/>
      </c>
      <c r="AO759" s="486" t="str">
        <f t="shared" si="1500"/>
        <v/>
      </c>
      <c r="AP759" s="486" t="str">
        <f t="shared" si="1500"/>
        <v/>
      </c>
      <c r="AQ759" s="488" t="str">
        <f t="shared" si="1500"/>
        <v/>
      </c>
    </row>
    <row r="760" spans="2:43" ht="7.8" customHeight="1" x14ac:dyDescent="0.25">
      <c r="B760" s="616"/>
      <c r="C760" s="625"/>
      <c r="D760" s="617"/>
      <c r="E760" s="618"/>
      <c r="F760" s="624"/>
      <c r="G760" s="624"/>
      <c r="H760" s="624"/>
      <c r="I760" s="624"/>
      <c r="J760" s="624"/>
      <c r="K760" s="624"/>
      <c r="L760" s="624"/>
      <c r="M760" s="624"/>
      <c r="N760" s="624"/>
      <c r="O760" s="624"/>
      <c r="P760" s="624"/>
      <c r="Q760" s="624"/>
      <c r="R760" s="624"/>
      <c r="S760" s="624"/>
      <c r="T760" s="624"/>
      <c r="U760" s="624"/>
      <c r="V760" s="624"/>
      <c r="W760" s="624"/>
      <c r="X760" s="624"/>
      <c r="Y760" s="624"/>
      <c r="AA760" s="291"/>
      <c r="AB760" s="510"/>
      <c r="AC760" s="511"/>
      <c r="AD760" s="512" t="s">
        <v>30</v>
      </c>
      <c r="AE760" s="505">
        <f t="shared" si="1500"/>
        <v>-1</v>
      </c>
      <c r="AF760" s="506" t="str">
        <f t="shared" si="1500"/>
        <v/>
      </c>
      <c r="AG760" s="507">
        <f t="shared" si="1500"/>
        <v>-1</v>
      </c>
      <c r="AH760" s="507">
        <f t="shared" si="1500"/>
        <v>-1</v>
      </c>
      <c r="AI760" s="507">
        <f t="shared" si="1500"/>
        <v>-1</v>
      </c>
      <c r="AJ760" s="507">
        <f t="shared" si="1500"/>
        <v>-1</v>
      </c>
      <c r="AK760" s="507">
        <f t="shared" si="1500"/>
        <v>-1</v>
      </c>
      <c r="AL760" s="507">
        <f t="shared" si="1500"/>
        <v>-1</v>
      </c>
      <c r="AM760" s="507">
        <f t="shared" si="1500"/>
        <v>-1</v>
      </c>
      <c r="AN760" s="507" t="str">
        <f t="shared" si="1500"/>
        <v/>
      </c>
      <c r="AO760" s="507" t="str">
        <f t="shared" si="1500"/>
        <v/>
      </c>
      <c r="AP760" s="507" t="str">
        <f t="shared" si="1500"/>
        <v/>
      </c>
      <c r="AQ760" s="509" t="str">
        <f t="shared" si="1500"/>
        <v/>
      </c>
    </row>
    <row r="761" spans="2:43" ht="7.8" customHeight="1" x14ac:dyDescent="0.25">
      <c r="AA761" s="513" t="s">
        <v>71</v>
      </c>
      <c r="AB761" s="514" t="s">
        <v>9</v>
      </c>
      <c r="AC761" s="515" t="s">
        <v>39</v>
      </c>
      <c r="AD761" s="516" t="s">
        <v>32</v>
      </c>
      <c r="AE761" s="517">
        <f t="shared" ref="AE761:AE762" si="1501">SUM(AF761:AQ761)</f>
        <v>0</v>
      </c>
      <c r="AF761" s="518">
        <f t="shared" ref="AF761:AQ762" si="1502">SUM(AF779,AF797)</f>
        <v>0</v>
      </c>
      <c r="AG761" s="519">
        <f t="shared" si="1502"/>
        <v>0</v>
      </c>
      <c r="AH761" s="519">
        <f t="shared" si="1502"/>
        <v>0</v>
      </c>
      <c r="AI761" s="519">
        <f t="shared" si="1502"/>
        <v>0</v>
      </c>
      <c r="AJ761" s="519">
        <f t="shared" si="1502"/>
        <v>0</v>
      </c>
      <c r="AK761" s="519">
        <f t="shared" si="1502"/>
        <v>0</v>
      </c>
      <c r="AL761" s="519">
        <f t="shared" si="1502"/>
        <v>0</v>
      </c>
      <c r="AM761" s="519">
        <f t="shared" si="1502"/>
        <v>0</v>
      </c>
      <c r="AN761" s="519">
        <f t="shared" si="1502"/>
        <v>0</v>
      </c>
      <c r="AO761" s="519">
        <f t="shared" si="1502"/>
        <v>0</v>
      </c>
      <c r="AP761" s="519">
        <f t="shared" si="1502"/>
        <v>0</v>
      </c>
      <c r="AQ761" s="520">
        <f t="shared" si="1502"/>
        <v>0</v>
      </c>
    </row>
    <row r="762" spans="2:43" s="41" customFormat="1" ht="7.8" customHeight="1" x14ac:dyDescent="0.25">
      <c r="B762" s="628"/>
      <c r="C762" s="629"/>
      <c r="D762" s="629"/>
      <c r="E762" s="629"/>
      <c r="AA762" s="513"/>
      <c r="AB762" s="521"/>
      <c r="AC762" s="522"/>
      <c r="AD762" s="523" t="s">
        <v>33</v>
      </c>
      <c r="AE762" s="339">
        <f t="shared" si="1501"/>
        <v>0</v>
      </c>
      <c r="AF762" s="340">
        <f t="shared" si="1502"/>
        <v>0</v>
      </c>
      <c r="AG762" s="341">
        <f t="shared" si="1502"/>
        <v>0</v>
      </c>
      <c r="AH762" s="341">
        <f t="shared" si="1502"/>
        <v>0</v>
      </c>
      <c r="AI762" s="341">
        <f t="shared" si="1502"/>
        <v>0</v>
      </c>
      <c r="AJ762" s="341">
        <f t="shared" si="1502"/>
        <v>0</v>
      </c>
      <c r="AK762" s="341">
        <f t="shared" si="1502"/>
        <v>0</v>
      </c>
      <c r="AL762" s="341">
        <f t="shared" si="1502"/>
        <v>0</v>
      </c>
      <c r="AM762" s="341">
        <f t="shared" si="1502"/>
        <v>0</v>
      </c>
      <c r="AN762" s="341">
        <f t="shared" si="1502"/>
        <v>0</v>
      </c>
      <c r="AO762" s="341">
        <f t="shared" si="1502"/>
        <v>0</v>
      </c>
      <c r="AP762" s="341">
        <f t="shared" si="1502"/>
        <v>0</v>
      </c>
      <c r="AQ762" s="343">
        <f t="shared" si="1502"/>
        <v>0</v>
      </c>
    </row>
    <row r="763" spans="2:43" ht="7.8" customHeight="1" x14ac:dyDescent="0.25">
      <c r="AA763" s="513"/>
      <c r="AB763" s="521"/>
      <c r="AC763" s="524"/>
      <c r="AD763" s="525" t="s">
        <v>30</v>
      </c>
      <c r="AE763" s="352">
        <f t="shared" ref="AE763:AQ763" si="1503">IFERROR(AE762/AE761,0)</f>
        <v>0</v>
      </c>
      <c r="AF763" s="353">
        <f t="shared" si="1503"/>
        <v>0</v>
      </c>
      <c r="AG763" s="354">
        <f t="shared" si="1503"/>
        <v>0</v>
      </c>
      <c r="AH763" s="354">
        <f t="shared" si="1503"/>
        <v>0</v>
      </c>
      <c r="AI763" s="354">
        <f t="shared" si="1503"/>
        <v>0</v>
      </c>
      <c r="AJ763" s="354">
        <f t="shared" si="1503"/>
        <v>0</v>
      </c>
      <c r="AK763" s="354">
        <f t="shared" si="1503"/>
        <v>0</v>
      </c>
      <c r="AL763" s="354">
        <f t="shared" si="1503"/>
        <v>0</v>
      </c>
      <c r="AM763" s="354">
        <f t="shared" si="1503"/>
        <v>0</v>
      </c>
      <c r="AN763" s="354">
        <f t="shared" si="1503"/>
        <v>0</v>
      </c>
      <c r="AO763" s="354">
        <f t="shared" si="1503"/>
        <v>0</v>
      </c>
      <c r="AP763" s="354">
        <f t="shared" si="1503"/>
        <v>0</v>
      </c>
      <c r="AQ763" s="356">
        <f t="shared" si="1503"/>
        <v>0</v>
      </c>
    </row>
    <row r="764" spans="2:43" ht="7.8" customHeight="1" x14ac:dyDescent="0.25">
      <c r="AA764" s="513"/>
      <c r="AB764" s="521"/>
      <c r="AC764" s="527" t="s">
        <v>40</v>
      </c>
      <c r="AD764" s="528" t="s">
        <v>32</v>
      </c>
      <c r="AE764" s="326">
        <f t="shared" ref="AE764:AE765" si="1504">SUM(AF764:AQ764)</f>
        <v>57090</v>
      </c>
      <c r="AF764" s="327">
        <f t="shared" ref="AF764:AQ765" si="1505">SUM(AF782,AF800)</f>
        <v>5363</v>
      </c>
      <c r="AG764" s="328">
        <f t="shared" si="1505"/>
        <v>4765</v>
      </c>
      <c r="AH764" s="328">
        <f t="shared" si="1505"/>
        <v>4982</v>
      </c>
      <c r="AI764" s="328">
        <f t="shared" si="1505"/>
        <v>4972</v>
      </c>
      <c r="AJ764" s="328">
        <f t="shared" si="1505"/>
        <v>4607</v>
      </c>
      <c r="AK764" s="328">
        <f t="shared" si="1505"/>
        <v>4834</v>
      </c>
      <c r="AL764" s="328">
        <f t="shared" si="1505"/>
        <v>5179</v>
      </c>
      <c r="AM764" s="328">
        <f t="shared" si="1505"/>
        <v>4725</v>
      </c>
      <c r="AN764" s="328">
        <f t="shared" si="1505"/>
        <v>3833</v>
      </c>
      <c r="AO764" s="328">
        <f t="shared" si="1505"/>
        <v>3895</v>
      </c>
      <c r="AP764" s="328">
        <f t="shared" si="1505"/>
        <v>4550</v>
      </c>
      <c r="AQ764" s="330">
        <f t="shared" si="1505"/>
        <v>5385</v>
      </c>
    </row>
    <row r="765" spans="2:43" s="41" customFormat="1" ht="7.8" customHeight="1" x14ac:dyDescent="0.25">
      <c r="B765" s="628"/>
      <c r="C765" s="629"/>
      <c r="D765" s="629"/>
      <c r="E765" s="629"/>
      <c r="AA765" s="513"/>
      <c r="AB765" s="521"/>
      <c r="AC765" s="522"/>
      <c r="AD765" s="523" t="s">
        <v>33</v>
      </c>
      <c r="AE765" s="339">
        <f t="shared" si="1504"/>
        <v>9366045.7400000002</v>
      </c>
      <c r="AF765" s="340">
        <f t="shared" si="1505"/>
        <v>859069</v>
      </c>
      <c r="AG765" s="341">
        <f t="shared" si="1505"/>
        <v>775530.00000000012</v>
      </c>
      <c r="AH765" s="341">
        <f t="shared" si="1505"/>
        <v>765180</v>
      </c>
      <c r="AI765" s="341">
        <f t="shared" si="1505"/>
        <v>737988</v>
      </c>
      <c r="AJ765" s="341">
        <f t="shared" si="1505"/>
        <v>732299</v>
      </c>
      <c r="AK765" s="341">
        <f t="shared" si="1505"/>
        <v>837289</v>
      </c>
      <c r="AL765" s="341">
        <f t="shared" si="1505"/>
        <v>979986</v>
      </c>
      <c r="AM765" s="341">
        <f t="shared" si="1505"/>
        <v>844745</v>
      </c>
      <c r="AN765" s="341">
        <f t="shared" si="1505"/>
        <v>665540</v>
      </c>
      <c r="AO765" s="341">
        <f t="shared" si="1505"/>
        <v>597878</v>
      </c>
      <c r="AP765" s="341">
        <f t="shared" si="1505"/>
        <v>644623.34</v>
      </c>
      <c r="AQ765" s="343">
        <f t="shared" si="1505"/>
        <v>925918.4</v>
      </c>
    </row>
    <row r="766" spans="2:43" ht="7.8" customHeight="1" x14ac:dyDescent="0.25">
      <c r="AA766" s="513"/>
      <c r="AB766" s="521"/>
      <c r="AC766" s="524"/>
      <c r="AD766" s="525" t="s">
        <v>30</v>
      </c>
      <c r="AE766" s="352">
        <f t="shared" ref="AE766:AQ766" si="1506">IFERROR(AE765/AE764,0)</f>
        <v>164.05755368716063</v>
      </c>
      <c r="AF766" s="353">
        <f t="shared" si="1506"/>
        <v>160.18441170986389</v>
      </c>
      <c r="AG766" s="354">
        <f t="shared" si="1506"/>
        <v>162.75550891920255</v>
      </c>
      <c r="AH766" s="354">
        <f t="shared" si="1506"/>
        <v>153.58892011240465</v>
      </c>
      <c r="AI766" s="354">
        <f t="shared" si="1506"/>
        <v>148.42880128720836</v>
      </c>
      <c r="AJ766" s="354">
        <f t="shared" si="1506"/>
        <v>158.95354894725418</v>
      </c>
      <c r="AK766" s="354">
        <f t="shared" si="1506"/>
        <v>173.20831609433182</v>
      </c>
      <c r="AL766" s="354">
        <f t="shared" si="1506"/>
        <v>189.2230160262599</v>
      </c>
      <c r="AM766" s="354">
        <f t="shared" si="1506"/>
        <v>178.78201058201057</v>
      </c>
      <c r="AN766" s="354">
        <f t="shared" si="1506"/>
        <v>173.63422906339682</v>
      </c>
      <c r="AO766" s="354">
        <f t="shared" si="1506"/>
        <v>153.49884467265724</v>
      </c>
      <c r="AP766" s="354">
        <f t="shared" si="1506"/>
        <v>141.67545934065933</v>
      </c>
      <c r="AQ766" s="356">
        <f t="shared" si="1506"/>
        <v>171.94399257195914</v>
      </c>
    </row>
    <row r="767" spans="2:43" ht="7.8" customHeight="1" x14ac:dyDescent="0.25">
      <c r="AA767" s="513"/>
      <c r="AB767" s="521"/>
      <c r="AC767" s="527" t="s">
        <v>41</v>
      </c>
      <c r="AD767" s="528" t="s">
        <v>32</v>
      </c>
      <c r="AE767" s="326">
        <f t="shared" ref="AE767:AE768" si="1507">SUM(AF767:AQ767)</f>
        <v>47663</v>
      </c>
      <c r="AF767" s="327">
        <f t="shared" ref="AF767:AQ768" si="1508">SUM(AF785,AF803)</f>
        <v>5649</v>
      </c>
      <c r="AG767" s="328">
        <f t="shared" si="1508"/>
        <v>4705</v>
      </c>
      <c r="AH767" s="328">
        <f t="shared" si="1508"/>
        <v>5226</v>
      </c>
      <c r="AI767" s="328">
        <f t="shared" si="1508"/>
        <v>4726</v>
      </c>
      <c r="AJ767" s="328">
        <f t="shared" si="1508"/>
        <v>5252</v>
      </c>
      <c r="AK767" s="328">
        <f t="shared" si="1508"/>
        <v>5230</v>
      </c>
      <c r="AL767" s="328">
        <f t="shared" si="1508"/>
        <v>5787</v>
      </c>
      <c r="AM767" s="328">
        <f t="shared" si="1508"/>
        <v>5429</v>
      </c>
      <c r="AN767" s="328">
        <f t="shared" si="1508"/>
        <v>5659</v>
      </c>
      <c r="AO767" s="328">
        <f t="shared" si="1508"/>
        <v>0</v>
      </c>
      <c r="AP767" s="328">
        <f t="shared" si="1508"/>
        <v>0</v>
      </c>
      <c r="AQ767" s="330">
        <f t="shared" si="1508"/>
        <v>0</v>
      </c>
    </row>
    <row r="768" spans="2:43" s="41" customFormat="1" ht="7.8" customHeight="1" x14ac:dyDescent="0.25">
      <c r="B768" s="628"/>
      <c r="C768" s="629"/>
      <c r="D768" s="629"/>
      <c r="E768" s="629"/>
      <c r="AA768" s="513"/>
      <c r="AB768" s="521"/>
      <c r="AC768" s="522"/>
      <c r="AD768" s="523" t="s">
        <v>33</v>
      </c>
      <c r="AE768" s="339">
        <f t="shared" si="1507"/>
        <v>7476311.2199999997</v>
      </c>
      <c r="AF768" s="340">
        <f t="shared" si="1508"/>
        <v>854748.97999999986</v>
      </c>
      <c r="AG768" s="341">
        <f t="shared" si="1508"/>
        <v>751739.75</v>
      </c>
      <c r="AH768" s="341">
        <f t="shared" si="1508"/>
        <v>825838.17999999993</v>
      </c>
      <c r="AI768" s="341">
        <f t="shared" si="1508"/>
        <v>741268.3</v>
      </c>
      <c r="AJ768" s="341">
        <f t="shared" si="1508"/>
        <v>789595.47</v>
      </c>
      <c r="AK768" s="341">
        <f t="shared" si="1508"/>
        <v>840947.41999999993</v>
      </c>
      <c r="AL768" s="341">
        <f t="shared" si="1508"/>
        <v>1002890.85</v>
      </c>
      <c r="AM768" s="341">
        <f t="shared" si="1508"/>
        <v>870457.73</v>
      </c>
      <c r="AN768" s="341">
        <f t="shared" si="1508"/>
        <v>798824.54</v>
      </c>
      <c r="AO768" s="341">
        <f t="shared" si="1508"/>
        <v>0</v>
      </c>
      <c r="AP768" s="341">
        <f t="shared" si="1508"/>
        <v>0</v>
      </c>
      <c r="AQ768" s="343">
        <f t="shared" si="1508"/>
        <v>0</v>
      </c>
    </row>
    <row r="769" spans="2:43" ht="7.8" customHeight="1" x14ac:dyDescent="0.25">
      <c r="AA769" s="513"/>
      <c r="AB769" s="521"/>
      <c r="AC769" s="524"/>
      <c r="AD769" s="525" t="s">
        <v>30</v>
      </c>
      <c r="AE769" s="352">
        <f t="shared" ref="AE769:AQ769" si="1509">IFERROR(AE768/AE767,0)</f>
        <v>156.85775591129388</v>
      </c>
      <c r="AF769" s="353">
        <f t="shared" si="1509"/>
        <v>151.30978580279694</v>
      </c>
      <c r="AG769" s="354">
        <f t="shared" si="1509"/>
        <v>159.77465462274176</v>
      </c>
      <c r="AH769" s="354">
        <f t="shared" si="1509"/>
        <v>158.02491006505932</v>
      </c>
      <c r="AI769" s="354">
        <f t="shared" si="1509"/>
        <v>156.84898434193823</v>
      </c>
      <c r="AJ769" s="354">
        <f t="shared" si="1509"/>
        <v>150.3418640517898</v>
      </c>
      <c r="AK769" s="354">
        <f t="shared" si="1509"/>
        <v>160.79300573613764</v>
      </c>
      <c r="AL769" s="354">
        <f t="shared" si="1509"/>
        <v>173.30064800414723</v>
      </c>
      <c r="AM769" s="354">
        <f t="shared" si="1509"/>
        <v>160.33481856695525</v>
      </c>
      <c r="AN769" s="354">
        <f t="shared" si="1509"/>
        <v>141.1600176709666</v>
      </c>
      <c r="AO769" s="354">
        <f t="shared" si="1509"/>
        <v>0</v>
      </c>
      <c r="AP769" s="354">
        <f t="shared" si="1509"/>
        <v>0</v>
      </c>
      <c r="AQ769" s="356">
        <f t="shared" si="1509"/>
        <v>0</v>
      </c>
    </row>
    <row r="770" spans="2:43" ht="7.8" customHeight="1" x14ac:dyDescent="0.25">
      <c r="AA770" s="513"/>
      <c r="AB770" s="521"/>
      <c r="AC770" s="530" t="s">
        <v>42</v>
      </c>
      <c r="AD770" s="531" t="s">
        <v>32</v>
      </c>
      <c r="AE770" s="67">
        <f t="shared" ref="AE770:AE771" si="1510">SUM(AF770:AQ770)</f>
        <v>67684</v>
      </c>
      <c r="AF770" s="68">
        <f t="shared" ref="AF770:AQ771" si="1511">SUM(AF788,AF806)</f>
        <v>5812</v>
      </c>
      <c r="AG770" s="69">
        <f t="shared" si="1511"/>
        <v>4500</v>
      </c>
      <c r="AH770" s="69">
        <f t="shared" si="1511"/>
        <v>5600</v>
      </c>
      <c r="AI770" s="69">
        <f t="shared" si="1511"/>
        <v>5656</v>
      </c>
      <c r="AJ770" s="69">
        <f t="shared" si="1511"/>
        <v>5864</v>
      </c>
      <c r="AK770" s="69">
        <f t="shared" si="1511"/>
        <v>5900</v>
      </c>
      <c r="AL770" s="69">
        <f t="shared" si="1511"/>
        <v>6300</v>
      </c>
      <c r="AM770" s="69">
        <f t="shared" si="1511"/>
        <v>5964</v>
      </c>
      <c r="AN770" s="69">
        <f t="shared" si="1511"/>
        <v>5272</v>
      </c>
      <c r="AO770" s="69">
        <f t="shared" si="1511"/>
        <v>5400</v>
      </c>
      <c r="AP770" s="69">
        <f t="shared" si="1511"/>
        <v>5550</v>
      </c>
      <c r="AQ770" s="71">
        <f t="shared" si="1511"/>
        <v>5866</v>
      </c>
    </row>
    <row r="771" spans="2:43" s="41" customFormat="1" ht="7.8" customHeight="1" x14ac:dyDescent="0.25">
      <c r="B771" s="628"/>
      <c r="C771" s="629"/>
      <c r="D771" s="629"/>
      <c r="E771" s="629"/>
      <c r="AA771" s="513"/>
      <c r="AB771" s="521"/>
      <c r="AC771" s="532"/>
      <c r="AD771" s="533" t="s">
        <v>33</v>
      </c>
      <c r="AE771" s="45">
        <f t="shared" si="1510"/>
        <v>11542386</v>
      </c>
      <c r="AF771" s="46">
        <f t="shared" si="1511"/>
        <v>824600</v>
      </c>
      <c r="AG771" s="47">
        <f t="shared" si="1511"/>
        <v>725200</v>
      </c>
      <c r="AH771" s="47">
        <f t="shared" si="1511"/>
        <v>930600</v>
      </c>
      <c r="AI771" s="47">
        <f t="shared" si="1511"/>
        <v>874428</v>
      </c>
      <c r="AJ771" s="47">
        <f t="shared" si="1511"/>
        <v>979800</v>
      </c>
      <c r="AK771" s="47">
        <f t="shared" si="1511"/>
        <v>1017000</v>
      </c>
      <c r="AL771" s="47">
        <f t="shared" si="1511"/>
        <v>1184100</v>
      </c>
      <c r="AM771" s="47">
        <f t="shared" si="1511"/>
        <v>1063208</v>
      </c>
      <c r="AN771" s="47">
        <f t="shared" si="1511"/>
        <v>938400</v>
      </c>
      <c r="AO771" s="47">
        <f t="shared" si="1511"/>
        <v>906500</v>
      </c>
      <c r="AP771" s="47">
        <f t="shared" si="1511"/>
        <v>957550</v>
      </c>
      <c r="AQ771" s="49">
        <f t="shared" si="1511"/>
        <v>1141000</v>
      </c>
    </row>
    <row r="772" spans="2:43" ht="7.8" customHeight="1" x14ac:dyDescent="0.25">
      <c r="AA772" s="513"/>
      <c r="AB772" s="521"/>
      <c r="AC772" s="534"/>
      <c r="AD772" s="535" t="s">
        <v>30</v>
      </c>
      <c r="AE772" s="56">
        <f t="shared" ref="AE772:AQ772" si="1512">IFERROR(AE771/AE770,0)</f>
        <v>170.53344955971869</v>
      </c>
      <c r="AF772" s="57">
        <f t="shared" si="1512"/>
        <v>141.87887130075705</v>
      </c>
      <c r="AG772" s="58">
        <f t="shared" si="1512"/>
        <v>161.15555555555557</v>
      </c>
      <c r="AH772" s="58">
        <f t="shared" si="1512"/>
        <v>166.17857142857142</v>
      </c>
      <c r="AI772" s="58">
        <f t="shared" si="1512"/>
        <v>154.6018387553041</v>
      </c>
      <c r="AJ772" s="58">
        <f t="shared" si="1512"/>
        <v>167.08731241473396</v>
      </c>
      <c r="AK772" s="58">
        <f t="shared" si="1512"/>
        <v>172.37288135593221</v>
      </c>
      <c r="AL772" s="58">
        <f t="shared" si="1512"/>
        <v>187.95238095238096</v>
      </c>
      <c r="AM772" s="58">
        <f t="shared" si="1512"/>
        <v>178.27095908786049</v>
      </c>
      <c r="AN772" s="58">
        <f t="shared" si="1512"/>
        <v>177.99696509863429</v>
      </c>
      <c r="AO772" s="58">
        <f t="shared" si="1512"/>
        <v>167.87037037037038</v>
      </c>
      <c r="AP772" s="58">
        <f t="shared" si="1512"/>
        <v>172.53153153153153</v>
      </c>
      <c r="AQ772" s="60">
        <f t="shared" si="1512"/>
        <v>194.51073985680191</v>
      </c>
    </row>
    <row r="773" spans="2:43" ht="7.8" customHeight="1" x14ac:dyDescent="0.25">
      <c r="AA773" s="513"/>
      <c r="AB773" s="521"/>
      <c r="AC773" s="536" t="s">
        <v>43</v>
      </c>
      <c r="AD773" s="528" t="s">
        <v>32</v>
      </c>
      <c r="AE773" s="326">
        <f t="shared" ref="AE773:AQ775" si="1513">AE770-AE767</f>
        <v>20021</v>
      </c>
      <c r="AF773" s="327">
        <f t="shared" si="1513"/>
        <v>163</v>
      </c>
      <c r="AG773" s="328">
        <f t="shared" si="1513"/>
        <v>-205</v>
      </c>
      <c r="AH773" s="328">
        <f t="shared" si="1513"/>
        <v>374</v>
      </c>
      <c r="AI773" s="328">
        <f t="shared" si="1513"/>
        <v>930</v>
      </c>
      <c r="AJ773" s="328">
        <f t="shared" si="1513"/>
        <v>612</v>
      </c>
      <c r="AK773" s="328">
        <f t="shared" si="1513"/>
        <v>670</v>
      </c>
      <c r="AL773" s="328">
        <f t="shared" si="1513"/>
        <v>513</v>
      </c>
      <c r="AM773" s="328">
        <f t="shared" si="1513"/>
        <v>535</v>
      </c>
      <c r="AN773" s="328">
        <f t="shared" si="1513"/>
        <v>-387</v>
      </c>
      <c r="AO773" s="328">
        <f t="shared" si="1513"/>
        <v>5400</v>
      </c>
      <c r="AP773" s="328">
        <f t="shared" si="1513"/>
        <v>5550</v>
      </c>
      <c r="AQ773" s="330">
        <f t="shared" si="1513"/>
        <v>5866</v>
      </c>
    </row>
    <row r="774" spans="2:43" s="366" customFormat="1" ht="7.8" customHeight="1" x14ac:dyDescent="0.25">
      <c r="B774" s="630"/>
      <c r="C774" s="631"/>
      <c r="D774" s="631"/>
      <c r="E774" s="631"/>
      <c r="AA774" s="513"/>
      <c r="AB774" s="521"/>
      <c r="AC774" s="537"/>
      <c r="AD774" s="538" t="s">
        <v>33</v>
      </c>
      <c r="AE774" s="339">
        <f t="shared" si="1513"/>
        <v>4066074.7800000003</v>
      </c>
      <c r="AF774" s="340">
        <f t="shared" si="1513"/>
        <v>-30148.979999999865</v>
      </c>
      <c r="AG774" s="341">
        <f t="shared" si="1513"/>
        <v>-26539.75</v>
      </c>
      <c r="AH774" s="341">
        <f t="shared" si="1513"/>
        <v>104761.82000000007</v>
      </c>
      <c r="AI774" s="341">
        <f t="shared" si="1513"/>
        <v>133159.69999999995</v>
      </c>
      <c r="AJ774" s="341">
        <f t="shared" si="1513"/>
        <v>190204.53000000003</v>
      </c>
      <c r="AK774" s="341">
        <f t="shared" si="1513"/>
        <v>176052.58000000007</v>
      </c>
      <c r="AL774" s="341">
        <f t="shared" si="1513"/>
        <v>181209.15000000002</v>
      </c>
      <c r="AM774" s="341">
        <f t="shared" si="1513"/>
        <v>192750.27000000002</v>
      </c>
      <c r="AN774" s="341">
        <f t="shared" si="1513"/>
        <v>139575.45999999996</v>
      </c>
      <c r="AO774" s="341">
        <f t="shared" si="1513"/>
        <v>906500</v>
      </c>
      <c r="AP774" s="341">
        <f t="shared" si="1513"/>
        <v>957550</v>
      </c>
      <c r="AQ774" s="343">
        <f t="shared" si="1513"/>
        <v>1141000</v>
      </c>
    </row>
    <row r="775" spans="2:43" ht="7.8" customHeight="1" x14ac:dyDescent="0.25">
      <c r="AA775" s="513"/>
      <c r="AB775" s="521"/>
      <c r="AC775" s="539"/>
      <c r="AD775" s="525" t="s">
        <v>30</v>
      </c>
      <c r="AE775" s="352">
        <f t="shared" si="1513"/>
        <v>13.675693648424811</v>
      </c>
      <c r="AF775" s="353">
        <f t="shared" si="1513"/>
        <v>-9.430914502039883</v>
      </c>
      <c r="AG775" s="354">
        <f t="shared" si="1513"/>
        <v>1.3809009328138018</v>
      </c>
      <c r="AH775" s="354">
        <f t="shared" si="1513"/>
        <v>8.1536613635121</v>
      </c>
      <c r="AI775" s="354">
        <f t="shared" si="1513"/>
        <v>-2.247145586634133</v>
      </c>
      <c r="AJ775" s="354">
        <f t="shared" si="1513"/>
        <v>16.74544836294416</v>
      </c>
      <c r="AK775" s="354">
        <f t="shared" si="1513"/>
        <v>11.579875619794564</v>
      </c>
      <c r="AL775" s="354">
        <f t="shared" si="1513"/>
        <v>14.651732948233729</v>
      </c>
      <c r="AM775" s="354">
        <f t="shared" si="1513"/>
        <v>17.936140520905241</v>
      </c>
      <c r="AN775" s="354">
        <f t="shared" si="1513"/>
        <v>36.836947427667695</v>
      </c>
      <c r="AO775" s="354">
        <f t="shared" si="1513"/>
        <v>167.87037037037038</v>
      </c>
      <c r="AP775" s="354">
        <f t="shared" si="1513"/>
        <v>172.53153153153153</v>
      </c>
      <c r="AQ775" s="356">
        <f t="shared" si="1513"/>
        <v>194.51073985680191</v>
      </c>
    </row>
    <row r="776" spans="2:43" ht="7.8" customHeight="1" x14ac:dyDescent="0.25">
      <c r="AA776" s="513"/>
      <c r="AB776" s="521"/>
      <c r="AC776" s="536" t="s">
        <v>44</v>
      </c>
      <c r="AD776" s="528" t="s">
        <v>32</v>
      </c>
      <c r="AE776" s="540">
        <f t="shared" ref="AE776:AQ778" si="1514">IFERROR((AE770-AE767)/ABS(AE767),"")</f>
        <v>0.42005329081257997</v>
      </c>
      <c r="AF776" s="541">
        <f t="shared" si="1514"/>
        <v>2.8854664542396883E-2</v>
      </c>
      <c r="AG776" s="542">
        <f t="shared" si="1514"/>
        <v>-4.3570669500531352E-2</v>
      </c>
      <c r="AH776" s="542">
        <f t="shared" si="1514"/>
        <v>7.1565250669728284E-2</v>
      </c>
      <c r="AI776" s="542">
        <f t="shared" si="1514"/>
        <v>0.19678374947101143</v>
      </c>
      <c r="AJ776" s="542">
        <f t="shared" si="1514"/>
        <v>0.11652703731911652</v>
      </c>
      <c r="AK776" s="542">
        <f t="shared" si="1514"/>
        <v>0.12810707456978968</v>
      </c>
      <c r="AL776" s="542">
        <f t="shared" si="1514"/>
        <v>8.8646967340590979E-2</v>
      </c>
      <c r="AM776" s="542">
        <f t="shared" si="1514"/>
        <v>9.8544851722232457E-2</v>
      </c>
      <c r="AN776" s="542">
        <f t="shared" si="1514"/>
        <v>-6.8386640749248981E-2</v>
      </c>
      <c r="AO776" s="542" t="str">
        <f t="shared" si="1514"/>
        <v/>
      </c>
      <c r="AP776" s="542" t="str">
        <f t="shared" si="1514"/>
        <v/>
      </c>
      <c r="AQ776" s="543" t="str">
        <f t="shared" si="1514"/>
        <v/>
      </c>
    </row>
    <row r="777" spans="2:43" ht="7.8" customHeight="1" x14ac:dyDescent="0.25">
      <c r="AA777" s="513"/>
      <c r="AB777" s="521"/>
      <c r="AC777" s="537"/>
      <c r="AD777" s="544" t="s">
        <v>33</v>
      </c>
      <c r="AE777" s="545">
        <f t="shared" si="1514"/>
        <v>0.54386109143273476</v>
      </c>
      <c r="AF777" s="546">
        <f t="shared" si="1514"/>
        <v>-3.527232053555638E-2</v>
      </c>
      <c r="AG777" s="547">
        <f t="shared" si="1514"/>
        <v>-3.5304438803455587E-2</v>
      </c>
      <c r="AH777" s="547">
        <f t="shared" si="1514"/>
        <v>0.1268551424929277</v>
      </c>
      <c r="AI777" s="547">
        <f t="shared" si="1514"/>
        <v>0.1796376561630923</v>
      </c>
      <c r="AJ777" s="547">
        <f t="shared" si="1514"/>
        <v>0.24088857804617347</v>
      </c>
      <c r="AK777" s="547">
        <f t="shared" si="1514"/>
        <v>0.2093502825658233</v>
      </c>
      <c r="AL777" s="547">
        <f t="shared" si="1514"/>
        <v>0.18068681153088598</v>
      </c>
      <c r="AM777" s="547">
        <f t="shared" si="1514"/>
        <v>0.22143553139564862</v>
      </c>
      <c r="AN777" s="547">
        <f t="shared" si="1514"/>
        <v>0.17472605435982219</v>
      </c>
      <c r="AO777" s="547" t="str">
        <f t="shared" si="1514"/>
        <v/>
      </c>
      <c r="AP777" s="547" t="str">
        <f t="shared" si="1514"/>
        <v/>
      </c>
      <c r="AQ777" s="548" t="str">
        <f t="shared" si="1514"/>
        <v/>
      </c>
    </row>
    <row r="778" spans="2:43" ht="7.8" customHeight="1" x14ac:dyDescent="0.25">
      <c r="AA778" s="513"/>
      <c r="AB778" s="549"/>
      <c r="AC778" s="550"/>
      <c r="AD778" s="551" t="s">
        <v>30</v>
      </c>
      <c r="AE778" s="552">
        <f t="shared" si="1514"/>
        <v>8.7185320030707836E-2</v>
      </c>
      <c r="AF778" s="553">
        <f t="shared" si="1514"/>
        <v>-6.2328516638912285E-2</v>
      </c>
      <c r="AG778" s="554">
        <f t="shared" si="1514"/>
        <v>8.6428034288315043E-3</v>
      </c>
      <c r="AH778" s="554">
        <f t="shared" si="1514"/>
        <v>5.1597316905007025E-2</v>
      </c>
      <c r="AI778" s="554">
        <f t="shared" si="1514"/>
        <v>-1.4326809931617083E-2</v>
      </c>
      <c r="AJ778" s="554">
        <f t="shared" si="1514"/>
        <v>0.1113824713333053</v>
      </c>
      <c r="AK778" s="554">
        <f t="shared" si="1514"/>
        <v>7.2017284376145158E-2</v>
      </c>
      <c r="AL778" s="554">
        <f t="shared" si="1514"/>
        <v>8.4545171163370958E-2</v>
      </c>
      <c r="AM778" s="554">
        <f t="shared" si="1514"/>
        <v>0.11186678402866794</v>
      </c>
      <c r="AN778" s="554">
        <f t="shared" si="1514"/>
        <v>0.26095879014078799</v>
      </c>
      <c r="AO778" s="554" t="str">
        <f t="shared" si="1514"/>
        <v/>
      </c>
      <c r="AP778" s="554" t="str">
        <f t="shared" si="1514"/>
        <v/>
      </c>
      <c r="AQ778" s="555" t="str">
        <f t="shared" si="1514"/>
        <v/>
      </c>
    </row>
    <row r="779" spans="2:43" ht="7.8" customHeight="1" x14ac:dyDescent="0.25">
      <c r="AA779" s="513"/>
      <c r="AB779" s="556" t="s">
        <v>48</v>
      </c>
      <c r="AC779" s="557" t="s">
        <v>39</v>
      </c>
      <c r="AD779" s="558" t="s">
        <v>32</v>
      </c>
      <c r="AE779" s="559">
        <f t="shared" ref="AE779:AE780" si="1515">SUM(AF779:AQ779)</f>
        <v>0</v>
      </c>
      <c r="AF779" s="560">
        <f>SUM(AF833,AF887,AF941,AF995,AF1049)</f>
        <v>0</v>
      </c>
      <c r="AG779" s="561">
        <f t="shared" ref="AG779:AQ779" si="1516">SUM(AG833,AG887,AG941,AG995,AG1049)</f>
        <v>0</v>
      </c>
      <c r="AH779" s="561">
        <f t="shared" si="1516"/>
        <v>0</v>
      </c>
      <c r="AI779" s="561">
        <f t="shared" si="1516"/>
        <v>0</v>
      </c>
      <c r="AJ779" s="561">
        <f t="shared" si="1516"/>
        <v>0</v>
      </c>
      <c r="AK779" s="561">
        <f t="shared" si="1516"/>
        <v>0</v>
      </c>
      <c r="AL779" s="561">
        <f t="shared" si="1516"/>
        <v>0</v>
      </c>
      <c r="AM779" s="561">
        <f t="shared" si="1516"/>
        <v>0</v>
      </c>
      <c r="AN779" s="561">
        <f t="shared" si="1516"/>
        <v>0</v>
      </c>
      <c r="AO779" s="561">
        <f t="shared" si="1516"/>
        <v>0</v>
      </c>
      <c r="AP779" s="561">
        <f t="shared" si="1516"/>
        <v>0</v>
      </c>
      <c r="AQ779" s="562">
        <f t="shared" si="1516"/>
        <v>0</v>
      </c>
    </row>
    <row r="780" spans="2:43" s="41" customFormat="1" ht="7.8" customHeight="1" x14ac:dyDescent="0.25">
      <c r="B780" s="628"/>
      <c r="C780" s="629"/>
      <c r="D780" s="629"/>
      <c r="E780" s="629"/>
      <c r="AA780" s="513"/>
      <c r="AB780" s="563"/>
      <c r="AC780" s="564"/>
      <c r="AD780" s="565" t="s">
        <v>33</v>
      </c>
      <c r="AE780" s="448">
        <f t="shared" si="1515"/>
        <v>0</v>
      </c>
      <c r="AF780" s="449">
        <f t="shared" ref="AF780:AQ780" si="1517">SUM(AF834,AF888,AF942,AF996,AF1050)</f>
        <v>0</v>
      </c>
      <c r="AG780" s="450">
        <f t="shared" si="1517"/>
        <v>0</v>
      </c>
      <c r="AH780" s="450">
        <f t="shared" si="1517"/>
        <v>0</v>
      </c>
      <c r="AI780" s="450">
        <f t="shared" si="1517"/>
        <v>0</v>
      </c>
      <c r="AJ780" s="450">
        <f t="shared" si="1517"/>
        <v>0</v>
      </c>
      <c r="AK780" s="450">
        <f t="shared" si="1517"/>
        <v>0</v>
      </c>
      <c r="AL780" s="450">
        <f t="shared" si="1517"/>
        <v>0</v>
      </c>
      <c r="AM780" s="450">
        <f t="shared" si="1517"/>
        <v>0</v>
      </c>
      <c r="AN780" s="450">
        <f t="shared" si="1517"/>
        <v>0</v>
      </c>
      <c r="AO780" s="450">
        <f t="shared" si="1517"/>
        <v>0</v>
      </c>
      <c r="AP780" s="450">
        <f t="shared" si="1517"/>
        <v>0</v>
      </c>
      <c r="AQ780" s="452">
        <f t="shared" si="1517"/>
        <v>0</v>
      </c>
    </row>
    <row r="781" spans="2:43" ht="7.8" customHeight="1" x14ac:dyDescent="0.25">
      <c r="AA781" s="513"/>
      <c r="AB781" s="563"/>
      <c r="AC781" s="566"/>
      <c r="AD781" s="567" t="s">
        <v>30</v>
      </c>
      <c r="AE781" s="461">
        <f t="shared" ref="AE781:AQ781" si="1518">IFERROR(AE780/AE779,0)</f>
        <v>0</v>
      </c>
      <c r="AF781" s="462">
        <f t="shared" si="1518"/>
        <v>0</v>
      </c>
      <c r="AG781" s="463">
        <f t="shared" si="1518"/>
        <v>0</v>
      </c>
      <c r="AH781" s="463">
        <f t="shared" si="1518"/>
        <v>0</v>
      </c>
      <c r="AI781" s="463">
        <f t="shared" si="1518"/>
        <v>0</v>
      </c>
      <c r="AJ781" s="463">
        <f t="shared" si="1518"/>
        <v>0</v>
      </c>
      <c r="AK781" s="463">
        <f t="shared" si="1518"/>
        <v>0</v>
      </c>
      <c r="AL781" s="463">
        <f t="shared" si="1518"/>
        <v>0</v>
      </c>
      <c r="AM781" s="463">
        <f t="shared" si="1518"/>
        <v>0</v>
      </c>
      <c r="AN781" s="463">
        <f t="shared" si="1518"/>
        <v>0</v>
      </c>
      <c r="AO781" s="463">
        <f t="shared" si="1518"/>
        <v>0</v>
      </c>
      <c r="AP781" s="463">
        <f t="shared" si="1518"/>
        <v>0</v>
      </c>
      <c r="AQ781" s="465">
        <f t="shared" si="1518"/>
        <v>0</v>
      </c>
    </row>
    <row r="782" spans="2:43" ht="7.8" customHeight="1" x14ac:dyDescent="0.25">
      <c r="AA782" s="513"/>
      <c r="AB782" s="563"/>
      <c r="AC782" s="568" t="s">
        <v>40</v>
      </c>
      <c r="AD782" s="569" t="s">
        <v>32</v>
      </c>
      <c r="AE782" s="435">
        <f t="shared" ref="AE782:AE783" si="1519">SUM(AF782:AQ782)</f>
        <v>40440</v>
      </c>
      <c r="AF782" s="436">
        <f t="shared" ref="AF782:AQ783" si="1520">SUM(AF836,AF890,AF944,AF998,AF1052)</f>
        <v>3909</v>
      </c>
      <c r="AG782" s="437">
        <f t="shared" si="1520"/>
        <v>3420</v>
      </c>
      <c r="AH782" s="437">
        <f t="shared" si="1520"/>
        <v>3349</v>
      </c>
      <c r="AI782" s="437">
        <f t="shared" si="1520"/>
        <v>3613</v>
      </c>
      <c r="AJ782" s="437">
        <f t="shared" si="1520"/>
        <v>3272</v>
      </c>
      <c r="AK782" s="437">
        <f t="shared" si="1520"/>
        <v>3425</v>
      </c>
      <c r="AL782" s="437">
        <f t="shared" si="1520"/>
        <v>3751</v>
      </c>
      <c r="AM782" s="437">
        <f t="shared" si="1520"/>
        <v>3222</v>
      </c>
      <c r="AN782" s="437">
        <f t="shared" si="1520"/>
        <v>2832</v>
      </c>
      <c r="AO782" s="437">
        <f t="shared" si="1520"/>
        <v>2767</v>
      </c>
      <c r="AP782" s="437">
        <f t="shared" si="1520"/>
        <v>2983</v>
      </c>
      <c r="AQ782" s="439">
        <f t="shared" si="1520"/>
        <v>3897</v>
      </c>
    </row>
    <row r="783" spans="2:43" s="41" customFormat="1" ht="7.8" customHeight="1" x14ac:dyDescent="0.25">
      <c r="B783" s="628"/>
      <c r="C783" s="629"/>
      <c r="D783" s="629"/>
      <c r="E783" s="629"/>
      <c r="AA783" s="513"/>
      <c r="AB783" s="563"/>
      <c r="AC783" s="564"/>
      <c r="AD783" s="565" t="s">
        <v>33</v>
      </c>
      <c r="AE783" s="448">
        <f t="shared" si="1519"/>
        <v>6466882.5300000003</v>
      </c>
      <c r="AF783" s="449">
        <f t="shared" si="1520"/>
        <v>614057</v>
      </c>
      <c r="AG783" s="450">
        <f t="shared" si="1520"/>
        <v>541621.16000000015</v>
      </c>
      <c r="AH783" s="450">
        <f t="shared" si="1520"/>
        <v>497986.23000000004</v>
      </c>
      <c r="AI783" s="450">
        <f t="shared" si="1520"/>
        <v>520964.85</v>
      </c>
      <c r="AJ783" s="450">
        <f t="shared" si="1520"/>
        <v>502240.16000000003</v>
      </c>
      <c r="AK783" s="450">
        <f t="shared" si="1520"/>
        <v>571670.43999999994</v>
      </c>
      <c r="AL783" s="450">
        <f t="shared" si="1520"/>
        <v>687558.15</v>
      </c>
      <c r="AM783" s="450">
        <f t="shared" si="1520"/>
        <v>561579.23</v>
      </c>
      <c r="AN783" s="450">
        <f t="shared" si="1520"/>
        <v>478082.02</v>
      </c>
      <c r="AO783" s="450">
        <f t="shared" si="1520"/>
        <v>417812.12</v>
      </c>
      <c r="AP783" s="450">
        <f t="shared" si="1520"/>
        <v>414627.81</v>
      </c>
      <c r="AQ783" s="452">
        <f t="shared" si="1520"/>
        <v>658683.36</v>
      </c>
    </row>
    <row r="784" spans="2:43" ht="7.8" customHeight="1" x14ac:dyDescent="0.25">
      <c r="AA784" s="513"/>
      <c r="AB784" s="563"/>
      <c r="AC784" s="566"/>
      <c r="AD784" s="567" t="s">
        <v>30</v>
      </c>
      <c r="AE784" s="461">
        <f t="shared" ref="AE784:AQ784" si="1521">IFERROR(AE783/AE782,0)</f>
        <v>159.91302002967359</v>
      </c>
      <c r="AF784" s="462">
        <f t="shared" si="1521"/>
        <v>157.08800204655921</v>
      </c>
      <c r="AG784" s="463">
        <f t="shared" si="1521"/>
        <v>158.36876023391818</v>
      </c>
      <c r="AH784" s="463">
        <f t="shared" si="1521"/>
        <v>148.69699313227829</v>
      </c>
      <c r="AI784" s="463">
        <f t="shared" si="1521"/>
        <v>144.19176584555771</v>
      </c>
      <c r="AJ784" s="463">
        <f t="shared" si="1521"/>
        <v>153.49638141809291</v>
      </c>
      <c r="AK784" s="463">
        <f t="shared" si="1521"/>
        <v>166.91107737226275</v>
      </c>
      <c r="AL784" s="463">
        <f t="shared" si="1521"/>
        <v>183.29996001066382</v>
      </c>
      <c r="AM784" s="463">
        <f t="shared" si="1521"/>
        <v>174.29522967101178</v>
      </c>
      <c r="AN784" s="463">
        <f t="shared" si="1521"/>
        <v>168.81427259887008</v>
      </c>
      <c r="AO784" s="463">
        <f t="shared" si="1521"/>
        <v>150.99823635706542</v>
      </c>
      <c r="AP784" s="463">
        <f t="shared" si="1521"/>
        <v>138.99691920885016</v>
      </c>
      <c r="AQ784" s="465">
        <f t="shared" si="1521"/>
        <v>169.0231870669746</v>
      </c>
    </row>
    <row r="785" spans="2:43" ht="7.8" customHeight="1" x14ac:dyDescent="0.25">
      <c r="AA785" s="513"/>
      <c r="AB785" s="563"/>
      <c r="AC785" s="568" t="s">
        <v>41</v>
      </c>
      <c r="AD785" s="569" t="s">
        <v>32</v>
      </c>
      <c r="AE785" s="435">
        <f t="shared" ref="AE785:AE786" si="1522">SUM(AF785:AQ785)</f>
        <v>35106</v>
      </c>
      <c r="AF785" s="436">
        <f t="shared" ref="AF785:AQ786" si="1523">SUM(AF839,AF893,AF947,AF1001,AF1055)</f>
        <v>3957</v>
      </c>
      <c r="AG785" s="437">
        <f t="shared" si="1523"/>
        <v>3305</v>
      </c>
      <c r="AH785" s="437">
        <f t="shared" si="1523"/>
        <v>3591</v>
      </c>
      <c r="AI785" s="437">
        <f t="shared" si="1523"/>
        <v>3373</v>
      </c>
      <c r="AJ785" s="437">
        <f t="shared" si="1523"/>
        <v>3527</v>
      </c>
      <c r="AK785" s="437">
        <f t="shared" si="1523"/>
        <v>3808</v>
      </c>
      <c r="AL785" s="437">
        <f t="shared" si="1523"/>
        <v>4231</v>
      </c>
      <c r="AM785" s="437">
        <f t="shared" si="1523"/>
        <v>3655</v>
      </c>
      <c r="AN785" s="437">
        <f t="shared" si="1523"/>
        <v>5659</v>
      </c>
      <c r="AO785" s="437">
        <f t="shared" si="1523"/>
        <v>0</v>
      </c>
      <c r="AP785" s="437">
        <f t="shared" si="1523"/>
        <v>0</v>
      </c>
      <c r="AQ785" s="439">
        <f t="shared" si="1523"/>
        <v>0</v>
      </c>
    </row>
    <row r="786" spans="2:43" s="41" customFormat="1" ht="7.8" customHeight="1" x14ac:dyDescent="0.25">
      <c r="B786" s="628"/>
      <c r="C786" s="629"/>
      <c r="D786" s="629"/>
      <c r="E786" s="629"/>
      <c r="AA786" s="513"/>
      <c r="AB786" s="563"/>
      <c r="AC786" s="564"/>
      <c r="AD786" s="565" t="s">
        <v>33</v>
      </c>
      <c r="AE786" s="448">
        <f t="shared" si="1522"/>
        <v>5397035.7800000003</v>
      </c>
      <c r="AF786" s="449">
        <f t="shared" si="1523"/>
        <v>586915.03999999992</v>
      </c>
      <c r="AG786" s="450">
        <f t="shared" si="1523"/>
        <v>513320.75</v>
      </c>
      <c r="AH786" s="450">
        <f t="shared" si="1523"/>
        <v>561070.59</v>
      </c>
      <c r="AI786" s="450">
        <f t="shared" si="1523"/>
        <v>516456.07000000007</v>
      </c>
      <c r="AJ786" s="450">
        <f t="shared" si="1523"/>
        <v>520226.13999999996</v>
      </c>
      <c r="AK786" s="450">
        <f t="shared" si="1523"/>
        <v>605133.61999999988</v>
      </c>
      <c r="AL786" s="450">
        <f t="shared" si="1523"/>
        <v>718082.24</v>
      </c>
      <c r="AM786" s="450">
        <f t="shared" si="1523"/>
        <v>577006.79</v>
      </c>
      <c r="AN786" s="450">
        <f t="shared" si="1523"/>
        <v>798824.54</v>
      </c>
      <c r="AO786" s="450">
        <f t="shared" si="1523"/>
        <v>0</v>
      </c>
      <c r="AP786" s="450">
        <f t="shared" si="1523"/>
        <v>0</v>
      </c>
      <c r="AQ786" s="452">
        <f t="shared" si="1523"/>
        <v>0</v>
      </c>
    </row>
    <row r="787" spans="2:43" ht="7.8" customHeight="1" x14ac:dyDescent="0.25">
      <c r="AA787" s="513"/>
      <c r="AB787" s="563"/>
      <c r="AC787" s="566"/>
      <c r="AD787" s="567" t="s">
        <v>30</v>
      </c>
      <c r="AE787" s="461">
        <f t="shared" ref="AE787:AQ787" si="1524">IFERROR(AE786/AE785,0)</f>
        <v>153.73542357431779</v>
      </c>
      <c r="AF787" s="462">
        <f t="shared" si="1524"/>
        <v>148.32323477381854</v>
      </c>
      <c r="AG787" s="463">
        <f t="shared" si="1524"/>
        <v>155.31641452344931</v>
      </c>
      <c r="AH787" s="463">
        <f t="shared" si="1524"/>
        <v>156.24355054302421</v>
      </c>
      <c r="AI787" s="463">
        <f t="shared" si="1524"/>
        <v>153.11475541061372</v>
      </c>
      <c r="AJ787" s="463">
        <f t="shared" si="1524"/>
        <v>147.49819676779131</v>
      </c>
      <c r="AK787" s="463">
        <f t="shared" si="1524"/>
        <v>158.91113970588233</v>
      </c>
      <c r="AL787" s="463">
        <f t="shared" si="1524"/>
        <v>169.71927203970694</v>
      </c>
      <c r="AM787" s="463">
        <f t="shared" si="1524"/>
        <v>157.86779480164159</v>
      </c>
      <c r="AN787" s="463">
        <f t="shared" si="1524"/>
        <v>141.1600176709666</v>
      </c>
      <c r="AO787" s="463">
        <f t="shared" si="1524"/>
        <v>0</v>
      </c>
      <c r="AP787" s="463">
        <f t="shared" si="1524"/>
        <v>0</v>
      </c>
      <c r="AQ787" s="465">
        <f t="shared" si="1524"/>
        <v>0</v>
      </c>
    </row>
    <row r="788" spans="2:43" ht="7.8" customHeight="1" x14ac:dyDescent="0.25">
      <c r="AA788" s="513"/>
      <c r="AB788" s="563"/>
      <c r="AC788" s="570" t="s">
        <v>42</v>
      </c>
      <c r="AD788" s="571" t="s">
        <v>32</v>
      </c>
      <c r="AE788" s="186">
        <f t="shared" ref="AE788:AE789" si="1525">SUM(AF788:AQ788)</f>
        <v>48363</v>
      </c>
      <c r="AF788" s="187">
        <f t="shared" ref="AF788:AQ789" si="1526">SUM(AF842,AF896,AF950,AF1004,AF1058)</f>
        <v>3772</v>
      </c>
      <c r="AG788" s="188">
        <f t="shared" si="1526"/>
        <v>3206</v>
      </c>
      <c r="AH788" s="188">
        <f t="shared" si="1526"/>
        <v>4149</v>
      </c>
      <c r="AI788" s="188">
        <f t="shared" si="1526"/>
        <v>4031</v>
      </c>
      <c r="AJ788" s="188">
        <f t="shared" si="1526"/>
        <v>3835</v>
      </c>
      <c r="AK788" s="188">
        <f t="shared" si="1526"/>
        <v>4386</v>
      </c>
      <c r="AL788" s="188">
        <f t="shared" si="1526"/>
        <v>4328</v>
      </c>
      <c r="AM788" s="188">
        <f t="shared" si="1526"/>
        <v>4060</v>
      </c>
      <c r="AN788" s="188">
        <f t="shared" si="1526"/>
        <v>4000</v>
      </c>
      <c r="AO788" s="188">
        <f t="shared" si="1526"/>
        <v>3927</v>
      </c>
      <c r="AP788" s="188">
        <f t="shared" si="1526"/>
        <v>4186</v>
      </c>
      <c r="AQ788" s="190">
        <f t="shared" si="1526"/>
        <v>4483</v>
      </c>
    </row>
    <row r="789" spans="2:43" s="41" customFormat="1" ht="7.8" customHeight="1" x14ac:dyDescent="0.25">
      <c r="B789" s="628"/>
      <c r="C789" s="629"/>
      <c r="D789" s="629"/>
      <c r="E789" s="629"/>
      <c r="AA789" s="513"/>
      <c r="AB789" s="563"/>
      <c r="AC789" s="572"/>
      <c r="AD789" s="573" t="s">
        <v>33</v>
      </c>
      <c r="AE789" s="163">
        <f t="shared" si="1525"/>
        <v>8296591</v>
      </c>
      <c r="AF789" s="231">
        <f t="shared" si="1526"/>
        <v>561480</v>
      </c>
      <c r="AG789" s="232">
        <f t="shared" si="1526"/>
        <v>516380</v>
      </c>
      <c r="AH789" s="232">
        <f t="shared" si="1526"/>
        <v>688746</v>
      </c>
      <c r="AI789" s="232">
        <f t="shared" si="1526"/>
        <v>620532</v>
      </c>
      <c r="AJ789" s="232">
        <f t="shared" si="1526"/>
        <v>644959</v>
      </c>
      <c r="AK789" s="232">
        <f t="shared" si="1526"/>
        <v>755974</v>
      </c>
      <c r="AL789" s="232">
        <f t="shared" si="1526"/>
        <v>809279</v>
      </c>
      <c r="AM789" s="232">
        <f t="shared" si="1526"/>
        <v>721416</v>
      </c>
      <c r="AN789" s="232">
        <f t="shared" si="1526"/>
        <v>697569</v>
      </c>
      <c r="AO789" s="232">
        <f t="shared" si="1526"/>
        <v>658696</v>
      </c>
      <c r="AP789" s="232">
        <f t="shared" si="1526"/>
        <v>722350</v>
      </c>
      <c r="AQ789" s="234">
        <f t="shared" si="1526"/>
        <v>899210</v>
      </c>
    </row>
    <row r="790" spans="2:43" ht="7.8" customHeight="1" x14ac:dyDescent="0.25">
      <c r="AA790" s="513"/>
      <c r="AB790" s="563"/>
      <c r="AC790" s="574"/>
      <c r="AD790" s="575" t="s">
        <v>30</v>
      </c>
      <c r="AE790" s="175">
        <f t="shared" ref="AE790:AQ790" si="1527">IFERROR(AE789/AE788,0)</f>
        <v>171.54831172590616</v>
      </c>
      <c r="AF790" s="176">
        <f t="shared" si="1527"/>
        <v>148.85471898197244</v>
      </c>
      <c r="AG790" s="177">
        <f t="shared" si="1527"/>
        <v>161.06674984404242</v>
      </c>
      <c r="AH790" s="177">
        <f t="shared" si="1527"/>
        <v>166.00289226319595</v>
      </c>
      <c r="AI790" s="177">
        <f t="shared" si="1527"/>
        <v>153.93996526916399</v>
      </c>
      <c r="AJ790" s="177">
        <f t="shared" si="1527"/>
        <v>168.17705345501955</v>
      </c>
      <c r="AK790" s="177">
        <f t="shared" si="1527"/>
        <v>172.36069311445507</v>
      </c>
      <c r="AL790" s="177">
        <f t="shared" si="1527"/>
        <v>186.98682994454714</v>
      </c>
      <c r="AM790" s="177">
        <f t="shared" si="1527"/>
        <v>177.68866995073893</v>
      </c>
      <c r="AN790" s="177">
        <f t="shared" si="1527"/>
        <v>174.39224999999999</v>
      </c>
      <c r="AO790" s="177">
        <f t="shared" si="1527"/>
        <v>167.73516679399032</v>
      </c>
      <c r="AP790" s="177">
        <f t="shared" si="1527"/>
        <v>172.56330625895842</v>
      </c>
      <c r="AQ790" s="179">
        <f t="shared" si="1527"/>
        <v>200.58219942003123</v>
      </c>
    </row>
    <row r="791" spans="2:43" ht="7.8" customHeight="1" x14ac:dyDescent="0.25">
      <c r="AA791" s="513"/>
      <c r="AB791" s="563"/>
      <c r="AC791" s="576" t="s">
        <v>43</v>
      </c>
      <c r="AD791" s="569" t="s">
        <v>32</v>
      </c>
      <c r="AE791" s="435">
        <f t="shared" ref="AE791:AQ793" si="1528">AE788-AE785</f>
        <v>13257</v>
      </c>
      <c r="AF791" s="436">
        <f t="shared" si="1528"/>
        <v>-185</v>
      </c>
      <c r="AG791" s="437">
        <f t="shared" si="1528"/>
        <v>-99</v>
      </c>
      <c r="AH791" s="437">
        <f t="shared" si="1528"/>
        <v>558</v>
      </c>
      <c r="AI791" s="437">
        <f t="shared" si="1528"/>
        <v>658</v>
      </c>
      <c r="AJ791" s="437">
        <f t="shared" si="1528"/>
        <v>308</v>
      </c>
      <c r="AK791" s="437">
        <f t="shared" si="1528"/>
        <v>578</v>
      </c>
      <c r="AL791" s="437">
        <f t="shared" si="1528"/>
        <v>97</v>
      </c>
      <c r="AM791" s="437">
        <f t="shared" si="1528"/>
        <v>405</v>
      </c>
      <c r="AN791" s="437">
        <f t="shared" si="1528"/>
        <v>-1659</v>
      </c>
      <c r="AO791" s="437">
        <f t="shared" si="1528"/>
        <v>3927</v>
      </c>
      <c r="AP791" s="437">
        <f t="shared" si="1528"/>
        <v>4186</v>
      </c>
      <c r="AQ791" s="439">
        <f t="shared" si="1528"/>
        <v>4483</v>
      </c>
    </row>
    <row r="792" spans="2:43" s="366" customFormat="1" ht="7.8" customHeight="1" x14ac:dyDescent="0.25">
      <c r="B792" s="630"/>
      <c r="C792" s="631"/>
      <c r="D792" s="631"/>
      <c r="E792" s="631"/>
      <c r="AA792" s="513"/>
      <c r="AB792" s="563"/>
      <c r="AC792" s="577"/>
      <c r="AD792" s="578" t="s">
        <v>33</v>
      </c>
      <c r="AE792" s="448">
        <f t="shared" si="1528"/>
        <v>2899555.2199999997</v>
      </c>
      <c r="AF792" s="449">
        <f t="shared" si="1528"/>
        <v>-25435.039999999921</v>
      </c>
      <c r="AG792" s="450">
        <f t="shared" si="1528"/>
        <v>3059.25</v>
      </c>
      <c r="AH792" s="450">
        <f t="shared" si="1528"/>
        <v>127675.41000000003</v>
      </c>
      <c r="AI792" s="450">
        <f t="shared" si="1528"/>
        <v>104075.92999999993</v>
      </c>
      <c r="AJ792" s="450">
        <f t="shared" si="1528"/>
        <v>124732.86000000004</v>
      </c>
      <c r="AK792" s="450">
        <f t="shared" si="1528"/>
        <v>150840.38000000012</v>
      </c>
      <c r="AL792" s="450">
        <f t="shared" si="1528"/>
        <v>91196.760000000009</v>
      </c>
      <c r="AM792" s="450">
        <f t="shared" si="1528"/>
        <v>144409.20999999996</v>
      </c>
      <c r="AN792" s="450">
        <f t="shared" si="1528"/>
        <v>-101255.54000000004</v>
      </c>
      <c r="AO792" s="450">
        <f t="shared" si="1528"/>
        <v>658696</v>
      </c>
      <c r="AP792" s="450">
        <f t="shared" si="1528"/>
        <v>722350</v>
      </c>
      <c r="AQ792" s="452">
        <f t="shared" si="1528"/>
        <v>899210</v>
      </c>
    </row>
    <row r="793" spans="2:43" ht="7.8" customHeight="1" x14ac:dyDescent="0.25">
      <c r="AA793" s="513"/>
      <c r="AB793" s="563"/>
      <c r="AC793" s="579"/>
      <c r="AD793" s="567" t="s">
        <v>30</v>
      </c>
      <c r="AE793" s="461">
        <f t="shared" si="1528"/>
        <v>17.812888151588368</v>
      </c>
      <c r="AF793" s="462">
        <f t="shared" si="1528"/>
        <v>0.53148420815389841</v>
      </c>
      <c r="AG793" s="463">
        <f t="shared" si="1528"/>
        <v>5.7503353205931091</v>
      </c>
      <c r="AH793" s="463">
        <f t="shared" si="1528"/>
        <v>9.759341720171733</v>
      </c>
      <c r="AI793" s="463">
        <f t="shared" si="1528"/>
        <v>0.82520985855026652</v>
      </c>
      <c r="AJ793" s="463">
        <f t="shared" si="1528"/>
        <v>20.678856687228233</v>
      </c>
      <c r="AK793" s="463">
        <f t="shared" si="1528"/>
        <v>13.44955340857274</v>
      </c>
      <c r="AL793" s="463">
        <f t="shared" si="1528"/>
        <v>17.267557904840203</v>
      </c>
      <c r="AM793" s="463">
        <f t="shared" si="1528"/>
        <v>19.820875149097333</v>
      </c>
      <c r="AN793" s="463">
        <f t="shared" si="1528"/>
        <v>33.232232329033394</v>
      </c>
      <c r="AO793" s="463">
        <f t="shared" si="1528"/>
        <v>167.73516679399032</v>
      </c>
      <c r="AP793" s="463">
        <f t="shared" si="1528"/>
        <v>172.56330625895842</v>
      </c>
      <c r="AQ793" s="465">
        <f t="shared" si="1528"/>
        <v>200.58219942003123</v>
      </c>
    </row>
    <row r="794" spans="2:43" ht="7.8" customHeight="1" x14ac:dyDescent="0.25">
      <c r="AA794" s="513"/>
      <c r="AB794" s="563"/>
      <c r="AC794" s="576" t="s">
        <v>44</v>
      </c>
      <c r="AD794" s="569" t="s">
        <v>32</v>
      </c>
      <c r="AE794" s="580">
        <f t="shared" ref="AE794:AQ796" si="1529">IFERROR((AE788-AE785)/ABS(AE785),"")</f>
        <v>0.37762775593915571</v>
      </c>
      <c r="AF794" s="581">
        <f t="shared" si="1529"/>
        <v>-4.6752590346221888E-2</v>
      </c>
      <c r="AG794" s="582">
        <f t="shared" si="1529"/>
        <v>-2.995461422087746E-2</v>
      </c>
      <c r="AH794" s="582">
        <f t="shared" si="1529"/>
        <v>0.15538847117794485</v>
      </c>
      <c r="AI794" s="582">
        <f t="shared" si="1529"/>
        <v>0.19507856507560037</v>
      </c>
      <c r="AJ794" s="582">
        <f t="shared" si="1529"/>
        <v>8.7326339665438055E-2</v>
      </c>
      <c r="AK794" s="582">
        <f t="shared" si="1529"/>
        <v>0.15178571428571427</v>
      </c>
      <c r="AL794" s="582">
        <f t="shared" si="1529"/>
        <v>2.2926022216969984E-2</v>
      </c>
      <c r="AM794" s="582">
        <f t="shared" si="1529"/>
        <v>0.11080711354309165</v>
      </c>
      <c r="AN794" s="582">
        <f t="shared" si="1529"/>
        <v>-0.29316133592507509</v>
      </c>
      <c r="AO794" s="582" t="str">
        <f t="shared" si="1529"/>
        <v/>
      </c>
      <c r="AP794" s="582" t="str">
        <f t="shared" si="1529"/>
        <v/>
      </c>
      <c r="AQ794" s="583" t="str">
        <f t="shared" si="1529"/>
        <v/>
      </c>
    </row>
    <row r="795" spans="2:43" ht="7.8" customHeight="1" x14ac:dyDescent="0.25">
      <c r="AA795" s="513"/>
      <c r="AB795" s="563"/>
      <c r="AC795" s="577"/>
      <c r="AD795" s="584" t="s">
        <v>33</v>
      </c>
      <c r="AE795" s="585">
        <f t="shared" si="1529"/>
        <v>0.53724958258475719</v>
      </c>
      <c r="AF795" s="586">
        <f t="shared" si="1529"/>
        <v>-4.333683457830613E-2</v>
      </c>
      <c r="AG795" s="587">
        <f t="shared" si="1529"/>
        <v>5.9597240127152468E-3</v>
      </c>
      <c r="AH795" s="587">
        <f t="shared" si="1529"/>
        <v>0.22755676785696438</v>
      </c>
      <c r="AI795" s="587">
        <f t="shared" si="1529"/>
        <v>0.20151942448851443</v>
      </c>
      <c r="AJ795" s="587">
        <f t="shared" si="1529"/>
        <v>0.2397666138037586</v>
      </c>
      <c r="AK795" s="587">
        <f t="shared" si="1529"/>
        <v>0.24926788896640736</v>
      </c>
      <c r="AL795" s="587">
        <f t="shared" si="1529"/>
        <v>0.12700043939256875</v>
      </c>
      <c r="AM795" s="587">
        <f t="shared" si="1529"/>
        <v>0.25027298205624227</v>
      </c>
      <c r="AN795" s="587">
        <f t="shared" si="1529"/>
        <v>-0.12675567027522719</v>
      </c>
      <c r="AO795" s="587" t="str">
        <f t="shared" si="1529"/>
        <v/>
      </c>
      <c r="AP795" s="587" t="str">
        <f t="shared" si="1529"/>
        <v/>
      </c>
      <c r="AQ795" s="588" t="str">
        <f t="shared" si="1529"/>
        <v/>
      </c>
    </row>
    <row r="796" spans="2:43" ht="7.8" customHeight="1" x14ac:dyDescent="0.25">
      <c r="AA796" s="513"/>
      <c r="AB796" s="563"/>
      <c r="AC796" s="577"/>
      <c r="AD796" s="584" t="s">
        <v>30</v>
      </c>
      <c r="AE796" s="585">
        <f t="shared" si="1529"/>
        <v>0.11586716800488975</v>
      </c>
      <c r="AF796" s="586">
        <f t="shared" si="1529"/>
        <v>3.5832835561088639E-3</v>
      </c>
      <c r="AG796" s="587">
        <f t="shared" si="1529"/>
        <v>3.7023358659396148E-2</v>
      </c>
      <c r="AH796" s="587">
        <f t="shared" si="1529"/>
        <v>6.2462365238457246E-2</v>
      </c>
      <c r="AI796" s="587">
        <f t="shared" si="1529"/>
        <v>5.3894861820290903E-3</v>
      </c>
      <c r="AJ796" s="587">
        <f t="shared" si="1529"/>
        <v>0.1401973525126092</v>
      </c>
      <c r="AK796" s="587">
        <f t="shared" si="1529"/>
        <v>8.4635686544477562E-2</v>
      </c>
      <c r="AL796" s="587">
        <f t="shared" si="1529"/>
        <v>0.10174188056145059</v>
      </c>
      <c r="AM796" s="587">
        <f t="shared" si="1529"/>
        <v>0.12555363286097682</v>
      </c>
      <c r="AN796" s="587">
        <f t="shared" si="1529"/>
        <v>0.23542241547812237</v>
      </c>
      <c r="AO796" s="587" t="str">
        <f t="shared" si="1529"/>
        <v/>
      </c>
      <c r="AP796" s="587" t="str">
        <f t="shared" si="1529"/>
        <v/>
      </c>
      <c r="AQ796" s="588" t="str">
        <f t="shared" si="1529"/>
        <v/>
      </c>
    </row>
    <row r="797" spans="2:43" ht="7.8" customHeight="1" x14ac:dyDescent="0.25">
      <c r="AA797" s="513"/>
      <c r="AB797" s="589" t="s">
        <v>49</v>
      </c>
      <c r="AC797" s="590" t="s">
        <v>39</v>
      </c>
      <c r="AD797" s="591" t="s">
        <v>32</v>
      </c>
      <c r="AE797" s="592">
        <f t="shared" ref="AE797:AE798" si="1530">SUM(AF797:AQ797)</f>
        <v>0</v>
      </c>
      <c r="AF797" s="593">
        <f t="shared" ref="AF797:AQ798" si="1531">SUM(AF851,AF905,AF959,AF1013,AF1067)</f>
        <v>0</v>
      </c>
      <c r="AG797" s="594">
        <f t="shared" si="1531"/>
        <v>0</v>
      </c>
      <c r="AH797" s="594">
        <f t="shared" si="1531"/>
        <v>0</v>
      </c>
      <c r="AI797" s="594">
        <f t="shared" si="1531"/>
        <v>0</v>
      </c>
      <c r="AJ797" s="594">
        <f t="shared" si="1531"/>
        <v>0</v>
      </c>
      <c r="AK797" s="594">
        <f t="shared" si="1531"/>
        <v>0</v>
      </c>
      <c r="AL797" s="594">
        <f t="shared" si="1531"/>
        <v>0</v>
      </c>
      <c r="AM797" s="594">
        <f t="shared" si="1531"/>
        <v>0</v>
      </c>
      <c r="AN797" s="594">
        <f t="shared" si="1531"/>
        <v>0</v>
      </c>
      <c r="AO797" s="594">
        <f t="shared" si="1531"/>
        <v>0</v>
      </c>
      <c r="AP797" s="594">
        <f t="shared" si="1531"/>
        <v>0</v>
      </c>
      <c r="AQ797" s="595">
        <f t="shared" si="1531"/>
        <v>0</v>
      </c>
    </row>
    <row r="798" spans="2:43" s="41" customFormat="1" ht="7.8" customHeight="1" x14ac:dyDescent="0.25">
      <c r="B798" s="628"/>
      <c r="C798" s="629"/>
      <c r="D798" s="629"/>
      <c r="E798" s="629"/>
      <c r="AA798" s="513"/>
      <c r="AB798" s="563"/>
      <c r="AC798" s="564"/>
      <c r="AD798" s="565" t="s">
        <v>33</v>
      </c>
      <c r="AE798" s="448">
        <f t="shared" si="1530"/>
        <v>0</v>
      </c>
      <c r="AF798" s="449">
        <f t="shared" si="1531"/>
        <v>0</v>
      </c>
      <c r="AG798" s="450">
        <f t="shared" si="1531"/>
        <v>0</v>
      </c>
      <c r="AH798" s="450">
        <f t="shared" si="1531"/>
        <v>0</v>
      </c>
      <c r="AI798" s="450">
        <f t="shared" si="1531"/>
        <v>0</v>
      </c>
      <c r="AJ798" s="450">
        <f t="shared" si="1531"/>
        <v>0</v>
      </c>
      <c r="AK798" s="450">
        <f t="shared" si="1531"/>
        <v>0</v>
      </c>
      <c r="AL798" s="450">
        <f t="shared" si="1531"/>
        <v>0</v>
      </c>
      <c r="AM798" s="450">
        <f t="shared" si="1531"/>
        <v>0</v>
      </c>
      <c r="AN798" s="450">
        <f t="shared" si="1531"/>
        <v>0</v>
      </c>
      <c r="AO798" s="450">
        <f t="shared" si="1531"/>
        <v>0</v>
      </c>
      <c r="AP798" s="450">
        <f t="shared" si="1531"/>
        <v>0</v>
      </c>
      <c r="AQ798" s="452">
        <f t="shared" si="1531"/>
        <v>0</v>
      </c>
    </row>
    <row r="799" spans="2:43" ht="7.8" customHeight="1" x14ac:dyDescent="0.25">
      <c r="AA799" s="513"/>
      <c r="AB799" s="563"/>
      <c r="AC799" s="566"/>
      <c r="AD799" s="567" t="s">
        <v>30</v>
      </c>
      <c r="AE799" s="461">
        <f t="shared" ref="AE799:AQ799" si="1532">IFERROR(AE798/AE797,0)</f>
        <v>0</v>
      </c>
      <c r="AF799" s="462">
        <f t="shared" si="1532"/>
        <v>0</v>
      </c>
      <c r="AG799" s="463">
        <f t="shared" si="1532"/>
        <v>0</v>
      </c>
      <c r="AH799" s="463">
        <f t="shared" si="1532"/>
        <v>0</v>
      </c>
      <c r="AI799" s="463">
        <f t="shared" si="1532"/>
        <v>0</v>
      </c>
      <c r="AJ799" s="463">
        <f t="shared" si="1532"/>
        <v>0</v>
      </c>
      <c r="AK799" s="463">
        <f t="shared" si="1532"/>
        <v>0</v>
      </c>
      <c r="AL799" s="463">
        <f t="shared" si="1532"/>
        <v>0</v>
      </c>
      <c r="AM799" s="463">
        <f t="shared" si="1532"/>
        <v>0</v>
      </c>
      <c r="AN799" s="463">
        <f t="shared" si="1532"/>
        <v>0</v>
      </c>
      <c r="AO799" s="463">
        <f t="shared" si="1532"/>
        <v>0</v>
      </c>
      <c r="AP799" s="463">
        <f t="shared" si="1532"/>
        <v>0</v>
      </c>
      <c r="AQ799" s="465">
        <f t="shared" si="1532"/>
        <v>0</v>
      </c>
    </row>
    <row r="800" spans="2:43" ht="7.8" customHeight="1" x14ac:dyDescent="0.25">
      <c r="AA800" s="513"/>
      <c r="AB800" s="563"/>
      <c r="AC800" s="568" t="s">
        <v>40</v>
      </c>
      <c r="AD800" s="569" t="s">
        <v>32</v>
      </c>
      <c r="AE800" s="435">
        <f t="shared" ref="AE800:AE801" si="1533">SUM(AF800:AQ800)</f>
        <v>16650</v>
      </c>
      <c r="AF800" s="436">
        <f t="shared" ref="AF800:AQ801" si="1534">SUM(AF854,AF908,AF962,AF1016,AF1070)</f>
        <v>1454</v>
      </c>
      <c r="AG800" s="437">
        <f t="shared" si="1534"/>
        <v>1345</v>
      </c>
      <c r="AH800" s="437">
        <f t="shared" si="1534"/>
        <v>1633</v>
      </c>
      <c r="AI800" s="437">
        <f t="shared" si="1534"/>
        <v>1359</v>
      </c>
      <c r="AJ800" s="437">
        <f t="shared" si="1534"/>
        <v>1335</v>
      </c>
      <c r="AK800" s="437">
        <f t="shared" si="1534"/>
        <v>1409</v>
      </c>
      <c r="AL800" s="437">
        <f t="shared" si="1534"/>
        <v>1428</v>
      </c>
      <c r="AM800" s="437">
        <f t="shared" si="1534"/>
        <v>1503</v>
      </c>
      <c r="AN800" s="437">
        <f t="shared" si="1534"/>
        <v>1001</v>
      </c>
      <c r="AO800" s="437">
        <f t="shared" si="1534"/>
        <v>1128</v>
      </c>
      <c r="AP800" s="437">
        <f t="shared" si="1534"/>
        <v>1567</v>
      </c>
      <c r="AQ800" s="439">
        <f t="shared" si="1534"/>
        <v>1488</v>
      </c>
    </row>
    <row r="801" spans="2:43" s="41" customFormat="1" ht="7.8" customHeight="1" x14ac:dyDescent="0.25">
      <c r="B801" s="628"/>
      <c r="C801" s="629"/>
      <c r="D801" s="629"/>
      <c r="E801" s="629"/>
      <c r="AA801" s="513"/>
      <c r="AB801" s="563"/>
      <c r="AC801" s="564"/>
      <c r="AD801" s="565" t="s">
        <v>33</v>
      </c>
      <c r="AE801" s="448">
        <f t="shared" si="1533"/>
        <v>2899163.21</v>
      </c>
      <c r="AF801" s="449">
        <f t="shared" si="1534"/>
        <v>245012</v>
      </c>
      <c r="AG801" s="450">
        <f t="shared" si="1534"/>
        <v>233908.83999999997</v>
      </c>
      <c r="AH801" s="450">
        <f t="shared" si="1534"/>
        <v>267193.77</v>
      </c>
      <c r="AI801" s="450">
        <f t="shared" si="1534"/>
        <v>217023.15</v>
      </c>
      <c r="AJ801" s="450">
        <f t="shared" si="1534"/>
        <v>230058.84000000003</v>
      </c>
      <c r="AK801" s="450">
        <f t="shared" si="1534"/>
        <v>265618.56</v>
      </c>
      <c r="AL801" s="450">
        <f t="shared" si="1534"/>
        <v>292427.84999999998</v>
      </c>
      <c r="AM801" s="450">
        <f t="shared" si="1534"/>
        <v>283165.76999999996</v>
      </c>
      <c r="AN801" s="450">
        <f t="shared" si="1534"/>
        <v>187457.97999999998</v>
      </c>
      <c r="AO801" s="450">
        <f t="shared" si="1534"/>
        <v>180065.88</v>
      </c>
      <c r="AP801" s="450">
        <f t="shared" si="1534"/>
        <v>229995.53</v>
      </c>
      <c r="AQ801" s="452">
        <f t="shared" si="1534"/>
        <v>267235.04000000004</v>
      </c>
    </row>
    <row r="802" spans="2:43" ht="7.8" customHeight="1" x14ac:dyDescent="0.25">
      <c r="AA802" s="513"/>
      <c r="AB802" s="563"/>
      <c r="AC802" s="566"/>
      <c r="AD802" s="567" t="s">
        <v>30</v>
      </c>
      <c r="AE802" s="461">
        <f t="shared" ref="AE802:AQ802" si="1535">IFERROR(AE801/AE800,0)</f>
        <v>174.12391651651652</v>
      </c>
      <c r="AF802" s="462">
        <f t="shared" si="1535"/>
        <v>168.50894085281982</v>
      </c>
      <c r="AG802" s="463">
        <f t="shared" si="1535"/>
        <v>173.90991821561335</v>
      </c>
      <c r="AH802" s="463">
        <f t="shared" si="1535"/>
        <v>163.62141457440296</v>
      </c>
      <c r="AI802" s="463">
        <f t="shared" si="1535"/>
        <v>159.69326710816776</v>
      </c>
      <c r="AJ802" s="463">
        <f t="shared" si="1535"/>
        <v>172.32871910112362</v>
      </c>
      <c r="AK802" s="463">
        <f t="shared" si="1535"/>
        <v>188.51565649396736</v>
      </c>
      <c r="AL802" s="463">
        <f t="shared" si="1535"/>
        <v>204.7814075630252</v>
      </c>
      <c r="AM802" s="463">
        <f t="shared" si="1535"/>
        <v>188.40037924151693</v>
      </c>
      <c r="AN802" s="463">
        <f t="shared" si="1535"/>
        <v>187.27070929070928</v>
      </c>
      <c r="AO802" s="463">
        <f t="shared" si="1535"/>
        <v>159.63287234042554</v>
      </c>
      <c r="AP802" s="463">
        <f t="shared" si="1535"/>
        <v>146.7744288449266</v>
      </c>
      <c r="AQ802" s="465">
        <f t="shared" si="1535"/>
        <v>179.59344086021508</v>
      </c>
    </row>
    <row r="803" spans="2:43" ht="7.8" customHeight="1" x14ac:dyDescent="0.25">
      <c r="AA803" s="513"/>
      <c r="AB803" s="563"/>
      <c r="AC803" s="568" t="s">
        <v>41</v>
      </c>
      <c r="AD803" s="569" t="s">
        <v>32</v>
      </c>
      <c r="AE803" s="435">
        <f t="shared" ref="AE803:AE804" si="1536">SUM(AF803:AQ803)</f>
        <v>12557</v>
      </c>
      <c r="AF803" s="436">
        <f t="shared" ref="AF803:AQ804" si="1537">SUM(AF857,AF911,AF965,AF1019,AF1073)</f>
        <v>1692</v>
      </c>
      <c r="AG803" s="437">
        <f t="shared" si="1537"/>
        <v>1400</v>
      </c>
      <c r="AH803" s="437">
        <f t="shared" si="1537"/>
        <v>1635</v>
      </c>
      <c r="AI803" s="437">
        <f t="shared" si="1537"/>
        <v>1353</v>
      </c>
      <c r="AJ803" s="437">
        <f t="shared" si="1537"/>
        <v>1725</v>
      </c>
      <c r="AK803" s="437">
        <f t="shared" si="1537"/>
        <v>1422</v>
      </c>
      <c r="AL803" s="437">
        <f t="shared" si="1537"/>
        <v>1556</v>
      </c>
      <c r="AM803" s="437">
        <f t="shared" si="1537"/>
        <v>1774</v>
      </c>
      <c r="AN803" s="437">
        <f t="shared" si="1537"/>
        <v>0</v>
      </c>
      <c r="AO803" s="437">
        <f t="shared" si="1537"/>
        <v>0</v>
      </c>
      <c r="AP803" s="437">
        <f t="shared" si="1537"/>
        <v>0</v>
      </c>
      <c r="AQ803" s="439">
        <f t="shared" si="1537"/>
        <v>0</v>
      </c>
    </row>
    <row r="804" spans="2:43" s="41" customFormat="1" ht="7.8" customHeight="1" x14ac:dyDescent="0.25">
      <c r="B804" s="628"/>
      <c r="C804" s="629"/>
      <c r="D804" s="629"/>
      <c r="E804" s="629"/>
      <c r="AA804" s="513"/>
      <c r="AB804" s="563"/>
      <c r="AC804" s="564"/>
      <c r="AD804" s="565" t="s">
        <v>33</v>
      </c>
      <c r="AE804" s="448">
        <f t="shared" si="1536"/>
        <v>2079275.44</v>
      </c>
      <c r="AF804" s="449">
        <f t="shared" si="1537"/>
        <v>267833.93999999994</v>
      </c>
      <c r="AG804" s="450">
        <f t="shared" si="1537"/>
        <v>238419</v>
      </c>
      <c r="AH804" s="450">
        <f t="shared" si="1537"/>
        <v>264767.59000000003</v>
      </c>
      <c r="AI804" s="450">
        <f t="shared" si="1537"/>
        <v>224812.22999999998</v>
      </c>
      <c r="AJ804" s="450">
        <f t="shared" si="1537"/>
        <v>269369.32999999996</v>
      </c>
      <c r="AK804" s="450">
        <f t="shared" si="1537"/>
        <v>235813.80000000002</v>
      </c>
      <c r="AL804" s="450">
        <f t="shared" si="1537"/>
        <v>284808.61</v>
      </c>
      <c r="AM804" s="450">
        <f t="shared" si="1537"/>
        <v>293450.93999999994</v>
      </c>
      <c r="AN804" s="450">
        <f t="shared" si="1537"/>
        <v>0</v>
      </c>
      <c r="AO804" s="450">
        <f t="shared" si="1537"/>
        <v>0</v>
      </c>
      <c r="AP804" s="450">
        <f t="shared" si="1537"/>
        <v>0</v>
      </c>
      <c r="AQ804" s="452">
        <f t="shared" si="1537"/>
        <v>0</v>
      </c>
    </row>
    <row r="805" spans="2:43" ht="7.8" customHeight="1" x14ac:dyDescent="0.25">
      <c r="AA805" s="513"/>
      <c r="AB805" s="563"/>
      <c r="AC805" s="566"/>
      <c r="AD805" s="567" t="s">
        <v>30</v>
      </c>
      <c r="AE805" s="461">
        <f t="shared" ref="AE805:AQ805" si="1538">IFERROR(AE804/AE803,0)</f>
        <v>165.58695866847177</v>
      </c>
      <c r="AF805" s="462">
        <f t="shared" si="1538"/>
        <v>158.29429078014181</v>
      </c>
      <c r="AG805" s="463">
        <f t="shared" si="1538"/>
        <v>170.2992857142857</v>
      </c>
      <c r="AH805" s="463">
        <f t="shared" si="1538"/>
        <v>161.93736391437309</v>
      </c>
      <c r="AI805" s="463">
        <f t="shared" si="1538"/>
        <v>166.15833702882483</v>
      </c>
      <c r="AJ805" s="463">
        <f t="shared" si="1538"/>
        <v>156.15613333333332</v>
      </c>
      <c r="AK805" s="463">
        <f t="shared" si="1538"/>
        <v>165.83248945147682</v>
      </c>
      <c r="AL805" s="463">
        <f t="shared" si="1538"/>
        <v>183.03895244215937</v>
      </c>
      <c r="AM805" s="463">
        <f t="shared" si="1538"/>
        <v>165.41766629086806</v>
      </c>
      <c r="AN805" s="463">
        <f t="shared" si="1538"/>
        <v>0</v>
      </c>
      <c r="AO805" s="463">
        <f t="shared" si="1538"/>
        <v>0</v>
      </c>
      <c r="AP805" s="463">
        <f t="shared" si="1538"/>
        <v>0</v>
      </c>
      <c r="AQ805" s="465">
        <f t="shared" si="1538"/>
        <v>0</v>
      </c>
    </row>
    <row r="806" spans="2:43" ht="7.8" customHeight="1" x14ac:dyDescent="0.25">
      <c r="AA806" s="513"/>
      <c r="AB806" s="563"/>
      <c r="AC806" s="570" t="s">
        <v>42</v>
      </c>
      <c r="AD806" s="571" t="s">
        <v>32</v>
      </c>
      <c r="AE806" s="186">
        <f t="shared" ref="AE806:AE807" si="1539">SUM(AF806:AQ806)</f>
        <v>19321</v>
      </c>
      <c r="AF806" s="187">
        <f t="shared" ref="AF806:AQ807" si="1540">SUM(AF860,AF914,AF968,AF1022,AF1076)</f>
        <v>2040</v>
      </c>
      <c r="AG806" s="188">
        <f t="shared" si="1540"/>
        <v>1294</v>
      </c>
      <c r="AH806" s="188">
        <f t="shared" si="1540"/>
        <v>1451</v>
      </c>
      <c r="AI806" s="188">
        <f t="shared" si="1540"/>
        <v>1625</v>
      </c>
      <c r="AJ806" s="188">
        <f t="shared" si="1540"/>
        <v>2029</v>
      </c>
      <c r="AK806" s="188">
        <f t="shared" si="1540"/>
        <v>1514</v>
      </c>
      <c r="AL806" s="188">
        <f t="shared" si="1540"/>
        <v>1972</v>
      </c>
      <c r="AM806" s="188">
        <f t="shared" si="1540"/>
        <v>1904</v>
      </c>
      <c r="AN806" s="188">
        <f t="shared" si="1540"/>
        <v>1272</v>
      </c>
      <c r="AO806" s="188">
        <f t="shared" si="1540"/>
        <v>1473</v>
      </c>
      <c r="AP806" s="188">
        <f t="shared" si="1540"/>
        <v>1364</v>
      </c>
      <c r="AQ806" s="190">
        <f t="shared" si="1540"/>
        <v>1383</v>
      </c>
    </row>
    <row r="807" spans="2:43" s="41" customFormat="1" ht="7.8" customHeight="1" x14ac:dyDescent="0.25">
      <c r="B807" s="628"/>
      <c r="C807" s="629"/>
      <c r="D807" s="629"/>
      <c r="E807" s="629"/>
      <c r="AA807" s="513"/>
      <c r="AB807" s="563"/>
      <c r="AC807" s="572"/>
      <c r="AD807" s="573" t="s">
        <v>33</v>
      </c>
      <c r="AE807" s="163">
        <f t="shared" si="1539"/>
        <v>3245795</v>
      </c>
      <c r="AF807" s="231">
        <f t="shared" si="1540"/>
        <v>263120</v>
      </c>
      <c r="AG807" s="232">
        <f t="shared" si="1540"/>
        <v>208820</v>
      </c>
      <c r="AH807" s="232">
        <f t="shared" si="1540"/>
        <v>241854</v>
      </c>
      <c r="AI807" s="232">
        <f t="shared" si="1540"/>
        <v>253896</v>
      </c>
      <c r="AJ807" s="232">
        <f t="shared" si="1540"/>
        <v>334841</v>
      </c>
      <c r="AK807" s="232">
        <f t="shared" si="1540"/>
        <v>261026</v>
      </c>
      <c r="AL807" s="232">
        <f t="shared" si="1540"/>
        <v>374821</v>
      </c>
      <c r="AM807" s="232">
        <f t="shared" si="1540"/>
        <v>341792</v>
      </c>
      <c r="AN807" s="232">
        <f t="shared" si="1540"/>
        <v>240831</v>
      </c>
      <c r="AO807" s="232">
        <f t="shared" si="1540"/>
        <v>247804</v>
      </c>
      <c r="AP807" s="232">
        <f t="shared" si="1540"/>
        <v>235200</v>
      </c>
      <c r="AQ807" s="234">
        <f t="shared" si="1540"/>
        <v>241790</v>
      </c>
    </row>
    <row r="808" spans="2:43" ht="7.8" customHeight="1" x14ac:dyDescent="0.25">
      <c r="AA808" s="513"/>
      <c r="AB808" s="563"/>
      <c r="AC808" s="574"/>
      <c r="AD808" s="575" t="s">
        <v>30</v>
      </c>
      <c r="AE808" s="175">
        <f t="shared" ref="AE808:AQ808" si="1541">IFERROR(AE807/AE806,0)</f>
        <v>167.99311629832823</v>
      </c>
      <c r="AF808" s="176">
        <f t="shared" si="1541"/>
        <v>128.98039215686273</v>
      </c>
      <c r="AG808" s="177">
        <f t="shared" si="1541"/>
        <v>161.37557959814529</v>
      </c>
      <c r="AH808" s="177">
        <f t="shared" si="1541"/>
        <v>166.68090971743626</v>
      </c>
      <c r="AI808" s="177">
        <f t="shared" si="1541"/>
        <v>156.2436923076923</v>
      </c>
      <c r="AJ808" s="177">
        <f t="shared" si="1541"/>
        <v>165.02759980285856</v>
      </c>
      <c r="AK808" s="177">
        <f t="shared" si="1541"/>
        <v>172.40819022457066</v>
      </c>
      <c r="AL808" s="177">
        <f t="shared" si="1541"/>
        <v>190.07150101419879</v>
      </c>
      <c r="AM808" s="177">
        <f t="shared" si="1541"/>
        <v>179.51260504201682</v>
      </c>
      <c r="AN808" s="177">
        <f t="shared" si="1541"/>
        <v>189.33254716981133</v>
      </c>
      <c r="AO808" s="177">
        <f t="shared" si="1541"/>
        <v>168.23082145281737</v>
      </c>
      <c r="AP808" s="177">
        <f t="shared" si="1541"/>
        <v>172.43401759530792</v>
      </c>
      <c r="AQ808" s="179">
        <f t="shared" si="1541"/>
        <v>174.83007953723788</v>
      </c>
    </row>
    <row r="809" spans="2:43" ht="7.8" customHeight="1" x14ac:dyDescent="0.25">
      <c r="AA809" s="513"/>
      <c r="AB809" s="563"/>
      <c r="AC809" s="576" t="s">
        <v>43</v>
      </c>
      <c r="AD809" s="569" t="s">
        <v>32</v>
      </c>
      <c r="AE809" s="435">
        <f t="shared" ref="AE809:AQ811" si="1542">AE806-AE803</f>
        <v>6764</v>
      </c>
      <c r="AF809" s="436">
        <f t="shared" si="1542"/>
        <v>348</v>
      </c>
      <c r="AG809" s="437">
        <f t="shared" si="1542"/>
        <v>-106</v>
      </c>
      <c r="AH809" s="437">
        <f t="shared" si="1542"/>
        <v>-184</v>
      </c>
      <c r="AI809" s="437">
        <f t="shared" si="1542"/>
        <v>272</v>
      </c>
      <c r="AJ809" s="437">
        <f t="shared" si="1542"/>
        <v>304</v>
      </c>
      <c r="AK809" s="437">
        <f t="shared" si="1542"/>
        <v>92</v>
      </c>
      <c r="AL809" s="437">
        <f t="shared" si="1542"/>
        <v>416</v>
      </c>
      <c r="AM809" s="437">
        <f t="shared" si="1542"/>
        <v>130</v>
      </c>
      <c r="AN809" s="437">
        <f t="shared" si="1542"/>
        <v>1272</v>
      </c>
      <c r="AO809" s="437">
        <f t="shared" si="1542"/>
        <v>1473</v>
      </c>
      <c r="AP809" s="437">
        <f t="shared" si="1542"/>
        <v>1364</v>
      </c>
      <c r="AQ809" s="439">
        <f t="shared" si="1542"/>
        <v>1383</v>
      </c>
    </row>
    <row r="810" spans="2:43" s="366" customFormat="1" ht="7.8" customHeight="1" x14ac:dyDescent="0.25">
      <c r="B810" s="630"/>
      <c r="C810" s="631"/>
      <c r="D810" s="631"/>
      <c r="E810" s="631"/>
      <c r="AA810" s="513"/>
      <c r="AB810" s="563"/>
      <c r="AC810" s="577"/>
      <c r="AD810" s="578" t="s">
        <v>33</v>
      </c>
      <c r="AE810" s="448">
        <f t="shared" si="1542"/>
        <v>1166519.56</v>
      </c>
      <c r="AF810" s="449">
        <f t="shared" si="1542"/>
        <v>-4713.9399999999441</v>
      </c>
      <c r="AG810" s="450">
        <f t="shared" si="1542"/>
        <v>-29599</v>
      </c>
      <c r="AH810" s="450">
        <f t="shared" si="1542"/>
        <v>-22913.590000000026</v>
      </c>
      <c r="AI810" s="450">
        <f t="shared" si="1542"/>
        <v>29083.770000000019</v>
      </c>
      <c r="AJ810" s="450">
        <f t="shared" si="1542"/>
        <v>65471.670000000042</v>
      </c>
      <c r="AK810" s="450">
        <f t="shared" si="1542"/>
        <v>25212.199999999983</v>
      </c>
      <c r="AL810" s="450">
        <f t="shared" si="1542"/>
        <v>90012.390000000014</v>
      </c>
      <c r="AM810" s="450">
        <f t="shared" si="1542"/>
        <v>48341.060000000056</v>
      </c>
      <c r="AN810" s="450">
        <f t="shared" si="1542"/>
        <v>240831</v>
      </c>
      <c r="AO810" s="450">
        <f t="shared" si="1542"/>
        <v>247804</v>
      </c>
      <c r="AP810" s="450">
        <f t="shared" si="1542"/>
        <v>235200</v>
      </c>
      <c r="AQ810" s="452">
        <f t="shared" si="1542"/>
        <v>241790</v>
      </c>
    </row>
    <row r="811" spans="2:43" ht="7.8" customHeight="1" x14ac:dyDescent="0.25">
      <c r="AA811" s="513"/>
      <c r="AB811" s="563"/>
      <c r="AC811" s="579"/>
      <c r="AD811" s="567" t="s">
        <v>30</v>
      </c>
      <c r="AE811" s="461">
        <f t="shared" si="1542"/>
        <v>2.406157629856466</v>
      </c>
      <c r="AF811" s="462">
        <f t="shared" si="1542"/>
        <v>-29.313898623279073</v>
      </c>
      <c r="AG811" s="463">
        <f t="shared" si="1542"/>
        <v>-8.9237061161404085</v>
      </c>
      <c r="AH811" s="463">
        <f t="shared" si="1542"/>
        <v>4.7435458030631708</v>
      </c>
      <c r="AI811" s="463">
        <f t="shared" si="1542"/>
        <v>-9.9146447211325324</v>
      </c>
      <c r="AJ811" s="463">
        <f t="shared" si="1542"/>
        <v>8.8714664695252452</v>
      </c>
      <c r="AK811" s="463">
        <f t="shared" si="1542"/>
        <v>6.5757007730938426</v>
      </c>
      <c r="AL811" s="463">
        <f t="shared" si="1542"/>
        <v>7.032548572039417</v>
      </c>
      <c r="AM811" s="463">
        <f t="shared" si="1542"/>
        <v>14.09493875114876</v>
      </c>
      <c r="AN811" s="463">
        <f t="shared" si="1542"/>
        <v>189.33254716981133</v>
      </c>
      <c r="AO811" s="463">
        <f t="shared" si="1542"/>
        <v>168.23082145281737</v>
      </c>
      <c r="AP811" s="463">
        <f t="shared" si="1542"/>
        <v>172.43401759530792</v>
      </c>
      <c r="AQ811" s="465">
        <f t="shared" si="1542"/>
        <v>174.83007953723788</v>
      </c>
    </row>
    <row r="812" spans="2:43" ht="7.8" customHeight="1" x14ac:dyDescent="0.25">
      <c r="AA812" s="513"/>
      <c r="AB812" s="563"/>
      <c r="AC812" s="576" t="s">
        <v>44</v>
      </c>
      <c r="AD812" s="569" t="s">
        <v>32</v>
      </c>
      <c r="AE812" s="580">
        <f t="shared" ref="AE812:AQ814" si="1543">IFERROR((AE806-AE803)/ABS(AE803),"")</f>
        <v>0.53866369355737831</v>
      </c>
      <c r="AF812" s="581">
        <f t="shared" si="1543"/>
        <v>0.20567375886524822</v>
      </c>
      <c r="AG812" s="582">
        <f t="shared" si="1543"/>
        <v>-7.571428571428572E-2</v>
      </c>
      <c r="AH812" s="582">
        <f t="shared" si="1543"/>
        <v>-0.11253822629969419</v>
      </c>
      <c r="AI812" s="582">
        <f t="shared" si="1543"/>
        <v>0.20103473762010349</v>
      </c>
      <c r="AJ812" s="582">
        <f t="shared" si="1543"/>
        <v>0.17623188405797102</v>
      </c>
      <c r="AK812" s="582">
        <f t="shared" si="1543"/>
        <v>6.4697609001406475E-2</v>
      </c>
      <c r="AL812" s="582">
        <f t="shared" si="1543"/>
        <v>0.26735218508997427</v>
      </c>
      <c r="AM812" s="582">
        <f t="shared" si="1543"/>
        <v>7.3280721533258167E-2</v>
      </c>
      <c r="AN812" s="582" t="str">
        <f t="shared" si="1543"/>
        <v/>
      </c>
      <c r="AO812" s="582" t="str">
        <f t="shared" si="1543"/>
        <v/>
      </c>
      <c r="AP812" s="582" t="str">
        <f t="shared" si="1543"/>
        <v/>
      </c>
      <c r="AQ812" s="583" t="str">
        <f t="shared" si="1543"/>
        <v/>
      </c>
    </row>
    <row r="813" spans="2:43" ht="7.8" customHeight="1" x14ac:dyDescent="0.25">
      <c r="AA813" s="513"/>
      <c r="AB813" s="563"/>
      <c r="AC813" s="577"/>
      <c r="AD813" s="584" t="s">
        <v>33</v>
      </c>
      <c r="AE813" s="585">
        <f t="shared" si="1543"/>
        <v>0.56102214144365603</v>
      </c>
      <c r="AF813" s="586">
        <f t="shared" si="1543"/>
        <v>-1.7600233935997599E-2</v>
      </c>
      <c r="AG813" s="587">
        <f t="shared" si="1543"/>
        <v>-0.12414698492989233</v>
      </c>
      <c r="AH813" s="587">
        <f t="shared" si="1543"/>
        <v>-8.6542276567913856E-2</v>
      </c>
      <c r="AI813" s="587">
        <f t="shared" si="1543"/>
        <v>0.12936916287872782</v>
      </c>
      <c r="AJ813" s="587">
        <f t="shared" si="1543"/>
        <v>0.24305539906863211</v>
      </c>
      <c r="AK813" s="587">
        <f t="shared" si="1543"/>
        <v>0.10691571061574845</v>
      </c>
      <c r="AL813" s="587">
        <f t="shared" si="1543"/>
        <v>0.31604518557216377</v>
      </c>
      <c r="AM813" s="587">
        <f t="shared" si="1543"/>
        <v>0.16473302147200505</v>
      </c>
      <c r="AN813" s="587" t="str">
        <f t="shared" si="1543"/>
        <v/>
      </c>
      <c r="AO813" s="587" t="str">
        <f t="shared" si="1543"/>
        <v/>
      </c>
      <c r="AP813" s="587" t="str">
        <f t="shared" si="1543"/>
        <v/>
      </c>
      <c r="AQ813" s="588" t="str">
        <f t="shared" si="1543"/>
        <v/>
      </c>
    </row>
    <row r="814" spans="2:43" ht="7.8" customHeight="1" x14ac:dyDescent="0.25">
      <c r="AA814" s="513"/>
      <c r="AB814" s="596"/>
      <c r="AC814" s="597"/>
      <c r="AD814" s="598" t="s">
        <v>30</v>
      </c>
      <c r="AE814" s="599">
        <f t="shared" si="1543"/>
        <v>1.4531081730137516E-2</v>
      </c>
      <c r="AF814" s="600">
        <f t="shared" si="1543"/>
        <v>-0.18518607638220982</v>
      </c>
      <c r="AG814" s="601">
        <f t="shared" si="1543"/>
        <v>-5.2400138254906581E-2</v>
      </c>
      <c r="AH814" s="601">
        <f t="shared" si="1543"/>
        <v>2.929247264745766E-2</v>
      </c>
      <c r="AI814" s="601">
        <f t="shared" si="1543"/>
        <v>-5.9669860076973197E-2</v>
      </c>
      <c r="AJ814" s="601">
        <f t="shared" si="1543"/>
        <v>5.6811514733065747E-2</v>
      </c>
      <c r="AK814" s="601">
        <f t="shared" si="1543"/>
        <v>3.9652668755346135E-2</v>
      </c>
      <c r="AL814" s="601">
        <f t="shared" si="1543"/>
        <v>3.8421049062011624E-2</v>
      </c>
      <c r="AM814" s="601">
        <f t="shared" si="1543"/>
        <v>8.5208182821080433E-2</v>
      </c>
      <c r="AN814" s="601" t="str">
        <f t="shared" si="1543"/>
        <v/>
      </c>
      <c r="AO814" s="601" t="str">
        <f t="shared" si="1543"/>
        <v/>
      </c>
      <c r="AP814" s="601" t="str">
        <f t="shared" si="1543"/>
        <v/>
      </c>
      <c r="AQ814" s="602" t="str">
        <f t="shared" si="1543"/>
        <v/>
      </c>
    </row>
    <row r="815" spans="2:43" ht="7.8" customHeight="1" x14ac:dyDescent="0.25">
      <c r="AA815" s="291" t="s">
        <v>72</v>
      </c>
      <c r="AB815" s="292" t="s">
        <v>9</v>
      </c>
      <c r="AC815" s="293" t="s">
        <v>39</v>
      </c>
      <c r="AD815" s="294" t="s">
        <v>32</v>
      </c>
      <c r="AE815" s="286">
        <f t="shared" ref="AE815:AE816" si="1544">SUM(AF815:AQ815)</f>
        <v>0</v>
      </c>
      <c r="AF815" s="287">
        <f t="shared" ref="AF815:AQ816" si="1545">SUM(AF833,AF851)</f>
        <v>0</v>
      </c>
      <c r="AG815" s="288">
        <f t="shared" si="1545"/>
        <v>0</v>
      </c>
      <c r="AH815" s="288">
        <f t="shared" si="1545"/>
        <v>0</v>
      </c>
      <c r="AI815" s="288">
        <f t="shared" si="1545"/>
        <v>0</v>
      </c>
      <c r="AJ815" s="288">
        <f t="shared" si="1545"/>
        <v>0</v>
      </c>
      <c r="AK815" s="288">
        <f t="shared" si="1545"/>
        <v>0</v>
      </c>
      <c r="AL815" s="288">
        <f t="shared" si="1545"/>
        <v>0</v>
      </c>
      <c r="AM815" s="288">
        <f t="shared" si="1545"/>
        <v>0</v>
      </c>
      <c r="AN815" s="288">
        <f t="shared" si="1545"/>
        <v>0</v>
      </c>
      <c r="AO815" s="288">
        <f t="shared" si="1545"/>
        <v>0</v>
      </c>
      <c r="AP815" s="288">
        <f t="shared" si="1545"/>
        <v>0</v>
      </c>
      <c r="AQ815" s="290">
        <f t="shared" si="1545"/>
        <v>0</v>
      </c>
    </row>
    <row r="816" spans="2:43" s="41" customFormat="1" ht="7.8" customHeight="1" x14ac:dyDescent="0.25">
      <c r="B816" s="628"/>
      <c r="C816" s="629"/>
      <c r="D816" s="629"/>
      <c r="E816" s="629"/>
      <c r="AA816" s="291"/>
      <c r="AB816" s="303"/>
      <c r="AC816" s="304"/>
      <c r="AD816" s="305" t="s">
        <v>33</v>
      </c>
      <c r="AE816" s="298">
        <f t="shared" si="1544"/>
        <v>0</v>
      </c>
      <c r="AF816" s="299">
        <f t="shared" si="1545"/>
        <v>0</v>
      </c>
      <c r="AG816" s="300">
        <f t="shared" si="1545"/>
        <v>0</v>
      </c>
      <c r="AH816" s="300">
        <f t="shared" si="1545"/>
        <v>0</v>
      </c>
      <c r="AI816" s="300">
        <f t="shared" si="1545"/>
        <v>0</v>
      </c>
      <c r="AJ816" s="300">
        <f t="shared" si="1545"/>
        <v>0</v>
      </c>
      <c r="AK816" s="300">
        <f t="shared" si="1545"/>
        <v>0</v>
      </c>
      <c r="AL816" s="300">
        <f t="shared" si="1545"/>
        <v>0</v>
      </c>
      <c r="AM816" s="300">
        <f t="shared" si="1545"/>
        <v>0</v>
      </c>
      <c r="AN816" s="300">
        <f t="shared" si="1545"/>
        <v>0</v>
      </c>
      <c r="AO816" s="300">
        <f t="shared" si="1545"/>
        <v>0</v>
      </c>
      <c r="AP816" s="300">
        <f t="shared" si="1545"/>
        <v>0</v>
      </c>
      <c r="AQ816" s="302">
        <f t="shared" si="1545"/>
        <v>0</v>
      </c>
    </row>
    <row r="817" spans="2:43" ht="7.8" customHeight="1" x14ac:dyDescent="0.25">
      <c r="AA817" s="291"/>
      <c r="AB817" s="303"/>
      <c r="AC817" s="313"/>
      <c r="AD817" s="314" t="s">
        <v>30</v>
      </c>
      <c r="AE817" s="308">
        <f t="shared" ref="AE817:AQ817" si="1546">IFERROR(AE816/AE815,0)</f>
        <v>0</v>
      </c>
      <c r="AF817" s="309">
        <f t="shared" si="1546"/>
        <v>0</v>
      </c>
      <c r="AG817" s="310">
        <f t="shared" si="1546"/>
        <v>0</v>
      </c>
      <c r="AH817" s="310">
        <f t="shared" si="1546"/>
        <v>0</v>
      </c>
      <c r="AI817" s="310">
        <f t="shared" si="1546"/>
        <v>0</v>
      </c>
      <c r="AJ817" s="310">
        <f t="shared" si="1546"/>
        <v>0</v>
      </c>
      <c r="AK817" s="310">
        <f t="shared" si="1546"/>
        <v>0</v>
      </c>
      <c r="AL817" s="310">
        <f t="shared" si="1546"/>
        <v>0</v>
      </c>
      <c r="AM817" s="310">
        <f t="shared" si="1546"/>
        <v>0</v>
      </c>
      <c r="AN817" s="310">
        <f t="shared" si="1546"/>
        <v>0</v>
      </c>
      <c r="AO817" s="310">
        <f t="shared" si="1546"/>
        <v>0</v>
      </c>
      <c r="AP817" s="310">
        <f t="shared" si="1546"/>
        <v>0</v>
      </c>
      <c r="AQ817" s="312">
        <f t="shared" si="1546"/>
        <v>0</v>
      </c>
    </row>
    <row r="818" spans="2:43" ht="7.8" customHeight="1" x14ac:dyDescent="0.25">
      <c r="AA818" s="291"/>
      <c r="AB818" s="303"/>
      <c r="AC818" s="322" t="s">
        <v>40</v>
      </c>
      <c r="AD818" s="323" t="s">
        <v>32</v>
      </c>
      <c r="AE818" s="317">
        <f t="shared" ref="AE818:AE819" si="1547">SUM(AF818:AQ818)</f>
        <v>4953</v>
      </c>
      <c r="AF818" s="318">
        <f t="shared" ref="AF818:AQ819" si="1548">SUM(AF836,AF854)</f>
        <v>558</v>
      </c>
      <c r="AG818" s="319">
        <f t="shared" si="1548"/>
        <v>487</v>
      </c>
      <c r="AH818" s="319">
        <f t="shared" si="1548"/>
        <v>389</v>
      </c>
      <c r="AI818" s="319">
        <f t="shared" si="1548"/>
        <v>286</v>
      </c>
      <c r="AJ818" s="319">
        <f t="shared" si="1548"/>
        <v>387</v>
      </c>
      <c r="AK818" s="319">
        <f t="shared" si="1548"/>
        <v>445</v>
      </c>
      <c r="AL818" s="319">
        <f t="shared" si="1548"/>
        <v>496</v>
      </c>
      <c r="AM818" s="319">
        <f t="shared" si="1548"/>
        <v>332</v>
      </c>
      <c r="AN818" s="319">
        <f t="shared" si="1548"/>
        <v>404</v>
      </c>
      <c r="AO818" s="319">
        <f t="shared" si="1548"/>
        <v>328</v>
      </c>
      <c r="AP818" s="319">
        <f t="shared" si="1548"/>
        <v>380</v>
      </c>
      <c r="AQ818" s="321">
        <f t="shared" si="1548"/>
        <v>461</v>
      </c>
    </row>
    <row r="819" spans="2:43" s="41" customFormat="1" ht="7.8" customHeight="1" x14ac:dyDescent="0.25">
      <c r="B819" s="628"/>
      <c r="C819" s="629"/>
      <c r="D819" s="629"/>
      <c r="E819" s="629"/>
      <c r="AA819" s="291"/>
      <c r="AB819" s="303"/>
      <c r="AC819" s="304"/>
      <c r="AD819" s="305" t="s">
        <v>33</v>
      </c>
      <c r="AE819" s="298">
        <f t="shared" si="1547"/>
        <v>1021090.0500000002</v>
      </c>
      <c r="AF819" s="299">
        <f t="shared" si="1548"/>
        <v>118614.31999999999</v>
      </c>
      <c r="AG819" s="300">
        <f t="shared" si="1548"/>
        <v>87267.450000000012</v>
      </c>
      <c r="AH819" s="300">
        <f t="shared" si="1548"/>
        <v>80984.399999999994</v>
      </c>
      <c r="AI819" s="300">
        <f t="shared" si="1548"/>
        <v>55512.459999999992</v>
      </c>
      <c r="AJ819" s="300">
        <f t="shared" si="1548"/>
        <v>76352.009999999995</v>
      </c>
      <c r="AK819" s="300">
        <f t="shared" si="1548"/>
        <v>88704.749999999985</v>
      </c>
      <c r="AL819" s="300">
        <f t="shared" si="1548"/>
        <v>115958.80000000002</v>
      </c>
      <c r="AM819" s="300">
        <f t="shared" si="1548"/>
        <v>70709.110000000015</v>
      </c>
      <c r="AN819" s="300">
        <f t="shared" si="1548"/>
        <v>79268.730000000025</v>
      </c>
      <c r="AO819" s="300">
        <f t="shared" si="1548"/>
        <v>66332.02</v>
      </c>
      <c r="AP819" s="300">
        <f t="shared" si="1548"/>
        <v>71258.3</v>
      </c>
      <c r="AQ819" s="302">
        <f t="shared" si="1548"/>
        <v>110127.70000000004</v>
      </c>
    </row>
    <row r="820" spans="2:43" ht="7.8" customHeight="1" x14ac:dyDescent="0.25">
      <c r="AA820" s="291"/>
      <c r="AB820" s="303"/>
      <c r="AC820" s="313"/>
      <c r="AD820" s="314" t="s">
        <v>30</v>
      </c>
      <c r="AE820" s="308">
        <f t="shared" ref="AE820:AQ820" si="1549">IFERROR(AE819/AE818,0)</f>
        <v>206.15587522713511</v>
      </c>
      <c r="AF820" s="309">
        <f t="shared" si="1549"/>
        <v>212.57046594982077</v>
      </c>
      <c r="AG820" s="310">
        <f t="shared" si="1549"/>
        <v>179.19394250513349</v>
      </c>
      <c r="AH820" s="310">
        <f t="shared" si="1549"/>
        <v>208.18611825192801</v>
      </c>
      <c r="AI820" s="310">
        <f t="shared" si="1549"/>
        <v>194.09951048951046</v>
      </c>
      <c r="AJ820" s="310">
        <f t="shared" si="1549"/>
        <v>197.29201550387594</v>
      </c>
      <c r="AK820" s="310">
        <f t="shared" si="1549"/>
        <v>199.33651685393255</v>
      </c>
      <c r="AL820" s="310">
        <f t="shared" si="1549"/>
        <v>233.78790322580647</v>
      </c>
      <c r="AM820" s="310">
        <f t="shared" si="1549"/>
        <v>212.97924698795185</v>
      </c>
      <c r="AN820" s="310">
        <f t="shared" si="1549"/>
        <v>196.20972772277233</v>
      </c>
      <c r="AO820" s="310">
        <f t="shared" si="1549"/>
        <v>202.23176829268294</v>
      </c>
      <c r="AP820" s="310">
        <f t="shared" si="1549"/>
        <v>187.52184210526318</v>
      </c>
      <c r="AQ820" s="312">
        <f t="shared" si="1549"/>
        <v>238.88872017353589</v>
      </c>
    </row>
    <row r="821" spans="2:43" ht="7.8" customHeight="1" x14ac:dyDescent="0.25">
      <c r="AA821" s="291"/>
      <c r="AB821" s="303"/>
      <c r="AC821" s="322" t="s">
        <v>41</v>
      </c>
      <c r="AD821" s="323" t="s">
        <v>32</v>
      </c>
      <c r="AE821" s="317">
        <f t="shared" ref="AE821:AE822" si="1550">SUM(AF821:AQ821)</f>
        <v>8881</v>
      </c>
      <c r="AF821" s="318">
        <f t="shared" ref="AF821:AQ822" si="1551">SUM(AF839,AF857)</f>
        <v>460</v>
      </c>
      <c r="AG821" s="319">
        <f t="shared" si="1551"/>
        <v>586</v>
      </c>
      <c r="AH821" s="319">
        <f t="shared" si="1551"/>
        <v>366</v>
      </c>
      <c r="AI821" s="319">
        <f t="shared" si="1551"/>
        <v>307</v>
      </c>
      <c r="AJ821" s="319">
        <f t="shared" si="1551"/>
        <v>357</v>
      </c>
      <c r="AK821" s="319">
        <f t="shared" si="1551"/>
        <v>540</v>
      </c>
      <c r="AL821" s="319">
        <f t="shared" si="1551"/>
        <v>385</v>
      </c>
      <c r="AM821" s="319">
        <f t="shared" si="1551"/>
        <v>221</v>
      </c>
      <c r="AN821" s="319">
        <f t="shared" si="1551"/>
        <v>5659</v>
      </c>
      <c r="AO821" s="319">
        <f t="shared" si="1551"/>
        <v>0</v>
      </c>
      <c r="AP821" s="319">
        <f t="shared" si="1551"/>
        <v>0</v>
      </c>
      <c r="AQ821" s="321">
        <f t="shared" si="1551"/>
        <v>0</v>
      </c>
    </row>
    <row r="822" spans="2:43" s="41" customFormat="1" ht="7.8" customHeight="1" x14ac:dyDescent="0.25">
      <c r="B822" s="628"/>
      <c r="C822" s="629"/>
      <c r="D822" s="629"/>
      <c r="E822" s="629"/>
      <c r="AA822" s="291"/>
      <c r="AB822" s="303"/>
      <c r="AC822" s="304"/>
      <c r="AD822" s="305" t="s">
        <v>33</v>
      </c>
      <c r="AE822" s="298">
        <f t="shared" si="1550"/>
        <v>1491291.1300000001</v>
      </c>
      <c r="AF822" s="299">
        <f t="shared" si="1551"/>
        <v>99524.7</v>
      </c>
      <c r="AG822" s="300">
        <f t="shared" si="1551"/>
        <v>109718.10000000002</v>
      </c>
      <c r="AH822" s="300">
        <f t="shared" si="1551"/>
        <v>105068.90000000002</v>
      </c>
      <c r="AI822" s="300">
        <f t="shared" si="1551"/>
        <v>63438.270000000004</v>
      </c>
      <c r="AJ822" s="300">
        <f t="shared" si="1551"/>
        <v>70673.08</v>
      </c>
      <c r="AK822" s="300">
        <f t="shared" si="1551"/>
        <v>112911.91999999995</v>
      </c>
      <c r="AL822" s="300">
        <f t="shared" si="1551"/>
        <v>86619.120000000039</v>
      </c>
      <c r="AM822" s="300">
        <f t="shared" si="1551"/>
        <v>44512.500000000007</v>
      </c>
      <c r="AN822" s="300">
        <f t="shared" si="1551"/>
        <v>798824.54</v>
      </c>
      <c r="AO822" s="300">
        <f t="shared" si="1551"/>
        <v>0</v>
      </c>
      <c r="AP822" s="300">
        <f t="shared" si="1551"/>
        <v>0</v>
      </c>
      <c r="AQ822" s="302">
        <f t="shared" si="1551"/>
        <v>0</v>
      </c>
    </row>
    <row r="823" spans="2:43" ht="7.8" customHeight="1" x14ac:dyDescent="0.25">
      <c r="AA823" s="291"/>
      <c r="AB823" s="303"/>
      <c r="AC823" s="313"/>
      <c r="AD823" s="314" t="s">
        <v>30</v>
      </c>
      <c r="AE823" s="308">
        <f t="shared" ref="AE823:AQ823" si="1552">IFERROR(AE822/AE821,0)</f>
        <v>167.91928048643172</v>
      </c>
      <c r="AF823" s="309">
        <f t="shared" si="1552"/>
        <v>216.35804347826087</v>
      </c>
      <c r="AG823" s="310">
        <f t="shared" si="1552"/>
        <v>187.23225255972699</v>
      </c>
      <c r="AH823" s="310">
        <f t="shared" si="1552"/>
        <v>287.07349726775965</v>
      </c>
      <c r="AI823" s="310">
        <f t="shared" si="1552"/>
        <v>206.63931596091206</v>
      </c>
      <c r="AJ823" s="310">
        <f t="shared" si="1552"/>
        <v>197.96380952380952</v>
      </c>
      <c r="AK823" s="310">
        <f t="shared" si="1552"/>
        <v>209.09614814814807</v>
      </c>
      <c r="AL823" s="310">
        <f t="shared" si="1552"/>
        <v>224.98472727272738</v>
      </c>
      <c r="AM823" s="310">
        <f t="shared" si="1552"/>
        <v>201.4140271493213</v>
      </c>
      <c r="AN823" s="310">
        <f t="shared" si="1552"/>
        <v>141.1600176709666</v>
      </c>
      <c r="AO823" s="310">
        <f t="shared" si="1552"/>
        <v>0</v>
      </c>
      <c r="AP823" s="310">
        <f t="shared" si="1552"/>
        <v>0</v>
      </c>
      <c r="AQ823" s="312">
        <f t="shared" si="1552"/>
        <v>0</v>
      </c>
    </row>
    <row r="824" spans="2:43" ht="7.8" customHeight="1" x14ac:dyDescent="0.25">
      <c r="AA824" s="291"/>
      <c r="AB824" s="303"/>
      <c r="AC824" s="527" t="s">
        <v>42</v>
      </c>
      <c r="AD824" s="528" t="s">
        <v>32</v>
      </c>
      <c r="AE824" s="333">
        <f t="shared" ref="AE824:AE825" si="1553">SUM(AF824:AQ824)</f>
        <v>6900</v>
      </c>
      <c r="AF824" s="334">
        <f t="shared" ref="AF824:AQ825" si="1554">SUM(AF842,AF860)</f>
        <v>400</v>
      </c>
      <c r="AG824" s="335">
        <f t="shared" si="1554"/>
        <v>250</v>
      </c>
      <c r="AH824" s="335">
        <f t="shared" si="1554"/>
        <v>350</v>
      </c>
      <c r="AI824" s="335">
        <f t="shared" si="1554"/>
        <v>450</v>
      </c>
      <c r="AJ824" s="335">
        <f t="shared" si="1554"/>
        <v>550</v>
      </c>
      <c r="AK824" s="335">
        <f t="shared" si="1554"/>
        <v>650</v>
      </c>
      <c r="AL824" s="335">
        <f t="shared" si="1554"/>
        <v>800</v>
      </c>
      <c r="AM824" s="335">
        <f t="shared" si="1554"/>
        <v>750</v>
      </c>
      <c r="AN824" s="335">
        <f t="shared" si="1554"/>
        <v>650</v>
      </c>
      <c r="AO824" s="335">
        <f t="shared" si="1554"/>
        <v>700</v>
      </c>
      <c r="AP824" s="335">
        <f t="shared" si="1554"/>
        <v>600</v>
      </c>
      <c r="AQ824" s="336">
        <f t="shared" si="1554"/>
        <v>750</v>
      </c>
    </row>
    <row r="825" spans="2:43" s="41" customFormat="1" ht="7.8" customHeight="1" x14ac:dyDescent="0.25">
      <c r="B825" s="628"/>
      <c r="C825" s="629"/>
      <c r="D825" s="629"/>
      <c r="E825" s="629"/>
      <c r="AA825" s="291"/>
      <c r="AB825" s="303"/>
      <c r="AC825" s="522"/>
      <c r="AD825" s="523" t="s">
        <v>33</v>
      </c>
      <c r="AE825" s="346">
        <f t="shared" si="1553"/>
        <v>1280750</v>
      </c>
      <c r="AF825" s="347">
        <f t="shared" si="1554"/>
        <v>74000</v>
      </c>
      <c r="AG825" s="348">
        <f t="shared" si="1554"/>
        <v>43750</v>
      </c>
      <c r="AH825" s="348">
        <f t="shared" si="1554"/>
        <v>63000</v>
      </c>
      <c r="AI825" s="348">
        <f t="shared" si="1554"/>
        <v>78750</v>
      </c>
      <c r="AJ825" s="348">
        <f t="shared" si="1554"/>
        <v>101750</v>
      </c>
      <c r="AK825" s="348">
        <f t="shared" si="1554"/>
        <v>120250</v>
      </c>
      <c r="AL825" s="348">
        <f t="shared" si="1554"/>
        <v>164000</v>
      </c>
      <c r="AM825" s="348">
        <f t="shared" si="1554"/>
        <v>146250</v>
      </c>
      <c r="AN825" s="348">
        <f t="shared" si="1554"/>
        <v>117000</v>
      </c>
      <c r="AO825" s="348">
        <f t="shared" si="1554"/>
        <v>126000</v>
      </c>
      <c r="AP825" s="348">
        <f t="shared" si="1554"/>
        <v>111000</v>
      </c>
      <c r="AQ825" s="349">
        <f t="shared" si="1554"/>
        <v>135000</v>
      </c>
    </row>
    <row r="826" spans="2:43" ht="7.8" customHeight="1" x14ac:dyDescent="0.25">
      <c r="AA826" s="291"/>
      <c r="AB826" s="303"/>
      <c r="AC826" s="524"/>
      <c r="AD826" s="525" t="s">
        <v>30</v>
      </c>
      <c r="AE826" s="359">
        <f t="shared" ref="AE826:AQ826" si="1555">IFERROR(AE825/AE824,0)</f>
        <v>185.6159420289855</v>
      </c>
      <c r="AF826" s="360">
        <f t="shared" si="1555"/>
        <v>185</v>
      </c>
      <c r="AG826" s="361">
        <f t="shared" si="1555"/>
        <v>175</v>
      </c>
      <c r="AH826" s="361">
        <f t="shared" si="1555"/>
        <v>180</v>
      </c>
      <c r="AI826" s="361">
        <f t="shared" si="1555"/>
        <v>175</v>
      </c>
      <c r="AJ826" s="361">
        <f t="shared" si="1555"/>
        <v>185</v>
      </c>
      <c r="AK826" s="361">
        <f t="shared" si="1555"/>
        <v>185</v>
      </c>
      <c r="AL826" s="361">
        <f t="shared" si="1555"/>
        <v>205</v>
      </c>
      <c r="AM826" s="361">
        <f t="shared" si="1555"/>
        <v>195</v>
      </c>
      <c r="AN826" s="361">
        <f t="shared" si="1555"/>
        <v>180</v>
      </c>
      <c r="AO826" s="361">
        <f t="shared" si="1555"/>
        <v>180</v>
      </c>
      <c r="AP826" s="361">
        <f t="shared" si="1555"/>
        <v>185</v>
      </c>
      <c r="AQ826" s="362">
        <f t="shared" si="1555"/>
        <v>180</v>
      </c>
    </row>
    <row r="827" spans="2:43" ht="7.8" customHeight="1" x14ac:dyDescent="0.25">
      <c r="AA827" s="291"/>
      <c r="AB827" s="303"/>
      <c r="AC827" s="364" t="s">
        <v>43</v>
      </c>
      <c r="AD827" s="323" t="s">
        <v>32</v>
      </c>
      <c r="AE827" s="317">
        <f t="shared" ref="AE827:AQ829" si="1556">AE824-AE821</f>
        <v>-1981</v>
      </c>
      <c r="AF827" s="318">
        <f t="shared" si="1556"/>
        <v>-60</v>
      </c>
      <c r="AG827" s="319">
        <f t="shared" si="1556"/>
        <v>-336</v>
      </c>
      <c r="AH827" s="319">
        <f t="shared" si="1556"/>
        <v>-16</v>
      </c>
      <c r="AI827" s="319">
        <f t="shared" si="1556"/>
        <v>143</v>
      </c>
      <c r="AJ827" s="319">
        <f t="shared" si="1556"/>
        <v>193</v>
      </c>
      <c r="AK827" s="319">
        <f t="shared" si="1556"/>
        <v>110</v>
      </c>
      <c r="AL827" s="319">
        <f t="shared" si="1556"/>
        <v>415</v>
      </c>
      <c r="AM827" s="319">
        <f t="shared" si="1556"/>
        <v>529</v>
      </c>
      <c r="AN827" s="319">
        <f t="shared" si="1556"/>
        <v>-5009</v>
      </c>
      <c r="AO827" s="319">
        <f t="shared" si="1556"/>
        <v>700</v>
      </c>
      <c r="AP827" s="319">
        <f t="shared" si="1556"/>
        <v>600</v>
      </c>
      <c r="AQ827" s="321">
        <f t="shared" si="1556"/>
        <v>750</v>
      </c>
    </row>
    <row r="828" spans="2:43" s="366" customFormat="1" ht="7.8" customHeight="1" x14ac:dyDescent="0.25">
      <c r="B828" s="630"/>
      <c r="C828" s="631"/>
      <c r="D828" s="631"/>
      <c r="E828" s="631"/>
      <c r="AA828" s="291"/>
      <c r="AB828" s="303"/>
      <c r="AC828" s="367"/>
      <c r="AD828" s="368" t="s">
        <v>33</v>
      </c>
      <c r="AE828" s="298">
        <f t="shared" si="1556"/>
        <v>-210541.13000000012</v>
      </c>
      <c r="AF828" s="299">
        <f t="shared" si="1556"/>
        <v>-25524.699999999997</v>
      </c>
      <c r="AG828" s="300">
        <f t="shared" si="1556"/>
        <v>-65968.10000000002</v>
      </c>
      <c r="AH828" s="300">
        <f t="shared" si="1556"/>
        <v>-42068.900000000023</v>
      </c>
      <c r="AI828" s="300">
        <f t="shared" si="1556"/>
        <v>15311.729999999996</v>
      </c>
      <c r="AJ828" s="300">
        <f t="shared" si="1556"/>
        <v>31076.92</v>
      </c>
      <c r="AK828" s="300">
        <f t="shared" si="1556"/>
        <v>7338.0800000000454</v>
      </c>
      <c r="AL828" s="300">
        <f t="shared" si="1556"/>
        <v>77380.879999999961</v>
      </c>
      <c r="AM828" s="300">
        <f t="shared" si="1556"/>
        <v>101737.5</v>
      </c>
      <c r="AN828" s="300">
        <f t="shared" si="1556"/>
        <v>-681824.54</v>
      </c>
      <c r="AO828" s="300">
        <f t="shared" si="1556"/>
        <v>126000</v>
      </c>
      <c r="AP828" s="300">
        <f t="shared" si="1556"/>
        <v>111000</v>
      </c>
      <c r="AQ828" s="302">
        <f t="shared" si="1556"/>
        <v>135000</v>
      </c>
    </row>
    <row r="829" spans="2:43" ht="7.8" customHeight="1" x14ac:dyDescent="0.25">
      <c r="AA829" s="291"/>
      <c r="AB829" s="303"/>
      <c r="AC829" s="369"/>
      <c r="AD829" s="314" t="s">
        <v>30</v>
      </c>
      <c r="AE829" s="308">
        <f t="shared" si="1556"/>
        <v>17.696661542553784</v>
      </c>
      <c r="AF829" s="309">
        <f t="shared" si="1556"/>
        <v>-31.358043478260868</v>
      </c>
      <c r="AG829" s="310">
        <f t="shared" si="1556"/>
        <v>-12.232252559726987</v>
      </c>
      <c r="AH829" s="310">
        <f t="shared" si="1556"/>
        <v>-107.07349726775965</v>
      </c>
      <c r="AI829" s="310">
        <f t="shared" si="1556"/>
        <v>-31.639315960912057</v>
      </c>
      <c r="AJ829" s="310">
        <f t="shared" si="1556"/>
        <v>-12.963809523809516</v>
      </c>
      <c r="AK829" s="310">
        <f t="shared" si="1556"/>
        <v>-24.096148148148075</v>
      </c>
      <c r="AL829" s="310">
        <f t="shared" si="1556"/>
        <v>-19.984727272727383</v>
      </c>
      <c r="AM829" s="310">
        <f t="shared" si="1556"/>
        <v>-6.4140271493212992</v>
      </c>
      <c r="AN829" s="310">
        <f t="shared" si="1556"/>
        <v>38.839982329033404</v>
      </c>
      <c r="AO829" s="310">
        <f t="shared" si="1556"/>
        <v>180</v>
      </c>
      <c r="AP829" s="310">
        <f t="shared" si="1556"/>
        <v>185</v>
      </c>
      <c r="AQ829" s="312">
        <f t="shared" si="1556"/>
        <v>180</v>
      </c>
    </row>
    <row r="830" spans="2:43" ht="7.8" customHeight="1" x14ac:dyDescent="0.25">
      <c r="AA830" s="291"/>
      <c r="AB830" s="303"/>
      <c r="AC830" s="364" t="s">
        <v>44</v>
      </c>
      <c r="AD830" s="323" t="s">
        <v>32</v>
      </c>
      <c r="AE830" s="370">
        <f t="shared" ref="AE830:AQ832" si="1557">IFERROR((AE824-AE821)/ABS(AE821),"")</f>
        <v>-0.2230604661637203</v>
      </c>
      <c r="AF830" s="371">
        <f t="shared" si="1557"/>
        <v>-0.13043478260869565</v>
      </c>
      <c r="AG830" s="372">
        <f t="shared" si="1557"/>
        <v>-0.57337883959044367</v>
      </c>
      <c r="AH830" s="372">
        <f t="shared" si="1557"/>
        <v>-4.3715846994535519E-2</v>
      </c>
      <c r="AI830" s="372">
        <f t="shared" si="1557"/>
        <v>0.46579804560260585</v>
      </c>
      <c r="AJ830" s="372">
        <f t="shared" si="1557"/>
        <v>0.54061624649859941</v>
      </c>
      <c r="AK830" s="372">
        <f t="shared" si="1557"/>
        <v>0.20370370370370369</v>
      </c>
      <c r="AL830" s="372">
        <f t="shared" si="1557"/>
        <v>1.0779220779220779</v>
      </c>
      <c r="AM830" s="372">
        <f t="shared" si="1557"/>
        <v>2.3936651583710407</v>
      </c>
      <c r="AN830" s="372">
        <f t="shared" si="1557"/>
        <v>-0.88513871708782466</v>
      </c>
      <c r="AO830" s="372" t="str">
        <f t="shared" si="1557"/>
        <v/>
      </c>
      <c r="AP830" s="372" t="str">
        <f t="shared" si="1557"/>
        <v/>
      </c>
      <c r="AQ830" s="374" t="str">
        <f t="shared" si="1557"/>
        <v/>
      </c>
    </row>
    <row r="831" spans="2:43" ht="7.8" customHeight="1" x14ac:dyDescent="0.25">
      <c r="AA831" s="291"/>
      <c r="AB831" s="303"/>
      <c r="AC831" s="367"/>
      <c r="AD831" s="381" t="s">
        <v>33</v>
      </c>
      <c r="AE831" s="376">
        <f t="shared" si="1557"/>
        <v>-0.14118043470157307</v>
      </c>
      <c r="AF831" s="377">
        <f t="shared" si="1557"/>
        <v>-0.25646598281632599</v>
      </c>
      <c r="AG831" s="378">
        <f t="shared" si="1557"/>
        <v>-0.60125084193036527</v>
      </c>
      <c r="AH831" s="378">
        <f t="shared" si="1557"/>
        <v>-0.40039345610356647</v>
      </c>
      <c r="AI831" s="378">
        <f t="shared" si="1557"/>
        <v>0.24136424275126031</v>
      </c>
      <c r="AJ831" s="378">
        <f t="shared" si="1557"/>
        <v>0.43972782847443465</v>
      </c>
      <c r="AK831" s="378">
        <f t="shared" si="1557"/>
        <v>6.4989418300566038E-2</v>
      </c>
      <c r="AL831" s="378">
        <f t="shared" si="1557"/>
        <v>0.8933464112773245</v>
      </c>
      <c r="AM831" s="378">
        <f t="shared" si="1557"/>
        <v>2.2855939342881211</v>
      </c>
      <c r="AN831" s="378">
        <f t="shared" si="1557"/>
        <v>-0.85353479501268203</v>
      </c>
      <c r="AO831" s="378" t="str">
        <f t="shared" si="1557"/>
        <v/>
      </c>
      <c r="AP831" s="378" t="str">
        <f t="shared" si="1557"/>
        <v/>
      </c>
      <c r="AQ831" s="380" t="str">
        <f t="shared" si="1557"/>
        <v/>
      </c>
    </row>
    <row r="832" spans="2:43" ht="7.8" customHeight="1" x14ac:dyDescent="0.25">
      <c r="AA832" s="291"/>
      <c r="AB832" s="390"/>
      <c r="AC832" s="391"/>
      <c r="AD832" s="392" t="s">
        <v>30</v>
      </c>
      <c r="AE832" s="385">
        <f t="shared" si="1557"/>
        <v>0.10538790716164197</v>
      </c>
      <c r="AF832" s="386">
        <f t="shared" si="1557"/>
        <v>-0.14493588023877488</v>
      </c>
      <c r="AG832" s="387">
        <f t="shared" si="1557"/>
        <v>-6.533197348477611E-2</v>
      </c>
      <c r="AH832" s="387">
        <f t="shared" si="1557"/>
        <v>-0.37298287123972956</v>
      </c>
      <c r="AI832" s="387">
        <f t="shared" si="1557"/>
        <v>-0.15311372772302903</v>
      </c>
      <c r="AJ832" s="387">
        <f t="shared" si="1557"/>
        <v>-6.5485754972048726E-2</v>
      </c>
      <c r="AK832" s="387">
        <f t="shared" si="1557"/>
        <v>-0.11523956018106826</v>
      </c>
      <c r="AL832" s="387">
        <f t="shared" si="1557"/>
        <v>-8.8827039572787606E-2</v>
      </c>
      <c r="AM832" s="387">
        <f t="shared" si="1557"/>
        <v>-3.1844987363100409E-2</v>
      </c>
      <c r="AN832" s="387">
        <f t="shared" si="1557"/>
        <v>0.27514860772805005</v>
      </c>
      <c r="AO832" s="387" t="str">
        <f t="shared" si="1557"/>
        <v/>
      </c>
      <c r="AP832" s="387" t="str">
        <f t="shared" si="1557"/>
        <v/>
      </c>
      <c r="AQ832" s="389" t="str">
        <f t="shared" si="1557"/>
        <v/>
      </c>
    </row>
    <row r="833" spans="2:43" ht="7.8" customHeight="1" x14ac:dyDescent="0.25">
      <c r="AA833" s="291"/>
      <c r="AB833" s="401" t="s">
        <v>48</v>
      </c>
      <c r="AC833" s="402" t="s">
        <v>39</v>
      </c>
      <c r="AD833" s="403" t="s">
        <v>32</v>
      </c>
      <c r="AE833" s="396">
        <f t="shared" ref="AE833:AE834" si="1558">SUM(AF833:AQ833)</f>
        <v>0</v>
      </c>
      <c r="AF833" s="397">
        <f>$U$77</f>
        <v>0</v>
      </c>
      <c r="AG833" s="398">
        <f>$U$131</f>
        <v>0</v>
      </c>
      <c r="AH833" s="398">
        <f>$U$185</f>
        <v>0</v>
      </c>
      <c r="AI833" s="398">
        <f>$U$239</f>
        <v>0</v>
      </c>
      <c r="AJ833" s="398">
        <f>$U$293</f>
        <v>0</v>
      </c>
      <c r="AK833" s="398">
        <f>$U$347</f>
        <v>0</v>
      </c>
      <c r="AL833" s="398">
        <f>$U$401</f>
        <v>0</v>
      </c>
      <c r="AM833" s="398">
        <f>$U$455</f>
        <v>0</v>
      </c>
      <c r="AN833" s="398">
        <f>$U$509</f>
        <v>0</v>
      </c>
      <c r="AO833" s="398">
        <f>$U$563</f>
        <v>0</v>
      </c>
      <c r="AP833" s="398">
        <f>$U$617</f>
        <v>0</v>
      </c>
      <c r="AQ833" s="400">
        <f>$U$671</f>
        <v>0</v>
      </c>
    </row>
    <row r="834" spans="2:43" s="41" customFormat="1" ht="7.8" customHeight="1" x14ac:dyDescent="0.25">
      <c r="B834" s="628"/>
      <c r="C834" s="629"/>
      <c r="D834" s="629"/>
      <c r="E834" s="629"/>
      <c r="AA834" s="291"/>
      <c r="AB834" s="412"/>
      <c r="AC834" s="413"/>
      <c r="AD834" s="414" t="s">
        <v>33</v>
      </c>
      <c r="AE834" s="407">
        <f t="shared" si="1558"/>
        <v>0</v>
      </c>
      <c r="AF834" s="408">
        <f>$U$78</f>
        <v>0</v>
      </c>
      <c r="AG834" s="409">
        <f>$U$132</f>
        <v>0</v>
      </c>
      <c r="AH834" s="409">
        <f>$U$186</f>
        <v>0</v>
      </c>
      <c r="AI834" s="409">
        <f>$U$240</f>
        <v>0</v>
      </c>
      <c r="AJ834" s="409">
        <f>$U$294</f>
        <v>0</v>
      </c>
      <c r="AK834" s="409">
        <f>$U$348</f>
        <v>0</v>
      </c>
      <c r="AL834" s="409">
        <f>$U$402</f>
        <v>0</v>
      </c>
      <c r="AM834" s="409">
        <f>$U$456</f>
        <v>0</v>
      </c>
      <c r="AN834" s="409">
        <f>$U$510</f>
        <v>0</v>
      </c>
      <c r="AO834" s="409">
        <f>$U$564</f>
        <v>0</v>
      </c>
      <c r="AP834" s="409">
        <f>$U$618</f>
        <v>0</v>
      </c>
      <c r="AQ834" s="411">
        <f>$U$672</f>
        <v>0</v>
      </c>
    </row>
    <row r="835" spans="2:43" ht="7.8" customHeight="1" x14ac:dyDescent="0.25">
      <c r="AA835" s="291"/>
      <c r="AB835" s="412"/>
      <c r="AC835" s="422"/>
      <c r="AD835" s="423" t="s">
        <v>30</v>
      </c>
      <c r="AE835" s="417">
        <f t="shared" ref="AE835:AQ835" si="1559">IFERROR(AE834/AE833,0)</f>
        <v>0</v>
      </c>
      <c r="AF835" s="418">
        <f t="shared" si="1559"/>
        <v>0</v>
      </c>
      <c r="AG835" s="419">
        <f t="shared" si="1559"/>
        <v>0</v>
      </c>
      <c r="AH835" s="419">
        <f t="shared" si="1559"/>
        <v>0</v>
      </c>
      <c r="AI835" s="419">
        <f t="shared" si="1559"/>
        <v>0</v>
      </c>
      <c r="AJ835" s="419">
        <f t="shared" si="1559"/>
        <v>0</v>
      </c>
      <c r="AK835" s="419">
        <f t="shared" si="1559"/>
        <v>0</v>
      </c>
      <c r="AL835" s="419">
        <f t="shared" si="1559"/>
        <v>0</v>
      </c>
      <c r="AM835" s="419">
        <f t="shared" si="1559"/>
        <v>0</v>
      </c>
      <c r="AN835" s="419">
        <f t="shared" si="1559"/>
        <v>0</v>
      </c>
      <c r="AO835" s="419">
        <f t="shared" si="1559"/>
        <v>0</v>
      </c>
      <c r="AP835" s="419">
        <f t="shared" si="1559"/>
        <v>0</v>
      </c>
      <c r="AQ835" s="421">
        <f t="shared" si="1559"/>
        <v>0</v>
      </c>
    </row>
    <row r="836" spans="2:43" ht="7.8" customHeight="1" x14ac:dyDescent="0.25">
      <c r="AA836" s="291"/>
      <c r="AB836" s="412"/>
      <c r="AC836" s="431" t="s">
        <v>40</v>
      </c>
      <c r="AD836" s="432" t="s">
        <v>32</v>
      </c>
      <c r="AE836" s="426">
        <f t="shared" ref="AE836:AE837" si="1560">SUM(AF836:AQ836)</f>
        <v>3454</v>
      </c>
      <c r="AF836" s="427">
        <f>$U$80</f>
        <v>393</v>
      </c>
      <c r="AG836" s="428">
        <f>$U$134</f>
        <v>347</v>
      </c>
      <c r="AH836" s="428">
        <f>$U$188</f>
        <v>259</v>
      </c>
      <c r="AI836" s="428">
        <f>$U$242</f>
        <v>201</v>
      </c>
      <c r="AJ836" s="428">
        <f>$U$296</f>
        <v>276</v>
      </c>
      <c r="AK836" s="428">
        <f>$U$350</f>
        <v>296</v>
      </c>
      <c r="AL836" s="428">
        <f>$U$404</f>
        <v>346</v>
      </c>
      <c r="AM836" s="428">
        <f>$U$458</f>
        <v>214</v>
      </c>
      <c r="AN836" s="428">
        <f>$U$512</f>
        <v>276</v>
      </c>
      <c r="AO836" s="428">
        <f>$U$566</f>
        <v>233</v>
      </c>
      <c r="AP836" s="428">
        <f>$U$620</f>
        <v>270</v>
      </c>
      <c r="AQ836" s="430">
        <f>$U$674</f>
        <v>343</v>
      </c>
    </row>
    <row r="837" spans="2:43" s="41" customFormat="1" ht="7.8" customHeight="1" x14ac:dyDescent="0.25">
      <c r="B837" s="628"/>
      <c r="C837" s="629"/>
      <c r="D837" s="629"/>
      <c r="E837" s="629"/>
      <c r="AA837" s="291"/>
      <c r="AB837" s="412"/>
      <c r="AC837" s="413"/>
      <c r="AD837" s="414" t="s">
        <v>33</v>
      </c>
      <c r="AE837" s="407">
        <f t="shared" si="1560"/>
        <v>704270.39999999991</v>
      </c>
      <c r="AF837" s="408">
        <f>$U$81</f>
        <v>82221.219999999987</v>
      </c>
      <c r="AG837" s="409">
        <f>$U$135</f>
        <v>61960.30000000001</v>
      </c>
      <c r="AH837" s="409">
        <f>$U$189</f>
        <v>53894.7</v>
      </c>
      <c r="AI837" s="409">
        <f>$U$243</f>
        <v>38789.509999999995</v>
      </c>
      <c r="AJ837" s="409">
        <f>$U$297</f>
        <v>54218.619999999995</v>
      </c>
      <c r="AK837" s="409">
        <f>$U$351</f>
        <v>57114.549999999988</v>
      </c>
      <c r="AL837" s="409">
        <f>$U$405</f>
        <v>79095.200000000012</v>
      </c>
      <c r="AM837" s="409">
        <f>$U$459</f>
        <v>45249.940000000017</v>
      </c>
      <c r="AN837" s="409">
        <f>$U$513</f>
        <v>53170.430000000022</v>
      </c>
      <c r="AO837" s="409">
        <f>$U$567</f>
        <v>47378.33</v>
      </c>
      <c r="AP837" s="409">
        <f>$U$621</f>
        <v>51076.5</v>
      </c>
      <c r="AQ837" s="411">
        <f>$U$675</f>
        <v>80101.100000000035</v>
      </c>
    </row>
    <row r="838" spans="2:43" ht="7.8" customHeight="1" x14ac:dyDescent="0.25">
      <c r="AA838" s="291"/>
      <c r="AB838" s="412"/>
      <c r="AC838" s="422"/>
      <c r="AD838" s="423" t="s">
        <v>30</v>
      </c>
      <c r="AE838" s="417">
        <f t="shared" ref="AE838:AQ838" si="1561">IFERROR(AE837/AE836,0)</f>
        <v>203.89994209612041</v>
      </c>
      <c r="AF838" s="418">
        <f t="shared" si="1561"/>
        <v>209.21430025445289</v>
      </c>
      <c r="AG838" s="419">
        <f t="shared" si="1561"/>
        <v>178.55994236311241</v>
      </c>
      <c r="AH838" s="419">
        <f t="shared" si="1561"/>
        <v>208.08764478764476</v>
      </c>
      <c r="AI838" s="419">
        <f t="shared" si="1561"/>
        <v>192.98263681592036</v>
      </c>
      <c r="AJ838" s="419">
        <f t="shared" si="1561"/>
        <v>196.44427536231882</v>
      </c>
      <c r="AK838" s="419">
        <f t="shared" si="1561"/>
        <v>192.95456081081076</v>
      </c>
      <c r="AL838" s="419">
        <f t="shared" si="1561"/>
        <v>228.59884393063587</v>
      </c>
      <c r="AM838" s="419">
        <f t="shared" si="1561"/>
        <v>211.44831775700942</v>
      </c>
      <c r="AN838" s="419">
        <f t="shared" si="1561"/>
        <v>192.64648550724647</v>
      </c>
      <c r="AO838" s="419">
        <f t="shared" si="1561"/>
        <v>203.34047210300429</v>
      </c>
      <c r="AP838" s="419">
        <f t="shared" si="1561"/>
        <v>189.17222222222222</v>
      </c>
      <c r="AQ838" s="421">
        <f t="shared" si="1561"/>
        <v>233.53090379008756</v>
      </c>
    </row>
    <row r="839" spans="2:43" ht="7.8" customHeight="1" x14ac:dyDescent="0.25">
      <c r="AA839" s="291"/>
      <c r="AB839" s="412"/>
      <c r="AC839" s="431" t="s">
        <v>41</v>
      </c>
      <c r="AD839" s="432" t="s">
        <v>32</v>
      </c>
      <c r="AE839" s="426">
        <f t="shared" ref="AE839:AE840" si="1562">SUM(AF839:AQ839)</f>
        <v>7904</v>
      </c>
      <c r="AF839" s="427">
        <f>$U$83</f>
        <v>323</v>
      </c>
      <c r="AG839" s="428">
        <f>$U$137</f>
        <v>418</v>
      </c>
      <c r="AH839" s="428">
        <f>$U$191</f>
        <v>251</v>
      </c>
      <c r="AI839" s="428">
        <f>$U$245</f>
        <v>212</v>
      </c>
      <c r="AJ839" s="428">
        <f>$U$299</f>
        <v>230</v>
      </c>
      <c r="AK839" s="428">
        <f>$U$353</f>
        <v>393</v>
      </c>
      <c r="AL839" s="428">
        <f>$U$407</f>
        <v>278</v>
      </c>
      <c r="AM839" s="428">
        <f>$U$461</f>
        <v>140</v>
      </c>
      <c r="AN839" s="428">
        <f>$U$515</f>
        <v>5659</v>
      </c>
      <c r="AO839" s="428">
        <f>$U$569</f>
        <v>0</v>
      </c>
      <c r="AP839" s="428">
        <f>$U$623</f>
        <v>0</v>
      </c>
      <c r="AQ839" s="430">
        <f>$U$677</f>
        <v>0</v>
      </c>
    </row>
    <row r="840" spans="2:43" s="41" customFormat="1" ht="7.8" customHeight="1" x14ac:dyDescent="0.25">
      <c r="B840" s="628"/>
      <c r="C840" s="629"/>
      <c r="D840" s="629"/>
      <c r="E840" s="629"/>
      <c r="AA840" s="291"/>
      <c r="AB840" s="412"/>
      <c r="AC840" s="413"/>
      <c r="AD840" s="414" t="s">
        <v>33</v>
      </c>
      <c r="AE840" s="407">
        <f t="shared" si="1562"/>
        <v>1276966.31</v>
      </c>
      <c r="AF840" s="408">
        <f>$U$84</f>
        <v>68734.399999999994</v>
      </c>
      <c r="AG840" s="409">
        <f>$U$138</f>
        <v>76712.800000000017</v>
      </c>
      <c r="AH840" s="409">
        <f>$U$192</f>
        <v>71317.700000000012</v>
      </c>
      <c r="AI840" s="409">
        <f>$U$246</f>
        <v>44020.070000000007</v>
      </c>
      <c r="AJ840" s="409">
        <f>$U$300</f>
        <v>45390.960000000006</v>
      </c>
      <c r="AK840" s="409">
        <f>$U$354</f>
        <v>81700.559999999954</v>
      </c>
      <c r="AL840" s="409">
        <f>$U$408</f>
        <v>62167.180000000037</v>
      </c>
      <c r="AM840" s="409">
        <f>$U$462</f>
        <v>28098.100000000006</v>
      </c>
      <c r="AN840" s="409">
        <f>$U$516</f>
        <v>798824.54</v>
      </c>
      <c r="AO840" s="409">
        <f>$U$570</f>
        <v>0</v>
      </c>
      <c r="AP840" s="409">
        <f>$U$624</f>
        <v>0</v>
      </c>
      <c r="AQ840" s="411">
        <f>$U$678</f>
        <v>0</v>
      </c>
    </row>
    <row r="841" spans="2:43" ht="7.8" customHeight="1" x14ac:dyDescent="0.25">
      <c r="AA841" s="291"/>
      <c r="AB841" s="412"/>
      <c r="AC841" s="422"/>
      <c r="AD841" s="423" t="s">
        <v>30</v>
      </c>
      <c r="AE841" s="417">
        <f t="shared" ref="AE841:AQ841" si="1563">IFERROR(AE840/AE839,0)</f>
        <v>161.55950278340083</v>
      </c>
      <c r="AF841" s="418">
        <f t="shared" si="1563"/>
        <v>212.79999999999998</v>
      </c>
      <c r="AG841" s="419">
        <f t="shared" si="1563"/>
        <v>183.5234449760766</v>
      </c>
      <c r="AH841" s="419">
        <f t="shared" si="1563"/>
        <v>284.13426294820721</v>
      </c>
      <c r="AI841" s="419">
        <f t="shared" si="1563"/>
        <v>207.64183962264156</v>
      </c>
      <c r="AJ841" s="419">
        <f t="shared" si="1563"/>
        <v>197.35200000000003</v>
      </c>
      <c r="AK841" s="419">
        <f t="shared" si="1563"/>
        <v>207.88946564885484</v>
      </c>
      <c r="AL841" s="419">
        <f t="shared" si="1563"/>
        <v>223.62294964028791</v>
      </c>
      <c r="AM841" s="419">
        <f t="shared" si="1563"/>
        <v>200.70071428571433</v>
      </c>
      <c r="AN841" s="419">
        <f t="shared" si="1563"/>
        <v>141.1600176709666</v>
      </c>
      <c r="AO841" s="419">
        <f t="shared" si="1563"/>
        <v>0</v>
      </c>
      <c r="AP841" s="419">
        <f t="shared" si="1563"/>
        <v>0</v>
      </c>
      <c r="AQ841" s="421">
        <f t="shared" si="1563"/>
        <v>0</v>
      </c>
    </row>
    <row r="842" spans="2:43" ht="7.8" customHeight="1" x14ac:dyDescent="0.25">
      <c r="AA842" s="291"/>
      <c r="AB842" s="412"/>
      <c r="AC842" s="568" t="s">
        <v>42</v>
      </c>
      <c r="AD842" s="569" t="s">
        <v>32</v>
      </c>
      <c r="AE842" s="442">
        <f t="shared" ref="AE842:AE843" si="1564">SUM(AF842:AQ842)</f>
        <v>4559</v>
      </c>
      <c r="AF842" s="443">
        <f>$U$86</f>
        <v>281</v>
      </c>
      <c r="AG842" s="444">
        <f>$U$140</f>
        <v>188</v>
      </c>
      <c r="AH842" s="444">
        <f>$U$194</f>
        <v>226</v>
      </c>
      <c r="AI842" s="444">
        <f>$U$248</f>
        <v>273</v>
      </c>
      <c r="AJ842" s="444">
        <f>$U$302</f>
        <v>345</v>
      </c>
      <c r="AK842" s="444">
        <f>$U$356</f>
        <v>482</v>
      </c>
      <c r="AL842" s="444">
        <f>$U$410</f>
        <v>536</v>
      </c>
      <c r="AM842" s="444">
        <f>$U$464</f>
        <v>379</v>
      </c>
      <c r="AN842" s="444">
        <f>$U$518</f>
        <v>444</v>
      </c>
      <c r="AO842" s="444">
        <f>$U$572</f>
        <v>452</v>
      </c>
      <c r="AP842" s="444">
        <f>$U$626</f>
        <v>407</v>
      </c>
      <c r="AQ842" s="445">
        <f>$U$680</f>
        <v>546</v>
      </c>
    </row>
    <row r="843" spans="2:43" s="41" customFormat="1" ht="7.8" customHeight="1" x14ac:dyDescent="0.25">
      <c r="B843" s="628"/>
      <c r="C843" s="629"/>
      <c r="D843" s="629"/>
      <c r="E843" s="629"/>
      <c r="AA843" s="291"/>
      <c r="AB843" s="412"/>
      <c r="AC843" s="564"/>
      <c r="AD843" s="565" t="s">
        <v>33</v>
      </c>
      <c r="AE843" s="455">
        <f t="shared" si="1564"/>
        <v>844975</v>
      </c>
      <c r="AF843" s="456">
        <f>$U$87</f>
        <v>51985</v>
      </c>
      <c r="AG843" s="457">
        <f>$U$141</f>
        <v>32900</v>
      </c>
      <c r="AH843" s="457">
        <f>$U$195</f>
        <v>40680</v>
      </c>
      <c r="AI843" s="457">
        <f>$U$249</f>
        <v>47775</v>
      </c>
      <c r="AJ843" s="457">
        <f>$U$303</f>
        <v>63825</v>
      </c>
      <c r="AK843" s="457">
        <f>$U$357</f>
        <v>89170</v>
      </c>
      <c r="AL843" s="457">
        <f>$U$411</f>
        <v>109880</v>
      </c>
      <c r="AM843" s="457">
        <f>$U$465</f>
        <v>73905</v>
      </c>
      <c r="AN843" s="457">
        <f>$U$519</f>
        <v>79920</v>
      </c>
      <c r="AO843" s="457">
        <f>$U$573</f>
        <v>81360</v>
      </c>
      <c r="AP843" s="457">
        <f>$U$627</f>
        <v>75295</v>
      </c>
      <c r="AQ843" s="458">
        <f>$U$681</f>
        <v>98280</v>
      </c>
    </row>
    <row r="844" spans="2:43" ht="7.8" customHeight="1" x14ac:dyDescent="0.25">
      <c r="AA844" s="291"/>
      <c r="AB844" s="412"/>
      <c r="AC844" s="566"/>
      <c r="AD844" s="567" t="s">
        <v>30</v>
      </c>
      <c r="AE844" s="468">
        <f t="shared" ref="AE844:AQ844" si="1565">IFERROR(AE843/AE842,0)</f>
        <v>185.34218030269795</v>
      </c>
      <c r="AF844" s="469">
        <f t="shared" si="1565"/>
        <v>185</v>
      </c>
      <c r="AG844" s="470">
        <f t="shared" si="1565"/>
        <v>175</v>
      </c>
      <c r="AH844" s="470">
        <f t="shared" si="1565"/>
        <v>180</v>
      </c>
      <c r="AI844" s="470">
        <f t="shared" si="1565"/>
        <v>175</v>
      </c>
      <c r="AJ844" s="470">
        <f t="shared" si="1565"/>
        <v>185</v>
      </c>
      <c r="AK844" s="470">
        <f t="shared" si="1565"/>
        <v>185</v>
      </c>
      <c r="AL844" s="470">
        <f t="shared" si="1565"/>
        <v>205</v>
      </c>
      <c r="AM844" s="470">
        <f t="shared" si="1565"/>
        <v>195</v>
      </c>
      <c r="AN844" s="470">
        <f t="shared" si="1565"/>
        <v>180</v>
      </c>
      <c r="AO844" s="470">
        <f t="shared" si="1565"/>
        <v>180</v>
      </c>
      <c r="AP844" s="470">
        <f t="shared" si="1565"/>
        <v>185</v>
      </c>
      <c r="AQ844" s="471">
        <f t="shared" si="1565"/>
        <v>180</v>
      </c>
    </row>
    <row r="845" spans="2:43" ht="7.8" customHeight="1" x14ac:dyDescent="0.25">
      <c r="AA845" s="291"/>
      <c r="AB845" s="412"/>
      <c r="AC845" s="473" t="s">
        <v>43</v>
      </c>
      <c r="AD845" s="432" t="s">
        <v>32</v>
      </c>
      <c r="AE845" s="426">
        <f t="shared" ref="AE845:AQ847" si="1566">AE842-AE839</f>
        <v>-3345</v>
      </c>
      <c r="AF845" s="427">
        <f t="shared" si="1566"/>
        <v>-42</v>
      </c>
      <c r="AG845" s="428">
        <f t="shared" si="1566"/>
        <v>-230</v>
      </c>
      <c r="AH845" s="428">
        <f t="shared" si="1566"/>
        <v>-25</v>
      </c>
      <c r="AI845" s="428">
        <f t="shared" si="1566"/>
        <v>61</v>
      </c>
      <c r="AJ845" s="428">
        <f t="shared" si="1566"/>
        <v>115</v>
      </c>
      <c r="AK845" s="428">
        <f t="shared" si="1566"/>
        <v>89</v>
      </c>
      <c r="AL845" s="428">
        <f t="shared" si="1566"/>
        <v>258</v>
      </c>
      <c r="AM845" s="428">
        <f t="shared" si="1566"/>
        <v>239</v>
      </c>
      <c r="AN845" s="428">
        <f t="shared" si="1566"/>
        <v>-5215</v>
      </c>
      <c r="AO845" s="428">
        <f t="shared" si="1566"/>
        <v>452</v>
      </c>
      <c r="AP845" s="428">
        <f t="shared" si="1566"/>
        <v>407</v>
      </c>
      <c r="AQ845" s="430">
        <f t="shared" si="1566"/>
        <v>546</v>
      </c>
    </row>
    <row r="846" spans="2:43" s="366" customFormat="1" ht="7.8" customHeight="1" x14ac:dyDescent="0.25">
      <c r="B846" s="630"/>
      <c r="C846" s="631"/>
      <c r="D846" s="631"/>
      <c r="E846" s="631"/>
      <c r="AA846" s="291"/>
      <c r="AB846" s="412"/>
      <c r="AC846" s="475"/>
      <c r="AD846" s="476" t="s">
        <v>33</v>
      </c>
      <c r="AE846" s="407">
        <f t="shared" si="1566"/>
        <v>-431991.31000000006</v>
      </c>
      <c r="AF846" s="408">
        <f t="shared" si="1566"/>
        <v>-16749.399999999994</v>
      </c>
      <c r="AG846" s="409">
        <f t="shared" si="1566"/>
        <v>-43812.800000000017</v>
      </c>
      <c r="AH846" s="409">
        <f t="shared" si="1566"/>
        <v>-30637.700000000012</v>
      </c>
      <c r="AI846" s="409">
        <f t="shared" si="1566"/>
        <v>3754.929999999993</v>
      </c>
      <c r="AJ846" s="409">
        <f t="shared" si="1566"/>
        <v>18434.039999999994</v>
      </c>
      <c r="AK846" s="409">
        <f t="shared" si="1566"/>
        <v>7469.440000000046</v>
      </c>
      <c r="AL846" s="409">
        <f t="shared" si="1566"/>
        <v>47712.819999999963</v>
      </c>
      <c r="AM846" s="409">
        <f t="shared" si="1566"/>
        <v>45806.899999999994</v>
      </c>
      <c r="AN846" s="409">
        <f t="shared" si="1566"/>
        <v>-718904.54</v>
      </c>
      <c r="AO846" s="409">
        <f t="shared" si="1566"/>
        <v>81360</v>
      </c>
      <c r="AP846" s="409">
        <f t="shared" si="1566"/>
        <v>75295</v>
      </c>
      <c r="AQ846" s="411">
        <f t="shared" si="1566"/>
        <v>98280</v>
      </c>
    </row>
    <row r="847" spans="2:43" ht="7.8" customHeight="1" x14ac:dyDescent="0.25">
      <c r="AA847" s="291"/>
      <c r="AB847" s="412"/>
      <c r="AC847" s="477"/>
      <c r="AD847" s="423" t="s">
        <v>30</v>
      </c>
      <c r="AE847" s="417">
        <f t="shared" si="1566"/>
        <v>23.782677519297124</v>
      </c>
      <c r="AF847" s="418">
        <f t="shared" si="1566"/>
        <v>-27.799999999999983</v>
      </c>
      <c r="AG847" s="419">
        <f t="shared" si="1566"/>
        <v>-8.523444976076604</v>
      </c>
      <c r="AH847" s="419">
        <f t="shared" si="1566"/>
        <v>-104.13426294820721</v>
      </c>
      <c r="AI847" s="419">
        <f t="shared" si="1566"/>
        <v>-32.641839622641555</v>
      </c>
      <c r="AJ847" s="419">
        <f t="shared" si="1566"/>
        <v>-12.352000000000032</v>
      </c>
      <c r="AK847" s="419">
        <f t="shared" si="1566"/>
        <v>-22.889465648854838</v>
      </c>
      <c r="AL847" s="419">
        <f t="shared" si="1566"/>
        <v>-18.622949640287914</v>
      </c>
      <c r="AM847" s="419">
        <f t="shared" si="1566"/>
        <v>-5.7007142857143265</v>
      </c>
      <c r="AN847" s="419">
        <f t="shared" si="1566"/>
        <v>38.839982329033404</v>
      </c>
      <c r="AO847" s="419">
        <f t="shared" si="1566"/>
        <v>180</v>
      </c>
      <c r="AP847" s="419">
        <f t="shared" si="1566"/>
        <v>185</v>
      </c>
      <c r="AQ847" s="421">
        <f t="shared" si="1566"/>
        <v>180</v>
      </c>
    </row>
    <row r="848" spans="2:43" ht="7.8" customHeight="1" x14ac:dyDescent="0.25">
      <c r="AA848" s="291"/>
      <c r="AB848" s="412"/>
      <c r="AC848" s="473" t="s">
        <v>44</v>
      </c>
      <c r="AD848" s="432" t="s">
        <v>32</v>
      </c>
      <c r="AE848" s="478">
        <f t="shared" ref="AE848:AQ850" si="1567">IFERROR((AE842-AE839)/ABS(AE839),"")</f>
        <v>-0.42320344129554655</v>
      </c>
      <c r="AF848" s="479">
        <f t="shared" si="1567"/>
        <v>-0.13003095975232198</v>
      </c>
      <c r="AG848" s="480">
        <f t="shared" si="1567"/>
        <v>-0.55023923444976075</v>
      </c>
      <c r="AH848" s="480">
        <f t="shared" si="1567"/>
        <v>-9.9601593625498003E-2</v>
      </c>
      <c r="AI848" s="480">
        <f t="shared" si="1567"/>
        <v>0.28773584905660377</v>
      </c>
      <c r="AJ848" s="480">
        <f t="shared" si="1567"/>
        <v>0.5</v>
      </c>
      <c r="AK848" s="480">
        <f t="shared" si="1567"/>
        <v>0.22646310432569974</v>
      </c>
      <c r="AL848" s="480">
        <f t="shared" si="1567"/>
        <v>0.92805755395683454</v>
      </c>
      <c r="AM848" s="480">
        <f t="shared" si="1567"/>
        <v>1.7071428571428571</v>
      </c>
      <c r="AN848" s="480">
        <f t="shared" si="1567"/>
        <v>-0.92154090828768331</v>
      </c>
      <c r="AO848" s="480" t="str">
        <f t="shared" si="1567"/>
        <v/>
      </c>
      <c r="AP848" s="480" t="str">
        <f t="shared" si="1567"/>
        <v/>
      </c>
      <c r="AQ848" s="482" t="str">
        <f t="shared" si="1567"/>
        <v/>
      </c>
    </row>
    <row r="849" spans="2:43" ht="7.8" customHeight="1" x14ac:dyDescent="0.25">
      <c r="AA849" s="291"/>
      <c r="AB849" s="412"/>
      <c r="AC849" s="475"/>
      <c r="AD849" s="489" t="s">
        <v>33</v>
      </c>
      <c r="AE849" s="484">
        <f t="shared" si="1567"/>
        <v>-0.33829499385931333</v>
      </c>
      <c r="AF849" s="485">
        <f t="shared" si="1567"/>
        <v>-0.24368293023580617</v>
      </c>
      <c r="AG849" s="486">
        <f t="shared" si="1567"/>
        <v>-0.57112763450167392</v>
      </c>
      <c r="AH849" s="486">
        <f t="shared" si="1567"/>
        <v>-0.4295946167641414</v>
      </c>
      <c r="AI849" s="486">
        <f t="shared" si="1567"/>
        <v>8.530040956318316E-2</v>
      </c>
      <c r="AJ849" s="486">
        <f t="shared" si="1567"/>
        <v>0.40611698893347908</v>
      </c>
      <c r="AK849" s="486">
        <f t="shared" si="1567"/>
        <v>9.1424587542607419E-2</v>
      </c>
      <c r="AL849" s="486">
        <f t="shared" si="1567"/>
        <v>0.76749210757187214</v>
      </c>
      <c r="AM849" s="486">
        <f t="shared" si="1567"/>
        <v>1.6302490203963964</v>
      </c>
      <c r="AN849" s="486">
        <f t="shared" si="1567"/>
        <v>-0.89995299843943199</v>
      </c>
      <c r="AO849" s="486" t="str">
        <f t="shared" si="1567"/>
        <v/>
      </c>
      <c r="AP849" s="486" t="str">
        <f t="shared" si="1567"/>
        <v/>
      </c>
      <c r="AQ849" s="488" t="str">
        <f t="shared" si="1567"/>
        <v/>
      </c>
    </row>
    <row r="850" spans="2:43" ht="7.8" customHeight="1" x14ac:dyDescent="0.25">
      <c r="AA850" s="291"/>
      <c r="AB850" s="412"/>
      <c r="AC850" s="475"/>
      <c r="AD850" s="489" t="s">
        <v>30</v>
      </c>
      <c r="AE850" s="484">
        <f t="shared" si="1567"/>
        <v>0.14720692444307668</v>
      </c>
      <c r="AF850" s="485">
        <f t="shared" si="1567"/>
        <v>-0.13063909774436083</v>
      </c>
      <c r="AG850" s="486">
        <f t="shared" si="1567"/>
        <v>-4.6443357562232369E-2</v>
      </c>
      <c r="AH850" s="486">
        <f t="shared" si="1567"/>
        <v>-0.36649667614070569</v>
      </c>
      <c r="AI850" s="486">
        <f t="shared" si="1567"/>
        <v>-0.15720261235386515</v>
      </c>
      <c r="AJ850" s="486">
        <f t="shared" si="1567"/>
        <v>-6.2588674044347314E-2</v>
      </c>
      <c r="AK850" s="486">
        <f t="shared" si="1567"/>
        <v>-0.11010401887086155</v>
      </c>
      <c r="AL850" s="486">
        <f t="shared" si="1567"/>
        <v>-8.3278347192200716E-2</v>
      </c>
      <c r="AM850" s="486">
        <f t="shared" si="1567"/>
        <v>-2.840405579024936E-2</v>
      </c>
      <c r="AN850" s="486">
        <f t="shared" si="1567"/>
        <v>0.27514860772805005</v>
      </c>
      <c r="AO850" s="486" t="str">
        <f t="shared" si="1567"/>
        <v/>
      </c>
      <c r="AP850" s="486" t="str">
        <f t="shared" si="1567"/>
        <v/>
      </c>
      <c r="AQ850" s="488" t="str">
        <f t="shared" si="1567"/>
        <v/>
      </c>
    </row>
    <row r="851" spans="2:43" ht="7.8" customHeight="1" x14ac:dyDescent="0.25">
      <c r="AA851" s="291"/>
      <c r="AB851" s="499" t="s">
        <v>49</v>
      </c>
      <c r="AC851" s="500" t="s">
        <v>39</v>
      </c>
      <c r="AD851" s="501" t="s">
        <v>32</v>
      </c>
      <c r="AE851" s="494">
        <f t="shared" ref="AE851:AE852" si="1568">SUM(AF851:AQ851)</f>
        <v>0</v>
      </c>
      <c r="AF851" s="495">
        <f>$U$95</f>
        <v>0</v>
      </c>
      <c r="AG851" s="496">
        <f>$U$149</f>
        <v>0</v>
      </c>
      <c r="AH851" s="496">
        <f>$U$203</f>
        <v>0</v>
      </c>
      <c r="AI851" s="496">
        <f>$U$257</f>
        <v>0</v>
      </c>
      <c r="AJ851" s="496">
        <f>$U$311</f>
        <v>0</v>
      </c>
      <c r="AK851" s="496">
        <f>$U$365</f>
        <v>0</v>
      </c>
      <c r="AL851" s="496">
        <f>$U$419</f>
        <v>0</v>
      </c>
      <c r="AM851" s="496">
        <f>$U$473</f>
        <v>0</v>
      </c>
      <c r="AN851" s="496">
        <f>$U$527</f>
        <v>0</v>
      </c>
      <c r="AO851" s="496">
        <f>$U$581</f>
        <v>0</v>
      </c>
      <c r="AP851" s="496">
        <f>$U$635</f>
        <v>0</v>
      </c>
      <c r="AQ851" s="498">
        <f>$U$689</f>
        <v>0</v>
      </c>
    </row>
    <row r="852" spans="2:43" s="41" customFormat="1" ht="7.8" customHeight="1" x14ac:dyDescent="0.25">
      <c r="B852" s="628"/>
      <c r="C852" s="629"/>
      <c r="D852" s="629"/>
      <c r="E852" s="629"/>
      <c r="AA852" s="291"/>
      <c r="AB852" s="412"/>
      <c r="AC852" s="413"/>
      <c r="AD852" s="414" t="s">
        <v>33</v>
      </c>
      <c r="AE852" s="407">
        <f t="shared" si="1568"/>
        <v>0</v>
      </c>
      <c r="AF852" s="408">
        <f>$U$96</f>
        <v>0</v>
      </c>
      <c r="AG852" s="409">
        <f>$U$150</f>
        <v>0</v>
      </c>
      <c r="AH852" s="409">
        <f>$U$204</f>
        <v>0</v>
      </c>
      <c r="AI852" s="409">
        <f>$U$258</f>
        <v>0</v>
      </c>
      <c r="AJ852" s="409">
        <f>$U$312</f>
        <v>0</v>
      </c>
      <c r="AK852" s="409">
        <f>$U$366</f>
        <v>0</v>
      </c>
      <c r="AL852" s="409">
        <f>$U$420</f>
        <v>0</v>
      </c>
      <c r="AM852" s="409">
        <f>$U$474</f>
        <v>0</v>
      </c>
      <c r="AN852" s="409">
        <f>$U$528</f>
        <v>0</v>
      </c>
      <c r="AO852" s="409">
        <f>$U$582</f>
        <v>0</v>
      </c>
      <c r="AP852" s="409">
        <f>$U$636</f>
        <v>0</v>
      </c>
      <c r="AQ852" s="411">
        <f>$U$690</f>
        <v>0</v>
      </c>
    </row>
    <row r="853" spans="2:43" ht="7.8" customHeight="1" x14ac:dyDescent="0.25">
      <c r="AA853" s="291"/>
      <c r="AB853" s="412"/>
      <c r="AC853" s="422"/>
      <c r="AD853" s="423" t="s">
        <v>30</v>
      </c>
      <c r="AE853" s="417">
        <f t="shared" ref="AE853:AQ853" si="1569">IFERROR(AE852/AE851,0)</f>
        <v>0</v>
      </c>
      <c r="AF853" s="418">
        <f t="shared" si="1569"/>
        <v>0</v>
      </c>
      <c r="AG853" s="419">
        <f t="shared" si="1569"/>
        <v>0</v>
      </c>
      <c r="AH853" s="419">
        <f t="shared" si="1569"/>
        <v>0</v>
      </c>
      <c r="AI853" s="419">
        <f t="shared" si="1569"/>
        <v>0</v>
      </c>
      <c r="AJ853" s="419">
        <f t="shared" si="1569"/>
        <v>0</v>
      </c>
      <c r="AK853" s="419">
        <f t="shared" si="1569"/>
        <v>0</v>
      </c>
      <c r="AL853" s="419">
        <f t="shared" si="1569"/>
        <v>0</v>
      </c>
      <c r="AM853" s="419">
        <f t="shared" si="1569"/>
        <v>0</v>
      </c>
      <c r="AN853" s="419">
        <f t="shared" si="1569"/>
        <v>0</v>
      </c>
      <c r="AO853" s="419">
        <f t="shared" si="1569"/>
        <v>0</v>
      </c>
      <c r="AP853" s="419">
        <f t="shared" si="1569"/>
        <v>0</v>
      </c>
      <c r="AQ853" s="421">
        <f t="shared" si="1569"/>
        <v>0</v>
      </c>
    </row>
    <row r="854" spans="2:43" ht="7.8" customHeight="1" x14ac:dyDescent="0.25">
      <c r="AA854" s="291"/>
      <c r="AB854" s="412"/>
      <c r="AC854" s="431" t="s">
        <v>40</v>
      </c>
      <c r="AD854" s="432" t="s">
        <v>32</v>
      </c>
      <c r="AE854" s="426">
        <f t="shared" ref="AE854:AE855" si="1570">SUM(AF854:AQ854)</f>
        <v>1499</v>
      </c>
      <c r="AF854" s="427">
        <f>$U$98</f>
        <v>165</v>
      </c>
      <c r="AG854" s="428">
        <f>$U$152</f>
        <v>140</v>
      </c>
      <c r="AH854" s="428">
        <f>$U$206</f>
        <v>130</v>
      </c>
      <c r="AI854" s="428">
        <f>$U$260</f>
        <v>85</v>
      </c>
      <c r="AJ854" s="428">
        <f>$U$314</f>
        <v>111</v>
      </c>
      <c r="AK854" s="428">
        <f>$U$368</f>
        <v>149</v>
      </c>
      <c r="AL854" s="428">
        <f>$U$422</f>
        <v>150</v>
      </c>
      <c r="AM854" s="428">
        <f>$U$476</f>
        <v>118</v>
      </c>
      <c r="AN854" s="428">
        <f>$U$530</f>
        <v>128</v>
      </c>
      <c r="AO854" s="428">
        <f>$U$584</f>
        <v>95</v>
      </c>
      <c r="AP854" s="428">
        <f>$U$638</f>
        <v>110</v>
      </c>
      <c r="AQ854" s="430">
        <f>$U$692</f>
        <v>118</v>
      </c>
    </row>
    <row r="855" spans="2:43" s="41" customFormat="1" ht="7.8" customHeight="1" x14ac:dyDescent="0.25">
      <c r="B855" s="628"/>
      <c r="C855" s="629"/>
      <c r="D855" s="629"/>
      <c r="E855" s="629"/>
      <c r="AA855" s="291"/>
      <c r="AB855" s="412"/>
      <c r="AC855" s="413"/>
      <c r="AD855" s="414" t="s">
        <v>33</v>
      </c>
      <c r="AE855" s="407">
        <f t="shared" si="1570"/>
        <v>316819.64999999997</v>
      </c>
      <c r="AF855" s="408">
        <f>$U$99</f>
        <v>36393.100000000006</v>
      </c>
      <c r="AG855" s="409">
        <f>$U$153</f>
        <v>25307.15</v>
      </c>
      <c r="AH855" s="409">
        <f>$U$207</f>
        <v>27089.7</v>
      </c>
      <c r="AI855" s="409">
        <f>$U$261</f>
        <v>16722.95</v>
      </c>
      <c r="AJ855" s="409">
        <f>$U$315</f>
        <v>22133.39</v>
      </c>
      <c r="AK855" s="409">
        <f>$U$369</f>
        <v>31590.199999999997</v>
      </c>
      <c r="AL855" s="409">
        <f>$U$423</f>
        <v>36863.600000000006</v>
      </c>
      <c r="AM855" s="409">
        <f>$U$477</f>
        <v>25459.17</v>
      </c>
      <c r="AN855" s="409">
        <f>$U$531</f>
        <v>26098.300000000003</v>
      </c>
      <c r="AO855" s="409">
        <f>$U$585</f>
        <v>18953.689999999999</v>
      </c>
      <c r="AP855" s="409">
        <f>$U$639</f>
        <v>20181.8</v>
      </c>
      <c r="AQ855" s="411">
        <f>$U$693</f>
        <v>30026.6</v>
      </c>
    </row>
    <row r="856" spans="2:43" ht="7.8" customHeight="1" x14ac:dyDescent="0.25">
      <c r="AA856" s="291"/>
      <c r="AB856" s="412"/>
      <c r="AC856" s="422"/>
      <c r="AD856" s="423" t="s">
        <v>30</v>
      </c>
      <c r="AE856" s="417">
        <f t="shared" ref="AE856:AQ856" si="1571">IFERROR(AE855/AE854,0)</f>
        <v>211.35400266844562</v>
      </c>
      <c r="AF856" s="418">
        <f t="shared" si="1571"/>
        <v>220.56424242424245</v>
      </c>
      <c r="AG856" s="419">
        <f t="shared" si="1571"/>
        <v>180.76535714285714</v>
      </c>
      <c r="AH856" s="419">
        <f t="shared" si="1571"/>
        <v>208.38230769230771</v>
      </c>
      <c r="AI856" s="419">
        <f t="shared" si="1571"/>
        <v>196.74058823529413</v>
      </c>
      <c r="AJ856" s="419">
        <f t="shared" si="1571"/>
        <v>199.39990990990989</v>
      </c>
      <c r="AK856" s="419">
        <f t="shared" si="1571"/>
        <v>212.01476510067113</v>
      </c>
      <c r="AL856" s="419">
        <f t="shared" si="1571"/>
        <v>245.75733333333338</v>
      </c>
      <c r="AM856" s="419">
        <f t="shared" si="1571"/>
        <v>215.75567796610167</v>
      </c>
      <c r="AN856" s="419">
        <f t="shared" si="1571"/>
        <v>203.89296875000002</v>
      </c>
      <c r="AO856" s="419">
        <f t="shared" si="1571"/>
        <v>199.51252631578947</v>
      </c>
      <c r="AP856" s="419">
        <f t="shared" si="1571"/>
        <v>183.47090909090909</v>
      </c>
      <c r="AQ856" s="421">
        <f t="shared" si="1571"/>
        <v>254.46271186440677</v>
      </c>
    </row>
    <row r="857" spans="2:43" ht="7.8" customHeight="1" x14ac:dyDescent="0.25">
      <c r="AA857" s="291"/>
      <c r="AB857" s="412"/>
      <c r="AC857" s="431" t="s">
        <v>41</v>
      </c>
      <c r="AD857" s="432" t="s">
        <v>32</v>
      </c>
      <c r="AE857" s="426">
        <f t="shared" ref="AE857:AE858" si="1572">SUM(AF857:AQ857)</f>
        <v>977</v>
      </c>
      <c r="AF857" s="427">
        <f>$U$101</f>
        <v>137</v>
      </c>
      <c r="AG857" s="428">
        <f>$U$155</f>
        <v>168</v>
      </c>
      <c r="AH857" s="428">
        <f>$U$209</f>
        <v>115</v>
      </c>
      <c r="AI857" s="428">
        <f>$U$263</f>
        <v>95</v>
      </c>
      <c r="AJ857" s="428">
        <f>$U$317</f>
        <v>127</v>
      </c>
      <c r="AK857" s="428">
        <f>$U$371</f>
        <v>147</v>
      </c>
      <c r="AL857" s="428">
        <f>$U$425</f>
        <v>107</v>
      </c>
      <c r="AM857" s="428">
        <f>$U$479</f>
        <v>81</v>
      </c>
      <c r="AN857" s="428">
        <f>$U$533</f>
        <v>0</v>
      </c>
      <c r="AO857" s="428">
        <f>$U$587</f>
        <v>0</v>
      </c>
      <c r="AP857" s="428">
        <f>$U$641</f>
        <v>0</v>
      </c>
      <c r="AQ857" s="430">
        <f>$U$695</f>
        <v>0</v>
      </c>
    </row>
    <row r="858" spans="2:43" s="41" customFormat="1" ht="7.8" customHeight="1" x14ac:dyDescent="0.25">
      <c r="B858" s="628"/>
      <c r="C858" s="629"/>
      <c r="D858" s="629"/>
      <c r="E858" s="629"/>
      <c r="AA858" s="291"/>
      <c r="AB858" s="412"/>
      <c r="AC858" s="413"/>
      <c r="AD858" s="414" t="s">
        <v>33</v>
      </c>
      <c r="AE858" s="407">
        <f t="shared" si="1572"/>
        <v>214324.82000000004</v>
      </c>
      <c r="AF858" s="408">
        <f>$U$102</f>
        <v>30790.3</v>
      </c>
      <c r="AG858" s="409">
        <f>$U$156</f>
        <v>33005.300000000003</v>
      </c>
      <c r="AH858" s="409">
        <f>$U$210</f>
        <v>33751.200000000004</v>
      </c>
      <c r="AI858" s="409">
        <f>$U$264</f>
        <v>19418.2</v>
      </c>
      <c r="AJ858" s="409">
        <f>$U$318</f>
        <v>25282.12</v>
      </c>
      <c r="AK858" s="409">
        <f>$U$372</f>
        <v>31211.360000000001</v>
      </c>
      <c r="AL858" s="409">
        <f>$U$426</f>
        <v>24451.940000000002</v>
      </c>
      <c r="AM858" s="409">
        <f>$U$480</f>
        <v>16414.400000000001</v>
      </c>
      <c r="AN858" s="409">
        <f>$U$534</f>
        <v>0</v>
      </c>
      <c r="AO858" s="409">
        <f>$U$588</f>
        <v>0</v>
      </c>
      <c r="AP858" s="409">
        <f>$U$642</f>
        <v>0</v>
      </c>
      <c r="AQ858" s="411">
        <f>$U$696</f>
        <v>0</v>
      </c>
    </row>
    <row r="859" spans="2:43" ht="7.8" customHeight="1" x14ac:dyDescent="0.25">
      <c r="AA859" s="291"/>
      <c r="AB859" s="412"/>
      <c r="AC859" s="422"/>
      <c r="AD859" s="423" t="s">
        <v>30</v>
      </c>
      <c r="AE859" s="417">
        <f t="shared" ref="AE859:AQ859" si="1573">IFERROR(AE858/AE857,0)</f>
        <v>219.37033776867966</v>
      </c>
      <c r="AF859" s="418">
        <f t="shared" si="1573"/>
        <v>224.74671532846716</v>
      </c>
      <c r="AG859" s="419">
        <f t="shared" si="1573"/>
        <v>196.46011904761906</v>
      </c>
      <c r="AH859" s="419">
        <f t="shared" si="1573"/>
        <v>293.48869565217393</v>
      </c>
      <c r="AI859" s="419">
        <f t="shared" si="1573"/>
        <v>204.40210526315789</v>
      </c>
      <c r="AJ859" s="419">
        <f t="shared" si="1573"/>
        <v>199.07181102362205</v>
      </c>
      <c r="AK859" s="419">
        <f t="shared" si="1573"/>
        <v>212.32217687074831</v>
      </c>
      <c r="AL859" s="419">
        <f t="shared" si="1573"/>
        <v>228.52280373831778</v>
      </c>
      <c r="AM859" s="419">
        <f t="shared" si="1573"/>
        <v>202.64691358024695</v>
      </c>
      <c r="AN859" s="419">
        <f t="shared" si="1573"/>
        <v>0</v>
      </c>
      <c r="AO859" s="419">
        <f t="shared" si="1573"/>
        <v>0</v>
      </c>
      <c r="AP859" s="419">
        <f t="shared" si="1573"/>
        <v>0</v>
      </c>
      <c r="AQ859" s="421">
        <f t="shared" si="1573"/>
        <v>0</v>
      </c>
    </row>
    <row r="860" spans="2:43" ht="7.8" customHeight="1" x14ac:dyDescent="0.25">
      <c r="AA860" s="291"/>
      <c r="AB860" s="412"/>
      <c r="AC860" s="568" t="s">
        <v>42</v>
      </c>
      <c r="AD860" s="569" t="s">
        <v>32</v>
      </c>
      <c r="AE860" s="442">
        <f t="shared" ref="AE860:AE861" si="1574">SUM(AF860:AQ860)</f>
        <v>2341</v>
      </c>
      <c r="AF860" s="443">
        <f>$U$104</f>
        <v>119</v>
      </c>
      <c r="AG860" s="444">
        <f>$U$158</f>
        <v>62</v>
      </c>
      <c r="AH860" s="444">
        <f>$U$212</f>
        <v>124</v>
      </c>
      <c r="AI860" s="444">
        <f>$U$266</f>
        <v>177</v>
      </c>
      <c r="AJ860" s="444">
        <f>$U$320</f>
        <v>205</v>
      </c>
      <c r="AK860" s="444">
        <f>$U$374</f>
        <v>168</v>
      </c>
      <c r="AL860" s="444">
        <f>$U$428</f>
        <v>264</v>
      </c>
      <c r="AM860" s="444">
        <f>$U$482</f>
        <v>371</v>
      </c>
      <c r="AN860" s="444">
        <f>$U$536</f>
        <v>206</v>
      </c>
      <c r="AO860" s="444">
        <f>$U$590</f>
        <v>248</v>
      </c>
      <c r="AP860" s="444">
        <f>$U$644</f>
        <v>193</v>
      </c>
      <c r="AQ860" s="445">
        <f>$U$698</f>
        <v>204</v>
      </c>
    </row>
    <row r="861" spans="2:43" s="41" customFormat="1" ht="7.8" customHeight="1" x14ac:dyDescent="0.25">
      <c r="B861" s="628"/>
      <c r="C861" s="629"/>
      <c r="D861" s="629"/>
      <c r="E861" s="629"/>
      <c r="AA861" s="291"/>
      <c r="AB861" s="412"/>
      <c r="AC861" s="564"/>
      <c r="AD861" s="565" t="s">
        <v>33</v>
      </c>
      <c r="AE861" s="455">
        <f t="shared" si="1574"/>
        <v>435775</v>
      </c>
      <c r="AF861" s="456">
        <f>$U$105</f>
        <v>22015</v>
      </c>
      <c r="AG861" s="457">
        <f>$U$159</f>
        <v>10850</v>
      </c>
      <c r="AH861" s="457">
        <f>$U$213</f>
        <v>22320</v>
      </c>
      <c r="AI861" s="457">
        <f>$U$267</f>
        <v>30975</v>
      </c>
      <c r="AJ861" s="457">
        <f>$U$321</f>
        <v>37925</v>
      </c>
      <c r="AK861" s="457">
        <f>$U$375</f>
        <v>31080</v>
      </c>
      <c r="AL861" s="457">
        <f>$U$429</f>
        <v>54120</v>
      </c>
      <c r="AM861" s="457">
        <f>$U$483</f>
        <v>72345</v>
      </c>
      <c r="AN861" s="457">
        <f>$U$537</f>
        <v>37080</v>
      </c>
      <c r="AO861" s="457">
        <f>$U$591</f>
        <v>44640</v>
      </c>
      <c r="AP861" s="457">
        <f>$U$645</f>
        <v>35705</v>
      </c>
      <c r="AQ861" s="458">
        <f>$U$699</f>
        <v>36720</v>
      </c>
    </row>
    <row r="862" spans="2:43" ht="7.8" customHeight="1" x14ac:dyDescent="0.25">
      <c r="AA862" s="291"/>
      <c r="AB862" s="412"/>
      <c r="AC862" s="566"/>
      <c r="AD862" s="567" t="s">
        <v>30</v>
      </c>
      <c r="AE862" s="468">
        <f t="shared" ref="AE862:AQ862" si="1575">IFERROR(AE861/AE860,0)</f>
        <v>186.14908158906451</v>
      </c>
      <c r="AF862" s="469">
        <f t="shared" si="1575"/>
        <v>185</v>
      </c>
      <c r="AG862" s="470">
        <f t="shared" si="1575"/>
        <v>175</v>
      </c>
      <c r="AH862" s="470">
        <f t="shared" si="1575"/>
        <v>180</v>
      </c>
      <c r="AI862" s="470">
        <f t="shared" si="1575"/>
        <v>175</v>
      </c>
      <c r="AJ862" s="470">
        <f t="shared" si="1575"/>
        <v>185</v>
      </c>
      <c r="AK862" s="470">
        <f t="shared" si="1575"/>
        <v>185</v>
      </c>
      <c r="AL862" s="470">
        <f t="shared" si="1575"/>
        <v>205</v>
      </c>
      <c r="AM862" s="470">
        <f t="shared" si="1575"/>
        <v>195</v>
      </c>
      <c r="AN862" s="470">
        <f t="shared" si="1575"/>
        <v>180</v>
      </c>
      <c r="AO862" s="470">
        <f t="shared" si="1575"/>
        <v>180</v>
      </c>
      <c r="AP862" s="470">
        <f t="shared" si="1575"/>
        <v>185</v>
      </c>
      <c r="AQ862" s="471">
        <f t="shared" si="1575"/>
        <v>180</v>
      </c>
    </row>
    <row r="863" spans="2:43" ht="7.8" customHeight="1" x14ac:dyDescent="0.25">
      <c r="AA863" s="291"/>
      <c r="AB863" s="412"/>
      <c r="AC863" s="473" t="s">
        <v>43</v>
      </c>
      <c r="AD863" s="432" t="s">
        <v>32</v>
      </c>
      <c r="AE863" s="426">
        <f t="shared" ref="AE863:AQ865" si="1576">AE860-AE857</f>
        <v>1364</v>
      </c>
      <c r="AF863" s="427">
        <f t="shared" si="1576"/>
        <v>-18</v>
      </c>
      <c r="AG863" s="428">
        <f t="shared" si="1576"/>
        <v>-106</v>
      </c>
      <c r="AH863" s="428">
        <f t="shared" si="1576"/>
        <v>9</v>
      </c>
      <c r="AI863" s="428">
        <f t="shared" si="1576"/>
        <v>82</v>
      </c>
      <c r="AJ863" s="428">
        <f t="shared" si="1576"/>
        <v>78</v>
      </c>
      <c r="AK863" s="428">
        <f t="shared" si="1576"/>
        <v>21</v>
      </c>
      <c r="AL863" s="428">
        <f t="shared" si="1576"/>
        <v>157</v>
      </c>
      <c r="AM863" s="428">
        <f t="shared" si="1576"/>
        <v>290</v>
      </c>
      <c r="AN863" s="428">
        <f t="shared" si="1576"/>
        <v>206</v>
      </c>
      <c r="AO863" s="428">
        <f t="shared" si="1576"/>
        <v>248</v>
      </c>
      <c r="AP863" s="428">
        <f t="shared" si="1576"/>
        <v>193</v>
      </c>
      <c r="AQ863" s="430">
        <f t="shared" si="1576"/>
        <v>204</v>
      </c>
    </row>
    <row r="864" spans="2:43" s="366" customFormat="1" ht="7.8" customHeight="1" x14ac:dyDescent="0.25">
      <c r="B864" s="630"/>
      <c r="C864" s="631"/>
      <c r="D864" s="631"/>
      <c r="E864" s="631"/>
      <c r="AA864" s="291"/>
      <c r="AB864" s="412"/>
      <c r="AC864" s="475"/>
      <c r="AD864" s="476" t="s">
        <v>33</v>
      </c>
      <c r="AE864" s="407">
        <f t="shared" si="1576"/>
        <v>221450.17999999996</v>
      </c>
      <c r="AF864" s="408">
        <f t="shared" si="1576"/>
        <v>-8775.2999999999993</v>
      </c>
      <c r="AG864" s="409">
        <f t="shared" si="1576"/>
        <v>-22155.300000000003</v>
      </c>
      <c r="AH864" s="409">
        <f t="shared" si="1576"/>
        <v>-11431.200000000004</v>
      </c>
      <c r="AI864" s="409">
        <f t="shared" si="1576"/>
        <v>11556.8</v>
      </c>
      <c r="AJ864" s="409">
        <f t="shared" si="1576"/>
        <v>12642.880000000001</v>
      </c>
      <c r="AK864" s="409">
        <f t="shared" si="1576"/>
        <v>-131.36000000000058</v>
      </c>
      <c r="AL864" s="409">
        <f t="shared" si="1576"/>
        <v>29668.059999999998</v>
      </c>
      <c r="AM864" s="409">
        <f t="shared" si="1576"/>
        <v>55930.6</v>
      </c>
      <c r="AN864" s="409">
        <f t="shared" si="1576"/>
        <v>37080</v>
      </c>
      <c r="AO864" s="409">
        <f t="shared" si="1576"/>
        <v>44640</v>
      </c>
      <c r="AP864" s="409">
        <f t="shared" si="1576"/>
        <v>35705</v>
      </c>
      <c r="AQ864" s="411">
        <f t="shared" si="1576"/>
        <v>36720</v>
      </c>
    </row>
    <row r="865" spans="2:43" ht="7.8" customHeight="1" x14ac:dyDescent="0.25">
      <c r="AA865" s="291"/>
      <c r="AB865" s="412"/>
      <c r="AC865" s="477"/>
      <c r="AD865" s="423" t="s">
        <v>30</v>
      </c>
      <c r="AE865" s="417">
        <f t="shared" si="1576"/>
        <v>-33.221256179615153</v>
      </c>
      <c r="AF865" s="418">
        <f t="shared" si="1576"/>
        <v>-39.746715328467161</v>
      </c>
      <c r="AG865" s="419">
        <f t="shared" si="1576"/>
        <v>-21.46011904761906</v>
      </c>
      <c r="AH865" s="419">
        <f t="shared" si="1576"/>
        <v>-113.48869565217393</v>
      </c>
      <c r="AI865" s="419">
        <f t="shared" si="1576"/>
        <v>-29.402105263157893</v>
      </c>
      <c r="AJ865" s="419">
        <f t="shared" si="1576"/>
        <v>-14.071811023622047</v>
      </c>
      <c r="AK865" s="419">
        <f t="shared" si="1576"/>
        <v>-27.322176870748308</v>
      </c>
      <c r="AL865" s="419">
        <f t="shared" si="1576"/>
        <v>-23.522803738317776</v>
      </c>
      <c r="AM865" s="419">
        <f t="shared" si="1576"/>
        <v>-7.6469135802469452</v>
      </c>
      <c r="AN865" s="419">
        <f t="shared" si="1576"/>
        <v>180</v>
      </c>
      <c r="AO865" s="419">
        <f t="shared" si="1576"/>
        <v>180</v>
      </c>
      <c r="AP865" s="419">
        <f t="shared" si="1576"/>
        <v>185</v>
      </c>
      <c r="AQ865" s="421">
        <f t="shared" si="1576"/>
        <v>180</v>
      </c>
    </row>
    <row r="866" spans="2:43" ht="7.8" customHeight="1" x14ac:dyDescent="0.25">
      <c r="AA866" s="291"/>
      <c r="AB866" s="412"/>
      <c r="AC866" s="473" t="s">
        <v>44</v>
      </c>
      <c r="AD866" s="432" t="s">
        <v>32</v>
      </c>
      <c r="AE866" s="478">
        <f t="shared" ref="AE866:AQ868" si="1577">IFERROR((AE860-AE857)/ABS(AE857),"")</f>
        <v>1.3961105424769704</v>
      </c>
      <c r="AF866" s="479">
        <f t="shared" si="1577"/>
        <v>-0.13138686131386862</v>
      </c>
      <c r="AG866" s="480">
        <f t="shared" si="1577"/>
        <v>-0.63095238095238093</v>
      </c>
      <c r="AH866" s="480">
        <f t="shared" si="1577"/>
        <v>7.8260869565217397E-2</v>
      </c>
      <c r="AI866" s="480">
        <f t="shared" si="1577"/>
        <v>0.86315789473684212</v>
      </c>
      <c r="AJ866" s="480">
        <f t="shared" si="1577"/>
        <v>0.61417322834645671</v>
      </c>
      <c r="AK866" s="480">
        <f t="shared" si="1577"/>
        <v>0.14285714285714285</v>
      </c>
      <c r="AL866" s="480">
        <f t="shared" si="1577"/>
        <v>1.4672897196261683</v>
      </c>
      <c r="AM866" s="480">
        <f t="shared" si="1577"/>
        <v>3.5802469135802468</v>
      </c>
      <c r="AN866" s="480" t="str">
        <f t="shared" si="1577"/>
        <v/>
      </c>
      <c r="AO866" s="480" t="str">
        <f t="shared" si="1577"/>
        <v/>
      </c>
      <c r="AP866" s="480" t="str">
        <f t="shared" si="1577"/>
        <v/>
      </c>
      <c r="AQ866" s="482" t="str">
        <f t="shared" si="1577"/>
        <v/>
      </c>
    </row>
    <row r="867" spans="2:43" ht="7.8" customHeight="1" x14ac:dyDescent="0.25">
      <c r="AA867" s="291"/>
      <c r="AB867" s="412"/>
      <c r="AC867" s="475"/>
      <c r="AD867" s="489" t="s">
        <v>33</v>
      </c>
      <c r="AE867" s="484">
        <f t="shared" si="1577"/>
        <v>1.0332456128972833</v>
      </c>
      <c r="AF867" s="485">
        <f t="shared" si="1577"/>
        <v>-0.28500209481557504</v>
      </c>
      <c r="AG867" s="486">
        <f t="shared" si="1577"/>
        <v>-0.67126491805861488</v>
      </c>
      <c r="AH867" s="486">
        <f t="shared" si="1577"/>
        <v>-0.33869017990471456</v>
      </c>
      <c r="AI867" s="486">
        <f t="shared" si="1577"/>
        <v>0.59515300079307032</v>
      </c>
      <c r="AJ867" s="486">
        <f t="shared" si="1577"/>
        <v>0.50007198763394844</v>
      </c>
      <c r="AK867" s="486">
        <f t="shared" si="1577"/>
        <v>-4.208724003055316E-3</v>
      </c>
      <c r="AL867" s="486">
        <f t="shared" si="1577"/>
        <v>1.2133213152003479</v>
      </c>
      <c r="AM867" s="486">
        <f t="shared" si="1577"/>
        <v>3.4074105663320009</v>
      </c>
      <c r="AN867" s="486" t="str">
        <f t="shared" si="1577"/>
        <v/>
      </c>
      <c r="AO867" s="486" t="str">
        <f t="shared" si="1577"/>
        <v/>
      </c>
      <c r="AP867" s="486" t="str">
        <f t="shared" si="1577"/>
        <v/>
      </c>
      <c r="AQ867" s="488" t="str">
        <f t="shared" si="1577"/>
        <v/>
      </c>
    </row>
    <row r="868" spans="2:43" ht="7.8" customHeight="1" x14ac:dyDescent="0.25">
      <c r="AA868" s="291"/>
      <c r="AB868" s="510"/>
      <c r="AC868" s="511"/>
      <c r="AD868" s="512" t="s">
        <v>30</v>
      </c>
      <c r="AE868" s="505">
        <f t="shared" si="1577"/>
        <v>-0.15143914404073219</v>
      </c>
      <c r="AF868" s="506">
        <f t="shared" si="1577"/>
        <v>-0.17685115117423347</v>
      </c>
      <c r="AG868" s="507">
        <f t="shared" si="1577"/>
        <v>-0.10923397151366604</v>
      </c>
      <c r="AH868" s="507">
        <f t="shared" si="1577"/>
        <v>-0.38668847329872719</v>
      </c>
      <c r="AI868" s="507">
        <f t="shared" si="1577"/>
        <v>-0.14384443460258931</v>
      </c>
      <c r="AJ868" s="507">
        <f t="shared" si="1577"/>
        <v>-7.0687110099944148E-2</v>
      </c>
      <c r="AK868" s="507">
        <f t="shared" si="1577"/>
        <v>-0.12868263350267342</v>
      </c>
      <c r="AL868" s="507">
        <f t="shared" si="1577"/>
        <v>-0.10293416391501051</v>
      </c>
      <c r="AM868" s="507">
        <f t="shared" si="1577"/>
        <v>-3.7735159372258652E-2</v>
      </c>
      <c r="AN868" s="507" t="str">
        <f t="shared" si="1577"/>
        <v/>
      </c>
      <c r="AO868" s="507" t="str">
        <f t="shared" si="1577"/>
        <v/>
      </c>
      <c r="AP868" s="507" t="str">
        <f t="shared" si="1577"/>
        <v/>
      </c>
      <c r="AQ868" s="509" t="str">
        <f t="shared" si="1577"/>
        <v/>
      </c>
    </row>
    <row r="869" spans="2:43" ht="7.8" customHeight="1" x14ac:dyDescent="0.25">
      <c r="AA869" s="291" t="s">
        <v>73</v>
      </c>
      <c r="AB869" s="292" t="s">
        <v>9</v>
      </c>
      <c r="AC869" s="293" t="s">
        <v>39</v>
      </c>
      <c r="AD869" s="294" t="s">
        <v>32</v>
      </c>
      <c r="AE869" s="286">
        <f t="shared" ref="AE869:AE870" si="1578">SUM(AF869:AQ869)</f>
        <v>0</v>
      </c>
      <c r="AF869" s="287">
        <f t="shared" ref="AF869:AQ870" si="1579">SUM(AF887,AF905)</f>
        <v>0</v>
      </c>
      <c r="AG869" s="288">
        <f t="shared" si="1579"/>
        <v>0</v>
      </c>
      <c r="AH869" s="288">
        <f t="shared" si="1579"/>
        <v>0</v>
      </c>
      <c r="AI869" s="288">
        <f t="shared" si="1579"/>
        <v>0</v>
      </c>
      <c r="AJ869" s="288">
        <f t="shared" si="1579"/>
        <v>0</v>
      </c>
      <c r="AK869" s="288">
        <f t="shared" si="1579"/>
        <v>0</v>
      </c>
      <c r="AL869" s="288">
        <f t="shared" si="1579"/>
        <v>0</v>
      </c>
      <c r="AM869" s="288">
        <f t="shared" si="1579"/>
        <v>0</v>
      </c>
      <c r="AN869" s="288">
        <f t="shared" si="1579"/>
        <v>0</v>
      </c>
      <c r="AO869" s="288">
        <f t="shared" si="1579"/>
        <v>0</v>
      </c>
      <c r="AP869" s="288">
        <f t="shared" si="1579"/>
        <v>0</v>
      </c>
      <c r="AQ869" s="290">
        <f t="shared" si="1579"/>
        <v>0</v>
      </c>
    </row>
    <row r="870" spans="2:43" s="41" customFormat="1" ht="7.8" customHeight="1" x14ac:dyDescent="0.25">
      <c r="B870" s="628"/>
      <c r="C870" s="629"/>
      <c r="D870" s="629"/>
      <c r="E870" s="629"/>
      <c r="AA870" s="291"/>
      <c r="AB870" s="303"/>
      <c r="AC870" s="304"/>
      <c r="AD870" s="305" t="s">
        <v>33</v>
      </c>
      <c r="AE870" s="298">
        <f t="shared" si="1578"/>
        <v>0</v>
      </c>
      <c r="AF870" s="299">
        <f t="shared" si="1579"/>
        <v>0</v>
      </c>
      <c r="AG870" s="300">
        <f t="shared" si="1579"/>
        <v>0</v>
      </c>
      <c r="AH870" s="300">
        <f t="shared" si="1579"/>
        <v>0</v>
      </c>
      <c r="AI870" s="300">
        <f t="shared" si="1579"/>
        <v>0</v>
      </c>
      <c r="AJ870" s="300">
        <f t="shared" si="1579"/>
        <v>0</v>
      </c>
      <c r="AK870" s="300">
        <f t="shared" si="1579"/>
        <v>0</v>
      </c>
      <c r="AL870" s="300">
        <f t="shared" si="1579"/>
        <v>0</v>
      </c>
      <c r="AM870" s="300">
        <f t="shared" si="1579"/>
        <v>0</v>
      </c>
      <c r="AN870" s="300">
        <f t="shared" si="1579"/>
        <v>0</v>
      </c>
      <c r="AO870" s="300">
        <f t="shared" si="1579"/>
        <v>0</v>
      </c>
      <c r="AP870" s="300">
        <f t="shared" si="1579"/>
        <v>0</v>
      </c>
      <c r="AQ870" s="302">
        <f t="shared" si="1579"/>
        <v>0</v>
      </c>
    </row>
    <row r="871" spans="2:43" ht="7.8" customHeight="1" x14ac:dyDescent="0.25">
      <c r="AA871" s="291"/>
      <c r="AB871" s="303"/>
      <c r="AC871" s="313"/>
      <c r="AD871" s="314" t="s">
        <v>30</v>
      </c>
      <c r="AE871" s="308">
        <f t="shared" ref="AE871:AQ871" si="1580">IFERROR(AE870/AE869,0)</f>
        <v>0</v>
      </c>
      <c r="AF871" s="309">
        <f t="shared" si="1580"/>
        <v>0</v>
      </c>
      <c r="AG871" s="310">
        <f t="shared" si="1580"/>
        <v>0</v>
      </c>
      <c r="AH871" s="310">
        <f t="shared" si="1580"/>
        <v>0</v>
      </c>
      <c r="AI871" s="310">
        <f t="shared" si="1580"/>
        <v>0</v>
      </c>
      <c r="AJ871" s="310">
        <f t="shared" si="1580"/>
        <v>0</v>
      </c>
      <c r="AK871" s="310">
        <f t="shared" si="1580"/>
        <v>0</v>
      </c>
      <c r="AL871" s="310">
        <f t="shared" si="1580"/>
        <v>0</v>
      </c>
      <c r="AM871" s="310">
        <f t="shared" si="1580"/>
        <v>0</v>
      </c>
      <c r="AN871" s="310">
        <f t="shared" si="1580"/>
        <v>0</v>
      </c>
      <c r="AO871" s="310">
        <f t="shared" si="1580"/>
        <v>0</v>
      </c>
      <c r="AP871" s="310">
        <f t="shared" si="1580"/>
        <v>0</v>
      </c>
      <c r="AQ871" s="312">
        <f t="shared" si="1580"/>
        <v>0</v>
      </c>
    </row>
    <row r="872" spans="2:43" ht="7.8" customHeight="1" x14ac:dyDescent="0.25">
      <c r="AA872" s="291"/>
      <c r="AB872" s="303"/>
      <c r="AC872" s="322" t="s">
        <v>40</v>
      </c>
      <c r="AD872" s="323" t="s">
        <v>32</v>
      </c>
      <c r="AE872" s="317">
        <f t="shared" ref="AE872:AE873" si="1581">SUM(AF872:AQ872)</f>
        <v>22276</v>
      </c>
      <c r="AF872" s="318">
        <f t="shared" ref="AF872:AQ873" si="1582">SUM(AF890,AF908)</f>
        <v>2176</v>
      </c>
      <c r="AG872" s="319">
        <f t="shared" si="1582"/>
        <v>1554</v>
      </c>
      <c r="AH872" s="319">
        <f t="shared" si="1582"/>
        <v>2073</v>
      </c>
      <c r="AI872" s="319">
        <f t="shared" si="1582"/>
        <v>1971</v>
      </c>
      <c r="AJ872" s="319">
        <f t="shared" si="1582"/>
        <v>1236</v>
      </c>
      <c r="AK872" s="319">
        <f t="shared" si="1582"/>
        <v>1811</v>
      </c>
      <c r="AL872" s="319">
        <f t="shared" si="1582"/>
        <v>1561</v>
      </c>
      <c r="AM872" s="319">
        <f t="shared" si="1582"/>
        <v>1668</v>
      </c>
      <c r="AN872" s="319">
        <f t="shared" si="1582"/>
        <v>1439</v>
      </c>
      <c r="AO872" s="319">
        <f t="shared" si="1582"/>
        <v>1850</v>
      </c>
      <c r="AP872" s="319">
        <f t="shared" si="1582"/>
        <v>2050</v>
      </c>
      <c r="AQ872" s="321">
        <f t="shared" si="1582"/>
        <v>2887</v>
      </c>
    </row>
    <row r="873" spans="2:43" s="41" customFormat="1" ht="7.8" customHeight="1" x14ac:dyDescent="0.25">
      <c r="B873" s="628"/>
      <c r="C873" s="629"/>
      <c r="D873" s="629"/>
      <c r="E873" s="629"/>
      <c r="AA873" s="291"/>
      <c r="AB873" s="303"/>
      <c r="AC873" s="304"/>
      <c r="AD873" s="305" t="s">
        <v>33</v>
      </c>
      <c r="AE873" s="298">
        <f t="shared" si="1581"/>
        <v>3432462.4400000004</v>
      </c>
      <c r="AF873" s="299">
        <f t="shared" si="1582"/>
        <v>264253.29000000004</v>
      </c>
      <c r="AG873" s="300">
        <f t="shared" si="1582"/>
        <v>243561.31000000003</v>
      </c>
      <c r="AH873" s="300">
        <f t="shared" si="1582"/>
        <v>295113.88999999996</v>
      </c>
      <c r="AI873" s="300">
        <f t="shared" si="1582"/>
        <v>274149.74999999994</v>
      </c>
      <c r="AJ873" s="300">
        <f t="shared" si="1582"/>
        <v>198434.75999999998</v>
      </c>
      <c r="AK873" s="300">
        <f t="shared" si="1582"/>
        <v>308811.44000000006</v>
      </c>
      <c r="AL873" s="300">
        <f t="shared" si="1582"/>
        <v>304241.58</v>
      </c>
      <c r="AM873" s="300">
        <f t="shared" si="1582"/>
        <v>290979.64</v>
      </c>
      <c r="AN873" s="300">
        <f t="shared" si="1582"/>
        <v>233037.43</v>
      </c>
      <c r="AO873" s="300">
        <f t="shared" si="1582"/>
        <v>269252.16000000003</v>
      </c>
      <c r="AP873" s="300">
        <f t="shared" si="1582"/>
        <v>282547.74000000005</v>
      </c>
      <c r="AQ873" s="302">
        <f t="shared" si="1582"/>
        <v>468079.44999999995</v>
      </c>
    </row>
    <row r="874" spans="2:43" ht="7.8" customHeight="1" x14ac:dyDescent="0.25">
      <c r="AA874" s="291"/>
      <c r="AB874" s="303"/>
      <c r="AC874" s="313"/>
      <c r="AD874" s="314" t="s">
        <v>30</v>
      </c>
      <c r="AE874" s="308">
        <f t="shared" ref="AE874:AQ874" si="1583">IFERROR(AE873/AE872,0)</f>
        <v>154.08791704076137</v>
      </c>
      <c r="AF874" s="309">
        <f t="shared" si="1583"/>
        <v>121.43993106617648</v>
      </c>
      <c r="AG874" s="310">
        <f t="shared" si="1583"/>
        <v>156.73185971685973</v>
      </c>
      <c r="AH874" s="310">
        <f t="shared" si="1583"/>
        <v>142.36077665219486</v>
      </c>
      <c r="AI874" s="310">
        <f t="shared" si="1583"/>
        <v>139.09170471841702</v>
      </c>
      <c r="AJ874" s="310">
        <f t="shared" si="1583"/>
        <v>160.54592233009708</v>
      </c>
      <c r="AK874" s="310">
        <f t="shared" si="1583"/>
        <v>170.51984538928772</v>
      </c>
      <c r="AL874" s="310">
        <f t="shared" si="1583"/>
        <v>194.90171684817426</v>
      </c>
      <c r="AM874" s="310">
        <f t="shared" si="1583"/>
        <v>174.44822541966428</v>
      </c>
      <c r="AN874" s="310">
        <f t="shared" si="1583"/>
        <v>161.94400972897844</v>
      </c>
      <c r="AO874" s="310">
        <f t="shared" si="1583"/>
        <v>145.54170810810814</v>
      </c>
      <c r="AP874" s="310">
        <f t="shared" si="1583"/>
        <v>137.82816585365856</v>
      </c>
      <c r="AQ874" s="312">
        <f t="shared" si="1583"/>
        <v>162.13351229650155</v>
      </c>
    </row>
    <row r="875" spans="2:43" ht="7.8" customHeight="1" x14ac:dyDescent="0.25">
      <c r="AA875" s="291"/>
      <c r="AB875" s="303"/>
      <c r="AC875" s="322" t="s">
        <v>41</v>
      </c>
      <c r="AD875" s="323" t="s">
        <v>32</v>
      </c>
      <c r="AE875" s="317">
        <f t="shared" ref="AE875:AE876" si="1584">SUM(AF875:AQ875)</f>
        <v>22130</v>
      </c>
      <c r="AF875" s="318">
        <f t="shared" ref="AF875:AQ876" si="1585">SUM(AF893,AF911)</f>
        <v>2230</v>
      </c>
      <c r="AG875" s="319">
        <f t="shared" si="1585"/>
        <v>1687</v>
      </c>
      <c r="AH875" s="319">
        <f t="shared" si="1585"/>
        <v>2328</v>
      </c>
      <c r="AI875" s="319">
        <f t="shared" si="1585"/>
        <v>1701</v>
      </c>
      <c r="AJ875" s="319">
        <f t="shared" si="1585"/>
        <v>2766</v>
      </c>
      <c r="AK875" s="319">
        <f t="shared" si="1585"/>
        <v>3284</v>
      </c>
      <c r="AL875" s="319">
        <f t="shared" si="1585"/>
        <v>4108</v>
      </c>
      <c r="AM875" s="319">
        <f t="shared" si="1585"/>
        <v>4026</v>
      </c>
      <c r="AN875" s="319">
        <f t="shared" si="1585"/>
        <v>0</v>
      </c>
      <c r="AO875" s="319">
        <f t="shared" si="1585"/>
        <v>0</v>
      </c>
      <c r="AP875" s="319">
        <f t="shared" si="1585"/>
        <v>0</v>
      </c>
      <c r="AQ875" s="321">
        <f t="shared" si="1585"/>
        <v>0</v>
      </c>
    </row>
    <row r="876" spans="2:43" s="366" customFormat="1" ht="7.8" customHeight="1" x14ac:dyDescent="0.25">
      <c r="B876" s="630"/>
      <c r="C876" s="631"/>
      <c r="D876" s="631"/>
      <c r="E876" s="631"/>
      <c r="AA876" s="291"/>
      <c r="AB876" s="303"/>
      <c r="AC876" s="304"/>
      <c r="AD876" s="305" t="s">
        <v>33</v>
      </c>
      <c r="AE876" s="298">
        <f t="shared" si="1584"/>
        <v>3382074.6899999995</v>
      </c>
      <c r="AF876" s="299">
        <f t="shared" si="1585"/>
        <v>334262.5</v>
      </c>
      <c r="AG876" s="300">
        <f t="shared" si="1585"/>
        <v>272689.55</v>
      </c>
      <c r="AH876" s="300">
        <f t="shared" si="1585"/>
        <v>342535.92999999993</v>
      </c>
      <c r="AI876" s="300">
        <f t="shared" si="1585"/>
        <v>270249.09000000003</v>
      </c>
      <c r="AJ876" s="300">
        <f t="shared" si="1585"/>
        <v>391732.67999999993</v>
      </c>
      <c r="AK876" s="300">
        <f t="shared" si="1585"/>
        <v>488904.84</v>
      </c>
      <c r="AL876" s="300">
        <f t="shared" si="1585"/>
        <v>675249.02</v>
      </c>
      <c r="AM876" s="300">
        <f t="shared" si="1585"/>
        <v>606451.07999999984</v>
      </c>
      <c r="AN876" s="300">
        <f t="shared" si="1585"/>
        <v>0</v>
      </c>
      <c r="AO876" s="300">
        <f t="shared" si="1585"/>
        <v>0</v>
      </c>
      <c r="AP876" s="300">
        <f t="shared" si="1585"/>
        <v>0</v>
      </c>
      <c r="AQ876" s="302">
        <f t="shared" si="1585"/>
        <v>0</v>
      </c>
    </row>
    <row r="877" spans="2:43" ht="7.8" customHeight="1" x14ac:dyDescent="0.25">
      <c r="AA877" s="291"/>
      <c r="AB877" s="303"/>
      <c r="AC877" s="313"/>
      <c r="AD877" s="314" t="s">
        <v>30</v>
      </c>
      <c r="AE877" s="308">
        <f t="shared" ref="AE877:AQ877" si="1586">IFERROR(AE876/AE875,0)</f>
        <v>152.8275955716222</v>
      </c>
      <c r="AF877" s="309">
        <f t="shared" si="1586"/>
        <v>149.89349775784754</v>
      </c>
      <c r="AG877" s="310">
        <f t="shared" si="1586"/>
        <v>161.64170124481328</v>
      </c>
      <c r="AH877" s="310">
        <f t="shared" si="1586"/>
        <v>147.13742697594498</v>
      </c>
      <c r="AI877" s="310">
        <f t="shared" si="1586"/>
        <v>158.87659611992947</v>
      </c>
      <c r="AJ877" s="310">
        <f t="shared" si="1586"/>
        <v>141.62425162689803</v>
      </c>
      <c r="AK877" s="310">
        <f t="shared" si="1586"/>
        <v>148.87479902557857</v>
      </c>
      <c r="AL877" s="310">
        <f t="shared" si="1586"/>
        <v>164.37415287244403</v>
      </c>
      <c r="AM877" s="310">
        <f t="shared" si="1586"/>
        <v>150.63365126676598</v>
      </c>
      <c r="AN877" s="310">
        <f t="shared" si="1586"/>
        <v>0</v>
      </c>
      <c r="AO877" s="310">
        <f t="shared" si="1586"/>
        <v>0</v>
      </c>
      <c r="AP877" s="310">
        <f t="shared" si="1586"/>
        <v>0</v>
      </c>
      <c r="AQ877" s="312">
        <f t="shared" si="1586"/>
        <v>0</v>
      </c>
    </row>
    <row r="878" spans="2:43" ht="7.8" customHeight="1" x14ac:dyDescent="0.25">
      <c r="AA878" s="291"/>
      <c r="AB878" s="303"/>
      <c r="AC878" s="527" t="s">
        <v>42</v>
      </c>
      <c r="AD878" s="528" t="s">
        <v>32</v>
      </c>
      <c r="AE878" s="333">
        <f t="shared" ref="AE878:AE879" si="1587">SUM(AF878:AQ878)</f>
        <v>31017</v>
      </c>
      <c r="AF878" s="334">
        <f t="shared" ref="AF878:AQ879" si="1588">SUM(AF896,AF914)</f>
        <v>2806</v>
      </c>
      <c r="AG878" s="335">
        <f t="shared" si="1588"/>
        <v>2200</v>
      </c>
      <c r="AH878" s="335">
        <f t="shared" si="1588"/>
        <v>2700</v>
      </c>
      <c r="AI878" s="335">
        <f t="shared" si="1588"/>
        <v>2628</v>
      </c>
      <c r="AJ878" s="335">
        <f t="shared" si="1588"/>
        <v>2582</v>
      </c>
      <c r="AK878" s="335">
        <f t="shared" si="1588"/>
        <v>2600</v>
      </c>
      <c r="AL878" s="335">
        <f t="shared" si="1588"/>
        <v>3100</v>
      </c>
      <c r="AM878" s="335">
        <f t="shared" si="1588"/>
        <v>2882</v>
      </c>
      <c r="AN878" s="335">
        <f t="shared" si="1588"/>
        <v>2236</v>
      </c>
      <c r="AO878" s="335">
        <f t="shared" si="1588"/>
        <v>2200</v>
      </c>
      <c r="AP878" s="335">
        <f t="shared" si="1588"/>
        <v>2600</v>
      </c>
      <c r="AQ878" s="336">
        <f t="shared" si="1588"/>
        <v>2483</v>
      </c>
    </row>
    <row r="879" spans="2:43" s="41" customFormat="1" ht="7.8" customHeight="1" x14ac:dyDescent="0.25">
      <c r="B879" s="628"/>
      <c r="C879" s="629"/>
      <c r="D879" s="629"/>
      <c r="E879" s="629"/>
      <c r="AA879" s="291"/>
      <c r="AB879" s="303"/>
      <c r="AC879" s="522"/>
      <c r="AD879" s="523" t="s">
        <v>33</v>
      </c>
      <c r="AE879" s="346">
        <f t="shared" si="1587"/>
        <v>5292636</v>
      </c>
      <c r="AF879" s="347">
        <f t="shared" si="1588"/>
        <v>397900</v>
      </c>
      <c r="AG879" s="348">
        <f t="shared" si="1588"/>
        <v>358600</v>
      </c>
      <c r="AH879" s="348">
        <f t="shared" si="1588"/>
        <v>453600</v>
      </c>
      <c r="AI879" s="348">
        <f t="shared" si="1588"/>
        <v>407340</v>
      </c>
      <c r="AJ879" s="348">
        <f t="shared" si="1588"/>
        <v>432500</v>
      </c>
      <c r="AK879" s="348">
        <f t="shared" si="1588"/>
        <v>449800</v>
      </c>
      <c r="AL879" s="348">
        <f t="shared" si="1588"/>
        <v>567300</v>
      </c>
      <c r="AM879" s="348">
        <f t="shared" si="1588"/>
        <v>512996</v>
      </c>
      <c r="AN879" s="348">
        <f t="shared" si="1588"/>
        <v>403200</v>
      </c>
      <c r="AO879" s="348">
        <f t="shared" si="1588"/>
        <v>369600</v>
      </c>
      <c r="AP879" s="348">
        <f t="shared" si="1588"/>
        <v>449800</v>
      </c>
      <c r="AQ879" s="349">
        <f t="shared" si="1588"/>
        <v>490000</v>
      </c>
    </row>
    <row r="880" spans="2:43" ht="7.8" customHeight="1" x14ac:dyDescent="0.25">
      <c r="AA880" s="291"/>
      <c r="AB880" s="303"/>
      <c r="AC880" s="524"/>
      <c r="AD880" s="525" t="s">
        <v>30</v>
      </c>
      <c r="AE880" s="359">
        <f t="shared" ref="AE880:AQ880" si="1589">IFERROR(AE879/AE878,0)</f>
        <v>170.63661862849406</v>
      </c>
      <c r="AF880" s="360">
        <f t="shared" si="1589"/>
        <v>141.80327868852459</v>
      </c>
      <c r="AG880" s="361">
        <f t="shared" si="1589"/>
        <v>163</v>
      </c>
      <c r="AH880" s="361">
        <f t="shared" si="1589"/>
        <v>168</v>
      </c>
      <c r="AI880" s="361">
        <f t="shared" si="1589"/>
        <v>155</v>
      </c>
      <c r="AJ880" s="361">
        <f t="shared" si="1589"/>
        <v>167.50580945003873</v>
      </c>
      <c r="AK880" s="361">
        <f t="shared" si="1589"/>
        <v>173</v>
      </c>
      <c r="AL880" s="361">
        <f t="shared" si="1589"/>
        <v>183</v>
      </c>
      <c r="AM880" s="361">
        <f t="shared" si="1589"/>
        <v>178</v>
      </c>
      <c r="AN880" s="361">
        <f t="shared" si="1589"/>
        <v>180.32200357781753</v>
      </c>
      <c r="AO880" s="361">
        <f t="shared" si="1589"/>
        <v>168</v>
      </c>
      <c r="AP880" s="361">
        <f t="shared" si="1589"/>
        <v>173</v>
      </c>
      <c r="AQ880" s="362">
        <f t="shared" si="1589"/>
        <v>197.3419250906162</v>
      </c>
    </row>
    <row r="881" spans="2:43" ht="7.8" customHeight="1" x14ac:dyDescent="0.25">
      <c r="AA881" s="291"/>
      <c r="AB881" s="303"/>
      <c r="AC881" s="364" t="s">
        <v>43</v>
      </c>
      <c r="AD881" s="323" t="s">
        <v>32</v>
      </c>
      <c r="AE881" s="317">
        <f t="shared" ref="AE881:AQ883" si="1590">AE878-AE875</f>
        <v>8887</v>
      </c>
      <c r="AF881" s="318">
        <f t="shared" si="1590"/>
        <v>576</v>
      </c>
      <c r="AG881" s="319">
        <f t="shared" si="1590"/>
        <v>513</v>
      </c>
      <c r="AH881" s="319">
        <f t="shared" si="1590"/>
        <v>372</v>
      </c>
      <c r="AI881" s="319">
        <f t="shared" si="1590"/>
        <v>927</v>
      </c>
      <c r="AJ881" s="319">
        <f t="shared" si="1590"/>
        <v>-184</v>
      </c>
      <c r="AK881" s="319">
        <f t="shared" si="1590"/>
        <v>-684</v>
      </c>
      <c r="AL881" s="319">
        <f t="shared" si="1590"/>
        <v>-1008</v>
      </c>
      <c r="AM881" s="319">
        <f t="shared" si="1590"/>
        <v>-1144</v>
      </c>
      <c r="AN881" s="319">
        <f t="shared" si="1590"/>
        <v>2236</v>
      </c>
      <c r="AO881" s="319">
        <f t="shared" si="1590"/>
        <v>2200</v>
      </c>
      <c r="AP881" s="319">
        <f t="shared" si="1590"/>
        <v>2600</v>
      </c>
      <c r="AQ881" s="321">
        <f t="shared" si="1590"/>
        <v>2483</v>
      </c>
    </row>
    <row r="882" spans="2:43" s="41" customFormat="1" ht="7.8" customHeight="1" x14ac:dyDescent="0.25">
      <c r="B882" s="628"/>
      <c r="C882" s="629"/>
      <c r="D882" s="629"/>
      <c r="E882" s="629"/>
      <c r="AA882" s="291"/>
      <c r="AB882" s="303"/>
      <c r="AC882" s="367"/>
      <c r="AD882" s="368" t="s">
        <v>33</v>
      </c>
      <c r="AE882" s="298">
        <f t="shared" si="1590"/>
        <v>1910561.3100000005</v>
      </c>
      <c r="AF882" s="299">
        <f t="shared" si="1590"/>
        <v>63637.5</v>
      </c>
      <c r="AG882" s="300">
        <f t="shared" si="1590"/>
        <v>85910.450000000012</v>
      </c>
      <c r="AH882" s="300">
        <f t="shared" si="1590"/>
        <v>111064.07000000007</v>
      </c>
      <c r="AI882" s="300">
        <f t="shared" si="1590"/>
        <v>137090.90999999997</v>
      </c>
      <c r="AJ882" s="300">
        <f t="shared" si="1590"/>
        <v>40767.320000000065</v>
      </c>
      <c r="AK882" s="300">
        <f t="shared" si="1590"/>
        <v>-39104.840000000026</v>
      </c>
      <c r="AL882" s="300">
        <f t="shared" si="1590"/>
        <v>-107949.02000000002</v>
      </c>
      <c r="AM882" s="300">
        <f t="shared" si="1590"/>
        <v>-93455.079999999842</v>
      </c>
      <c r="AN882" s="300">
        <f t="shared" si="1590"/>
        <v>403200</v>
      </c>
      <c r="AO882" s="300">
        <f t="shared" si="1590"/>
        <v>369600</v>
      </c>
      <c r="AP882" s="300">
        <f t="shared" si="1590"/>
        <v>449800</v>
      </c>
      <c r="AQ882" s="302">
        <f t="shared" si="1590"/>
        <v>490000</v>
      </c>
    </row>
    <row r="883" spans="2:43" ht="7.8" customHeight="1" x14ac:dyDescent="0.25">
      <c r="AA883" s="291"/>
      <c r="AB883" s="303"/>
      <c r="AC883" s="369"/>
      <c r="AD883" s="314" t="s">
        <v>30</v>
      </c>
      <c r="AE883" s="308">
        <f t="shared" si="1590"/>
        <v>17.809023056871865</v>
      </c>
      <c r="AF883" s="309">
        <f t="shared" si="1590"/>
        <v>-8.0902190693229556</v>
      </c>
      <c r="AG883" s="310">
        <f t="shared" si="1590"/>
        <v>1.3582987551867234</v>
      </c>
      <c r="AH883" s="310">
        <f t="shared" si="1590"/>
        <v>20.862573024055024</v>
      </c>
      <c r="AI883" s="310">
        <f t="shared" si="1590"/>
        <v>-3.8765961199294736</v>
      </c>
      <c r="AJ883" s="310">
        <f t="shared" si="1590"/>
        <v>25.881557823140696</v>
      </c>
      <c r="AK883" s="310">
        <f t="shared" si="1590"/>
        <v>24.125200974421432</v>
      </c>
      <c r="AL883" s="310">
        <f t="shared" si="1590"/>
        <v>18.625847127555971</v>
      </c>
      <c r="AM883" s="310">
        <f t="shared" si="1590"/>
        <v>27.36634873323402</v>
      </c>
      <c r="AN883" s="310">
        <f t="shared" si="1590"/>
        <v>180.32200357781753</v>
      </c>
      <c r="AO883" s="310">
        <f t="shared" si="1590"/>
        <v>168</v>
      </c>
      <c r="AP883" s="310">
        <f t="shared" si="1590"/>
        <v>173</v>
      </c>
      <c r="AQ883" s="312">
        <f t="shared" si="1590"/>
        <v>197.3419250906162</v>
      </c>
    </row>
    <row r="884" spans="2:43" ht="7.8" customHeight="1" x14ac:dyDescent="0.25">
      <c r="AA884" s="291"/>
      <c r="AB884" s="303"/>
      <c r="AC884" s="364" t="s">
        <v>44</v>
      </c>
      <c r="AD884" s="323" t="s">
        <v>32</v>
      </c>
      <c r="AE884" s="370">
        <f t="shared" ref="AE884:AQ886" si="1591">IFERROR((AE878-AE875)/ABS(AE875),"")</f>
        <v>0.40158156348847718</v>
      </c>
      <c r="AF884" s="371">
        <f t="shared" si="1591"/>
        <v>0.25829596412556055</v>
      </c>
      <c r="AG884" s="372">
        <f t="shared" si="1591"/>
        <v>0.30409010077059867</v>
      </c>
      <c r="AH884" s="372">
        <f t="shared" si="1591"/>
        <v>0.15979381443298968</v>
      </c>
      <c r="AI884" s="372">
        <f t="shared" si="1591"/>
        <v>0.544973544973545</v>
      </c>
      <c r="AJ884" s="372">
        <f t="shared" si="1591"/>
        <v>-6.6522053506869128E-2</v>
      </c>
      <c r="AK884" s="372">
        <f t="shared" si="1591"/>
        <v>-0.20828258221680876</v>
      </c>
      <c r="AL884" s="372">
        <f t="shared" si="1591"/>
        <v>-0.24537487828627069</v>
      </c>
      <c r="AM884" s="372">
        <f t="shared" si="1591"/>
        <v>-0.28415300546448086</v>
      </c>
      <c r="AN884" s="372" t="str">
        <f t="shared" si="1591"/>
        <v/>
      </c>
      <c r="AO884" s="372" t="str">
        <f t="shared" si="1591"/>
        <v/>
      </c>
      <c r="AP884" s="372" t="str">
        <f t="shared" si="1591"/>
        <v/>
      </c>
      <c r="AQ884" s="374" t="str">
        <f t="shared" si="1591"/>
        <v/>
      </c>
    </row>
    <row r="885" spans="2:43" s="366" customFormat="1" ht="7.8" customHeight="1" x14ac:dyDescent="0.25">
      <c r="B885" s="630"/>
      <c r="C885" s="631"/>
      <c r="D885" s="631"/>
      <c r="E885" s="631"/>
      <c r="AA885" s="291"/>
      <c r="AB885" s="303"/>
      <c r="AC885" s="367"/>
      <c r="AD885" s="381" t="s">
        <v>33</v>
      </c>
      <c r="AE885" s="376">
        <f t="shared" si="1591"/>
        <v>0.56490807717791736</v>
      </c>
      <c r="AF885" s="377">
        <f t="shared" si="1591"/>
        <v>0.19038181070266633</v>
      </c>
      <c r="AG885" s="378">
        <f t="shared" si="1591"/>
        <v>0.31504855979996305</v>
      </c>
      <c r="AH885" s="378">
        <f t="shared" si="1591"/>
        <v>0.32424064243421147</v>
      </c>
      <c r="AI885" s="378">
        <f t="shared" si="1591"/>
        <v>0.50727612070775141</v>
      </c>
      <c r="AJ885" s="378">
        <f t="shared" si="1591"/>
        <v>0.10406923415222868</v>
      </c>
      <c r="AK885" s="378">
        <f t="shared" si="1591"/>
        <v>-7.9984563049120203E-2</v>
      </c>
      <c r="AL885" s="378">
        <f t="shared" si="1591"/>
        <v>-0.15986549673185754</v>
      </c>
      <c r="AM885" s="378">
        <f t="shared" si="1591"/>
        <v>-0.15410159711480745</v>
      </c>
      <c r="AN885" s="378" t="str">
        <f t="shared" si="1591"/>
        <v/>
      </c>
      <c r="AO885" s="378" t="str">
        <f t="shared" si="1591"/>
        <v/>
      </c>
      <c r="AP885" s="378" t="str">
        <f t="shared" si="1591"/>
        <v/>
      </c>
      <c r="AQ885" s="380" t="str">
        <f t="shared" si="1591"/>
        <v/>
      </c>
    </row>
    <row r="886" spans="2:43" ht="7.8" customHeight="1" x14ac:dyDescent="0.25">
      <c r="AA886" s="291"/>
      <c r="AB886" s="390"/>
      <c r="AC886" s="391"/>
      <c r="AD886" s="392" t="s">
        <v>30</v>
      </c>
      <c r="AE886" s="385">
        <f t="shared" si="1591"/>
        <v>0.11653015275324226</v>
      </c>
      <c r="AF886" s="386">
        <f t="shared" si="1591"/>
        <v>-5.3973115514274528E-2</v>
      </c>
      <c r="AG886" s="387">
        <f t="shared" si="1591"/>
        <v>8.4031456284261799E-3</v>
      </c>
      <c r="AH886" s="387">
        <f t="shared" si="1591"/>
        <v>0.1417897094766091</v>
      </c>
      <c r="AI886" s="387">
        <f t="shared" si="1591"/>
        <v>-2.4400045158339049E-2</v>
      </c>
      <c r="AJ886" s="387">
        <f t="shared" si="1591"/>
        <v>0.18274806416152764</v>
      </c>
      <c r="AK886" s="387">
        <f t="shared" si="1591"/>
        <v>0.16205026728718819</v>
      </c>
      <c r="AL886" s="387">
        <f t="shared" si="1591"/>
        <v>0.11331372239533191</v>
      </c>
      <c r="AM886" s="387">
        <f t="shared" si="1591"/>
        <v>0.18167486815259723</v>
      </c>
      <c r="AN886" s="387" t="str">
        <f t="shared" si="1591"/>
        <v/>
      </c>
      <c r="AO886" s="387" t="str">
        <f t="shared" si="1591"/>
        <v/>
      </c>
      <c r="AP886" s="387" t="str">
        <f t="shared" si="1591"/>
        <v/>
      </c>
      <c r="AQ886" s="389" t="str">
        <f t="shared" si="1591"/>
        <v/>
      </c>
    </row>
    <row r="887" spans="2:43" ht="7.8" customHeight="1" x14ac:dyDescent="0.25">
      <c r="AA887" s="291"/>
      <c r="AB887" s="401" t="s">
        <v>48</v>
      </c>
      <c r="AC887" s="402" t="s">
        <v>39</v>
      </c>
      <c r="AD887" s="403" t="s">
        <v>32</v>
      </c>
      <c r="AE887" s="396">
        <f t="shared" ref="AE887:AE888" si="1592">SUM(AF887:AQ887)</f>
        <v>0</v>
      </c>
      <c r="AF887" s="397">
        <f>$V$77</f>
        <v>0</v>
      </c>
      <c r="AG887" s="398">
        <f>$V$131</f>
        <v>0</v>
      </c>
      <c r="AH887" s="398">
        <f>$V$185</f>
        <v>0</v>
      </c>
      <c r="AI887" s="398">
        <f>$V$239</f>
        <v>0</v>
      </c>
      <c r="AJ887" s="398">
        <f>$V$293</f>
        <v>0</v>
      </c>
      <c r="AK887" s="398">
        <f>$V$347</f>
        <v>0</v>
      </c>
      <c r="AL887" s="398">
        <f>$V$401</f>
        <v>0</v>
      </c>
      <c r="AM887" s="398">
        <f>$V$455</f>
        <v>0</v>
      </c>
      <c r="AN887" s="398">
        <f>$V$509</f>
        <v>0</v>
      </c>
      <c r="AO887" s="398">
        <f>$V$563</f>
        <v>0</v>
      </c>
      <c r="AP887" s="398">
        <f>$V$617</f>
        <v>0</v>
      </c>
      <c r="AQ887" s="400">
        <f>$V$671</f>
        <v>0</v>
      </c>
    </row>
    <row r="888" spans="2:43" s="41" customFormat="1" ht="7.8" customHeight="1" x14ac:dyDescent="0.25">
      <c r="B888" s="628"/>
      <c r="C888" s="629"/>
      <c r="D888" s="629"/>
      <c r="E888" s="629"/>
      <c r="AA888" s="291"/>
      <c r="AB888" s="412"/>
      <c r="AC888" s="413"/>
      <c r="AD888" s="414" t="s">
        <v>33</v>
      </c>
      <c r="AE888" s="407">
        <f t="shared" si="1592"/>
        <v>0</v>
      </c>
      <c r="AF888" s="408">
        <f>$V$78</f>
        <v>0</v>
      </c>
      <c r="AG888" s="409">
        <f>$V$132</f>
        <v>0</v>
      </c>
      <c r="AH888" s="409">
        <f>$V$186</f>
        <v>0</v>
      </c>
      <c r="AI888" s="409">
        <f>$V$240</f>
        <v>0</v>
      </c>
      <c r="AJ888" s="409">
        <f>$V$294</f>
        <v>0</v>
      </c>
      <c r="AK888" s="409">
        <f>$V$348</f>
        <v>0</v>
      </c>
      <c r="AL888" s="409">
        <f>$V$402</f>
        <v>0</v>
      </c>
      <c r="AM888" s="409">
        <f>$V$456</f>
        <v>0</v>
      </c>
      <c r="AN888" s="409">
        <f>$V$510</f>
        <v>0</v>
      </c>
      <c r="AO888" s="409">
        <f>$V$564</f>
        <v>0</v>
      </c>
      <c r="AP888" s="409">
        <f>$V$618</f>
        <v>0</v>
      </c>
      <c r="AQ888" s="411">
        <f>$V$672</f>
        <v>0</v>
      </c>
    </row>
    <row r="889" spans="2:43" ht="7.8" customHeight="1" x14ac:dyDescent="0.25">
      <c r="AA889" s="291"/>
      <c r="AB889" s="412"/>
      <c r="AC889" s="422"/>
      <c r="AD889" s="423" t="s">
        <v>30</v>
      </c>
      <c r="AE889" s="417">
        <f t="shared" ref="AE889:AQ889" si="1593">IFERROR(AE888/AE887,0)</f>
        <v>0</v>
      </c>
      <c r="AF889" s="418">
        <f t="shared" si="1593"/>
        <v>0</v>
      </c>
      <c r="AG889" s="419">
        <f t="shared" si="1593"/>
        <v>0</v>
      </c>
      <c r="AH889" s="419">
        <f t="shared" si="1593"/>
        <v>0</v>
      </c>
      <c r="AI889" s="419">
        <f t="shared" si="1593"/>
        <v>0</v>
      </c>
      <c r="AJ889" s="419">
        <f t="shared" si="1593"/>
        <v>0</v>
      </c>
      <c r="AK889" s="419">
        <f t="shared" si="1593"/>
        <v>0</v>
      </c>
      <c r="AL889" s="419">
        <f t="shared" si="1593"/>
        <v>0</v>
      </c>
      <c r="AM889" s="419">
        <f t="shared" si="1593"/>
        <v>0</v>
      </c>
      <c r="AN889" s="419">
        <f t="shared" si="1593"/>
        <v>0</v>
      </c>
      <c r="AO889" s="419">
        <f t="shared" si="1593"/>
        <v>0</v>
      </c>
      <c r="AP889" s="419">
        <f t="shared" si="1593"/>
        <v>0</v>
      </c>
      <c r="AQ889" s="421">
        <f t="shared" si="1593"/>
        <v>0</v>
      </c>
    </row>
    <row r="890" spans="2:43" ht="7.8" customHeight="1" x14ac:dyDescent="0.25">
      <c r="AA890" s="291"/>
      <c r="AB890" s="412"/>
      <c r="AC890" s="431" t="s">
        <v>40</v>
      </c>
      <c r="AD890" s="432" t="s">
        <v>32</v>
      </c>
      <c r="AE890" s="426">
        <f t="shared" ref="AE890:AE891" si="1594">SUM(AF890:AQ890)</f>
        <v>16031</v>
      </c>
      <c r="AF890" s="427">
        <f>$V$80</f>
        <v>1627</v>
      </c>
      <c r="AG890" s="428">
        <f>$V$134</f>
        <v>1119</v>
      </c>
      <c r="AH890" s="428">
        <f>$V$188</f>
        <v>1414</v>
      </c>
      <c r="AI890" s="428">
        <f>$V$242</f>
        <v>1474</v>
      </c>
      <c r="AJ890" s="428">
        <f>$V$296</f>
        <v>888</v>
      </c>
      <c r="AK890" s="428">
        <f>$V$350</f>
        <v>1300</v>
      </c>
      <c r="AL890" s="428">
        <f>$V$404</f>
        <v>1158</v>
      </c>
      <c r="AM890" s="428">
        <f>$V$458</f>
        <v>1140</v>
      </c>
      <c r="AN890" s="428">
        <f>$V$512</f>
        <v>1114</v>
      </c>
      <c r="AO890" s="428">
        <f>$V$566</f>
        <v>1317</v>
      </c>
      <c r="AP890" s="428">
        <f>$V$620</f>
        <v>1378</v>
      </c>
      <c r="AQ890" s="430">
        <f>$V$674</f>
        <v>2102</v>
      </c>
    </row>
    <row r="891" spans="2:43" s="41" customFormat="1" ht="7.8" customHeight="1" x14ac:dyDescent="0.25">
      <c r="B891" s="628"/>
      <c r="C891" s="629"/>
      <c r="D891" s="629"/>
      <c r="E891" s="629"/>
      <c r="AA891" s="291"/>
      <c r="AB891" s="412"/>
      <c r="AC891" s="413"/>
      <c r="AD891" s="414" t="s">
        <v>33</v>
      </c>
      <c r="AE891" s="407">
        <f t="shared" si="1594"/>
        <v>2424763.02</v>
      </c>
      <c r="AF891" s="408">
        <f>$V$81</f>
        <v>192580.82000000007</v>
      </c>
      <c r="AG891" s="409">
        <f>$V$135</f>
        <v>170062.63000000003</v>
      </c>
      <c r="AH891" s="409">
        <f>$V$189</f>
        <v>195407.37999999995</v>
      </c>
      <c r="AI891" s="409">
        <f>$V$243</f>
        <v>202386.43999999994</v>
      </c>
      <c r="AJ891" s="409">
        <f>$V$297</f>
        <v>137740.63999999998</v>
      </c>
      <c r="AK891" s="409">
        <f>$V$351</f>
        <v>217349.86000000004</v>
      </c>
      <c r="AL891" s="409">
        <f>$V$405</f>
        <v>219779.74000000002</v>
      </c>
      <c r="AM891" s="409">
        <f>$V$459</f>
        <v>195119.97000000003</v>
      </c>
      <c r="AN891" s="409">
        <f>$V$513</f>
        <v>177844.66999999998</v>
      </c>
      <c r="AO891" s="409">
        <f>$V$567</f>
        <v>189954.16000000003</v>
      </c>
      <c r="AP891" s="409">
        <f>$V$621</f>
        <v>189415.82000000007</v>
      </c>
      <c r="AQ891" s="411">
        <f>$V$675</f>
        <v>337120.88999999996</v>
      </c>
    </row>
    <row r="892" spans="2:43" ht="7.8" customHeight="1" x14ac:dyDescent="0.25">
      <c r="AA892" s="291"/>
      <c r="AB892" s="412"/>
      <c r="AC892" s="422"/>
      <c r="AD892" s="423" t="s">
        <v>30</v>
      </c>
      <c r="AE892" s="417">
        <f t="shared" ref="AE892:AQ892" si="1595">IFERROR(AE891/AE890,0)</f>
        <v>151.25463289875864</v>
      </c>
      <c r="AF892" s="418">
        <f t="shared" si="1595"/>
        <v>118.36559311616476</v>
      </c>
      <c r="AG892" s="419">
        <f t="shared" si="1595"/>
        <v>151.97732797140307</v>
      </c>
      <c r="AH892" s="419">
        <f t="shared" si="1595"/>
        <v>138.1947524752475</v>
      </c>
      <c r="AI892" s="419">
        <f t="shared" si="1595"/>
        <v>137.30423337856169</v>
      </c>
      <c r="AJ892" s="419">
        <f t="shared" si="1595"/>
        <v>155.11333333333332</v>
      </c>
      <c r="AK892" s="419">
        <f t="shared" si="1595"/>
        <v>167.19220000000004</v>
      </c>
      <c r="AL892" s="419">
        <f t="shared" si="1595"/>
        <v>189.79252158894647</v>
      </c>
      <c r="AM892" s="419">
        <f t="shared" si="1595"/>
        <v>171.15786842105265</v>
      </c>
      <c r="AN892" s="419">
        <f t="shared" si="1595"/>
        <v>159.64512567324954</v>
      </c>
      <c r="AO892" s="419">
        <f t="shared" si="1595"/>
        <v>144.23246772968872</v>
      </c>
      <c r="AP892" s="419">
        <f t="shared" si="1595"/>
        <v>137.45705370101601</v>
      </c>
      <c r="AQ892" s="421">
        <f t="shared" si="1595"/>
        <v>160.38101332064699</v>
      </c>
    </row>
    <row r="893" spans="2:43" ht="7.8" customHeight="1" x14ac:dyDescent="0.25">
      <c r="AA893" s="291"/>
      <c r="AB893" s="412"/>
      <c r="AC893" s="431" t="s">
        <v>41</v>
      </c>
      <c r="AD893" s="432" t="s">
        <v>32</v>
      </c>
      <c r="AE893" s="426">
        <f t="shared" ref="AE893:AE894" si="1596">SUM(AF893:AQ893)</f>
        <v>15455</v>
      </c>
      <c r="AF893" s="427">
        <f>$V$83</f>
        <v>1575</v>
      </c>
      <c r="AG893" s="428">
        <f>$V$137</f>
        <v>1155</v>
      </c>
      <c r="AH893" s="428">
        <f>$V$191</f>
        <v>1568</v>
      </c>
      <c r="AI893" s="428">
        <f>$V$245</f>
        <v>1228</v>
      </c>
      <c r="AJ893" s="428">
        <f>$V$299</f>
        <v>1860</v>
      </c>
      <c r="AK893" s="428">
        <f>$V$353</f>
        <v>2374</v>
      </c>
      <c r="AL893" s="428">
        <f>$V$407</f>
        <v>2995</v>
      </c>
      <c r="AM893" s="428">
        <f>$V$461</f>
        <v>2700</v>
      </c>
      <c r="AN893" s="428">
        <f>$V$515</f>
        <v>0</v>
      </c>
      <c r="AO893" s="428">
        <f>$V$569</f>
        <v>0</v>
      </c>
      <c r="AP893" s="428">
        <f>$V$623</f>
        <v>0</v>
      </c>
      <c r="AQ893" s="430">
        <f>$V$677</f>
        <v>0</v>
      </c>
    </row>
    <row r="894" spans="2:43" s="366" customFormat="1" ht="7.8" customHeight="1" x14ac:dyDescent="0.25">
      <c r="B894" s="630"/>
      <c r="C894" s="631"/>
      <c r="D894" s="631"/>
      <c r="E894" s="631"/>
      <c r="AA894" s="291"/>
      <c r="AB894" s="412"/>
      <c r="AC894" s="413"/>
      <c r="AD894" s="414" t="s">
        <v>33</v>
      </c>
      <c r="AE894" s="407">
        <f t="shared" si="1596"/>
        <v>2329220.2499999995</v>
      </c>
      <c r="AF894" s="408">
        <f>$V$84</f>
        <v>231979.13</v>
      </c>
      <c r="AG894" s="409">
        <f>$V$138</f>
        <v>182528.06</v>
      </c>
      <c r="AH894" s="409">
        <f>$V$192</f>
        <v>229717.38999999993</v>
      </c>
      <c r="AI894" s="409">
        <f>$V$246</f>
        <v>191538.74000000002</v>
      </c>
      <c r="AJ894" s="409">
        <f>$V$300</f>
        <v>260477.57999999996</v>
      </c>
      <c r="AK894" s="409">
        <f>$V$354</f>
        <v>349976.38</v>
      </c>
      <c r="AL894" s="409">
        <f>$V$408</f>
        <v>483673.67000000004</v>
      </c>
      <c r="AM894" s="409">
        <f>$V$462</f>
        <v>399329.29999999981</v>
      </c>
      <c r="AN894" s="409">
        <f>$V$516</f>
        <v>0</v>
      </c>
      <c r="AO894" s="409">
        <f>$V$570</f>
        <v>0</v>
      </c>
      <c r="AP894" s="409">
        <f>$V$624</f>
        <v>0</v>
      </c>
      <c r="AQ894" s="411">
        <f>$V$678</f>
        <v>0</v>
      </c>
    </row>
    <row r="895" spans="2:43" ht="7.8" customHeight="1" x14ac:dyDescent="0.25">
      <c r="AA895" s="291"/>
      <c r="AB895" s="412"/>
      <c r="AC895" s="422"/>
      <c r="AD895" s="423" t="s">
        <v>30</v>
      </c>
      <c r="AE895" s="417">
        <f t="shared" ref="AE895:AQ895" si="1597">IFERROR(AE894/AE893,0)</f>
        <v>150.70981882885795</v>
      </c>
      <c r="AF895" s="418">
        <f t="shared" si="1597"/>
        <v>147.28833650793652</v>
      </c>
      <c r="AG895" s="419">
        <f t="shared" si="1597"/>
        <v>158.03295238095237</v>
      </c>
      <c r="AH895" s="419">
        <f t="shared" si="1597"/>
        <v>146.50343749999996</v>
      </c>
      <c r="AI895" s="419">
        <f t="shared" si="1597"/>
        <v>155.97617263843651</v>
      </c>
      <c r="AJ895" s="419">
        <f t="shared" si="1597"/>
        <v>140.04170967741933</v>
      </c>
      <c r="AK895" s="419">
        <f t="shared" si="1597"/>
        <v>147.42054759898906</v>
      </c>
      <c r="AL895" s="419">
        <f t="shared" si="1597"/>
        <v>161.49371285475794</v>
      </c>
      <c r="AM895" s="419">
        <f t="shared" si="1597"/>
        <v>147.89974074074067</v>
      </c>
      <c r="AN895" s="419">
        <f t="shared" si="1597"/>
        <v>0</v>
      </c>
      <c r="AO895" s="419">
        <f t="shared" si="1597"/>
        <v>0</v>
      </c>
      <c r="AP895" s="419">
        <f t="shared" si="1597"/>
        <v>0</v>
      </c>
      <c r="AQ895" s="421">
        <f t="shared" si="1597"/>
        <v>0</v>
      </c>
    </row>
    <row r="896" spans="2:43" ht="7.8" customHeight="1" x14ac:dyDescent="0.25">
      <c r="AA896" s="291"/>
      <c r="AB896" s="412"/>
      <c r="AC896" s="568" t="s">
        <v>42</v>
      </c>
      <c r="AD896" s="569" t="s">
        <v>32</v>
      </c>
      <c r="AE896" s="442">
        <f t="shared" ref="AE896:AE897" si="1598">SUM(AF896:AQ896)</f>
        <v>24213</v>
      </c>
      <c r="AF896" s="443">
        <f>$V$86</f>
        <v>1831</v>
      </c>
      <c r="AG896" s="444">
        <f>$V$140</f>
        <v>1547</v>
      </c>
      <c r="AH896" s="444">
        <f>$V$194</f>
        <v>2069</v>
      </c>
      <c r="AI896" s="444">
        <f>$V$248</f>
        <v>1870</v>
      </c>
      <c r="AJ896" s="444">
        <f>$V$302</f>
        <v>1890</v>
      </c>
      <c r="AK896" s="444">
        <f>$V$356</f>
        <v>2291</v>
      </c>
      <c r="AL896" s="444">
        <f>$V$410</f>
        <v>2544</v>
      </c>
      <c r="AM896" s="444">
        <f>$V$464</f>
        <v>2418</v>
      </c>
      <c r="AN896" s="444">
        <f>$V$518</f>
        <v>1776</v>
      </c>
      <c r="AO896" s="444">
        <f>$V$572</f>
        <v>1765</v>
      </c>
      <c r="AP896" s="444">
        <f>$V$626</f>
        <v>2104</v>
      </c>
      <c r="AQ896" s="445">
        <f>$V$680</f>
        <v>2108</v>
      </c>
    </row>
    <row r="897" spans="27:43" ht="7.8" customHeight="1" x14ac:dyDescent="0.25">
      <c r="AA897" s="291"/>
      <c r="AB897" s="412"/>
      <c r="AC897" s="564"/>
      <c r="AD897" s="565" t="s">
        <v>33</v>
      </c>
      <c r="AE897" s="455">
        <f t="shared" si="1598"/>
        <v>4171804</v>
      </c>
      <c r="AF897" s="456">
        <f>$V$87</f>
        <v>272994</v>
      </c>
      <c r="AG897" s="457">
        <f>$V$141</f>
        <v>252161</v>
      </c>
      <c r="AH897" s="457">
        <f>$V$195</f>
        <v>347592</v>
      </c>
      <c r="AI897" s="457">
        <f>$V$249</f>
        <v>289850</v>
      </c>
      <c r="AJ897" s="457">
        <f>$V$303</f>
        <v>319877</v>
      </c>
      <c r="AK897" s="457">
        <f>$V$357</f>
        <v>396343</v>
      </c>
      <c r="AL897" s="457">
        <f>$V$411</f>
        <v>465552</v>
      </c>
      <c r="AM897" s="457">
        <f>$V$465</f>
        <v>430404</v>
      </c>
      <c r="AN897" s="457">
        <f>$V$519</f>
        <v>312144</v>
      </c>
      <c r="AO897" s="457">
        <f>$V$573</f>
        <v>296520</v>
      </c>
      <c r="AP897" s="457">
        <f>$V$627</f>
        <v>363992</v>
      </c>
      <c r="AQ897" s="458">
        <f>$V$681</f>
        <v>424375</v>
      </c>
    </row>
    <row r="898" spans="27:43" ht="7.8" customHeight="1" x14ac:dyDescent="0.25">
      <c r="AA898" s="291"/>
      <c r="AB898" s="412"/>
      <c r="AC898" s="566"/>
      <c r="AD898" s="567" t="s">
        <v>30</v>
      </c>
      <c r="AE898" s="468">
        <f t="shared" ref="AE898:AQ898" si="1599">IFERROR(AE897/AE896,0)</f>
        <v>172.29603931772189</v>
      </c>
      <c r="AF898" s="469">
        <f t="shared" si="1599"/>
        <v>149.09557618787548</v>
      </c>
      <c r="AG898" s="470">
        <f t="shared" si="1599"/>
        <v>163</v>
      </c>
      <c r="AH898" s="470">
        <f t="shared" si="1599"/>
        <v>168</v>
      </c>
      <c r="AI898" s="470">
        <f t="shared" si="1599"/>
        <v>155</v>
      </c>
      <c r="AJ898" s="470">
        <f t="shared" si="1599"/>
        <v>169.24708994708996</v>
      </c>
      <c r="AK898" s="470">
        <f t="shared" si="1599"/>
        <v>173</v>
      </c>
      <c r="AL898" s="470">
        <f t="shared" si="1599"/>
        <v>183</v>
      </c>
      <c r="AM898" s="470">
        <f t="shared" si="1599"/>
        <v>178</v>
      </c>
      <c r="AN898" s="470">
        <f t="shared" si="1599"/>
        <v>175.75675675675674</v>
      </c>
      <c r="AO898" s="470">
        <f t="shared" si="1599"/>
        <v>168</v>
      </c>
      <c r="AP898" s="470">
        <f t="shared" si="1599"/>
        <v>173</v>
      </c>
      <c r="AQ898" s="471">
        <f t="shared" si="1599"/>
        <v>201.31641366223909</v>
      </c>
    </row>
    <row r="899" spans="27:43" ht="7.8" customHeight="1" x14ac:dyDescent="0.25">
      <c r="AA899" s="291"/>
      <c r="AB899" s="412"/>
      <c r="AC899" s="473" t="s">
        <v>43</v>
      </c>
      <c r="AD899" s="432" t="s">
        <v>32</v>
      </c>
      <c r="AE899" s="426">
        <f t="shared" ref="AE899:AQ901" si="1600">AE896-AE893</f>
        <v>8758</v>
      </c>
      <c r="AF899" s="427">
        <f t="shared" si="1600"/>
        <v>256</v>
      </c>
      <c r="AG899" s="428">
        <f t="shared" si="1600"/>
        <v>392</v>
      </c>
      <c r="AH899" s="428">
        <f t="shared" si="1600"/>
        <v>501</v>
      </c>
      <c r="AI899" s="428">
        <f t="shared" si="1600"/>
        <v>642</v>
      </c>
      <c r="AJ899" s="428">
        <f t="shared" si="1600"/>
        <v>30</v>
      </c>
      <c r="AK899" s="428">
        <f t="shared" si="1600"/>
        <v>-83</v>
      </c>
      <c r="AL899" s="428">
        <f t="shared" si="1600"/>
        <v>-451</v>
      </c>
      <c r="AM899" s="428">
        <f t="shared" si="1600"/>
        <v>-282</v>
      </c>
      <c r="AN899" s="428">
        <f t="shared" si="1600"/>
        <v>1776</v>
      </c>
      <c r="AO899" s="428">
        <f t="shared" si="1600"/>
        <v>1765</v>
      </c>
      <c r="AP899" s="428">
        <f t="shared" si="1600"/>
        <v>2104</v>
      </c>
      <c r="AQ899" s="430">
        <f t="shared" si="1600"/>
        <v>2108</v>
      </c>
    </row>
    <row r="900" spans="27:43" ht="7.8" customHeight="1" x14ac:dyDescent="0.25">
      <c r="AA900" s="291"/>
      <c r="AB900" s="412"/>
      <c r="AC900" s="475"/>
      <c r="AD900" s="476" t="s">
        <v>33</v>
      </c>
      <c r="AE900" s="407">
        <f t="shared" si="1600"/>
        <v>1842583.7500000005</v>
      </c>
      <c r="AF900" s="408">
        <f t="shared" si="1600"/>
        <v>41014.869999999995</v>
      </c>
      <c r="AG900" s="409">
        <f t="shared" si="1600"/>
        <v>69632.94</v>
      </c>
      <c r="AH900" s="409">
        <f t="shared" si="1600"/>
        <v>117874.61000000007</v>
      </c>
      <c r="AI900" s="409">
        <f t="shared" si="1600"/>
        <v>98311.25999999998</v>
      </c>
      <c r="AJ900" s="409">
        <f t="shared" si="1600"/>
        <v>59399.420000000042</v>
      </c>
      <c r="AK900" s="409">
        <f t="shared" si="1600"/>
        <v>46366.619999999995</v>
      </c>
      <c r="AL900" s="409">
        <f t="shared" si="1600"/>
        <v>-18121.670000000042</v>
      </c>
      <c r="AM900" s="409">
        <f t="shared" si="1600"/>
        <v>31074.700000000186</v>
      </c>
      <c r="AN900" s="409">
        <f t="shared" si="1600"/>
        <v>312144</v>
      </c>
      <c r="AO900" s="409">
        <f t="shared" si="1600"/>
        <v>296520</v>
      </c>
      <c r="AP900" s="409">
        <f t="shared" si="1600"/>
        <v>363992</v>
      </c>
      <c r="AQ900" s="411">
        <f t="shared" si="1600"/>
        <v>424375</v>
      </c>
    </row>
    <row r="901" spans="27:43" ht="7.8" customHeight="1" x14ac:dyDescent="0.25">
      <c r="AA901" s="291"/>
      <c r="AB901" s="412"/>
      <c r="AC901" s="477"/>
      <c r="AD901" s="423" t="s">
        <v>30</v>
      </c>
      <c r="AE901" s="417">
        <f t="shared" si="1600"/>
        <v>21.586220488863944</v>
      </c>
      <c r="AF901" s="418">
        <f t="shared" si="1600"/>
        <v>1.8072396799389594</v>
      </c>
      <c r="AG901" s="419">
        <f t="shared" si="1600"/>
        <v>4.9670476190476336</v>
      </c>
      <c r="AH901" s="419">
        <f t="shared" si="1600"/>
        <v>21.496562500000039</v>
      </c>
      <c r="AI901" s="419">
        <f t="shared" si="1600"/>
        <v>-0.97617263843650903</v>
      </c>
      <c r="AJ901" s="419">
        <f t="shared" si="1600"/>
        <v>29.205380269670627</v>
      </c>
      <c r="AK901" s="419">
        <f t="shared" si="1600"/>
        <v>25.57945240101094</v>
      </c>
      <c r="AL901" s="419">
        <f t="shared" si="1600"/>
        <v>21.506287145242055</v>
      </c>
      <c r="AM901" s="419">
        <f t="shared" si="1600"/>
        <v>30.100259259259332</v>
      </c>
      <c r="AN901" s="419">
        <f t="shared" si="1600"/>
        <v>175.75675675675674</v>
      </c>
      <c r="AO901" s="419">
        <f t="shared" si="1600"/>
        <v>168</v>
      </c>
      <c r="AP901" s="419">
        <f t="shared" si="1600"/>
        <v>173</v>
      </c>
      <c r="AQ901" s="421">
        <f t="shared" si="1600"/>
        <v>201.31641366223909</v>
      </c>
    </row>
    <row r="902" spans="27:43" ht="7.8" customHeight="1" x14ac:dyDescent="0.25">
      <c r="AA902" s="291"/>
      <c r="AB902" s="412"/>
      <c r="AC902" s="473" t="s">
        <v>44</v>
      </c>
      <c r="AD902" s="432" t="s">
        <v>32</v>
      </c>
      <c r="AE902" s="478">
        <f t="shared" ref="AE902:AQ904" si="1601">IFERROR((AE896-AE893)/ABS(AE893),"")</f>
        <v>0.56667745066321584</v>
      </c>
      <c r="AF902" s="479">
        <f t="shared" si="1601"/>
        <v>0.16253968253968254</v>
      </c>
      <c r="AG902" s="480">
        <f t="shared" si="1601"/>
        <v>0.33939393939393941</v>
      </c>
      <c r="AH902" s="480">
        <f t="shared" si="1601"/>
        <v>0.31951530612244899</v>
      </c>
      <c r="AI902" s="480">
        <f t="shared" si="1601"/>
        <v>0.5228013029315961</v>
      </c>
      <c r="AJ902" s="480">
        <f t="shared" si="1601"/>
        <v>1.6129032258064516E-2</v>
      </c>
      <c r="AK902" s="480">
        <f t="shared" si="1601"/>
        <v>-3.4962089300758212E-2</v>
      </c>
      <c r="AL902" s="480">
        <f t="shared" si="1601"/>
        <v>-0.15058430717863105</v>
      </c>
      <c r="AM902" s="480">
        <f t="shared" si="1601"/>
        <v>-0.10444444444444445</v>
      </c>
      <c r="AN902" s="480" t="str">
        <f t="shared" si="1601"/>
        <v/>
      </c>
      <c r="AO902" s="480" t="str">
        <f t="shared" si="1601"/>
        <v/>
      </c>
      <c r="AP902" s="480" t="str">
        <f t="shared" si="1601"/>
        <v/>
      </c>
      <c r="AQ902" s="482" t="str">
        <f t="shared" si="1601"/>
        <v/>
      </c>
    </row>
    <row r="903" spans="27:43" ht="7.8" customHeight="1" x14ac:dyDescent="0.25">
      <c r="AA903" s="291"/>
      <c r="AB903" s="412"/>
      <c r="AC903" s="475"/>
      <c r="AD903" s="489" t="s">
        <v>33</v>
      </c>
      <c r="AE903" s="484">
        <f t="shared" si="1601"/>
        <v>0.79107321430852273</v>
      </c>
      <c r="AF903" s="485">
        <f t="shared" si="1601"/>
        <v>0.17680413751012858</v>
      </c>
      <c r="AG903" s="486">
        <f t="shared" si="1601"/>
        <v>0.38149170050895193</v>
      </c>
      <c r="AH903" s="486">
        <f t="shared" si="1601"/>
        <v>0.51312880579045461</v>
      </c>
      <c r="AI903" s="486">
        <f t="shared" si="1601"/>
        <v>0.51327089235316037</v>
      </c>
      <c r="AJ903" s="486">
        <f t="shared" si="1601"/>
        <v>0.2280404325009471</v>
      </c>
      <c r="AK903" s="486">
        <f t="shared" si="1601"/>
        <v>0.13248499798757846</v>
      </c>
      <c r="AL903" s="486">
        <f t="shared" si="1601"/>
        <v>-3.7466728341859171E-2</v>
      </c>
      <c r="AM903" s="486">
        <f t="shared" si="1601"/>
        <v>7.7817230040470864E-2</v>
      </c>
      <c r="AN903" s="486" t="str">
        <f t="shared" si="1601"/>
        <v/>
      </c>
      <c r="AO903" s="486" t="str">
        <f t="shared" si="1601"/>
        <v/>
      </c>
      <c r="AP903" s="486" t="str">
        <f t="shared" si="1601"/>
        <v/>
      </c>
      <c r="AQ903" s="488" t="str">
        <f t="shared" si="1601"/>
        <v/>
      </c>
    </row>
    <row r="904" spans="27:43" ht="7.8" customHeight="1" x14ac:dyDescent="0.25">
      <c r="AA904" s="291"/>
      <c r="AB904" s="412"/>
      <c r="AC904" s="475"/>
      <c r="AD904" s="489" t="s">
        <v>30</v>
      </c>
      <c r="AE904" s="484">
        <f t="shared" si="1601"/>
        <v>0.14323035258490147</v>
      </c>
      <c r="AF904" s="485">
        <f t="shared" si="1601"/>
        <v>1.2270080053769753E-2</v>
      </c>
      <c r="AG904" s="486">
        <f t="shared" si="1601"/>
        <v>3.1430455131118015E-2</v>
      </c>
      <c r="AH904" s="486">
        <f t="shared" si="1601"/>
        <v>0.14673077210219074</v>
      </c>
      <c r="AI904" s="486">
        <f t="shared" si="1601"/>
        <v>-6.2584728290477057E-3</v>
      </c>
      <c r="AJ904" s="486">
        <f t="shared" si="1601"/>
        <v>0.20854772722315437</v>
      </c>
      <c r="AK904" s="486">
        <f t="shared" si="1601"/>
        <v>0.17351348110978224</v>
      </c>
      <c r="AL904" s="486">
        <f t="shared" si="1601"/>
        <v>0.13317104898432852</v>
      </c>
      <c r="AM904" s="486">
        <f t="shared" si="1601"/>
        <v>0.20351799880449603</v>
      </c>
      <c r="AN904" s="486" t="str">
        <f t="shared" si="1601"/>
        <v/>
      </c>
      <c r="AO904" s="486" t="str">
        <f t="shared" si="1601"/>
        <v/>
      </c>
      <c r="AP904" s="486" t="str">
        <f t="shared" si="1601"/>
        <v/>
      </c>
      <c r="AQ904" s="488" t="str">
        <f t="shared" si="1601"/>
        <v/>
      </c>
    </row>
    <row r="905" spans="27:43" ht="7.8" customHeight="1" x14ac:dyDescent="0.25">
      <c r="AA905" s="291"/>
      <c r="AB905" s="499" t="s">
        <v>49</v>
      </c>
      <c r="AC905" s="500" t="s">
        <v>39</v>
      </c>
      <c r="AD905" s="501" t="s">
        <v>32</v>
      </c>
      <c r="AE905" s="494">
        <f t="shared" ref="AE905:AE906" si="1602">SUM(AF905:AQ905)</f>
        <v>0</v>
      </c>
      <c r="AF905" s="495">
        <f>$V$95</f>
        <v>0</v>
      </c>
      <c r="AG905" s="496">
        <f>$V$149</f>
        <v>0</v>
      </c>
      <c r="AH905" s="496">
        <f>$V$203</f>
        <v>0</v>
      </c>
      <c r="AI905" s="496">
        <f>$V$257</f>
        <v>0</v>
      </c>
      <c r="AJ905" s="496">
        <f>$V$311</f>
        <v>0</v>
      </c>
      <c r="AK905" s="496">
        <f>$V$365</f>
        <v>0</v>
      </c>
      <c r="AL905" s="496">
        <f>$V$419</f>
        <v>0</v>
      </c>
      <c r="AM905" s="496">
        <f>$V$473</f>
        <v>0</v>
      </c>
      <c r="AN905" s="496">
        <f>$V$527</f>
        <v>0</v>
      </c>
      <c r="AO905" s="496">
        <f>$V$581</f>
        <v>0</v>
      </c>
      <c r="AP905" s="496">
        <f>$V$635</f>
        <v>0</v>
      </c>
      <c r="AQ905" s="498">
        <f>$V$689</f>
        <v>0</v>
      </c>
    </row>
    <row r="906" spans="27:43" ht="7.8" customHeight="1" x14ac:dyDescent="0.25">
      <c r="AA906" s="291"/>
      <c r="AB906" s="412"/>
      <c r="AC906" s="413"/>
      <c r="AD906" s="414" t="s">
        <v>33</v>
      </c>
      <c r="AE906" s="407">
        <f t="shared" si="1602"/>
        <v>0</v>
      </c>
      <c r="AF906" s="408">
        <f>$V$96</f>
        <v>0</v>
      </c>
      <c r="AG906" s="409">
        <f>$V$150</f>
        <v>0</v>
      </c>
      <c r="AH906" s="409">
        <f>$V$204</f>
        <v>0</v>
      </c>
      <c r="AI906" s="409">
        <f>$V$258</f>
        <v>0</v>
      </c>
      <c r="AJ906" s="409">
        <f>$V$312</f>
        <v>0</v>
      </c>
      <c r="AK906" s="409">
        <f>$V$366</f>
        <v>0</v>
      </c>
      <c r="AL906" s="409">
        <f>$V$420</f>
        <v>0</v>
      </c>
      <c r="AM906" s="409">
        <f>$V$474</f>
        <v>0</v>
      </c>
      <c r="AN906" s="409">
        <f>$V$528</f>
        <v>0</v>
      </c>
      <c r="AO906" s="409">
        <f>$V$582</f>
        <v>0</v>
      </c>
      <c r="AP906" s="409">
        <f>$V$636</f>
        <v>0</v>
      </c>
      <c r="AQ906" s="411">
        <f>$V$690</f>
        <v>0</v>
      </c>
    </row>
    <row r="907" spans="27:43" ht="7.8" customHeight="1" x14ac:dyDescent="0.25">
      <c r="AA907" s="291"/>
      <c r="AB907" s="412"/>
      <c r="AC907" s="422"/>
      <c r="AD907" s="423" t="s">
        <v>30</v>
      </c>
      <c r="AE907" s="417">
        <f t="shared" ref="AE907:AQ907" si="1603">IFERROR(AE906/AE905,0)</f>
        <v>0</v>
      </c>
      <c r="AF907" s="418">
        <f t="shared" si="1603"/>
        <v>0</v>
      </c>
      <c r="AG907" s="419">
        <f t="shared" si="1603"/>
        <v>0</v>
      </c>
      <c r="AH907" s="419">
        <f t="shared" si="1603"/>
        <v>0</v>
      </c>
      <c r="AI907" s="419">
        <f t="shared" si="1603"/>
        <v>0</v>
      </c>
      <c r="AJ907" s="419">
        <f t="shared" si="1603"/>
        <v>0</v>
      </c>
      <c r="AK907" s="419">
        <f t="shared" si="1603"/>
        <v>0</v>
      </c>
      <c r="AL907" s="419">
        <f t="shared" si="1603"/>
        <v>0</v>
      </c>
      <c r="AM907" s="419">
        <f t="shared" si="1603"/>
        <v>0</v>
      </c>
      <c r="AN907" s="419">
        <f t="shared" si="1603"/>
        <v>0</v>
      </c>
      <c r="AO907" s="419">
        <f t="shared" si="1603"/>
        <v>0</v>
      </c>
      <c r="AP907" s="419">
        <f t="shared" si="1603"/>
        <v>0</v>
      </c>
      <c r="AQ907" s="421">
        <f t="shared" si="1603"/>
        <v>0</v>
      </c>
    </row>
    <row r="908" spans="27:43" ht="7.8" customHeight="1" x14ac:dyDescent="0.25">
      <c r="AA908" s="291"/>
      <c r="AB908" s="412"/>
      <c r="AC908" s="431" t="s">
        <v>40</v>
      </c>
      <c r="AD908" s="432" t="s">
        <v>32</v>
      </c>
      <c r="AE908" s="426">
        <f t="shared" ref="AE908:AE909" si="1604">SUM(AF908:AQ908)</f>
        <v>6245</v>
      </c>
      <c r="AF908" s="427">
        <f>$V$98</f>
        <v>549</v>
      </c>
      <c r="AG908" s="428">
        <f>$V$152</f>
        <v>435</v>
      </c>
      <c r="AH908" s="428">
        <f>$V$206</f>
        <v>659</v>
      </c>
      <c r="AI908" s="428">
        <f>$V$260</f>
        <v>497</v>
      </c>
      <c r="AJ908" s="428">
        <f>$V$314</f>
        <v>348</v>
      </c>
      <c r="AK908" s="428">
        <f>$V$368</f>
        <v>511</v>
      </c>
      <c r="AL908" s="428">
        <f>$V$422</f>
        <v>403</v>
      </c>
      <c r="AM908" s="428">
        <f>$V$476</f>
        <v>528</v>
      </c>
      <c r="AN908" s="428">
        <f>$V$530</f>
        <v>325</v>
      </c>
      <c r="AO908" s="428">
        <f>$V$584</f>
        <v>533</v>
      </c>
      <c r="AP908" s="428">
        <f>$V$638</f>
        <v>672</v>
      </c>
      <c r="AQ908" s="430">
        <f>$V$692</f>
        <v>785</v>
      </c>
    </row>
    <row r="909" spans="27:43" ht="7.8" customHeight="1" x14ac:dyDescent="0.25">
      <c r="AA909" s="291"/>
      <c r="AB909" s="412"/>
      <c r="AC909" s="413"/>
      <c r="AD909" s="414" t="s">
        <v>33</v>
      </c>
      <c r="AE909" s="407">
        <f t="shared" si="1604"/>
        <v>1007699.4199999999</v>
      </c>
      <c r="AF909" s="408">
        <f>$V$99</f>
        <v>71672.469999999987</v>
      </c>
      <c r="AG909" s="409">
        <f>$V$153</f>
        <v>73498.679999999993</v>
      </c>
      <c r="AH909" s="409">
        <f>$V$207</f>
        <v>99706.51</v>
      </c>
      <c r="AI909" s="409">
        <f>$V$261</f>
        <v>71763.31</v>
      </c>
      <c r="AJ909" s="409">
        <f>$V$315</f>
        <v>60694.12</v>
      </c>
      <c r="AK909" s="409">
        <f>$V$369</f>
        <v>91461.58</v>
      </c>
      <c r="AL909" s="409">
        <f>$V$423</f>
        <v>84461.84</v>
      </c>
      <c r="AM909" s="409">
        <f>$V$477</f>
        <v>95859.669999999984</v>
      </c>
      <c r="AN909" s="409">
        <f>$V$531</f>
        <v>55192.759999999995</v>
      </c>
      <c r="AO909" s="409">
        <f>$V$585</f>
        <v>79298</v>
      </c>
      <c r="AP909" s="409">
        <f>$V$639</f>
        <v>93131.92</v>
      </c>
      <c r="AQ909" s="411">
        <f>$V$693</f>
        <v>130958.56</v>
      </c>
    </row>
    <row r="910" spans="27:43" ht="7.8" customHeight="1" x14ac:dyDescent="0.25">
      <c r="AA910" s="291"/>
      <c r="AB910" s="412"/>
      <c r="AC910" s="422"/>
      <c r="AD910" s="423" t="s">
        <v>30</v>
      </c>
      <c r="AE910" s="417">
        <f t="shared" ref="AE910:AQ910" si="1605">IFERROR(AE909/AE908,0)</f>
        <v>161.36099599679741</v>
      </c>
      <c r="AF910" s="418">
        <f t="shared" si="1605"/>
        <v>130.55094717668484</v>
      </c>
      <c r="AG910" s="419">
        <f t="shared" si="1605"/>
        <v>168.96248275862067</v>
      </c>
      <c r="AH910" s="419">
        <f t="shared" si="1605"/>
        <v>151.29971168437024</v>
      </c>
      <c r="AI910" s="419">
        <f t="shared" si="1605"/>
        <v>144.39297786720323</v>
      </c>
      <c r="AJ910" s="419">
        <f t="shared" si="1605"/>
        <v>174.4083908045977</v>
      </c>
      <c r="AK910" s="419">
        <f t="shared" si="1605"/>
        <v>178.98547945205479</v>
      </c>
      <c r="AL910" s="419">
        <f t="shared" si="1605"/>
        <v>209.58272952853596</v>
      </c>
      <c r="AM910" s="419">
        <f t="shared" si="1605"/>
        <v>181.55240530303027</v>
      </c>
      <c r="AN910" s="419">
        <f t="shared" si="1605"/>
        <v>169.82387692307691</v>
      </c>
      <c r="AO910" s="419">
        <f t="shared" si="1605"/>
        <v>148.77673545966229</v>
      </c>
      <c r="AP910" s="419">
        <f t="shared" si="1605"/>
        <v>138.58916666666667</v>
      </c>
      <c r="AQ910" s="421">
        <f t="shared" si="1605"/>
        <v>166.82619108280255</v>
      </c>
    </row>
    <row r="911" spans="27:43" ht="7.8" customHeight="1" x14ac:dyDescent="0.25">
      <c r="AA911" s="291"/>
      <c r="AB911" s="412"/>
      <c r="AC911" s="431" t="s">
        <v>41</v>
      </c>
      <c r="AD911" s="432" t="s">
        <v>32</v>
      </c>
      <c r="AE911" s="426">
        <f t="shared" ref="AE911:AE912" si="1606">SUM(AF911:AQ911)</f>
        <v>6675</v>
      </c>
      <c r="AF911" s="427">
        <f>$V$101</f>
        <v>655</v>
      </c>
      <c r="AG911" s="428">
        <f>$V$155</f>
        <v>532</v>
      </c>
      <c r="AH911" s="428">
        <f>$V$209</f>
        <v>760</v>
      </c>
      <c r="AI911" s="428">
        <f>$V$263</f>
        <v>473</v>
      </c>
      <c r="AJ911" s="428">
        <f>$V$317</f>
        <v>906</v>
      </c>
      <c r="AK911" s="428">
        <f>$V$371</f>
        <v>910</v>
      </c>
      <c r="AL911" s="428">
        <f>$V$425</f>
        <v>1113</v>
      </c>
      <c r="AM911" s="428">
        <f>$V$479</f>
        <v>1326</v>
      </c>
      <c r="AN911" s="428">
        <f>$V$533</f>
        <v>0</v>
      </c>
      <c r="AO911" s="428">
        <f>$V$587</f>
        <v>0</v>
      </c>
      <c r="AP911" s="428">
        <f>$V$641</f>
        <v>0</v>
      </c>
      <c r="AQ911" s="430">
        <f>$V$695</f>
        <v>0</v>
      </c>
    </row>
    <row r="912" spans="27:43" ht="7.8" customHeight="1" x14ac:dyDescent="0.25">
      <c r="AA912" s="291"/>
      <c r="AB912" s="412"/>
      <c r="AC912" s="413"/>
      <c r="AD912" s="414" t="s">
        <v>33</v>
      </c>
      <c r="AE912" s="407">
        <f t="shared" si="1606"/>
        <v>1052854.44</v>
      </c>
      <c r="AF912" s="408">
        <f>$V$102</f>
        <v>102283.37</v>
      </c>
      <c r="AG912" s="409">
        <f>$V$156</f>
        <v>90161.49</v>
      </c>
      <c r="AH912" s="409">
        <f>$V$210</f>
        <v>112818.54000000001</v>
      </c>
      <c r="AI912" s="409">
        <f>$V$264</f>
        <v>78710.350000000006</v>
      </c>
      <c r="AJ912" s="409">
        <f>$V$318</f>
        <v>131255.09999999998</v>
      </c>
      <c r="AK912" s="409">
        <f>$V$372</f>
        <v>138928.46000000002</v>
      </c>
      <c r="AL912" s="409">
        <f>$V$426</f>
        <v>191575.34999999998</v>
      </c>
      <c r="AM912" s="409">
        <f>$V$480</f>
        <v>207121.78</v>
      </c>
      <c r="AN912" s="409">
        <f>$V$534</f>
        <v>0</v>
      </c>
      <c r="AO912" s="409">
        <f>$V$588</f>
        <v>0</v>
      </c>
      <c r="AP912" s="409">
        <f>$V$642</f>
        <v>0</v>
      </c>
      <c r="AQ912" s="411">
        <f>$V$696</f>
        <v>0</v>
      </c>
    </row>
    <row r="913" spans="27:43" ht="7.8" customHeight="1" x14ac:dyDescent="0.25">
      <c r="AA913" s="291"/>
      <c r="AB913" s="412"/>
      <c r="AC913" s="422"/>
      <c r="AD913" s="423" t="s">
        <v>30</v>
      </c>
      <c r="AE913" s="417">
        <f t="shared" ref="AE913:AQ913" si="1607">IFERROR(AE912/AE911,0)</f>
        <v>157.73100224719101</v>
      </c>
      <c r="AF913" s="418">
        <f t="shared" si="1607"/>
        <v>156.15781679389312</v>
      </c>
      <c r="AG913" s="419">
        <f t="shared" si="1607"/>
        <v>169.47648496240603</v>
      </c>
      <c r="AH913" s="419">
        <f t="shared" si="1607"/>
        <v>148.44544736842107</v>
      </c>
      <c r="AI913" s="419">
        <f t="shared" si="1607"/>
        <v>166.40665961945032</v>
      </c>
      <c r="AJ913" s="419">
        <f t="shared" si="1607"/>
        <v>144.873178807947</v>
      </c>
      <c r="AK913" s="419">
        <f t="shared" si="1607"/>
        <v>152.66863736263738</v>
      </c>
      <c r="AL913" s="419">
        <f t="shared" si="1607"/>
        <v>172.12520215633421</v>
      </c>
      <c r="AM913" s="419">
        <f t="shared" si="1607"/>
        <v>156.20043740573152</v>
      </c>
      <c r="AN913" s="419">
        <f t="shared" si="1607"/>
        <v>0</v>
      </c>
      <c r="AO913" s="419">
        <f t="shared" si="1607"/>
        <v>0</v>
      </c>
      <c r="AP913" s="419">
        <f t="shared" si="1607"/>
        <v>0</v>
      </c>
      <c r="AQ913" s="421">
        <f t="shared" si="1607"/>
        <v>0</v>
      </c>
    </row>
    <row r="914" spans="27:43" ht="7.8" customHeight="1" x14ac:dyDescent="0.25">
      <c r="AA914" s="291"/>
      <c r="AB914" s="412"/>
      <c r="AC914" s="568" t="s">
        <v>42</v>
      </c>
      <c r="AD914" s="569" t="s">
        <v>32</v>
      </c>
      <c r="AE914" s="442">
        <f t="shared" ref="AE914:AE915" si="1608">SUM(AF914:AQ914)</f>
        <v>6804</v>
      </c>
      <c r="AF914" s="443">
        <f>$V$104</f>
        <v>975</v>
      </c>
      <c r="AG914" s="444">
        <f>$V$158</f>
        <v>653</v>
      </c>
      <c r="AH914" s="444">
        <f>$V$212</f>
        <v>631</v>
      </c>
      <c r="AI914" s="444">
        <f>$V$266</f>
        <v>758</v>
      </c>
      <c r="AJ914" s="444">
        <f>$V$320</f>
        <v>692</v>
      </c>
      <c r="AK914" s="444">
        <f>$V$374</f>
        <v>309</v>
      </c>
      <c r="AL914" s="444">
        <f>$V$428</f>
        <v>556</v>
      </c>
      <c r="AM914" s="444">
        <f>$V$482</f>
        <v>464</v>
      </c>
      <c r="AN914" s="444">
        <f>$V$536</f>
        <v>460</v>
      </c>
      <c r="AO914" s="444">
        <f>$V$590</f>
        <v>435</v>
      </c>
      <c r="AP914" s="444">
        <f>$V$644</f>
        <v>496</v>
      </c>
      <c r="AQ914" s="445">
        <f>$V$698</f>
        <v>375</v>
      </c>
    </row>
    <row r="915" spans="27:43" ht="7.8" customHeight="1" x14ac:dyDescent="0.25">
      <c r="AA915" s="291"/>
      <c r="AB915" s="412"/>
      <c r="AC915" s="564"/>
      <c r="AD915" s="565" t="s">
        <v>33</v>
      </c>
      <c r="AE915" s="455">
        <f t="shared" si="1608"/>
        <v>1120832</v>
      </c>
      <c r="AF915" s="456">
        <f>$V$105</f>
        <v>124906</v>
      </c>
      <c r="AG915" s="457">
        <f>$V$159</f>
        <v>106439</v>
      </c>
      <c r="AH915" s="457">
        <f>$V$213</f>
        <v>106008</v>
      </c>
      <c r="AI915" s="457">
        <f>$V$267</f>
        <v>117490</v>
      </c>
      <c r="AJ915" s="457">
        <f>$V$321</f>
        <v>112623</v>
      </c>
      <c r="AK915" s="457">
        <f>$V$375</f>
        <v>53457</v>
      </c>
      <c r="AL915" s="457">
        <f>$V$429</f>
        <v>101748</v>
      </c>
      <c r="AM915" s="457">
        <f>$V$483</f>
        <v>82592</v>
      </c>
      <c r="AN915" s="457">
        <f>$V$537</f>
        <v>91056</v>
      </c>
      <c r="AO915" s="457">
        <f>$V$591</f>
        <v>73080</v>
      </c>
      <c r="AP915" s="457">
        <f>$V$645</f>
        <v>85808</v>
      </c>
      <c r="AQ915" s="458">
        <f>$V$699</f>
        <v>65625</v>
      </c>
    </row>
    <row r="916" spans="27:43" ht="7.8" customHeight="1" x14ac:dyDescent="0.25">
      <c r="AA916" s="291"/>
      <c r="AB916" s="412"/>
      <c r="AC916" s="566"/>
      <c r="AD916" s="567" t="s">
        <v>30</v>
      </c>
      <c r="AE916" s="468">
        <f t="shared" ref="AE916:AQ916" si="1609">IFERROR(AE915/AE914,0)</f>
        <v>164.73133450911229</v>
      </c>
      <c r="AF916" s="469">
        <f t="shared" si="1609"/>
        <v>128.10871794871795</v>
      </c>
      <c r="AG916" s="470">
        <f t="shared" si="1609"/>
        <v>163</v>
      </c>
      <c r="AH916" s="470">
        <f t="shared" si="1609"/>
        <v>168</v>
      </c>
      <c r="AI916" s="470">
        <f t="shared" si="1609"/>
        <v>155</v>
      </c>
      <c r="AJ916" s="470">
        <f t="shared" si="1609"/>
        <v>162.75</v>
      </c>
      <c r="AK916" s="470">
        <f t="shared" si="1609"/>
        <v>173</v>
      </c>
      <c r="AL916" s="470">
        <f t="shared" si="1609"/>
        <v>183</v>
      </c>
      <c r="AM916" s="470">
        <f t="shared" si="1609"/>
        <v>178</v>
      </c>
      <c r="AN916" s="470">
        <f t="shared" si="1609"/>
        <v>197.94782608695652</v>
      </c>
      <c r="AO916" s="470">
        <f t="shared" si="1609"/>
        <v>168</v>
      </c>
      <c r="AP916" s="470">
        <f t="shared" si="1609"/>
        <v>173</v>
      </c>
      <c r="AQ916" s="471">
        <f t="shared" si="1609"/>
        <v>175</v>
      </c>
    </row>
    <row r="917" spans="27:43" ht="7.8" customHeight="1" x14ac:dyDescent="0.25">
      <c r="AA917" s="291"/>
      <c r="AB917" s="412"/>
      <c r="AC917" s="473" t="s">
        <v>43</v>
      </c>
      <c r="AD917" s="432" t="s">
        <v>32</v>
      </c>
      <c r="AE917" s="426">
        <f t="shared" ref="AE917:AQ919" si="1610">AE914-AE911</f>
        <v>129</v>
      </c>
      <c r="AF917" s="427">
        <f t="shared" si="1610"/>
        <v>320</v>
      </c>
      <c r="AG917" s="428">
        <f t="shared" si="1610"/>
        <v>121</v>
      </c>
      <c r="AH917" s="428">
        <f t="shared" si="1610"/>
        <v>-129</v>
      </c>
      <c r="AI917" s="428">
        <f t="shared" si="1610"/>
        <v>285</v>
      </c>
      <c r="AJ917" s="428">
        <f t="shared" si="1610"/>
        <v>-214</v>
      </c>
      <c r="AK917" s="428">
        <f t="shared" si="1610"/>
        <v>-601</v>
      </c>
      <c r="AL917" s="428">
        <f t="shared" si="1610"/>
        <v>-557</v>
      </c>
      <c r="AM917" s="428">
        <f t="shared" si="1610"/>
        <v>-862</v>
      </c>
      <c r="AN917" s="428">
        <f t="shared" si="1610"/>
        <v>460</v>
      </c>
      <c r="AO917" s="428">
        <f t="shared" si="1610"/>
        <v>435</v>
      </c>
      <c r="AP917" s="428">
        <f t="shared" si="1610"/>
        <v>496</v>
      </c>
      <c r="AQ917" s="430">
        <f t="shared" si="1610"/>
        <v>375</v>
      </c>
    </row>
    <row r="918" spans="27:43" ht="7.8" customHeight="1" x14ac:dyDescent="0.25">
      <c r="AA918" s="291"/>
      <c r="AB918" s="412"/>
      <c r="AC918" s="475"/>
      <c r="AD918" s="476" t="s">
        <v>33</v>
      </c>
      <c r="AE918" s="407">
        <f t="shared" si="1610"/>
        <v>67977.560000000056</v>
      </c>
      <c r="AF918" s="408">
        <f t="shared" si="1610"/>
        <v>22622.630000000005</v>
      </c>
      <c r="AG918" s="409">
        <f t="shared" si="1610"/>
        <v>16277.509999999995</v>
      </c>
      <c r="AH918" s="409">
        <f t="shared" si="1610"/>
        <v>-6810.5400000000081</v>
      </c>
      <c r="AI918" s="409">
        <f t="shared" si="1610"/>
        <v>38779.649999999994</v>
      </c>
      <c r="AJ918" s="409">
        <f t="shared" si="1610"/>
        <v>-18632.099999999977</v>
      </c>
      <c r="AK918" s="409">
        <f t="shared" si="1610"/>
        <v>-85471.460000000021</v>
      </c>
      <c r="AL918" s="409">
        <f t="shared" si="1610"/>
        <v>-89827.349999999977</v>
      </c>
      <c r="AM918" s="409">
        <f t="shared" si="1610"/>
        <v>-124529.78</v>
      </c>
      <c r="AN918" s="409">
        <f t="shared" si="1610"/>
        <v>91056</v>
      </c>
      <c r="AO918" s="409">
        <f t="shared" si="1610"/>
        <v>73080</v>
      </c>
      <c r="AP918" s="409">
        <f t="shared" si="1610"/>
        <v>85808</v>
      </c>
      <c r="AQ918" s="411">
        <f t="shared" si="1610"/>
        <v>65625</v>
      </c>
    </row>
    <row r="919" spans="27:43" ht="7.8" customHeight="1" x14ac:dyDescent="0.25">
      <c r="AA919" s="291"/>
      <c r="AB919" s="412"/>
      <c r="AC919" s="477"/>
      <c r="AD919" s="423" t="s">
        <v>30</v>
      </c>
      <c r="AE919" s="417">
        <f t="shared" si="1610"/>
        <v>7.0003322619212724</v>
      </c>
      <c r="AF919" s="418">
        <f t="shared" si="1610"/>
        <v>-28.049098845175166</v>
      </c>
      <c r="AG919" s="419">
        <f t="shared" si="1610"/>
        <v>-6.4764849624060332</v>
      </c>
      <c r="AH919" s="419">
        <f t="shared" si="1610"/>
        <v>19.554552631578929</v>
      </c>
      <c r="AI919" s="419">
        <f t="shared" si="1610"/>
        <v>-11.406659619450323</v>
      </c>
      <c r="AJ919" s="419">
        <f t="shared" si="1610"/>
        <v>17.876821192053001</v>
      </c>
      <c r="AK919" s="419">
        <f t="shared" si="1610"/>
        <v>20.331362637362616</v>
      </c>
      <c r="AL919" s="419">
        <f t="shared" si="1610"/>
        <v>10.874797843665789</v>
      </c>
      <c r="AM919" s="419">
        <f t="shared" si="1610"/>
        <v>21.79956259426848</v>
      </c>
      <c r="AN919" s="419">
        <f t="shared" si="1610"/>
        <v>197.94782608695652</v>
      </c>
      <c r="AO919" s="419">
        <f t="shared" si="1610"/>
        <v>168</v>
      </c>
      <c r="AP919" s="419">
        <f t="shared" si="1610"/>
        <v>173</v>
      </c>
      <c r="AQ919" s="421">
        <f t="shared" si="1610"/>
        <v>175</v>
      </c>
    </row>
    <row r="920" spans="27:43" ht="7.8" customHeight="1" x14ac:dyDescent="0.25">
      <c r="AA920" s="291"/>
      <c r="AB920" s="412"/>
      <c r="AC920" s="473" t="s">
        <v>44</v>
      </c>
      <c r="AD920" s="432" t="s">
        <v>32</v>
      </c>
      <c r="AE920" s="478">
        <f t="shared" ref="AE920:AQ922" si="1611">IFERROR((AE914-AE911)/ABS(AE911),"")</f>
        <v>1.9325842696629212E-2</v>
      </c>
      <c r="AF920" s="479">
        <f t="shared" si="1611"/>
        <v>0.48854961832061067</v>
      </c>
      <c r="AG920" s="480">
        <f t="shared" si="1611"/>
        <v>0.22744360902255639</v>
      </c>
      <c r="AH920" s="480">
        <f t="shared" si="1611"/>
        <v>-0.16973684210526316</v>
      </c>
      <c r="AI920" s="480">
        <f t="shared" si="1611"/>
        <v>0.60253699788583515</v>
      </c>
      <c r="AJ920" s="480">
        <f t="shared" si="1611"/>
        <v>-0.23620309050772628</v>
      </c>
      <c r="AK920" s="480">
        <f t="shared" si="1611"/>
        <v>-0.66043956043956042</v>
      </c>
      <c r="AL920" s="480">
        <f t="shared" si="1611"/>
        <v>-0.50044923629829285</v>
      </c>
      <c r="AM920" s="480">
        <f t="shared" si="1611"/>
        <v>-0.65007541478129716</v>
      </c>
      <c r="AN920" s="480" t="str">
        <f t="shared" si="1611"/>
        <v/>
      </c>
      <c r="AO920" s="480" t="str">
        <f t="shared" si="1611"/>
        <v/>
      </c>
      <c r="AP920" s="480" t="str">
        <f t="shared" si="1611"/>
        <v/>
      </c>
      <c r="AQ920" s="482" t="str">
        <f t="shared" si="1611"/>
        <v/>
      </c>
    </row>
    <row r="921" spans="27:43" ht="7.8" customHeight="1" x14ac:dyDescent="0.25">
      <c r="AA921" s="291"/>
      <c r="AB921" s="412"/>
      <c r="AC921" s="475"/>
      <c r="AD921" s="489" t="s">
        <v>33</v>
      </c>
      <c r="AE921" s="484">
        <f t="shared" si="1611"/>
        <v>6.4565012424699531E-2</v>
      </c>
      <c r="AF921" s="485">
        <f t="shared" si="1611"/>
        <v>0.22117603281941145</v>
      </c>
      <c r="AG921" s="486">
        <f t="shared" si="1611"/>
        <v>0.18053727816609944</v>
      </c>
      <c r="AH921" s="486">
        <f t="shared" si="1611"/>
        <v>-6.0367205602908952E-2</v>
      </c>
      <c r="AI921" s="486">
        <f t="shared" si="1611"/>
        <v>0.49268806453026814</v>
      </c>
      <c r="AJ921" s="486">
        <f t="shared" si="1611"/>
        <v>-0.14195334124159731</v>
      </c>
      <c r="AK921" s="486">
        <f t="shared" si="1611"/>
        <v>-0.61521922865912437</v>
      </c>
      <c r="AL921" s="486">
        <f t="shared" si="1611"/>
        <v>-0.46888782925360695</v>
      </c>
      <c r="AM921" s="486">
        <f t="shared" si="1611"/>
        <v>-0.60123942542401865</v>
      </c>
      <c r="AN921" s="486" t="str">
        <f t="shared" si="1611"/>
        <v/>
      </c>
      <c r="AO921" s="486" t="str">
        <f t="shared" si="1611"/>
        <v/>
      </c>
      <c r="AP921" s="486" t="str">
        <f t="shared" si="1611"/>
        <v/>
      </c>
      <c r="AQ921" s="488" t="str">
        <f t="shared" si="1611"/>
        <v/>
      </c>
    </row>
    <row r="922" spans="27:43" ht="7.8" customHeight="1" x14ac:dyDescent="0.25">
      <c r="AA922" s="291"/>
      <c r="AB922" s="510"/>
      <c r="AC922" s="511"/>
      <c r="AD922" s="512" t="s">
        <v>30</v>
      </c>
      <c r="AE922" s="505">
        <f t="shared" si="1611"/>
        <v>4.4381460601832567E-2</v>
      </c>
      <c r="AF922" s="506">
        <f t="shared" si="1611"/>
        <v>-0.17962020359311329</v>
      </c>
      <c r="AG922" s="507">
        <f t="shared" si="1611"/>
        <v>-3.8214652397603556E-2</v>
      </c>
      <c r="AH922" s="507">
        <f t="shared" si="1611"/>
        <v>0.13172888073183703</v>
      </c>
      <c r="AI922" s="507">
        <f t="shared" si="1611"/>
        <v>-6.8546893769370898E-2</v>
      </c>
      <c r="AJ922" s="507">
        <f t="shared" si="1611"/>
        <v>0.12339634802761966</v>
      </c>
      <c r="AK922" s="507">
        <f t="shared" si="1611"/>
        <v>0.13317314537280539</v>
      </c>
      <c r="AL922" s="507">
        <f t="shared" si="1611"/>
        <v>6.3179579209955899E-2</v>
      </c>
      <c r="AM922" s="507">
        <f t="shared" si="1611"/>
        <v>0.13956146958567084</v>
      </c>
      <c r="AN922" s="507" t="str">
        <f t="shared" si="1611"/>
        <v/>
      </c>
      <c r="AO922" s="507" t="str">
        <f t="shared" si="1611"/>
        <v/>
      </c>
      <c r="AP922" s="507" t="str">
        <f t="shared" si="1611"/>
        <v/>
      </c>
      <c r="AQ922" s="509" t="str">
        <f t="shared" si="1611"/>
        <v/>
      </c>
    </row>
    <row r="923" spans="27:43" ht="7.8" customHeight="1" x14ac:dyDescent="0.25">
      <c r="AA923" s="291" t="s">
        <v>74</v>
      </c>
      <c r="AB923" s="292" t="s">
        <v>9</v>
      </c>
      <c r="AC923" s="293" t="s">
        <v>39</v>
      </c>
      <c r="AD923" s="294" t="s">
        <v>32</v>
      </c>
      <c r="AE923" s="286">
        <f t="shared" ref="AE923:AE924" si="1612">SUM(AF923:AQ923)</f>
        <v>0</v>
      </c>
      <c r="AF923" s="287">
        <f t="shared" ref="AF923:AQ924" si="1613">SUM(AF941,AF959)</f>
        <v>0</v>
      </c>
      <c r="AG923" s="288">
        <f t="shared" si="1613"/>
        <v>0</v>
      </c>
      <c r="AH923" s="288">
        <f t="shared" si="1613"/>
        <v>0</v>
      </c>
      <c r="AI923" s="288">
        <f t="shared" si="1613"/>
        <v>0</v>
      </c>
      <c r="AJ923" s="288">
        <f t="shared" si="1613"/>
        <v>0</v>
      </c>
      <c r="AK923" s="288">
        <f t="shared" si="1613"/>
        <v>0</v>
      </c>
      <c r="AL923" s="288">
        <f t="shared" si="1613"/>
        <v>0</v>
      </c>
      <c r="AM923" s="288">
        <f t="shared" si="1613"/>
        <v>0</v>
      </c>
      <c r="AN923" s="288">
        <f t="shared" si="1613"/>
        <v>0</v>
      </c>
      <c r="AO923" s="288">
        <f t="shared" si="1613"/>
        <v>0</v>
      </c>
      <c r="AP923" s="288">
        <f t="shared" si="1613"/>
        <v>0</v>
      </c>
      <c r="AQ923" s="290">
        <f t="shared" si="1613"/>
        <v>0</v>
      </c>
    </row>
    <row r="924" spans="27:43" ht="7.8" customHeight="1" x14ac:dyDescent="0.25">
      <c r="AA924" s="291"/>
      <c r="AB924" s="303"/>
      <c r="AC924" s="304"/>
      <c r="AD924" s="305" t="s">
        <v>33</v>
      </c>
      <c r="AE924" s="298">
        <f t="shared" si="1612"/>
        <v>0</v>
      </c>
      <c r="AF924" s="299">
        <f t="shared" si="1613"/>
        <v>0</v>
      </c>
      <c r="AG924" s="300">
        <f t="shared" si="1613"/>
        <v>0</v>
      </c>
      <c r="AH924" s="300">
        <f t="shared" si="1613"/>
        <v>0</v>
      </c>
      <c r="AI924" s="300">
        <f t="shared" si="1613"/>
        <v>0</v>
      </c>
      <c r="AJ924" s="300">
        <f t="shared" si="1613"/>
        <v>0</v>
      </c>
      <c r="AK924" s="300">
        <f t="shared" si="1613"/>
        <v>0</v>
      </c>
      <c r="AL924" s="300">
        <f t="shared" si="1613"/>
        <v>0</v>
      </c>
      <c r="AM924" s="300">
        <f t="shared" si="1613"/>
        <v>0</v>
      </c>
      <c r="AN924" s="300">
        <f t="shared" si="1613"/>
        <v>0</v>
      </c>
      <c r="AO924" s="300">
        <f t="shared" si="1613"/>
        <v>0</v>
      </c>
      <c r="AP924" s="300">
        <f t="shared" si="1613"/>
        <v>0</v>
      </c>
      <c r="AQ924" s="302">
        <f t="shared" si="1613"/>
        <v>0</v>
      </c>
    </row>
    <row r="925" spans="27:43" ht="7.8" customHeight="1" x14ac:dyDescent="0.25">
      <c r="AA925" s="291"/>
      <c r="AB925" s="303"/>
      <c r="AC925" s="313"/>
      <c r="AD925" s="314" t="s">
        <v>30</v>
      </c>
      <c r="AE925" s="308">
        <f t="shared" ref="AE925:AQ925" si="1614">IFERROR(AE924/AE923,0)</f>
        <v>0</v>
      </c>
      <c r="AF925" s="309">
        <f t="shared" si="1614"/>
        <v>0</v>
      </c>
      <c r="AG925" s="310">
        <f t="shared" si="1614"/>
        <v>0</v>
      </c>
      <c r="AH925" s="310">
        <f t="shared" si="1614"/>
        <v>0</v>
      </c>
      <c r="AI925" s="310">
        <f t="shared" si="1614"/>
        <v>0</v>
      </c>
      <c r="AJ925" s="310">
        <f t="shared" si="1614"/>
        <v>0</v>
      </c>
      <c r="AK925" s="310">
        <f t="shared" si="1614"/>
        <v>0</v>
      </c>
      <c r="AL925" s="310">
        <f t="shared" si="1614"/>
        <v>0</v>
      </c>
      <c r="AM925" s="310">
        <f t="shared" si="1614"/>
        <v>0</v>
      </c>
      <c r="AN925" s="310">
        <f t="shared" si="1614"/>
        <v>0</v>
      </c>
      <c r="AO925" s="310">
        <f t="shared" si="1614"/>
        <v>0</v>
      </c>
      <c r="AP925" s="310">
        <f t="shared" si="1614"/>
        <v>0</v>
      </c>
      <c r="AQ925" s="312">
        <f t="shared" si="1614"/>
        <v>0</v>
      </c>
    </row>
    <row r="926" spans="27:43" ht="7.8" customHeight="1" x14ac:dyDescent="0.25">
      <c r="AA926" s="291"/>
      <c r="AB926" s="303"/>
      <c r="AC926" s="322" t="s">
        <v>40</v>
      </c>
      <c r="AD926" s="323" t="s">
        <v>32</v>
      </c>
      <c r="AE926" s="317">
        <f t="shared" ref="AE926:AE927" si="1615">SUM(AF926:AQ926)</f>
        <v>23987</v>
      </c>
      <c r="AF926" s="318">
        <f t="shared" ref="AF926:AQ927" si="1616">SUM(AF944,AF962)</f>
        <v>1873</v>
      </c>
      <c r="AG926" s="319">
        <f t="shared" si="1616"/>
        <v>1925</v>
      </c>
      <c r="AH926" s="319">
        <f t="shared" si="1616"/>
        <v>2032</v>
      </c>
      <c r="AI926" s="319">
        <f t="shared" si="1616"/>
        <v>2345</v>
      </c>
      <c r="AJ926" s="319">
        <f t="shared" si="1616"/>
        <v>2516</v>
      </c>
      <c r="AK926" s="319">
        <f t="shared" si="1616"/>
        <v>2149</v>
      </c>
      <c r="AL926" s="319">
        <f t="shared" si="1616"/>
        <v>2575</v>
      </c>
      <c r="AM926" s="319">
        <f t="shared" si="1616"/>
        <v>2269</v>
      </c>
      <c r="AN926" s="319">
        <f t="shared" si="1616"/>
        <v>1668</v>
      </c>
      <c r="AO926" s="319">
        <f t="shared" si="1616"/>
        <v>1459</v>
      </c>
      <c r="AP926" s="319">
        <f t="shared" si="1616"/>
        <v>1696</v>
      </c>
      <c r="AQ926" s="321">
        <f t="shared" si="1616"/>
        <v>1480</v>
      </c>
    </row>
    <row r="927" spans="27:43" ht="7.8" customHeight="1" x14ac:dyDescent="0.25">
      <c r="AA927" s="291"/>
      <c r="AB927" s="303"/>
      <c r="AC927" s="304"/>
      <c r="AD927" s="305" t="s">
        <v>33</v>
      </c>
      <c r="AE927" s="298">
        <f t="shared" si="1615"/>
        <v>3962648.3799999994</v>
      </c>
      <c r="AF927" s="299">
        <f t="shared" si="1616"/>
        <v>348198.39</v>
      </c>
      <c r="AG927" s="300">
        <f t="shared" si="1616"/>
        <v>312313.63000000006</v>
      </c>
      <c r="AH927" s="300">
        <f t="shared" si="1616"/>
        <v>312297.71000000008</v>
      </c>
      <c r="AI927" s="300">
        <f t="shared" si="1616"/>
        <v>356528.79000000004</v>
      </c>
      <c r="AJ927" s="300">
        <f t="shared" si="1616"/>
        <v>392551.2300000001</v>
      </c>
      <c r="AK927" s="300">
        <f t="shared" si="1616"/>
        <v>378449.54999999993</v>
      </c>
      <c r="AL927" s="300">
        <f t="shared" si="1616"/>
        <v>470966.62</v>
      </c>
      <c r="AM927" s="300">
        <f t="shared" si="1616"/>
        <v>403435.24999999994</v>
      </c>
      <c r="AN927" s="300">
        <f t="shared" si="1616"/>
        <v>277582.83999999997</v>
      </c>
      <c r="AO927" s="300">
        <f t="shared" si="1616"/>
        <v>224879.81999999992</v>
      </c>
      <c r="AP927" s="300">
        <f t="shared" si="1616"/>
        <v>227613.29999999993</v>
      </c>
      <c r="AQ927" s="302">
        <f t="shared" si="1616"/>
        <v>257831.25</v>
      </c>
    </row>
    <row r="928" spans="27:43" ht="7.8" customHeight="1" x14ac:dyDescent="0.25">
      <c r="AA928" s="291"/>
      <c r="AB928" s="303"/>
      <c r="AC928" s="313"/>
      <c r="AD928" s="314" t="s">
        <v>30</v>
      </c>
      <c r="AE928" s="308">
        <f t="shared" ref="AE928:AQ928" si="1617">IFERROR(AE927/AE926,0)</f>
        <v>165.19983240922164</v>
      </c>
      <c r="AF928" s="309">
        <f t="shared" si="1617"/>
        <v>185.9041057127603</v>
      </c>
      <c r="AG928" s="310">
        <f t="shared" si="1617"/>
        <v>162.24084675324679</v>
      </c>
      <c r="AH928" s="310">
        <f t="shared" si="1617"/>
        <v>153.68981791338587</v>
      </c>
      <c r="AI928" s="310">
        <f t="shared" si="1617"/>
        <v>152.03786353944565</v>
      </c>
      <c r="AJ928" s="310">
        <f t="shared" si="1617"/>
        <v>156.02195151033391</v>
      </c>
      <c r="AK928" s="310">
        <f t="shared" si="1617"/>
        <v>176.10495579339224</v>
      </c>
      <c r="AL928" s="310">
        <f t="shared" si="1617"/>
        <v>182.89965825242717</v>
      </c>
      <c r="AM928" s="310">
        <f t="shared" si="1617"/>
        <v>177.80310709563682</v>
      </c>
      <c r="AN928" s="310">
        <f t="shared" si="1617"/>
        <v>166.41657074340526</v>
      </c>
      <c r="AO928" s="310">
        <f t="shared" si="1617"/>
        <v>154.13284441398213</v>
      </c>
      <c r="AP928" s="310">
        <f t="shared" si="1617"/>
        <v>134.20595518867921</v>
      </c>
      <c r="AQ928" s="312">
        <f t="shared" si="1617"/>
        <v>174.21030405405406</v>
      </c>
    </row>
    <row r="929" spans="27:43" ht="7.8" customHeight="1" x14ac:dyDescent="0.25">
      <c r="AA929" s="291"/>
      <c r="AB929" s="303"/>
      <c r="AC929" s="322" t="s">
        <v>41</v>
      </c>
      <c r="AD929" s="323" t="s">
        <v>32</v>
      </c>
      <c r="AE929" s="317">
        <f t="shared" ref="AE929:AE930" si="1618">SUM(AF929:AQ929)</f>
        <v>14187</v>
      </c>
      <c r="AF929" s="318">
        <f t="shared" ref="AF929:AQ930" si="1619">SUM(AF947,AF965)</f>
        <v>2484</v>
      </c>
      <c r="AG929" s="319">
        <f t="shared" si="1619"/>
        <v>2008</v>
      </c>
      <c r="AH929" s="319">
        <f t="shared" si="1619"/>
        <v>2161</v>
      </c>
      <c r="AI929" s="319">
        <f t="shared" si="1619"/>
        <v>2385</v>
      </c>
      <c r="AJ929" s="319">
        <f t="shared" si="1619"/>
        <v>1833</v>
      </c>
      <c r="AK929" s="319">
        <f t="shared" si="1619"/>
        <v>1197</v>
      </c>
      <c r="AL929" s="319">
        <f t="shared" si="1619"/>
        <v>1099</v>
      </c>
      <c r="AM929" s="319">
        <f t="shared" si="1619"/>
        <v>1020</v>
      </c>
      <c r="AN929" s="319">
        <f t="shared" si="1619"/>
        <v>0</v>
      </c>
      <c r="AO929" s="319">
        <f t="shared" si="1619"/>
        <v>0</v>
      </c>
      <c r="AP929" s="319">
        <f t="shared" si="1619"/>
        <v>0</v>
      </c>
      <c r="AQ929" s="321">
        <f t="shared" si="1619"/>
        <v>0</v>
      </c>
    </row>
    <row r="930" spans="27:43" ht="7.8" customHeight="1" x14ac:dyDescent="0.25">
      <c r="AA930" s="291"/>
      <c r="AB930" s="303"/>
      <c r="AC930" s="304"/>
      <c r="AD930" s="305" t="s">
        <v>33</v>
      </c>
      <c r="AE930" s="298">
        <f t="shared" si="1618"/>
        <v>2194191.3099999996</v>
      </c>
      <c r="AF930" s="299">
        <f t="shared" si="1619"/>
        <v>338294.77999999991</v>
      </c>
      <c r="AG930" s="300">
        <f t="shared" si="1619"/>
        <v>290755.09999999998</v>
      </c>
      <c r="AH930" s="300">
        <f t="shared" si="1619"/>
        <v>319456.34999999998</v>
      </c>
      <c r="AI930" s="300">
        <f t="shared" si="1619"/>
        <v>357400.8</v>
      </c>
      <c r="AJ930" s="300">
        <f t="shared" si="1619"/>
        <v>282750.70999999996</v>
      </c>
      <c r="AK930" s="300">
        <f t="shared" si="1619"/>
        <v>205775.86</v>
      </c>
      <c r="AL930" s="300">
        <f t="shared" si="1619"/>
        <v>207301.15999999992</v>
      </c>
      <c r="AM930" s="300">
        <f t="shared" si="1619"/>
        <v>192456.55000000019</v>
      </c>
      <c r="AN930" s="300">
        <f t="shared" si="1619"/>
        <v>0</v>
      </c>
      <c r="AO930" s="300">
        <f t="shared" si="1619"/>
        <v>0</v>
      </c>
      <c r="AP930" s="300">
        <f t="shared" si="1619"/>
        <v>0</v>
      </c>
      <c r="AQ930" s="302">
        <f t="shared" si="1619"/>
        <v>0</v>
      </c>
    </row>
    <row r="931" spans="27:43" ht="7.8" customHeight="1" x14ac:dyDescent="0.25">
      <c r="AA931" s="291"/>
      <c r="AB931" s="303"/>
      <c r="AC931" s="313"/>
      <c r="AD931" s="314" t="s">
        <v>30</v>
      </c>
      <c r="AE931" s="308">
        <f t="shared" ref="AE931:AQ931" si="1620">IFERROR(AE930/AE929,0)</f>
        <v>154.66210685839147</v>
      </c>
      <c r="AF931" s="309">
        <f t="shared" si="1620"/>
        <v>136.18952495974233</v>
      </c>
      <c r="AG931" s="310">
        <f t="shared" si="1620"/>
        <v>144.79835657370518</v>
      </c>
      <c r="AH931" s="310">
        <f t="shared" si="1620"/>
        <v>147.82801943544655</v>
      </c>
      <c r="AI931" s="310">
        <f t="shared" si="1620"/>
        <v>149.85358490566037</v>
      </c>
      <c r="AJ931" s="310">
        <f t="shared" si="1620"/>
        <v>154.25570649208944</v>
      </c>
      <c r="AK931" s="310">
        <f t="shared" si="1620"/>
        <v>171.90965747702589</v>
      </c>
      <c r="AL931" s="310">
        <f t="shared" si="1620"/>
        <v>188.62707916287528</v>
      </c>
      <c r="AM931" s="310">
        <f t="shared" si="1620"/>
        <v>188.68289215686292</v>
      </c>
      <c r="AN931" s="310">
        <f t="shared" si="1620"/>
        <v>0</v>
      </c>
      <c r="AO931" s="310">
        <f t="shared" si="1620"/>
        <v>0</v>
      </c>
      <c r="AP931" s="310">
        <f t="shared" si="1620"/>
        <v>0</v>
      </c>
      <c r="AQ931" s="312">
        <f t="shared" si="1620"/>
        <v>0</v>
      </c>
    </row>
    <row r="932" spans="27:43" ht="7.8" customHeight="1" x14ac:dyDescent="0.25">
      <c r="AA932" s="291"/>
      <c r="AB932" s="303"/>
      <c r="AC932" s="527" t="s">
        <v>42</v>
      </c>
      <c r="AD932" s="528" t="s">
        <v>32</v>
      </c>
      <c r="AE932" s="333">
        <f t="shared" ref="AE932:AE933" si="1621">SUM(AF932:AQ932)</f>
        <v>22867</v>
      </c>
      <c r="AF932" s="334">
        <f t="shared" ref="AF932:AQ933" si="1622">SUM(AF950,AF968)</f>
        <v>2206</v>
      </c>
      <c r="AG932" s="335">
        <f t="shared" si="1622"/>
        <v>1800</v>
      </c>
      <c r="AH932" s="335">
        <f t="shared" si="1622"/>
        <v>2200</v>
      </c>
      <c r="AI932" s="335">
        <f t="shared" si="1622"/>
        <v>2128</v>
      </c>
      <c r="AJ932" s="335">
        <f t="shared" si="1622"/>
        <v>2182</v>
      </c>
      <c r="AK932" s="335">
        <f t="shared" si="1622"/>
        <v>2000</v>
      </c>
      <c r="AL932" s="335">
        <f t="shared" si="1622"/>
        <v>1600</v>
      </c>
      <c r="AM932" s="335">
        <f t="shared" si="1622"/>
        <v>1582</v>
      </c>
      <c r="AN932" s="335">
        <f t="shared" si="1622"/>
        <v>1736</v>
      </c>
      <c r="AO932" s="335">
        <f t="shared" si="1622"/>
        <v>1800</v>
      </c>
      <c r="AP932" s="335">
        <f t="shared" si="1622"/>
        <v>1750</v>
      </c>
      <c r="AQ932" s="336">
        <f t="shared" si="1622"/>
        <v>1883</v>
      </c>
    </row>
    <row r="933" spans="27:43" ht="7.8" customHeight="1" x14ac:dyDescent="0.25">
      <c r="AA933" s="291"/>
      <c r="AB933" s="303"/>
      <c r="AC933" s="522"/>
      <c r="AD933" s="523" t="s">
        <v>33</v>
      </c>
      <c r="AE933" s="346">
        <f t="shared" si="1621"/>
        <v>3704050</v>
      </c>
      <c r="AF933" s="347">
        <f t="shared" si="1622"/>
        <v>280500</v>
      </c>
      <c r="AG933" s="348">
        <f t="shared" si="1622"/>
        <v>279000</v>
      </c>
      <c r="AH933" s="348">
        <f t="shared" si="1622"/>
        <v>352000</v>
      </c>
      <c r="AI933" s="348">
        <f t="shared" si="1622"/>
        <v>310688</v>
      </c>
      <c r="AJ933" s="348">
        <f t="shared" si="1622"/>
        <v>346500</v>
      </c>
      <c r="AK933" s="348">
        <f t="shared" si="1622"/>
        <v>330000</v>
      </c>
      <c r="AL933" s="348">
        <f t="shared" si="1622"/>
        <v>288000</v>
      </c>
      <c r="AM933" s="348">
        <f t="shared" si="1622"/>
        <v>262612</v>
      </c>
      <c r="AN933" s="348">
        <f t="shared" si="1622"/>
        <v>304000</v>
      </c>
      <c r="AO933" s="348">
        <f t="shared" si="1622"/>
        <v>288000</v>
      </c>
      <c r="AP933" s="348">
        <f t="shared" si="1622"/>
        <v>288750</v>
      </c>
      <c r="AQ933" s="349">
        <f t="shared" si="1622"/>
        <v>374000</v>
      </c>
    </row>
    <row r="934" spans="27:43" ht="7.8" customHeight="1" x14ac:dyDescent="0.25">
      <c r="AA934" s="291"/>
      <c r="AB934" s="303"/>
      <c r="AC934" s="524"/>
      <c r="AD934" s="525" t="s">
        <v>30</v>
      </c>
      <c r="AE934" s="359">
        <f t="shared" ref="AE934:AQ934" si="1623">IFERROR(AE933/AE932,0)</f>
        <v>161.98233261905804</v>
      </c>
      <c r="AF934" s="360">
        <f t="shared" si="1623"/>
        <v>127.1532184950136</v>
      </c>
      <c r="AG934" s="361">
        <f t="shared" si="1623"/>
        <v>155</v>
      </c>
      <c r="AH934" s="361">
        <f t="shared" si="1623"/>
        <v>160</v>
      </c>
      <c r="AI934" s="361">
        <f t="shared" si="1623"/>
        <v>146</v>
      </c>
      <c r="AJ934" s="361">
        <f t="shared" si="1623"/>
        <v>158.79926672777268</v>
      </c>
      <c r="AK934" s="361">
        <f t="shared" si="1623"/>
        <v>165</v>
      </c>
      <c r="AL934" s="361">
        <f t="shared" si="1623"/>
        <v>180</v>
      </c>
      <c r="AM934" s="361">
        <f t="shared" si="1623"/>
        <v>166</v>
      </c>
      <c r="AN934" s="361">
        <f t="shared" si="1623"/>
        <v>175.11520737327189</v>
      </c>
      <c r="AO934" s="361">
        <f t="shared" si="1623"/>
        <v>160</v>
      </c>
      <c r="AP934" s="361">
        <f t="shared" si="1623"/>
        <v>165</v>
      </c>
      <c r="AQ934" s="362">
        <f t="shared" si="1623"/>
        <v>198.61922464152948</v>
      </c>
    </row>
    <row r="935" spans="27:43" ht="7.8" customHeight="1" x14ac:dyDescent="0.25">
      <c r="AA935" s="291"/>
      <c r="AB935" s="303"/>
      <c r="AC935" s="364" t="s">
        <v>43</v>
      </c>
      <c r="AD935" s="323" t="s">
        <v>32</v>
      </c>
      <c r="AE935" s="317">
        <f t="shared" ref="AE935:AQ937" si="1624">AE932-AE929</f>
        <v>8680</v>
      </c>
      <c r="AF935" s="318">
        <f t="shared" si="1624"/>
        <v>-278</v>
      </c>
      <c r="AG935" s="319">
        <f t="shared" si="1624"/>
        <v>-208</v>
      </c>
      <c r="AH935" s="319">
        <f t="shared" si="1624"/>
        <v>39</v>
      </c>
      <c r="AI935" s="319">
        <f t="shared" si="1624"/>
        <v>-257</v>
      </c>
      <c r="AJ935" s="319">
        <f t="shared" si="1624"/>
        <v>349</v>
      </c>
      <c r="AK935" s="319">
        <f t="shared" si="1624"/>
        <v>803</v>
      </c>
      <c r="AL935" s="319">
        <f t="shared" si="1624"/>
        <v>501</v>
      </c>
      <c r="AM935" s="319">
        <f t="shared" si="1624"/>
        <v>562</v>
      </c>
      <c r="AN935" s="319">
        <f t="shared" si="1624"/>
        <v>1736</v>
      </c>
      <c r="AO935" s="319">
        <f t="shared" si="1624"/>
        <v>1800</v>
      </c>
      <c r="AP935" s="319">
        <f t="shared" si="1624"/>
        <v>1750</v>
      </c>
      <c r="AQ935" s="321">
        <f t="shared" si="1624"/>
        <v>1883</v>
      </c>
    </row>
    <row r="936" spans="27:43" ht="7.8" customHeight="1" x14ac:dyDescent="0.25">
      <c r="AA936" s="291"/>
      <c r="AB936" s="303"/>
      <c r="AC936" s="367"/>
      <c r="AD936" s="368" t="s">
        <v>33</v>
      </c>
      <c r="AE936" s="298">
        <f t="shared" si="1624"/>
        <v>1509858.6900000004</v>
      </c>
      <c r="AF936" s="299">
        <f t="shared" si="1624"/>
        <v>-57794.779999999912</v>
      </c>
      <c r="AG936" s="300">
        <f t="shared" si="1624"/>
        <v>-11755.099999999977</v>
      </c>
      <c r="AH936" s="300">
        <f t="shared" si="1624"/>
        <v>32543.650000000023</v>
      </c>
      <c r="AI936" s="300">
        <f t="shared" si="1624"/>
        <v>-46712.799999999988</v>
      </c>
      <c r="AJ936" s="300">
        <f t="shared" si="1624"/>
        <v>63749.290000000037</v>
      </c>
      <c r="AK936" s="300">
        <f t="shared" si="1624"/>
        <v>124224.14000000001</v>
      </c>
      <c r="AL936" s="300">
        <f t="shared" si="1624"/>
        <v>80698.840000000084</v>
      </c>
      <c r="AM936" s="300">
        <f t="shared" si="1624"/>
        <v>70155.449999999808</v>
      </c>
      <c r="AN936" s="300">
        <f t="shared" si="1624"/>
        <v>304000</v>
      </c>
      <c r="AO936" s="300">
        <f t="shared" si="1624"/>
        <v>288000</v>
      </c>
      <c r="AP936" s="300">
        <f t="shared" si="1624"/>
        <v>288750</v>
      </c>
      <c r="AQ936" s="302">
        <f t="shared" si="1624"/>
        <v>374000</v>
      </c>
    </row>
    <row r="937" spans="27:43" ht="7.8" customHeight="1" x14ac:dyDescent="0.25">
      <c r="AA937" s="291"/>
      <c r="AB937" s="303"/>
      <c r="AC937" s="369"/>
      <c r="AD937" s="314" t="s">
        <v>30</v>
      </c>
      <c r="AE937" s="308">
        <f t="shared" si="1624"/>
        <v>7.3202257606665739</v>
      </c>
      <c r="AF937" s="309">
        <f t="shared" si="1624"/>
        <v>-9.0363064647287246</v>
      </c>
      <c r="AG937" s="310">
        <f t="shared" si="1624"/>
        <v>10.201643426294822</v>
      </c>
      <c r="AH937" s="310">
        <f t="shared" si="1624"/>
        <v>12.171980564553451</v>
      </c>
      <c r="AI937" s="310">
        <f t="shared" si="1624"/>
        <v>-3.8535849056603695</v>
      </c>
      <c r="AJ937" s="310">
        <f t="shared" si="1624"/>
        <v>4.5435602356832305</v>
      </c>
      <c r="AK937" s="310">
        <f t="shared" si="1624"/>
        <v>-6.9096574770258883</v>
      </c>
      <c r="AL937" s="310">
        <f t="shared" si="1624"/>
        <v>-8.6270791628752761</v>
      </c>
      <c r="AM937" s="310">
        <f t="shared" si="1624"/>
        <v>-22.68289215686292</v>
      </c>
      <c r="AN937" s="310">
        <f t="shared" si="1624"/>
        <v>175.11520737327189</v>
      </c>
      <c r="AO937" s="310">
        <f t="shared" si="1624"/>
        <v>160</v>
      </c>
      <c r="AP937" s="310">
        <f t="shared" si="1624"/>
        <v>165</v>
      </c>
      <c r="AQ937" s="312">
        <f t="shared" si="1624"/>
        <v>198.61922464152948</v>
      </c>
    </row>
    <row r="938" spans="27:43" ht="7.8" customHeight="1" x14ac:dyDescent="0.25">
      <c r="AA938" s="291"/>
      <c r="AB938" s="303"/>
      <c r="AC938" s="364" t="s">
        <v>44</v>
      </c>
      <c r="AD938" s="323" t="s">
        <v>32</v>
      </c>
      <c r="AE938" s="370">
        <f t="shared" ref="AE938:AQ940" si="1625">IFERROR((AE932-AE929)/ABS(AE929),"")</f>
        <v>0.61182772961161624</v>
      </c>
      <c r="AF938" s="371">
        <f t="shared" si="1625"/>
        <v>-0.11191626409017713</v>
      </c>
      <c r="AG938" s="372">
        <f t="shared" si="1625"/>
        <v>-0.10358565737051793</v>
      </c>
      <c r="AH938" s="372">
        <f t="shared" si="1625"/>
        <v>1.8047200370198982E-2</v>
      </c>
      <c r="AI938" s="372">
        <f t="shared" si="1625"/>
        <v>-0.10775681341719077</v>
      </c>
      <c r="AJ938" s="372">
        <f t="shared" si="1625"/>
        <v>0.19039825422804146</v>
      </c>
      <c r="AK938" s="372">
        <f t="shared" si="1625"/>
        <v>0.67084377610693402</v>
      </c>
      <c r="AL938" s="372">
        <f t="shared" si="1625"/>
        <v>0.45586897179253866</v>
      </c>
      <c r="AM938" s="372">
        <f t="shared" si="1625"/>
        <v>0.55098039215686279</v>
      </c>
      <c r="AN938" s="372" t="str">
        <f t="shared" si="1625"/>
        <v/>
      </c>
      <c r="AO938" s="372" t="str">
        <f t="shared" si="1625"/>
        <v/>
      </c>
      <c r="AP938" s="372" t="str">
        <f t="shared" si="1625"/>
        <v/>
      </c>
      <c r="AQ938" s="374" t="str">
        <f t="shared" si="1625"/>
        <v/>
      </c>
    </row>
    <row r="939" spans="27:43" ht="7.8" customHeight="1" x14ac:dyDescent="0.25">
      <c r="AA939" s="291"/>
      <c r="AB939" s="303"/>
      <c r="AC939" s="367"/>
      <c r="AD939" s="381" t="s">
        <v>33</v>
      </c>
      <c r="AE939" s="376">
        <f t="shared" si="1625"/>
        <v>0.68811624725648957</v>
      </c>
      <c r="AF939" s="377">
        <f t="shared" si="1625"/>
        <v>-0.17084147736479979</v>
      </c>
      <c r="AG939" s="378">
        <f t="shared" si="1625"/>
        <v>-4.0429557383516154E-2</v>
      </c>
      <c r="AH939" s="378">
        <f t="shared" si="1625"/>
        <v>0.1018719771887459</v>
      </c>
      <c r="AI939" s="378">
        <f t="shared" si="1625"/>
        <v>-0.13070144219039237</v>
      </c>
      <c r="AJ939" s="378">
        <f t="shared" si="1625"/>
        <v>0.22546111378464814</v>
      </c>
      <c r="AK939" s="378">
        <f t="shared" si="1625"/>
        <v>0.60368665206890659</v>
      </c>
      <c r="AL939" s="378">
        <f t="shared" si="1625"/>
        <v>0.38928310869075755</v>
      </c>
      <c r="AM939" s="378">
        <f t="shared" si="1625"/>
        <v>0.36452617486907946</v>
      </c>
      <c r="AN939" s="378" t="str">
        <f t="shared" si="1625"/>
        <v/>
      </c>
      <c r="AO939" s="378" t="str">
        <f t="shared" si="1625"/>
        <v/>
      </c>
      <c r="AP939" s="378" t="str">
        <f t="shared" si="1625"/>
        <v/>
      </c>
      <c r="AQ939" s="380" t="str">
        <f t="shared" si="1625"/>
        <v/>
      </c>
    </row>
    <row r="940" spans="27:43" ht="7.8" customHeight="1" x14ac:dyDescent="0.25">
      <c r="AA940" s="291"/>
      <c r="AB940" s="390"/>
      <c r="AC940" s="391"/>
      <c r="AD940" s="392" t="s">
        <v>30</v>
      </c>
      <c r="AE940" s="385">
        <f t="shared" si="1625"/>
        <v>4.7330441239682379E-2</v>
      </c>
      <c r="AF940" s="386">
        <f t="shared" si="1625"/>
        <v>-6.635096544613002E-2</v>
      </c>
      <c r="AG940" s="387">
        <f t="shared" si="1625"/>
        <v>7.0454138207721909E-2</v>
      </c>
      <c r="AH940" s="387">
        <f t="shared" si="1625"/>
        <v>8.233879213858171E-2</v>
      </c>
      <c r="AI940" s="387">
        <f t="shared" si="1625"/>
        <v>-2.5715667116581669E-2</v>
      </c>
      <c r="AJ940" s="387">
        <f t="shared" si="1625"/>
        <v>2.9454730324133802E-2</v>
      </c>
      <c r="AK940" s="387">
        <f t="shared" si="1625"/>
        <v>-4.0193538736759446E-2</v>
      </c>
      <c r="AL940" s="387">
        <f t="shared" si="1625"/>
        <v>-4.5736164718035981E-2</v>
      </c>
      <c r="AM940" s="387">
        <f t="shared" si="1625"/>
        <v>-0.12021700482524579</v>
      </c>
      <c r="AN940" s="387" t="str">
        <f t="shared" si="1625"/>
        <v/>
      </c>
      <c r="AO940" s="387" t="str">
        <f t="shared" si="1625"/>
        <v/>
      </c>
      <c r="AP940" s="387" t="str">
        <f t="shared" si="1625"/>
        <v/>
      </c>
      <c r="AQ940" s="389" t="str">
        <f t="shared" si="1625"/>
        <v/>
      </c>
    </row>
    <row r="941" spans="27:43" ht="7.8" customHeight="1" x14ac:dyDescent="0.25">
      <c r="AA941" s="291"/>
      <c r="AB941" s="401" t="s">
        <v>48</v>
      </c>
      <c r="AC941" s="402" t="s">
        <v>39</v>
      </c>
      <c r="AD941" s="403" t="s">
        <v>32</v>
      </c>
      <c r="AE941" s="396">
        <f t="shared" ref="AE941:AE942" si="1626">SUM(AF941:AQ941)</f>
        <v>0</v>
      </c>
      <c r="AF941" s="397">
        <f>$W$77</f>
        <v>0</v>
      </c>
      <c r="AG941" s="398">
        <f>$W$131</f>
        <v>0</v>
      </c>
      <c r="AH941" s="398">
        <f>$W$185</f>
        <v>0</v>
      </c>
      <c r="AI941" s="398">
        <f>$W$239</f>
        <v>0</v>
      </c>
      <c r="AJ941" s="398">
        <f>$W$293</f>
        <v>0</v>
      </c>
      <c r="AK941" s="398">
        <f>$W$347</f>
        <v>0</v>
      </c>
      <c r="AL941" s="398">
        <f>$W$401</f>
        <v>0</v>
      </c>
      <c r="AM941" s="398">
        <f>$W$455</f>
        <v>0</v>
      </c>
      <c r="AN941" s="398">
        <f>$W$509</f>
        <v>0</v>
      </c>
      <c r="AO941" s="398">
        <f>$W$563</f>
        <v>0</v>
      </c>
      <c r="AP941" s="398">
        <f>$W$617</f>
        <v>0</v>
      </c>
      <c r="AQ941" s="400">
        <f>$W$671</f>
        <v>0</v>
      </c>
    </row>
    <row r="942" spans="27:43" ht="7.8" customHeight="1" x14ac:dyDescent="0.25">
      <c r="AA942" s="291"/>
      <c r="AB942" s="412"/>
      <c r="AC942" s="413"/>
      <c r="AD942" s="414" t="s">
        <v>33</v>
      </c>
      <c r="AE942" s="407">
        <f t="shared" si="1626"/>
        <v>0</v>
      </c>
      <c r="AF942" s="408">
        <f>$W$78</f>
        <v>0</v>
      </c>
      <c r="AG942" s="409">
        <f>$W$132</f>
        <v>0</v>
      </c>
      <c r="AH942" s="409">
        <f>$W$186</f>
        <v>0</v>
      </c>
      <c r="AI942" s="409">
        <f>$W$240</f>
        <v>0</v>
      </c>
      <c r="AJ942" s="409">
        <f>$W$294</f>
        <v>0</v>
      </c>
      <c r="AK942" s="409">
        <f>$W$348</f>
        <v>0</v>
      </c>
      <c r="AL942" s="409">
        <f>$W$402</f>
        <v>0</v>
      </c>
      <c r="AM942" s="409">
        <f>$W$456</f>
        <v>0</v>
      </c>
      <c r="AN942" s="409">
        <f>$W$510</f>
        <v>0</v>
      </c>
      <c r="AO942" s="409">
        <f>$W$564</f>
        <v>0</v>
      </c>
      <c r="AP942" s="409">
        <f>$W$618</f>
        <v>0</v>
      </c>
      <c r="AQ942" s="411">
        <f>$W$672</f>
        <v>0</v>
      </c>
    </row>
    <row r="943" spans="27:43" ht="7.8" customHeight="1" x14ac:dyDescent="0.25">
      <c r="AA943" s="291"/>
      <c r="AB943" s="412"/>
      <c r="AC943" s="422"/>
      <c r="AD943" s="423" t="s">
        <v>30</v>
      </c>
      <c r="AE943" s="417">
        <f t="shared" ref="AE943:AQ943" si="1627">IFERROR(AE942/AE941,0)</f>
        <v>0</v>
      </c>
      <c r="AF943" s="418">
        <f t="shared" si="1627"/>
        <v>0</v>
      </c>
      <c r="AG943" s="419">
        <f t="shared" si="1627"/>
        <v>0</v>
      </c>
      <c r="AH943" s="419">
        <f t="shared" si="1627"/>
        <v>0</v>
      </c>
      <c r="AI943" s="419">
        <f t="shared" si="1627"/>
        <v>0</v>
      </c>
      <c r="AJ943" s="419">
        <f t="shared" si="1627"/>
        <v>0</v>
      </c>
      <c r="AK943" s="419">
        <f t="shared" si="1627"/>
        <v>0</v>
      </c>
      <c r="AL943" s="419">
        <f t="shared" si="1627"/>
        <v>0</v>
      </c>
      <c r="AM943" s="419">
        <f t="shared" si="1627"/>
        <v>0</v>
      </c>
      <c r="AN943" s="419">
        <f t="shared" si="1627"/>
        <v>0</v>
      </c>
      <c r="AO943" s="419">
        <f t="shared" si="1627"/>
        <v>0</v>
      </c>
      <c r="AP943" s="419">
        <f t="shared" si="1627"/>
        <v>0</v>
      </c>
      <c r="AQ943" s="421">
        <f t="shared" si="1627"/>
        <v>0</v>
      </c>
    </row>
    <row r="944" spans="27:43" ht="7.8" customHeight="1" x14ac:dyDescent="0.25">
      <c r="AA944" s="291"/>
      <c r="AB944" s="412"/>
      <c r="AC944" s="431" t="s">
        <v>40</v>
      </c>
      <c r="AD944" s="432" t="s">
        <v>32</v>
      </c>
      <c r="AE944" s="426">
        <f t="shared" ref="AE944:AE945" si="1628">SUM(AF944:AQ944)</f>
        <v>17022</v>
      </c>
      <c r="AF944" s="427">
        <f>$W$80</f>
        <v>1381</v>
      </c>
      <c r="AG944" s="428">
        <f>$W$134</f>
        <v>1403</v>
      </c>
      <c r="AH944" s="428">
        <f>$W$188</f>
        <v>1366</v>
      </c>
      <c r="AI944" s="428">
        <f>$W$242</f>
        <v>1680</v>
      </c>
      <c r="AJ944" s="428">
        <f>$W$296</f>
        <v>1813</v>
      </c>
      <c r="AK944" s="428">
        <f>$W$350</f>
        <v>1526</v>
      </c>
      <c r="AL944" s="428">
        <f>$W$404</f>
        <v>1863</v>
      </c>
      <c r="AM944" s="428">
        <f>$W$458</f>
        <v>1587</v>
      </c>
      <c r="AN944" s="428">
        <f>$W$512</f>
        <v>1208</v>
      </c>
      <c r="AO944" s="428">
        <f>$W$566</f>
        <v>1039</v>
      </c>
      <c r="AP944" s="428">
        <f>$W$620</f>
        <v>1085</v>
      </c>
      <c r="AQ944" s="430">
        <f>$W$674</f>
        <v>1071</v>
      </c>
    </row>
    <row r="945" spans="27:43" ht="7.8" customHeight="1" x14ac:dyDescent="0.25">
      <c r="AA945" s="291"/>
      <c r="AB945" s="412"/>
      <c r="AC945" s="413"/>
      <c r="AD945" s="414" t="s">
        <v>33</v>
      </c>
      <c r="AE945" s="407">
        <f t="shared" si="1628"/>
        <v>2699987.2399999998</v>
      </c>
      <c r="AF945" s="408">
        <f>$W$81</f>
        <v>253567.96000000002</v>
      </c>
      <c r="AG945" s="409">
        <f>$W$135</f>
        <v>218146.62000000008</v>
      </c>
      <c r="AH945" s="409">
        <f>$W$189</f>
        <v>199653.15000000008</v>
      </c>
      <c r="AI945" s="409">
        <f>$W$243</f>
        <v>243605.90000000002</v>
      </c>
      <c r="AJ945" s="409">
        <f>$W$297</f>
        <v>269689.90000000008</v>
      </c>
      <c r="AK945" s="409">
        <f>$W$351</f>
        <v>254102.7699999999</v>
      </c>
      <c r="AL945" s="409">
        <f>$W$405</f>
        <v>326594.20999999996</v>
      </c>
      <c r="AM945" s="409">
        <f>$W$459</f>
        <v>271601.31999999995</v>
      </c>
      <c r="AN945" s="409">
        <f>$W$513</f>
        <v>192300.91999999998</v>
      </c>
      <c r="AO945" s="409">
        <f>$W$567</f>
        <v>154795.62999999992</v>
      </c>
      <c r="AP945" s="409">
        <f>$W$621</f>
        <v>136066.48999999993</v>
      </c>
      <c r="AQ945" s="411">
        <f>$W$675</f>
        <v>179862.37</v>
      </c>
    </row>
    <row r="946" spans="27:43" ht="7.8" customHeight="1" x14ac:dyDescent="0.25">
      <c r="AA946" s="291"/>
      <c r="AB946" s="412"/>
      <c r="AC946" s="422"/>
      <c r="AD946" s="423" t="s">
        <v>30</v>
      </c>
      <c r="AE946" s="417">
        <f t="shared" ref="AE946:AQ946" si="1629">IFERROR(AE945/AE944,0)</f>
        <v>158.61750910586298</v>
      </c>
      <c r="AF946" s="418">
        <f t="shared" si="1629"/>
        <v>183.61184648805215</v>
      </c>
      <c r="AG946" s="419">
        <f t="shared" si="1629"/>
        <v>155.48583036350684</v>
      </c>
      <c r="AH946" s="419">
        <f t="shared" si="1629"/>
        <v>146.1589677891655</v>
      </c>
      <c r="AI946" s="419">
        <f t="shared" si="1629"/>
        <v>145.00351190476192</v>
      </c>
      <c r="AJ946" s="419">
        <f t="shared" si="1629"/>
        <v>148.75339216767793</v>
      </c>
      <c r="AK946" s="419">
        <f t="shared" si="1629"/>
        <v>166.51557667103532</v>
      </c>
      <c r="AL946" s="419">
        <f t="shared" si="1629"/>
        <v>175.30553408480944</v>
      </c>
      <c r="AM946" s="419">
        <f t="shared" si="1629"/>
        <v>171.14134845620666</v>
      </c>
      <c r="AN946" s="419">
        <f t="shared" si="1629"/>
        <v>159.18950331125828</v>
      </c>
      <c r="AO946" s="419">
        <f t="shared" si="1629"/>
        <v>148.98520692974006</v>
      </c>
      <c r="AP946" s="419">
        <f t="shared" si="1629"/>
        <v>125.40690322580639</v>
      </c>
      <c r="AQ946" s="421">
        <f t="shared" si="1629"/>
        <v>167.938720821662</v>
      </c>
    </row>
    <row r="947" spans="27:43" ht="7.8" customHeight="1" x14ac:dyDescent="0.25">
      <c r="AA947" s="291"/>
      <c r="AB947" s="412"/>
      <c r="AC947" s="431" t="s">
        <v>41</v>
      </c>
      <c r="AD947" s="432" t="s">
        <v>32</v>
      </c>
      <c r="AE947" s="426">
        <f t="shared" ref="AE947:AE948" si="1630">SUM(AF947:AQ947)</f>
        <v>10013</v>
      </c>
      <c r="AF947" s="427">
        <f>$W$83</f>
        <v>1724</v>
      </c>
      <c r="AG947" s="428">
        <f>$W$137</f>
        <v>1436</v>
      </c>
      <c r="AH947" s="428">
        <f>$W$191</f>
        <v>1520</v>
      </c>
      <c r="AI947" s="428">
        <f>$W$245</f>
        <v>1686</v>
      </c>
      <c r="AJ947" s="428">
        <f>$W$299</f>
        <v>1236</v>
      </c>
      <c r="AK947" s="428">
        <f>$W$353</f>
        <v>887</v>
      </c>
      <c r="AL947" s="428">
        <f>$W$407</f>
        <v>813</v>
      </c>
      <c r="AM947" s="428">
        <f>$W$461</f>
        <v>711</v>
      </c>
      <c r="AN947" s="428">
        <f>$W$515</f>
        <v>0</v>
      </c>
      <c r="AO947" s="428">
        <f>$W$569</f>
        <v>0</v>
      </c>
      <c r="AP947" s="428">
        <f>$W$623</f>
        <v>0</v>
      </c>
      <c r="AQ947" s="430">
        <f>$W$677</f>
        <v>0</v>
      </c>
    </row>
    <row r="948" spans="27:43" ht="7.8" customHeight="1" x14ac:dyDescent="0.25">
      <c r="AA948" s="291"/>
      <c r="AB948" s="412"/>
      <c r="AC948" s="413"/>
      <c r="AD948" s="414" t="s">
        <v>33</v>
      </c>
      <c r="AE948" s="407">
        <f t="shared" si="1630"/>
        <v>1503338.32</v>
      </c>
      <c r="AF948" s="408">
        <f>$W$84</f>
        <v>227658.50999999992</v>
      </c>
      <c r="AG948" s="409">
        <f>$W$138</f>
        <v>199429.88999999998</v>
      </c>
      <c r="AH948" s="409">
        <f>$W$192</f>
        <v>220170.5</v>
      </c>
      <c r="AI948" s="409">
        <f>$W$246</f>
        <v>242576.22999999998</v>
      </c>
      <c r="AJ948" s="409">
        <f>$W$300</f>
        <v>184259.59999999998</v>
      </c>
      <c r="AK948" s="409">
        <f>$W$354</f>
        <v>148951.57999999999</v>
      </c>
      <c r="AL948" s="409">
        <f>$W$408</f>
        <v>148188.11999999994</v>
      </c>
      <c r="AM948" s="409">
        <f>$W$462</f>
        <v>132103.89000000019</v>
      </c>
      <c r="AN948" s="409">
        <f>$W$516</f>
        <v>0</v>
      </c>
      <c r="AO948" s="409">
        <f>$W$570</f>
        <v>0</v>
      </c>
      <c r="AP948" s="409">
        <f>$W$624</f>
        <v>0</v>
      </c>
      <c r="AQ948" s="411">
        <f>$W$678</f>
        <v>0</v>
      </c>
    </row>
    <row r="949" spans="27:43" ht="7.8" customHeight="1" x14ac:dyDescent="0.25">
      <c r="AA949" s="291"/>
      <c r="AB949" s="412"/>
      <c r="AC949" s="422"/>
      <c r="AD949" s="423" t="s">
        <v>30</v>
      </c>
      <c r="AE949" s="417">
        <f t="shared" ref="AE949:AQ949" si="1631">IFERROR(AE948/AE947,0)</f>
        <v>150.13865175272147</v>
      </c>
      <c r="AF949" s="418">
        <f t="shared" si="1631"/>
        <v>132.05249999999995</v>
      </c>
      <c r="AG949" s="419">
        <f t="shared" si="1631"/>
        <v>138.87875348189414</v>
      </c>
      <c r="AH949" s="419">
        <f t="shared" si="1631"/>
        <v>144.84901315789475</v>
      </c>
      <c r="AI949" s="419">
        <f t="shared" si="1631"/>
        <v>143.87676749703439</v>
      </c>
      <c r="AJ949" s="419">
        <f t="shared" si="1631"/>
        <v>149.07734627831712</v>
      </c>
      <c r="AK949" s="419">
        <f t="shared" si="1631"/>
        <v>167.92737316798195</v>
      </c>
      <c r="AL949" s="419">
        <f t="shared" si="1631"/>
        <v>182.27321033210325</v>
      </c>
      <c r="AM949" s="419">
        <f t="shared" si="1631"/>
        <v>185.80012658227875</v>
      </c>
      <c r="AN949" s="419">
        <f t="shared" si="1631"/>
        <v>0</v>
      </c>
      <c r="AO949" s="419">
        <f t="shared" si="1631"/>
        <v>0</v>
      </c>
      <c r="AP949" s="419">
        <f t="shared" si="1631"/>
        <v>0</v>
      </c>
      <c r="AQ949" s="421">
        <f t="shared" si="1631"/>
        <v>0</v>
      </c>
    </row>
    <row r="950" spans="27:43" ht="7.8" customHeight="1" x14ac:dyDescent="0.25">
      <c r="AA950" s="291"/>
      <c r="AB950" s="412"/>
      <c r="AC950" s="568" t="s">
        <v>42</v>
      </c>
      <c r="AD950" s="569" t="s">
        <v>32</v>
      </c>
      <c r="AE950" s="442">
        <f t="shared" ref="AE950:AE951" si="1632">SUM(AF950:AQ950)</f>
        <v>15432</v>
      </c>
      <c r="AF950" s="443">
        <f>$W$86</f>
        <v>1380</v>
      </c>
      <c r="AG950" s="444">
        <f>$W$140</f>
        <v>1320</v>
      </c>
      <c r="AH950" s="444">
        <f>$W$194</f>
        <v>1632</v>
      </c>
      <c r="AI950" s="444">
        <f>$W$248</f>
        <v>1619</v>
      </c>
      <c r="AJ950" s="444">
        <f>$W$302</f>
        <v>1341</v>
      </c>
      <c r="AK950" s="444">
        <f>$W$356</f>
        <v>1330</v>
      </c>
      <c r="AL950" s="444">
        <f>$W$410</f>
        <v>885</v>
      </c>
      <c r="AM950" s="444">
        <f>$W$464</f>
        <v>932</v>
      </c>
      <c r="AN950" s="444">
        <f>$W$518</f>
        <v>1294</v>
      </c>
      <c r="AO950" s="444">
        <f>$W$572</f>
        <v>1248</v>
      </c>
      <c r="AP950" s="444">
        <f>$W$626</f>
        <v>1229</v>
      </c>
      <c r="AQ950" s="445">
        <f>$W$680</f>
        <v>1222</v>
      </c>
    </row>
    <row r="951" spans="27:43" ht="7.8" customHeight="1" x14ac:dyDescent="0.25">
      <c r="AA951" s="291"/>
      <c r="AB951" s="412"/>
      <c r="AC951" s="564"/>
      <c r="AD951" s="565" t="s">
        <v>33</v>
      </c>
      <c r="AE951" s="455">
        <f t="shared" si="1632"/>
        <v>2520266</v>
      </c>
      <c r="AF951" s="456">
        <f>$W$87</f>
        <v>185955</v>
      </c>
      <c r="AG951" s="457">
        <f>$W$141</f>
        <v>204600</v>
      </c>
      <c r="AH951" s="457">
        <f>$W$195</f>
        <v>261120</v>
      </c>
      <c r="AI951" s="457">
        <f>$W$249</f>
        <v>236374</v>
      </c>
      <c r="AJ951" s="457">
        <f>$W$303</f>
        <v>214500</v>
      </c>
      <c r="AK951" s="457">
        <f>$W$357</f>
        <v>219450</v>
      </c>
      <c r="AL951" s="457">
        <f>$W$411</f>
        <v>159300</v>
      </c>
      <c r="AM951" s="457">
        <f>$W$465</f>
        <v>154712</v>
      </c>
      <c r="AN951" s="457">
        <f>$W$519</f>
        <v>220160</v>
      </c>
      <c r="AO951" s="457">
        <f>$W$573</f>
        <v>199680</v>
      </c>
      <c r="AP951" s="457">
        <f>$W$627</f>
        <v>202785</v>
      </c>
      <c r="AQ951" s="458">
        <f>$W$681</f>
        <v>261630</v>
      </c>
    </row>
    <row r="952" spans="27:43" ht="7.8" customHeight="1" x14ac:dyDescent="0.25">
      <c r="AA952" s="291"/>
      <c r="AB952" s="412"/>
      <c r="AC952" s="566"/>
      <c r="AD952" s="567" t="s">
        <v>30</v>
      </c>
      <c r="AE952" s="468">
        <f t="shared" ref="AE952:AQ952" si="1633">IFERROR(AE951/AE950,0)</f>
        <v>163.31428201140488</v>
      </c>
      <c r="AF952" s="469">
        <f t="shared" si="1633"/>
        <v>134.75</v>
      </c>
      <c r="AG952" s="470">
        <f t="shared" si="1633"/>
        <v>155</v>
      </c>
      <c r="AH952" s="470">
        <f t="shared" si="1633"/>
        <v>160</v>
      </c>
      <c r="AI952" s="470">
        <f t="shared" si="1633"/>
        <v>146</v>
      </c>
      <c r="AJ952" s="470">
        <f t="shared" si="1633"/>
        <v>159.95525727069352</v>
      </c>
      <c r="AK952" s="470">
        <f t="shared" si="1633"/>
        <v>165</v>
      </c>
      <c r="AL952" s="470">
        <f t="shared" si="1633"/>
        <v>180</v>
      </c>
      <c r="AM952" s="470">
        <f t="shared" si="1633"/>
        <v>166</v>
      </c>
      <c r="AN952" s="470">
        <f t="shared" si="1633"/>
        <v>170.13910355486863</v>
      </c>
      <c r="AO952" s="470">
        <f t="shared" si="1633"/>
        <v>160</v>
      </c>
      <c r="AP952" s="470">
        <f t="shared" si="1633"/>
        <v>165</v>
      </c>
      <c r="AQ952" s="471">
        <f t="shared" si="1633"/>
        <v>214.0998363338789</v>
      </c>
    </row>
    <row r="953" spans="27:43" ht="7.8" customHeight="1" x14ac:dyDescent="0.25">
      <c r="AA953" s="291"/>
      <c r="AB953" s="412"/>
      <c r="AC953" s="473" t="s">
        <v>43</v>
      </c>
      <c r="AD953" s="432" t="s">
        <v>32</v>
      </c>
      <c r="AE953" s="426">
        <f t="shared" ref="AE953:AQ955" si="1634">AE950-AE947</f>
        <v>5419</v>
      </c>
      <c r="AF953" s="427">
        <f t="shared" si="1634"/>
        <v>-344</v>
      </c>
      <c r="AG953" s="428">
        <f t="shared" si="1634"/>
        <v>-116</v>
      </c>
      <c r="AH953" s="428">
        <f t="shared" si="1634"/>
        <v>112</v>
      </c>
      <c r="AI953" s="428">
        <f t="shared" si="1634"/>
        <v>-67</v>
      </c>
      <c r="AJ953" s="428">
        <f t="shared" si="1634"/>
        <v>105</v>
      </c>
      <c r="AK953" s="428">
        <f t="shared" si="1634"/>
        <v>443</v>
      </c>
      <c r="AL953" s="428">
        <f t="shared" si="1634"/>
        <v>72</v>
      </c>
      <c r="AM953" s="428">
        <f t="shared" si="1634"/>
        <v>221</v>
      </c>
      <c r="AN953" s="428">
        <f t="shared" si="1634"/>
        <v>1294</v>
      </c>
      <c r="AO953" s="428">
        <f t="shared" si="1634"/>
        <v>1248</v>
      </c>
      <c r="AP953" s="428">
        <f t="shared" si="1634"/>
        <v>1229</v>
      </c>
      <c r="AQ953" s="430">
        <f t="shared" si="1634"/>
        <v>1222</v>
      </c>
    </row>
    <row r="954" spans="27:43" ht="7.8" customHeight="1" x14ac:dyDescent="0.25">
      <c r="AA954" s="291"/>
      <c r="AB954" s="412"/>
      <c r="AC954" s="475"/>
      <c r="AD954" s="476" t="s">
        <v>33</v>
      </c>
      <c r="AE954" s="407">
        <f t="shared" si="1634"/>
        <v>1016927.6799999999</v>
      </c>
      <c r="AF954" s="408">
        <f t="shared" si="1634"/>
        <v>-41703.509999999922</v>
      </c>
      <c r="AG954" s="409">
        <f t="shared" si="1634"/>
        <v>5170.1100000000151</v>
      </c>
      <c r="AH954" s="409">
        <f t="shared" si="1634"/>
        <v>40949.5</v>
      </c>
      <c r="AI954" s="409">
        <f t="shared" si="1634"/>
        <v>-6202.2299999999814</v>
      </c>
      <c r="AJ954" s="409">
        <f t="shared" si="1634"/>
        <v>30240.400000000023</v>
      </c>
      <c r="AK954" s="409">
        <f t="shared" si="1634"/>
        <v>70498.420000000013</v>
      </c>
      <c r="AL954" s="409">
        <f t="shared" si="1634"/>
        <v>11111.880000000063</v>
      </c>
      <c r="AM954" s="409">
        <f t="shared" si="1634"/>
        <v>22608.109999999811</v>
      </c>
      <c r="AN954" s="409">
        <f t="shared" si="1634"/>
        <v>220160</v>
      </c>
      <c r="AO954" s="409">
        <f t="shared" si="1634"/>
        <v>199680</v>
      </c>
      <c r="AP954" s="409">
        <f t="shared" si="1634"/>
        <v>202785</v>
      </c>
      <c r="AQ954" s="411">
        <f t="shared" si="1634"/>
        <v>261630</v>
      </c>
    </row>
    <row r="955" spans="27:43" ht="7.8" customHeight="1" x14ac:dyDescent="0.25">
      <c r="AA955" s="291"/>
      <c r="AB955" s="412"/>
      <c r="AC955" s="477"/>
      <c r="AD955" s="423" t="s">
        <v>30</v>
      </c>
      <c r="AE955" s="417">
        <f t="shared" si="1634"/>
        <v>13.175630258683412</v>
      </c>
      <c r="AF955" s="418">
        <f t="shared" si="1634"/>
        <v>2.6975000000000477</v>
      </c>
      <c r="AG955" s="419">
        <f t="shared" si="1634"/>
        <v>16.121246518105863</v>
      </c>
      <c r="AH955" s="419">
        <f t="shared" si="1634"/>
        <v>15.150986842105254</v>
      </c>
      <c r="AI955" s="419">
        <f t="shared" si="1634"/>
        <v>2.1232325029656067</v>
      </c>
      <c r="AJ955" s="419">
        <f t="shared" si="1634"/>
        <v>10.8779109923764</v>
      </c>
      <c r="AK955" s="419">
        <f t="shared" si="1634"/>
        <v>-2.9273731679819548</v>
      </c>
      <c r="AL955" s="419">
        <f t="shared" si="1634"/>
        <v>-2.2732103321032469</v>
      </c>
      <c r="AM955" s="419">
        <f t="shared" si="1634"/>
        <v>-19.80012658227875</v>
      </c>
      <c r="AN955" s="419">
        <f t="shared" si="1634"/>
        <v>170.13910355486863</v>
      </c>
      <c r="AO955" s="419">
        <f t="shared" si="1634"/>
        <v>160</v>
      </c>
      <c r="AP955" s="419">
        <f t="shared" si="1634"/>
        <v>165</v>
      </c>
      <c r="AQ955" s="421">
        <f t="shared" si="1634"/>
        <v>214.0998363338789</v>
      </c>
    </row>
    <row r="956" spans="27:43" ht="7.8" customHeight="1" x14ac:dyDescent="0.25">
      <c r="AA956" s="291"/>
      <c r="AB956" s="412"/>
      <c r="AC956" s="473" t="s">
        <v>44</v>
      </c>
      <c r="AD956" s="432" t="s">
        <v>32</v>
      </c>
      <c r="AE956" s="478">
        <f t="shared" ref="AE956:AQ958" si="1635">IFERROR((AE950-AE947)/ABS(AE947),"")</f>
        <v>0.54119644462199146</v>
      </c>
      <c r="AF956" s="479">
        <f t="shared" si="1635"/>
        <v>-0.19953596287703015</v>
      </c>
      <c r="AG956" s="480">
        <f t="shared" si="1635"/>
        <v>-8.0779944289693595E-2</v>
      </c>
      <c r="AH956" s="480">
        <f t="shared" si="1635"/>
        <v>7.3684210526315783E-2</v>
      </c>
      <c r="AI956" s="480">
        <f t="shared" si="1635"/>
        <v>-3.9739027283511266E-2</v>
      </c>
      <c r="AJ956" s="480">
        <f t="shared" si="1635"/>
        <v>8.4951456310679616E-2</v>
      </c>
      <c r="AK956" s="480">
        <f t="shared" si="1635"/>
        <v>0.49943630214205187</v>
      </c>
      <c r="AL956" s="480">
        <f t="shared" si="1635"/>
        <v>8.8560885608856083E-2</v>
      </c>
      <c r="AM956" s="480">
        <f t="shared" si="1635"/>
        <v>0.3108298171589311</v>
      </c>
      <c r="AN956" s="480" t="str">
        <f t="shared" si="1635"/>
        <v/>
      </c>
      <c r="AO956" s="480" t="str">
        <f t="shared" si="1635"/>
        <v/>
      </c>
      <c r="AP956" s="480" t="str">
        <f t="shared" si="1635"/>
        <v/>
      </c>
      <c r="AQ956" s="482" t="str">
        <f t="shared" si="1635"/>
        <v/>
      </c>
    </row>
    <row r="957" spans="27:43" ht="7.8" customHeight="1" x14ac:dyDescent="0.25">
      <c r="AA957" s="291"/>
      <c r="AB957" s="412"/>
      <c r="AC957" s="475"/>
      <c r="AD957" s="489" t="s">
        <v>33</v>
      </c>
      <c r="AE957" s="484">
        <f t="shared" si="1635"/>
        <v>0.67644632380554226</v>
      </c>
      <c r="AF957" s="485">
        <f t="shared" si="1635"/>
        <v>-0.18318449857200567</v>
      </c>
      <c r="AG957" s="486">
        <f t="shared" si="1635"/>
        <v>2.5924448937920067E-2</v>
      </c>
      <c r="AH957" s="486">
        <f t="shared" si="1635"/>
        <v>0.1859899486988493</v>
      </c>
      <c r="AI957" s="486">
        <f t="shared" si="1635"/>
        <v>-2.5568168818519366E-2</v>
      </c>
      <c r="AJ957" s="486">
        <f t="shared" si="1635"/>
        <v>0.16411845027341873</v>
      </c>
      <c r="AK957" s="486">
        <f t="shared" si="1635"/>
        <v>0.47329756421516322</v>
      </c>
      <c r="AL957" s="486">
        <f t="shared" si="1635"/>
        <v>7.4984958308399269E-2</v>
      </c>
      <c r="AM957" s="486">
        <f t="shared" si="1635"/>
        <v>0.1711388665390533</v>
      </c>
      <c r="AN957" s="486" t="str">
        <f t="shared" si="1635"/>
        <v/>
      </c>
      <c r="AO957" s="486" t="str">
        <f t="shared" si="1635"/>
        <v/>
      </c>
      <c r="AP957" s="486" t="str">
        <f t="shared" si="1635"/>
        <v/>
      </c>
      <c r="AQ957" s="488" t="str">
        <f t="shared" si="1635"/>
        <v/>
      </c>
    </row>
    <row r="958" spans="27:43" ht="7.8" customHeight="1" x14ac:dyDescent="0.25">
      <c r="AA958" s="291"/>
      <c r="AB958" s="412"/>
      <c r="AC958" s="475"/>
      <c r="AD958" s="489" t="s">
        <v>30</v>
      </c>
      <c r="AE958" s="484">
        <f t="shared" si="1635"/>
        <v>8.7756417850239465E-2</v>
      </c>
      <c r="AF958" s="485">
        <f t="shared" si="1635"/>
        <v>2.0427481494103093E-2</v>
      </c>
      <c r="AG958" s="486">
        <f t="shared" si="1635"/>
        <v>0.11608144596579792</v>
      </c>
      <c r="AH958" s="486">
        <f t="shared" si="1635"/>
        <v>0.10459848163128115</v>
      </c>
      <c r="AI958" s="486">
        <f t="shared" si="1635"/>
        <v>1.4757299179725949E-2</v>
      </c>
      <c r="AJ958" s="486">
        <f t="shared" si="1635"/>
        <v>7.2968236046193694E-2</v>
      </c>
      <c r="AK958" s="486">
        <f t="shared" si="1635"/>
        <v>-1.7432376346729547E-2</v>
      </c>
      <c r="AL958" s="486">
        <f t="shared" si="1635"/>
        <v>-1.2471445079402725E-2</v>
      </c>
      <c r="AM958" s="486">
        <f t="shared" si="1635"/>
        <v>-0.10656680889563638</v>
      </c>
      <c r="AN958" s="486" t="str">
        <f t="shared" si="1635"/>
        <v/>
      </c>
      <c r="AO958" s="486" t="str">
        <f t="shared" si="1635"/>
        <v/>
      </c>
      <c r="AP958" s="486" t="str">
        <f t="shared" si="1635"/>
        <v/>
      </c>
      <c r="AQ958" s="488" t="str">
        <f t="shared" si="1635"/>
        <v/>
      </c>
    </row>
    <row r="959" spans="27:43" ht="7.8" customHeight="1" x14ac:dyDescent="0.25">
      <c r="AA959" s="291"/>
      <c r="AB959" s="499" t="s">
        <v>49</v>
      </c>
      <c r="AC959" s="500" t="s">
        <v>39</v>
      </c>
      <c r="AD959" s="501" t="s">
        <v>32</v>
      </c>
      <c r="AE959" s="494">
        <f t="shared" ref="AE959:AE960" si="1636">SUM(AF959:AQ959)</f>
        <v>0</v>
      </c>
      <c r="AF959" s="495">
        <f>$W$95</f>
        <v>0</v>
      </c>
      <c r="AG959" s="496">
        <f>$W$149</f>
        <v>0</v>
      </c>
      <c r="AH959" s="496">
        <f>$W$203</f>
        <v>0</v>
      </c>
      <c r="AI959" s="496">
        <f>$W$257</f>
        <v>0</v>
      </c>
      <c r="AJ959" s="496">
        <f>$W$311</f>
        <v>0</v>
      </c>
      <c r="AK959" s="496">
        <f>$W$365</f>
        <v>0</v>
      </c>
      <c r="AL959" s="496">
        <f>$W$419</f>
        <v>0</v>
      </c>
      <c r="AM959" s="496">
        <f>$W$473</f>
        <v>0</v>
      </c>
      <c r="AN959" s="496">
        <f>$W$527</f>
        <v>0</v>
      </c>
      <c r="AO959" s="496">
        <f>$W$581</f>
        <v>0</v>
      </c>
      <c r="AP959" s="496">
        <f>$W$635</f>
        <v>0</v>
      </c>
      <c r="AQ959" s="498">
        <f>$W$689</f>
        <v>0</v>
      </c>
    </row>
    <row r="960" spans="27:43" ht="7.8" customHeight="1" x14ac:dyDescent="0.25">
      <c r="AA960" s="291"/>
      <c r="AB960" s="412"/>
      <c r="AC960" s="413"/>
      <c r="AD960" s="414" t="s">
        <v>33</v>
      </c>
      <c r="AE960" s="407">
        <f t="shared" si="1636"/>
        <v>0</v>
      </c>
      <c r="AF960" s="408">
        <f>$W$96</f>
        <v>0</v>
      </c>
      <c r="AG960" s="409">
        <f>$W$150</f>
        <v>0</v>
      </c>
      <c r="AH960" s="409">
        <f>$W$204</f>
        <v>0</v>
      </c>
      <c r="AI960" s="409">
        <f>$W$258</f>
        <v>0</v>
      </c>
      <c r="AJ960" s="409">
        <f>$W$312</f>
        <v>0</v>
      </c>
      <c r="AK960" s="409">
        <f>$W$366</f>
        <v>0</v>
      </c>
      <c r="AL960" s="409">
        <f>$W$420</f>
        <v>0</v>
      </c>
      <c r="AM960" s="409">
        <f>$W$474</f>
        <v>0</v>
      </c>
      <c r="AN960" s="409">
        <f>$W$528</f>
        <v>0</v>
      </c>
      <c r="AO960" s="409">
        <f>$W$582</f>
        <v>0</v>
      </c>
      <c r="AP960" s="409">
        <f>$W$636</f>
        <v>0</v>
      </c>
      <c r="AQ960" s="411">
        <f>$W$690</f>
        <v>0</v>
      </c>
    </row>
    <row r="961" spans="27:43" ht="7.8" customHeight="1" x14ac:dyDescent="0.25">
      <c r="AA961" s="291"/>
      <c r="AB961" s="412"/>
      <c r="AC961" s="422"/>
      <c r="AD961" s="423" t="s">
        <v>30</v>
      </c>
      <c r="AE961" s="417">
        <f t="shared" ref="AE961:AQ961" si="1637">IFERROR(AE960/AE959,0)</f>
        <v>0</v>
      </c>
      <c r="AF961" s="418">
        <f t="shared" si="1637"/>
        <v>0</v>
      </c>
      <c r="AG961" s="419">
        <f t="shared" si="1637"/>
        <v>0</v>
      </c>
      <c r="AH961" s="419">
        <f t="shared" si="1637"/>
        <v>0</v>
      </c>
      <c r="AI961" s="419">
        <f t="shared" si="1637"/>
        <v>0</v>
      </c>
      <c r="AJ961" s="419">
        <f t="shared" si="1637"/>
        <v>0</v>
      </c>
      <c r="AK961" s="419">
        <f t="shared" si="1637"/>
        <v>0</v>
      </c>
      <c r="AL961" s="419">
        <f t="shared" si="1637"/>
        <v>0</v>
      </c>
      <c r="AM961" s="419">
        <f t="shared" si="1637"/>
        <v>0</v>
      </c>
      <c r="AN961" s="419">
        <f t="shared" si="1637"/>
        <v>0</v>
      </c>
      <c r="AO961" s="419">
        <f t="shared" si="1637"/>
        <v>0</v>
      </c>
      <c r="AP961" s="419">
        <f t="shared" si="1637"/>
        <v>0</v>
      </c>
      <c r="AQ961" s="421">
        <f t="shared" si="1637"/>
        <v>0</v>
      </c>
    </row>
    <row r="962" spans="27:43" ht="7.8" customHeight="1" x14ac:dyDescent="0.25">
      <c r="AA962" s="291"/>
      <c r="AB962" s="412"/>
      <c r="AC962" s="431" t="s">
        <v>40</v>
      </c>
      <c r="AD962" s="432" t="s">
        <v>32</v>
      </c>
      <c r="AE962" s="426">
        <f t="shared" ref="AE962:AE963" si="1638">SUM(AF962:AQ962)</f>
        <v>6965</v>
      </c>
      <c r="AF962" s="427">
        <f>$W$98</f>
        <v>492</v>
      </c>
      <c r="AG962" s="428">
        <f>$W$152</f>
        <v>522</v>
      </c>
      <c r="AH962" s="428">
        <f>$W$206</f>
        <v>666</v>
      </c>
      <c r="AI962" s="428">
        <f>$W$260</f>
        <v>665</v>
      </c>
      <c r="AJ962" s="428">
        <f>$W$314</f>
        <v>703</v>
      </c>
      <c r="AK962" s="428">
        <f>$W$368</f>
        <v>623</v>
      </c>
      <c r="AL962" s="428">
        <f>$W$422</f>
        <v>712</v>
      </c>
      <c r="AM962" s="428">
        <f>$W$476</f>
        <v>682</v>
      </c>
      <c r="AN962" s="428">
        <f>$W$530</f>
        <v>460</v>
      </c>
      <c r="AO962" s="428">
        <f>$W$584</f>
        <v>420</v>
      </c>
      <c r="AP962" s="428">
        <f>$W$638</f>
        <v>611</v>
      </c>
      <c r="AQ962" s="430">
        <f>$W$692</f>
        <v>409</v>
      </c>
    </row>
    <row r="963" spans="27:43" ht="7.8" customHeight="1" x14ac:dyDescent="0.25">
      <c r="AA963" s="291"/>
      <c r="AB963" s="412"/>
      <c r="AC963" s="413"/>
      <c r="AD963" s="414" t="s">
        <v>33</v>
      </c>
      <c r="AE963" s="407">
        <f t="shared" si="1638"/>
        <v>1262661.1400000001</v>
      </c>
      <c r="AF963" s="408">
        <f>$W$99</f>
        <v>94630.43</v>
      </c>
      <c r="AG963" s="409">
        <f>$W$153</f>
        <v>94167.00999999998</v>
      </c>
      <c r="AH963" s="409">
        <f>$W$207</f>
        <v>112644.56</v>
      </c>
      <c r="AI963" s="409">
        <f>$W$261</f>
        <v>112922.89</v>
      </c>
      <c r="AJ963" s="409">
        <f>$W$315</f>
        <v>122861.33</v>
      </c>
      <c r="AK963" s="409">
        <f>$W$369</f>
        <v>124346.78</v>
      </c>
      <c r="AL963" s="409">
        <f>$W$423</f>
        <v>144372.41</v>
      </c>
      <c r="AM963" s="409">
        <f>$W$477</f>
        <v>131833.93</v>
      </c>
      <c r="AN963" s="409">
        <f>$W$531</f>
        <v>85281.919999999998</v>
      </c>
      <c r="AO963" s="409">
        <f>$W$585</f>
        <v>70084.19</v>
      </c>
      <c r="AP963" s="409">
        <f>$W$639</f>
        <v>91546.81</v>
      </c>
      <c r="AQ963" s="411">
        <f>$W$693</f>
        <v>77968.88</v>
      </c>
    </row>
    <row r="964" spans="27:43" ht="7.8" customHeight="1" x14ac:dyDescent="0.25">
      <c r="AA964" s="291"/>
      <c r="AB964" s="412"/>
      <c r="AC964" s="422"/>
      <c r="AD964" s="423" t="s">
        <v>30</v>
      </c>
      <c r="AE964" s="417">
        <f t="shared" ref="AE964:AQ964" si="1639">IFERROR(AE963/AE962,0)</f>
        <v>181.28659583632449</v>
      </c>
      <c r="AF964" s="418">
        <f t="shared" si="1639"/>
        <v>192.33827235772355</v>
      </c>
      <c r="AG964" s="419">
        <f t="shared" si="1639"/>
        <v>180.39657088122601</v>
      </c>
      <c r="AH964" s="419">
        <f t="shared" si="1639"/>
        <v>169.13597597597598</v>
      </c>
      <c r="AI964" s="419">
        <f t="shared" si="1639"/>
        <v>169.80885714285714</v>
      </c>
      <c r="AJ964" s="419">
        <f t="shared" si="1639"/>
        <v>174.76718349928876</v>
      </c>
      <c r="AK964" s="419">
        <f t="shared" si="1639"/>
        <v>199.59354735152488</v>
      </c>
      <c r="AL964" s="419">
        <f t="shared" si="1639"/>
        <v>202.77023876404496</v>
      </c>
      <c r="AM964" s="419">
        <f t="shared" si="1639"/>
        <v>193.30488269794719</v>
      </c>
      <c r="AN964" s="419">
        <f t="shared" si="1639"/>
        <v>185.39547826086957</v>
      </c>
      <c r="AO964" s="419">
        <f t="shared" si="1639"/>
        <v>166.86711904761904</v>
      </c>
      <c r="AP964" s="419">
        <f t="shared" si="1639"/>
        <v>149.83111292962357</v>
      </c>
      <c r="AQ964" s="421">
        <f t="shared" si="1639"/>
        <v>190.63295843520783</v>
      </c>
    </row>
    <row r="965" spans="27:43" ht="7.8" customHeight="1" x14ac:dyDescent="0.25">
      <c r="AA965" s="291"/>
      <c r="AB965" s="412"/>
      <c r="AC965" s="431" t="s">
        <v>41</v>
      </c>
      <c r="AD965" s="432" t="s">
        <v>32</v>
      </c>
      <c r="AE965" s="426">
        <f t="shared" ref="AE965:AE966" si="1640">SUM(AF965:AQ965)</f>
        <v>4174</v>
      </c>
      <c r="AF965" s="427">
        <f>$W$101</f>
        <v>760</v>
      </c>
      <c r="AG965" s="428">
        <f>$W$155</f>
        <v>572</v>
      </c>
      <c r="AH965" s="428">
        <f>$W$209</f>
        <v>641</v>
      </c>
      <c r="AI965" s="428">
        <f>$W$263</f>
        <v>699</v>
      </c>
      <c r="AJ965" s="428">
        <f>$W$317</f>
        <v>597</v>
      </c>
      <c r="AK965" s="428">
        <f>$W$371</f>
        <v>310</v>
      </c>
      <c r="AL965" s="428">
        <f>$W$425</f>
        <v>286</v>
      </c>
      <c r="AM965" s="428">
        <f>$W$479</f>
        <v>309</v>
      </c>
      <c r="AN965" s="428">
        <f>$W$533</f>
        <v>0</v>
      </c>
      <c r="AO965" s="428">
        <f>$W$587</f>
        <v>0</v>
      </c>
      <c r="AP965" s="428">
        <f>$W$641</f>
        <v>0</v>
      </c>
      <c r="AQ965" s="430">
        <f>$W$695</f>
        <v>0</v>
      </c>
    </row>
    <row r="966" spans="27:43" ht="7.8" customHeight="1" x14ac:dyDescent="0.25">
      <c r="AA966" s="291"/>
      <c r="AB966" s="412"/>
      <c r="AC966" s="413"/>
      <c r="AD966" s="414" t="s">
        <v>33</v>
      </c>
      <c r="AE966" s="407">
        <f t="shared" si="1640"/>
        <v>690852.99</v>
      </c>
      <c r="AF966" s="408">
        <f>$W$102</f>
        <v>110636.26999999999</v>
      </c>
      <c r="AG966" s="409">
        <f>$W$156</f>
        <v>91325.209999999992</v>
      </c>
      <c r="AH966" s="409">
        <f>$W$210</f>
        <v>99285.849999999991</v>
      </c>
      <c r="AI966" s="409">
        <f>$W$264</f>
        <v>114824.57</v>
      </c>
      <c r="AJ966" s="409">
        <f>$W$318</f>
        <v>98491.109999999986</v>
      </c>
      <c r="AK966" s="409">
        <f>$W$372</f>
        <v>56824.28</v>
      </c>
      <c r="AL966" s="409">
        <f>$W$426</f>
        <v>59113.039999999994</v>
      </c>
      <c r="AM966" s="409">
        <f>$W$480</f>
        <v>60352.66</v>
      </c>
      <c r="AN966" s="409">
        <f>$W$534</f>
        <v>0</v>
      </c>
      <c r="AO966" s="409">
        <f>$W$588</f>
        <v>0</v>
      </c>
      <c r="AP966" s="409">
        <f>$W$642</f>
        <v>0</v>
      </c>
      <c r="AQ966" s="411">
        <f>$W$696</f>
        <v>0</v>
      </c>
    </row>
    <row r="967" spans="27:43" ht="7.8" customHeight="1" x14ac:dyDescent="0.25">
      <c r="AA967" s="291"/>
      <c r="AB967" s="412"/>
      <c r="AC967" s="422"/>
      <c r="AD967" s="423" t="s">
        <v>30</v>
      </c>
      <c r="AE967" s="417">
        <f t="shared" ref="AE967:AQ967" si="1641">IFERROR(AE966/AE965,0)</f>
        <v>165.51341399137519</v>
      </c>
      <c r="AF967" s="418">
        <f t="shared" si="1641"/>
        <v>145.57403947368419</v>
      </c>
      <c r="AG967" s="419">
        <f t="shared" si="1641"/>
        <v>159.65945804195803</v>
      </c>
      <c r="AH967" s="419">
        <f t="shared" si="1641"/>
        <v>154.89212168486739</v>
      </c>
      <c r="AI967" s="419">
        <f t="shared" si="1641"/>
        <v>164.2697711015737</v>
      </c>
      <c r="AJ967" s="419">
        <f t="shared" si="1641"/>
        <v>164.97673366834169</v>
      </c>
      <c r="AK967" s="419">
        <f t="shared" si="1641"/>
        <v>183.30412903225806</v>
      </c>
      <c r="AL967" s="419">
        <f t="shared" si="1641"/>
        <v>206.68895104895103</v>
      </c>
      <c r="AM967" s="419">
        <f t="shared" si="1641"/>
        <v>195.31605177993529</v>
      </c>
      <c r="AN967" s="419">
        <f t="shared" si="1641"/>
        <v>0</v>
      </c>
      <c r="AO967" s="419">
        <f t="shared" si="1641"/>
        <v>0</v>
      </c>
      <c r="AP967" s="419">
        <f t="shared" si="1641"/>
        <v>0</v>
      </c>
      <c r="AQ967" s="421">
        <f t="shared" si="1641"/>
        <v>0</v>
      </c>
    </row>
    <row r="968" spans="27:43" ht="7.8" customHeight="1" x14ac:dyDescent="0.25">
      <c r="AA968" s="291"/>
      <c r="AB968" s="412"/>
      <c r="AC968" s="568" t="s">
        <v>42</v>
      </c>
      <c r="AD968" s="569" t="s">
        <v>32</v>
      </c>
      <c r="AE968" s="442">
        <f t="shared" ref="AE968:AE969" si="1642">SUM(AF968:AQ968)</f>
        <v>7435</v>
      </c>
      <c r="AF968" s="443">
        <f>$W$104</f>
        <v>826</v>
      </c>
      <c r="AG968" s="444">
        <f>$W$158</f>
        <v>480</v>
      </c>
      <c r="AH968" s="444">
        <f>$W$212</f>
        <v>568</v>
      </c>
      <c r="AI968" s="444">
        <f>$W$266</f>
        <v>509</v>
      </c>
      <c r="AJ968" s="444">
        <f>$W$320</f>
        <v>841</v>
      </c>
      <c r="AK968" s="444">
        <f>$W$374</f>
        <v>670</v>
      </c>
      <c r="AL968" s="444">
        <f>$W$428</f>
        <v>715</v>
      </c>
      <c r="AM968" s="444">
        <f>$W$482</f>
        <v>650</v>
      </c>
      <c r="AN968" s="444">
        <f>$W$536</f>
        <v>442</v>
      </c>
      <c r="AO968" s="444">
        <f>$W$590</f>
        <v>552</v>
      </c>
      <c r="AP968" s="444">
        <f>$W$644</f>
        <v>521</v>
      </c>
      <c r="AQ968" s="445">
        <f>$W$698</f>
        <v>661</v>
      </c>
    </row>
    <row r="969" spans="27:43" ht="7.8" customHeight="1" x14ac:dyDescent="0.25">
      <c r="AA969" s="291"/>
      <c r="AB969" s="412"/>
      <c r="AC969" s="564"/>
      <c r="AD969" s="565" t="s">
        <v>33</v>
      </c>
      <c r="AE969" s="455">
        <f t="shared" si="1642"/>
        <v>1183784</v>
      </c>
      <c r="AF969" s="456">
        <f>$W$105</f>
        <v>94545</v>
      </c>
      <c r="AG969" s="457">
        <f>$W$159</f>
        <v>74400</v>
      </c>
      <c r="AH969" s="457">
        <f>$W$213</f>
        <v>90880</v>
      </c>
      <c r="AI969" s="457">
        <f>$W$267</f>
        <v>74314</v>
      </c>
      <c r="AJ969" s="457">
        <f>$W$321</f>
        <v>132000</v>
      </c>
      <c r="AK969" s="457">
        <f>$W$375</f>
        <v>110550</v>
      </c>
      <c r="AL969" s="457">
        <f>$W$429</f>
        <v>128700</v>
      </c>
      <c r="AM969" s="457">
        <f>$W$483</f>
        <v>107900</v>
      </c>
      <c r="AN969" s="457">
        <f>$W$537</f>
        <v>83840</v>
      </c>
      <c r="AO969" s="457">
        <f>$W$591</f>
        <v>88320</v>
      </c>
      <c r="AP969" s="457">
        <f>$W$645</f>
        <v>85965</v>
      </c>
      <c r="AQ969" s="458">
        <f>$W$699</f>
        <v>112370</v>
      </c>
    </row>
    <row r="970" spans="27:43" ht="7.8" customHeight="1" x14ac:dyDescent="0.25">
      <c r="AA970" s="291"/>
      <c r="AB970" s="412"/>
      <c r="AC970" s="566"/>
      <c r="AD970" s="567" t="s">
        <v>30</v>
      </c>
      <c r="AE970" s="468">
        <f t="shared" ref="AE970:AQ970" si="1643">IFERROR(AE969/AE968,0)</f>
        <v>159.21775386684601</v>
      </c>
      <c r="AF970" s="469">
        <f t="shared" si="1643"/>
        <v>114.46125907990314</v>
      </c>
      <c r="AG970" s="470">
        <f t="shared" si="1643"/>
        <v>155</v>
      </c>
      <c r="AH970" s="470">
        <f t="shared" si="1643"/>
        <v>160</v>
      </c>
      <c r="AI970" s="470">
        <f t="shared" si="1643"/>
        <v>146</v>
      </c>
      <c r="AJ970" s="470">
        <f t="shared" si="1643"/>
        <v>156.95600475624258</v>
      </c>
      <c r="AK970" s="470">
        <f t="shared" si="1643"/>
        <v>165</v>
      </c>
      <c r="AL970" s="470">
        <f t="shared" si="1643"/>
        <v>180</v>
      </c>
      <c r="AM970" s="470">
        <f t="shared" si="1643"/>
        <v>166</v>
      </c>
      <c r="AN970" s="470">
        <f t="shared" si="1643"/>
        <v>189.68325791855204</v>
      </c>
      <c r="AO970" s="470">
        <f t="shared" si="1643"/>
        <v>160</v>
      </c>
      <c r="AP970" s="470">
        <f t="shared" si="1643"/>
        <v>165</v>
      </c>
      <c r="AQ970" s="471">
        <f t="shared" si="1643"/>
        <v>170</v>
      </c>
    </row>
    <row r="971" spans="27:43" ht="7.8" customHeight="1" x14ac:dyDescent="0.25">
      <c r="AA971" s="291"/>
      <c r="AB971" s="412"/>
      <c r="AC971" s="473" t="s">
        <v>43</v>
      </c>
      <c r="AD971" s="432" t="s">
        <v>32</v>
      </c>
      <c r="AE971" s="426">
        <f t="shared" ref="AE971:AQ973" si="1644">AE968-AE965</f>
        <v>3261</v>
      </c>
      <c r="AF971" s="427">
        <f t="shared" si="1644"/>
        <v>66</v>
      </c>
      <c r="AG971" s="428">
        <f t="shared" si="1644"/>
        <v>-92</v>
      </c>
      <c r="AH971" s="428">
        <f t="shared" si="1644"/>
        <v>-73</v>
      </c>
      <c r="AI971" s="428">
        <f t="shared" si="1644"/>
        <v>-190</v>
      </c>
      <c r="AJ971" s="428">
        <f t="shared" si="1644"/>
        <v>244</v>
      </c>
      <c r="AK971" s="428">
        <f t="shared" si="1644"/>
        <v>360</v>
      </c>
      <c r="AL971" s="428">
        <f t="shared" si="1644"/>
        <v>429</v>
      </c>
      <c r="AM971" s="428">
        <f t="shared" si="1644"/>
        <v>341</v>
      </c>
      <c r="AN971" s="428">
        <f t="shared" si="1644"/>
        <v>442</v>
      </c>
      <c r="AO971" s="428">
        <f t="shared" si="1644"/>
        <v>552</v>
      </c>
      <c r="AP971" s="428">
        <f t="shared" si="1644"/>
        <v>521</v>
      </c>
      <c r="AQ971" s="430">
        <f t="shared" si="1644"/>
        <v>661</v>
      </c>
    </row>
    <row r="972" spans="27:43" ht="7.8" customHeight="1" x14ac:dyDescent="0.25">
      <c r="AA972" s="291"/>
      <c r="AB972" s="412"/>
      <c r="AC972" s="475"/>
      <c r="AD972" s="476" t="s">
        <v>33</v>
      </c>
      <c r="AE972" s="407">
        <f t="shared" si="1644"/>
        <v>492931.01</v>
      </c>
      <c r="AF972" s="408">
        <f t="shared" si="1644"/>
        <v>-16091.26999999999</v>
      </c>
      <c r="AG972" s="409">
        <f t="shared" si="1644"/>
        <v>-16925.209999999992</v>
      </c>
      <c r="AH972" s="409">
        <f t="shared" si="1644"/>
        <v>-8405.8499999999913</v>
      </c>
      <c r="AI972" s="409">
        <f t="shared" si="1644"/>
        <v>-40510.570000000007</v>
      </c>
      <c r="AJ972" s="409">
        <f t="shared" si="1644"/>
        <v>33508.890000000014</v>
      </c>
      <c r="AK972" s="409">
        <f t="shared" si="1644"/>
        <v>53725.72</v>
      </c>
      <c r="AL972" s="409">
        <f t="shared" si="1644"/>
        <v>69586.960000000006</v>
      </c>
      <c r="AM972" s="409">
        <f t="shared" si="1644"/>
        <v>47547.34</v>
      </c>
      <c r="AN972" s="409">
        <f t="shared" si="1644"/>
        <v>83840</v>
      </c>
      <c r="AO972" s="409">
        <f t="shared" si="1644"/>
        <v>88320</v>
      </c>
      <c r="AP972" s="409">
        <f t="shared" si="1644"/>
        <v>85965</v>
      </c>
      <c r="AQ972" s="411">
        <f t="shared" si="1644"/>
        <v>112370</v>
      </c>
    </row>
    <row r="973" spans="27:43" ht="7.8" customHeight="1" x14ac:dyDescent="0.25">
      <c r="AA973" s="291"/>
      <c r="AB973" s="412"/>
      <c r="AC973" s="477"/>
      <c r="AD973" s="423" t="s">
        <v>30</v>
      </c>
      <c r="AE973" s="417">
        <f t="shared" si="1644"/>
        <v>-6.2956601245291779</v>
      </c>
      <c r="AF973" s="418">
        <f t="shared" si="1644"/>
        <v>-31.112780393781051</v>
      </c>
      <c r="AG973" s="419">
        <f t="shared" si="1644"/>
        <v>-4.6594580419580325</v>
      </c>
      <c r="AH973" s="419">
        <f t="shared" si="1644"/>
        <v>5.1078783151326093</v>
      </c>
      <c r="AI973" s="419">
        <f t="shared" si="1644"/>
        <v>-18.269771101573696</v>
      </c>
      <c r="AJ973" s="419">
        <f t="shared" si="1644"/>
        <v>-8.0207289120991163</v>
      </c>
      <c r="AK973" s="419">
        <f t="shared" si="1644"/>
        <v>-18.304129032258061</v>
      </c>
      <c r="AL973" s="419">
        <f t="shared" si="1644"/>
        <v>-26.688951048951026</v>
      </c>
      <c r="AM973" s="419">
        <f t="shared" si="1644"/>
        <v>-29.316051779935293</v>
      </c>
      <c r="AN973" s="419">
        <f t="shared" si="1644"/>
        <v>189.68325791855204</v>
      </c>
      <c r="AO973" s="419">
        <f t="shared" si="1644"/>
        <v>160</v>
      </c>
      <c r="AP973" s="419">
        <f t="shared" si="1644"/>
        <v>165</v>
      </c>
      <c r="AQ973" s="421">
        <f t="shared" si="1644"/>
        <v>170</v>
      </c>
    </row>
    <row r="974" spans="27:43" ht="7.8" customHeight="1" x14ac:dyDescent="0.25">
      <c r="AA974" s="291"/>
      <c r="AB974" s="412"/>
      <c r="AC974" s="473" t="s">
        <v>44</v>
      </c>
      <c r="AD974" s="432" t="s">
        <v>32</v>
      </c>
      <c r="AE974" s="478">
        <f t="shared" ref="AE974:AQ976" si="1645">IFERROR((AE968-AE965)/ABS(AE965),"")</f>
        <v>0.78126497364638237</v>
      </c>
      <c r="AF974" s="479">
        <f t="shared" si="1645"/>
        <v>8.6842105263157901E-2</v>
      </c>
      <c r="AG974" s="480">
        <f t="shared" si="1645"/>
        <v>-0.16083916083916083</v>
      </c>
      <c r="AH974" s="480">
        <f t="shared" si="1645"/>
        <v>-0.11388455538221529</v>
      </c>
      <c r="AI974" s="480">
        <f t="shared" si="1645"/>
        <v>-0.27181688125894132</v>
      </c>
      <c r="AJ974" s="480">
        <f t="shared" si="1645"/>
        <v>0.40871021775544386</v>
      </c>
      <c r="AK974" s="480">
        <f t="shared" si="1645"/>
        <v>1.1612903225806452</v>
      </c>
      <c r="AL974" s="480">
        <f t="shared" si="1645"/>
        <v>1.5</v>
      </c>
      <c r="AM974" s="480">
        <f t="shared" si="1645"/>
        <v>1.1035598705501619</v>
      </c>
      <c r="AN974" s="480" t="str">
        <f t="shared" si="1645"/>
        <v/>
      </c>
      <c r="AO974" s="480" t="str">
        <f t="shared" si="1645"/>
        <v/>
      </c>
      <c r="AP974" s="480" t="str">
        <f t="shared" si="1645"/>
        <v/>
      </c>
      <c r="AQ974" s="482" t="str">
        <f t="shared" si="1645"/>
        <v/>
      </c>
    </row>
    <row r="975" spans="27:43" ht="7.8" customHeight="1" x14ac:dyDescent="0.25">
      <c r="AA975" s="291"/>
      <c r="AB975" s="412"/>
      <c r="AC975" s="475"/>
      <c r="AD975" s="489" t="s">
        <v>33</v>
      </c>
      <c r="AE975" s="484">
        <f t="shared" si="1645"/>
        <v>0.71351071376270658</v>
      </c>
      <c r="AF975" s="485">
        <f t="shared" si="1645"/>
        <v>-0.14544299080220249</v>
      </c>
      <c r="AG975" s="486">
        <f t="shared" si="1645"/>
        <v>-0.18532900170719557</v>
      </c>
      <c r="AH975" s="486">
        <f t="shared" si="1645"/>
        <v>-8.4663121683502651E-2</v>
      </c>
      <c r="AI975" s="486">
        <f t="shared" si="1645"/>
        <v>-0.35280402095126506</v>
      </c>
      <c r="AJ975" s="486">
        <f t="shared" si="1645"/>
        <v>0.34022248302410257</v>
      </c>
      <c r="AK975" s="486">
        <f t="shared" si="1645"/>
        <v>0.94547119646742561</v>
      </c>
      <c r="AL975" s="486">
        <f t="shared" si="1645"/>
        <v>1.1771845941267784</v>
      </c>
      <c r="AM975" s="486">
        <f t="shared" si="1645"/>
        <v>0.78782509337616591</v>
      </c>
      <c r="AN975" s="486" t="str">
        <f t="shared" si="1645"/>
        <v/>
      </c>
      <c r="AO975" s="486" t="str">
        <f t="shared" si="1645"/>
        <v/>
      </c>
      <c r="AP975" s="486" t="str">
        <f t="shared" si="1645"/>
        <v/>
      </c>
      <c r="AQ975" s="488" t="str">
        <f t="shared" si="1645"/>
        <v/>
      </c>
    </row>
    <row r="976" spans="27:43" ht="7.8" customHeight="1" x14ac:dyDescent="0.25">
      <c r="AA976" s="291"/>
      <c r="AB976" s="510"/>
      <c r="AC976" s="511"/>
      <c r="AD976" s="512" t="s">
        <v>30</v>
      </c>
      <c r="AE976" s="505">
        <f t="shared" si="1645"/>
        <v>-3.8037159482779088E-2</v>
      </c>
      <c r="AF976" s="506">
        <f t="shared" si="1645"/>
        <v>-0.21372478572599746</v>
      </c>
      <c r="AG976" s="507">
        <f t="shared" si="1645"/>
        <v>-2.9183727034408077E-2</v>
      </c>
      <c r="AH976" s="507">
        <f t="shared" si="1645"/>
        <v>3.2977005283230214E-2</v>
      </c>
      <c r="AI976" s="507">
        <f t="shared" si="1645"/>
        <v>-0.11121809556961557</v>
      </c>
      <c r="AJ976" s="507">
        <f t="shared" si="1645"/>
        <v>-4.8617333691570466E-2</v>
      </c>
      <c r="AK976" s="507">
        <f t="shared" si="1645"/>
        <v>-9.9856610589698608E-2</v>
      </c>
      <c r="AL976" s="507">
        <f t="shared" si="1645"/>
        <v>-0.12912616234928864</v>
      </c>
      <c r="AM976" s="507">
        <f t="shared" si="1645"/>
        <v>-0.1500954556104073</v>
      </c>
      <c r="AN976" s="507" t="str">
        <f t="shared" si="1645"/>
        <v/>
      </c>
      <c r="AO976" s="507" t="str">
        <f t="shared" si="1645"/>
        <v/>
      </c>
      <c r="AP976" s="507" t="str">
        <f t="shared" si="1645"/>
        <v/>
      </c>
      <c r="AQ976" s="509" t="str">
        <f t="shared" si="1645"/>
        <v/>
      </c>
    </row>
    <row r="977" spans="27:43" ht="7.8" customHeight="1" x14ac:dyDescent="0.25">
      <c r="AA977" s="291" t="s">
        <v>75</v>
      </c>
      <c r="AB977" s="292" t="s">
        <v>9</v>
      </c>
      <c r="AC977" s="293" t="s">
        <v>39</v>
      </c>
      <c r="AD977" s="294" t="s">
        <v>32</v>
      </c>
      <c r="AE977" s="286">
        <f t="shared" ref="AE977:AE978" si="1646">SUM(AF977:AQ977)</f>
        <v>0</v>
      </c>
      <c r="AF977" s="287">
        <f t="shared" ref="AF977:AQ978" si="1647">SUM(AF995,AF1013)</f>
        <v>0</v>
      </c>
      <c r="AG977" s="288">
        <f t="shared" si="1647"/>
        <v>0</v>
      </c>
      <c r="AH977" s="288">
        <f t="shared" si="1647"/>
        <v>0</v>
      </c>
      <c r="AI977" s="288">
        <f t="shared" si="1647"/>
        <v>0</v>
      </c>
      <c r="AJ977" s="288">
        <f t="shared" si="1647"/>
        <v>0</v>
      </c>
      <c r="AK977" s="288">
        <f t="shared" si="1647"/>
        <v>0</v>
      </c>
      <c r="AL977" s="288">
        <f t="shared" si="1647"/>
        <v>0</v>
      </c>
      <c r="AM977" s="288">
        <f t="shared" si="1647"/>
        <v>0</v>
      </c>
      <c r="AN977" s="288">
        <f t="shared" si="1647"/>
        <v>0</v>
      </c>
      <c r="AO977" s="288">
        <f t="shared" si="1647"/>
        <v>0</v>
      </c>
      <c r="AP977" s="288">
        <f t="shared" si="1647"/>
        <v>0</v>
      </c>
      <c r="AQ977" s="290">
        <f t="shared" si="1647"/>
        <v>0</v>
      </c>
    </row>
    <row r="978" spans="27:43" ht="7.8" customHeight="1" x14ac:dyDescent="0.25">
      <c r="AA978" s="291"/>
      <c r="AB978" s="303"/>
      <c r="AC978" s="304"/>
      <c r="AD978" s="305" t="s">
        <v>33</v>
      </c>
      <c r="AE978" s="298">
        <f t="shared" si="1646"/>
        <v>0</v>
      </c>
      <c r="AF978" s="299">
        <f t="shared" si="1647"/>
        <v>0</v>
      </c>
      <c r="AG978" s="300">
        <f t="shared" si="1647"/>
        <v>0</v>
      </c>
      <c r="AH978" s="300">
        <f t="shared" si="1647"/>
        <v>0</v>
      </c>
      <c r="AI978" s="300">
        <f t="shared" si="1647"/>
        <v>0</v>
      </c>
      <c r="AJ978" s="300">
        <f t="shared" si="1647"/>
        <v>0</v>
      </c>
      <c r="AK978" s="300">
        <f t="shared" si="1647"/>
        <v>0</v>
      </c>
      <c r="AL978" s="300">
        <f t="shared" si="1647"/>
        <v>0</v>
      </c>
      <c r="AM978" s="300">
        <f t="shared" si="1647"/>
        <v>0</v>
      </c>
      <c r="AN978" s="300">
        <f t="shared" si="1647"/>
        <v>0</v>
      </c>
      <c r="AO978" s="300">
        <f t="shared" si="1647"/>
        <v>0</v>
      </c>
      <c r="AP978" s="300">
        <f t="shared" si="1647"/>
        <v>0</v>
      </c>
      <c r="AQ978" s="302">
        <f t="shared" si="1647"/>
        <v>0</v>
      </c>
    </row>
    <row r="979" spans="27:43" ht="7.8" customHeight="1" x14ac:dyDescent="0.25">
      <c r="AA979" s="291"/>
      <c r="AB979" s="303"/>
      <c r="AC979" s="313"/>
      <c r="AD979" s="314" t="s">
        <v>30</v>
      </c>
      <c r="AE979" s="308">
        <f t="shared" ref="AE979:AQ979" si="1648">IFERROR(AE978/AE977,0)</f>
        <v>0</v>
      </c>
      <c r="AF979" s="309">
        <f t="shared" si="1648"/>
        <v>0</v>
      </c>
      <c r="AG979" s="310">
        <f t="shared" si="1648"/>
        <v>0</v>
      </c>
      <c r="AH979" s="310">
        <f t="shared" si="1648"/>
        <v>0</v>
      </c>
      <c r="AI979" s="310">
        <f t="shared" si="1648"/>
        <v>0</v>
      </c>
      <c r="AJ979" s="310">
        <f t="shared" si="1648"/>
        <v>0</v>
      </c>
      <c r="AK979" s="310">
        <f t="shared" si="1648"/>
        <v>0</v>
      </c>
      <c r="AL979" s="310">
        <f t="shared" si="1648"/>
        <v>0</v>
      </c>
      <c r="AM979" s="310">
        <f t="shared" si="1648"/>
        <v>0</v>
      </c>
      <c r="AN979" s="310">
        <f t="shared" si="1648"/>
        <v>0</v>
      </c>
      <c r="AO979" s="310">
        <f t="shared" si="1648"/>
        <v>0</v>
      </c>
      <c r="AP979" s="310">
        <f t="shared" si="1648"/>
        <v>0</v>
      </c>
      <c r="AQ979" s="312">
        <f t="shared" si="1648"/>
        <v>0</v>
      </c>
    </row>
    <row r="980" spans="27:43" ht="7.8" customHeight="1" x14ac:dyDescent="0.25">
      <c r="AA980" s="291"/>
      <c r="AB980" s="303"/>
      <c r="AC980" s="322" t="s">
        <v>40</v>
      </c>
      <c r="AD980" s="323" t="s">
        <v>32</v>
      </c>
      <c r="AE980" s="317">
        <f t="shared" ref="AE980:AE981" si="1649">SUM(AF980:AQ980)</f>
        <v>2633</v>
      </c>
      <c r="AF980" s="318">
        <f t="shared" ref="AF980:AQ981" si="1650">SUM(AF998,AF1016)</f>
        <v>397</v>
      </c>
      <c r="AG980" s="319">
        <f t="shared" si="1650"/>
        <v>328</v>
      </c>
      <c r="AH980" s="319">
        <f t="shared" si="1650"/>
        <v>143</v>
      </c>
      <c r="AI980" s="319">
        <f t="shared" si="1650"/>
        <v>132</v>
      </c>
      <c r="AJ980" s="319">
        <f t="shared" si="1650"/>
        <v>146</v>
      </c>
      <c r="AK980" s="319">
        <f t="shared" si="1650"/>
        <v>151</v>
      </c>
      <c r="AL980" s="319">
        <f t="shared" si="1650"/>
        <v>214</v>
      </c>
      <c r="AM980" s="319">
        <f t="shared" si="1650"/>
        <v>162</v>
      </c>
      <c r="AN980" s="319">
        <f t="shared" si="1650"/>
        <v>192</v>
      </c>
      <c r="AO980" s="319">
        <f t="shared" si="1650"/>
        <v>168</v>
      </c>
      <c r="AP980" s="319">
        <f t="shared" si="1650"/>
        <v>245</v>
      </c>
      <c r="AQ980" s="321">
        <f t="shared" si="1650"/>
        <v>355</v>
      </c>
    </row>
    <row r="981" spans="27:43" ht="7.8" customHeight="1" x14ac:dyDescent="0.25">
      <c r="AA981" s="291"/>
      <c r="AB981" s="303"/>
      <c r="AC981" s="304"/>
      <c r="AD981" s="305" t="s">
        <v>33</v>
      </c>
      <c r="AE981" s="298">
        <f t="shared" si="1649"/>
        <v>439186</v>
      </c>
      <c r="AF981" s="299">
        <f t="shared" si="1650"/>
        <v>73745</v>
      </c>
      <c r="AG981" s="300">
        <f t="shared" si="1650"/>
        <v>61164</v>
      </c>
      <c r="AH981" s="300">
        <f t="shared" si="1650"/>
        <v>22867</v>
      </c>
      <c r="AI981" s="300">
        <f t="shared" si="1650"/>
        <v>20032</v>
      </c>
      <c r="AJ981" s="300">
        <f t="shared" si="1650"/>
        <v>22133</v>
      </c>
      <c r="AK981" s="300">
        <f t="shared" si="1650"/>
        <v>24070</v>
      </c>
      <c r="AL981" s="300">
        <f t="shared" si="1650"/>
        <v>40697</v>
      </c>
      <c r="AM981" s="300">
        <f t="shared" si="1650"/>
        <v>26912</v>
      </c>
      <c r="AN981" s="300">
        <f t="shared" si="1650"/>
        <v>30352</v>
      </c>
      <c r="AO981" s="300">
        <f t="shared" si="1650"/>
        <v>25860</v>
      </c>
      <c r="AP981" s="300">
        <f t="shared" si="1650"/>
        <v>37620</v>
      </c>
      <c r="AQ981" s="302">
        <f t="shared" si="1650"/>
        <v>53734</v>
      </c>
    </row>
    <row r="982" spans="27:43" ht="7.8" customHeight="1" x14ac:dyDescent="0.25">
      <c r="AA982" s="291"/>
      <c r="AB982" s="303"/>
      <c r="AC982" s="313"/>
      <c r="AD982" s="314" t="s">
        <v>30</v>
      </c>
      <c r="AE982" s="308">
        <f t="shared" ref="AE982:AQ982" si="1651">IFERROR(AE981/AE980,0)</f>
        <v>166.80060767185719</v>
      </c>
      <c r="AF982" s="309">
        <f t="shared" si="1651"/>
        <v>185.75566750629724</v>
      </c>
      <c r="AG982" s="310">
        <f t="shared" si="1651"/>
        <v>186.47560975609755</v>
      </c>
      <c r="AH982" s="310">
        <f t="shared" si="1651"/>
        <v>159.90909090909091</v>
      </c>
      <c r="AI982" s="310">
        <f t="shared" si="1651"/>
        <v>151.75757575757575</v>
      </c>
      <c r="AJ982" s="310">
        <f t="shared" si="1651"/>
        <v>151.5958904109589</v>
      </c>
      <c r="AK982" s="310">
        <f t="shared" si="1651"/>
        <v>159.40397350993376</v>
      </c>
      <c r="AL982" s="310">
        <f t="shared" si="1651"/>
        <v>190.17289719626169</v>
      </c>
      <c r="AM982" s="310">
        <f t="shared" si="1651"/>
        <v>166.12345679012347</v>
      </c>
      <c r="AN982" s="310">
        <f t="shared" si="1651"/>
        <v>158.08333333333334</v>
      </c>
      <c r="AO982" s="310">
        <f t="shared" si="1651"/>
        <v>153.92857142857142</v>
      </c>
      <c r="AP982" s="310">
        <f t="shared" si="1651"/>
        <v>153.55102040816325</v>
      </c>
      <c r="AQ982" s="312">
        <f t="shared" si="1651"/>
        <v>151.36338028169016</v>
      </c>
    </row>
    <row r="983" spans="27:43" ht="7.8" customHeight="1" x14ac:dyDescent="0.25">
      <c r="AA983" s="291"/>
      <c r="AB983" s="303"/>
      <c r="AC983" s="322" t="s">
        <v>41</v>
      </c>
      <c r="AD983" s="323" t="s">
        <v>32</v>
      </c>
      <c r="AE983" s="317">
        <f t="shared" ref="AE983:AE984" si="1652">SUM(AF983:AQ983)</f>
        <v>1656</v>
      </c>
      <c r="AF983" s="318">
        <f t="shared" ref="AF983:AQ984" si="1653">SUM(AF1001,AF1019)</f>
        <v>273</v>
      </c>
      <c r="AG983" s="319">
        <f t="shared" si="1653"/>
        <v>336</v>
      </c>
      <c r="AH983" s="319">
        <f t="shared" si="1653"/>
        <v>223</v>
      </c>
      <c r="AI983" s="319">
        <f t="shared" si="1653"/>
        <v>230</v>
      </c>
      <c r="AJ983" s="319">
        <f t="shared" si="1653"/>
        <v>232</v>
      </c>
      <c r="AK983" s="319">
        <f t="shared" si="1653"/>
        <v>147</v>
      </c>
      <c r="AL983" s="319">
        <f t="shared" si="1653"/>
        <v>125</v>
      </c>
      <c r="AM983" s="319">
        <f t="shared" si="1653"/>
        <v>90</v>
      </c>
      <c r="AN983" s="319">
        <f t="shared" si="1653"/>
        <v>0</v>
      </c>
      <c r="AO983" s="319">
        <f t="shared" si="1653"/>
        <v>0</v>
      </c>
      <c r="AP983" s="319">
        <f t="shared" si="1653"/>
        <v>0</v>
      </c>
      <c r="AQ983" s="321">
        <f t="shared" si="1653"/>
        <v>0</v>
      </c>
    </row>
    <row r="984" spans="27:43" ht="7.8" customHeight="1" x14ac:dyDescent="0.25">
      <c r="AA984" s="291"/>
      <c r="AB984" s="303"/>
      <c r="AC984" s="304"/>
      <c r="AD984" s="305" t="s">
        <v>33</v>
      </c>
      <c r="AE984" s="298">
        <f t="shared" si="1652"/>
        <v>284707</v>
      </c>
      <c r="AF984" s="299">
        <f t="shared" si="1653"/>
        <v>52411</v>
      </c>
      <c r="AG984" s="300">
        <f t="shared" si="1653"/>
        <v>63721</v>
      </c>
      <c r="AH984" s="300">
        <f t="shared" si="1653"/>
        <v>34536</v>
      </c>
      <c r="AI984" s="300">
        <f t="shared" si="1653"/>
        <v>35173</v>
      </c>
      <c r="AJ984" s="300">
        <f t="shared" si="1653"/>
        <v>35365</v>
      </c>
      <c r="AK984" s="300">
        <f t="shared" si="1653"/>
        <v>23353</v>
      </c>
      <c r="AL984" s="300">
        <f t="shared" si="1653"/>
        <v>23718</v>
      </c>
      <c r="AM984" s="300">
        <f t="shared" si="1653"/>
        <v>16430</v>
      </c>
      <c r="AN984" s="300">
        <f t="shared" si="1653"/>
        <v>0</v>
      </c>
      <c r="AO984" s="300">
        <f t="shared" si="1653"/>
        <v>0</v>
      </c>
      <c r="AP984" s="300">
        <f t="shared" si="1653"/>
        <v>0</v>
      </c>
      <c r="AQ984" s="302">
        <f t="shared" si="1653"/>
        <v>0</v>
      </c>
    </row>
    <row r="985" spans="27:43" ht="7.8" customHeight="1" x14ac:dyDescent="0.25">
      <c r="AA985" s="291"/>
      <c r="AB985" s="303"/>
      <c r="AC985" s="313"/>
      <c r="AD985" s="314" t="s">
        <v>30</v>
      </c>
      <c r="AE985" s="308">
        <f t="shared" ref="AE985:AQ985" si="1654">IFERROR(AE984/AE983,0)</f>
        <v>171.92451690821255</v>
      </c>
      <c r="AF985" s="309">
        <f t="shared" si="1654"/>
        <v>191.98168498168499</v>
      </c>
      <c r="AG985" s="310">
        <f t="shared" si="1654"/>
        <v>189.64583333333334</v>
      </c>
      <c r="AH985" s="310">
        <f t="shared" si="1654"/>
        <v>154.86995515695068</v>
      </c>
      <c r="AI985" s="310">
        <f t="shared" si="1654"/>
        <v>152.92608695652174</v>
      </c>
      <c r="AJ985" s="310">
        <f t="shared" si="1654"/>
        <v>152.43534482758622</v>
      </c>
      <c r="AK985" s="310">
        <f t="shared" si="1654"/>
        <v>158.8639455782313</v>
      </c>
      <c r="AL985" s="310">
        <f t="shared" si="1654"/>
        <v>189.744</v>
      </c>
      <c r="AM985" s="310">
        <f t="shared" si="1654"/>
        <v>182.55555555555554</v>
      </c>
      <c r="AN985" s="310">
        <f t="shared" si="1654"/>
        <v>0</v>
      </c>
      <c r="AO985" s="310">
        <f t="shared" si="1654"/>
        <v>0</v>
      </c>
      <c r="AP985" s="310">
        <f t="shared" si="1654"/>
        <v>0</v>
      </c>
      <c r="AQ985" s="312">
        <f t="shared" si="1654"/>
        <v>0</v>
      </c>
    </row>
    <row r="986" spans="27:43" ht="7.8" customHeight="1" x14ac:dyDescent="0.25">
      <c r="AA986" s="291"/>
      <c r="AB986" s="303"/>
      <c r="AC986" s="527" t="s">
        <v>42</v>
      </c>
      <c r="AD986" s="528" t="s">
        <v>32</v>
      </c>
      <c r="AE986" s="333">
        <f t="shared" ref="AE986:AE987" si="1655">SUM(AF986:AQ986)</f>
        <v>1200</v>
      </c>
      <c r="AF986" s="334">
        <f t="shared" ref="AF986:AQ987" si="1656">SUM(AF1004,AF1022)</f>
        <v>100</v>
      </c>
      <c r="AG986" s="335">
        <f t="shared" si="1656"/>
        <v>100</v>
      </c>
      <c r="AH986" s="335">
        <f t="shared" si="1656"/>
        <v>100</v>
      </c>
      <c r="AI986" s="335">
        <f t="shared" si="1656"/>
        <v>100</v>
      </c>
      <c r="AJ986" s="335">
        <f t="shared" si="1656"/>
        <v>100</v>
      </c>
      <c r="AK986" s="335">
        <f t="shared" si="1656"/>
        <v>100</v>
      </c>
      <c r="AL986" s="335">
        <f t="shared" si="1656"/>
        <v>100</v>
      </c>
      <c r="AM986" s="335">
        <f t="shared" si="1656"/>
        <v>100</v>
      </c>
      <c r="AN986" s="335">
        <f t="shared" si="1656"/>
        <v>100</v>
      </c>
      <c r="AO986" s="335">
        <f t="shared" si="1656"/>
        <v>100</v>
      </c>
      <c r="AP986" s="335">
        <f t="shared" si="1656"/>
        <v>100</v>
      </c>
      <c r="AQ986" s="336">
        <f t="shared" si="1656"/>
        <v>100</v>
      </c>
    </row>
    <row r="987" spans="27:43" ht="7.8" customHeight="1" x14ac:dyDescent="0.25">
      <c r="AA987" s="291"/>
      <c r="AB987" s="303"/>
      <c r="AC987" s="522"/>
      <c r="AD987" s="523" t="s">
        <v>33</v>
      </c>
      <c r="AE987" s="346">
        <f t="shared" si="1655"/>
        <v>222000</v>
      </c>
      <c r="AF987" s="347">
        <f t="shared" si="1656"/>
        <v>18500</v>
      </c>
      <c r="AG987" s="348">
        <f t="shared" si="1656"/>
        <v>18500</v>
      </c>
      <c r="AH987" s="348">
        <f t="shared" si="1656"/>
        <v>18500</v>
      </c>
      <c r="AI987" s="348">
        <f t="shared" si="1656"/>
        <v>18500</v>
      </c>
      <c r="AJ987" s="348">
        <f t="shared" si="1656"/>
        <v>18500</v>
      </c>
      <c r="AK987" s="348">
        <f t="shared" si="1656"/>
        <v>18500</v>
      </c>
      <c r="AL987" s="348">
        <f t="shared" si="1656"/>
        <v>18500</v>
      </c>
      <c r="AM987" s="348">
        <f t="shared" si="1656"/>
        <v>18500</v>
      </c>
      <c r="AN987" s="348">
        <f t="shared" si="1656"/>
        <v>18500</v>
      </c>
      <c r="AO987" s="348">
        <f t="shared" si="1656"/>
        <v>18500</v>
      </c>
      <c r="AP987" s="348">
        <f t="shared" si="1656"/>
        <v>18500</v>
      </c>
      <c r="AQ987" s="349">
        <f t="shared" si="1656"/>
        <v>18500</v>
      </c>
    </row>
    <row r="988" spans="27:43" ht="7.8" customHeight="1" x14ac:dyDescent="0.25">
      <c r="AA988" s="291"/>
      <c r="AB988" s="303"/>
      <c r="AC988" s="524"/>
      <c r="AD988" s="525" t="s">
        <v>30</v>
      </c>
      <c r="AE988" s="359">
        <f t="shared" ref="AE988:AQ988" si="1657">IFERROR(AE987/AE986,0)</f>
        <v>185</v>
      </c>
      <c r="AF988" s="360">
        <f t="shared" si="1657"/>
        <v>185</v>
      </c>
      <c r="AG988" s="361">
        <f t="shared" si="1657"/>
        <v>185</v>
      </c>
      <c r="AH988" s="361">
        <f t="shared" si="1657"/>
        <v>185</v>
      </c>
      <c r="AI988" s="361">
        <f t="shared" si="1657"/>
        <v>185</v>
      </c>
      <c r="AJ988" s="361">
        <f t="shared" si="1657"/>
        <v>185</v>
      </c>
      <c r="AK988" s="361">
        <f t="shared" si="1657"/>
        <v>185</v>
      </c>
      <c r="AL988" s="361">
        <f t="shared" si="1657"/>
        <v>185</v>
      </c>
      <c r="AM988" s="361">
        <f t="shared" si="1657"/>
        <v>185</v>
      </c>
      <c r="AN988" s="361">
        <f t="shared" si="1657"/>
        <v>185</v>
      </c>
      <c r="AO988" s="361">
        <f t="shared" si="1657"/>
        <v>185</v>
      </c>
      <c r="AP988" s="361">
        <f t="shared" si="1657"/>
        <v>185</v>
      </c>
      <c r="AQ988" s="362">
        <f t="shared" si="1657"/>
        <v>185</v>
      </c>
    </row>
    <row r="989" spans="27:43" ht="7.8" customHeight="1" x14ac:dyDescent="0.25">
      <c r="AA989" s="291"/>
      <c r="AB989" s="303"/>
      <c r="AC989" s="364" t="s">
        <v>43</v>
      </c>
      <c r="AD989" s="323" t="s">
        <v>32</v>
      </c>
      <c r="AE989" s="317">
        <f t="shared" ref="AE989:AQ991" si="1658">AE986-AE983</f>
        <v>-456</v>
      </c>
      <c r="AF989" s="318">
        <f t="shared" si="1658"/>
        <v>-173</v>
      </c>
      <c r="AG989" s="319">
        <f t="shared" si="1658"/>
        <v>-236</v>
      </c>
      <c r="AH989" s="319">
        <f t="shared" si="1658"/>
        <v>-123</v>
      </c>
      <c r="AI989" s="319">
        <f t="shared" si="1658"/>
        <v>-130</v>
      </c>
      <c r="AJ989" s="319">
        <f t="shared" si="1658"/>
        <v>-132</v>
      </c>
      <c r="AK989" s="319">
        <f t="shared" si="1658"/>
        <v>-47</v>
      </c>
      <c r="AL989" s="319">
        <f t="shared" si="1658"/>
        <v>-25</v>
      </c>
      <c r="AM989" s="319">
        <f t="shared" si="1658"/>
        <v>10</v>
      </c>
      <c r="AN989" s="319">
        <f t="shared" si="1658"/>
        <v>100</v>
      </c>
      <c r="AO989" s="319">
        <f t="shared" si="1658"/>
        <v>100</v>
      </c>
      <c r="AP989" s="319">
        <f t="shared" si="1658"/>
        <v>100</v>
      </c>
      <c r="AQ989" s="321">
        <f t="shared" si="1658"/>
        <v>100</v>
      </c>
    </row>
    <row r="990" spans="27:43" ht="7.8" customHeight="1" x14ac:dyDescent="0.25">
      <c r="AA990" s="291"/>
      <c r="AB990" s="303"/>
      <c r="AC990" s="367"/>
      <c r="AD990" s="368" t="s">
        <v>33</v>
      </c>
      <c r="AE990" s="298">
        <f t="shared" si="1658"/>
        <v>-62707</v>
      </c>
      <c r="AF990" s="299">
        <f t="shared" si="1658"/>
        <v>-33911</v>
      </c>
      <c r="AG990" s="300">
        <f t="shared" si="1658"/>
        <v>-45221</v>
      </c>
      <c r="AH990" s="300">
        <f t="shared" si="1658"/>
        <v>-16036</v>
      </c>
      <c r="AI990" s="300">
        <f t="shared" si="1658"/>
        <v>-16673</v>
      </c>
      <c r="AJ990" s="300">
        <f t="shared" si="1658"/>
        <v>-16865</v>
      </c>
      <c r="AK990" s="300">
        <f t="shared" si="1658"/>
        <v>-4853</v>
      </c>
      <c r="AL990" s="300">
        <f t="shared" si="1658"/>
        <v>-5218</v>
      </c>
      <c r="AM990" s="300">
        <f t="shared" si="1658"/>
        <v>2070</v>
      </c>
      <c r="AN990" s="300">
        <f t="shared" si="1658"/>
        <v>18500</v>
      </c>
      <c r="AO990" s="300">
        <f t="shared" si="1658"/>
        <v>18500</v>
      </c>
      <c r="AP990" s="300">
        <f t="shared" si="1658"/>
        <v>18500</v>
      </c>
      <c r="AQ990" s="302">
        <f t="shared" si="1658"/>
        <v>18500</v>
      </c>
    </row>
    <row r="991" spans="27:43" ht="7.8" customHeight="1" x14ac:dyDescent="0.25">
      <c r="AA991" s="291"/>
      <c r="AB991" s="303"/>
      <c r="AC991" s="369"/>
      <c r="AD991" s="314" t="s">
        <v>30</v>
      </c>
      <c r="AE991" s="308">
        <f t="shared" si="1658"/>
        <v>13.075483091787447</v>
      </c>
      <c r="AF991" s="309">
        <f t="shared" si="1658"/>
        <v>-6.9816849816849924</v>
      </c>
      <c r="AG991" s="310">
        <f t="shared" si="1658"/>
        <v>-4.6458333333333428</v>
      </c>
      <c r="AH991" s="310">
        <f t="shared" si="1658"/>
        <v>30.130044843049319</v>
      </c>
      <c r="AI991" s="310">
        <f t="shared" si="1658"/>
        <v>32.073913043478257</v>
      </c>
      <c r="AJ991" s="310">
        <f t="shared" si="1658"/>
        <v>32.564655172413779</v>
      </c>
      <c r="AK991" s="310">
        <f t="shared" si="1658"/>
        <v>26.136054421768705</v>
      </c>
      <c r="AL991" s="310">
        <f t="shared" si="1658"/>
        <v>-4.7439999999999998</v>
      </c>
      <c r="AM991" s="310">
        <f t="shared" si="1658"/>
        <v>2.4444444444444571</v>
      </c>
      <c r="AN991" s="310">
        <f t="shared" si="1658"/>
        <v>185</v>
      </c>
      <c r="AO991" s="310">
        <f t="shared" si="1658"/>
        <v>185</v>
      </c>
      <c r="AP991" s="310">
        <f t="shared" si="1658"/>
        <v>185</v>
      </c>
      <c r="AQ991" s="312">
        <f t="shared" si="1658"/>
        <v>185</v>
      </c>
    </row>
    <row r="992" spans="27:43" ht="7.8" customHeight="1" x14ac:dyDescent="0.25">
      <c r="AA992" s="291"/>
      <c r="AB992" s="303"/>
      <c r="AC992" s="364" t="s">
        <v>44</v>
      </c>
      <c r="AD992" s="323" t="s">
        <v>32</v>
      </c>
      <c r="AE992" s="370">
        <f t="shared" ref="AE992:AQ994" si="1659">IFERROR((AE986-AE983)/ABS(AE983),"")</f>
        <v>-0.27536231884057971</v>
      </c>
      <c r="AF992" s="371">
        <f t="shared" si="1659"/>
        <v>-0.63369963369963367</v>
      </c>
      <c r="AG992" s="372">
        <f t="shared" si="1659"/>
        <v>-0.70238095238095233</v>
      </c>
      <c r="AH992" s="372">
        <f t="shared" si="1659"/>
        <v>-0.55156950672645744</v>
      </c>
      <c r="AI992" s="372">
        <f t="shared" si="1659"/>
        <v>-0.56521739130434778</v>
      </c>
      <c r="AJ992" s="372">
        <f t="shared" si="1659"/>
        <v>-0.56896551724137934</v>
      </c>
      <c r="AK992" s="372">
        <f t="shared" si="1659"/>
        <v>-0.31972789115646261</v>
      </c>
      <c r="AL992" s="372">
        <f t="shared" si="1659"/>
        <v>-0.2</v>
      </c>
      <c r="AM992" s="372">
        <f t="shared" si="1659"/>
        <v>0.1111111111111111</v>
      </c>
      <c r="AN992" s="372" t="str">
        <f t="shared" si="1659"/>
        <v/>
      </c>
      <c r="AO992" s="372" t="str">
        <f t="shared" si="1659"/>
        <v/>
      </c>
      <c r="AP992" s="372" t="str">
        <f t="shared" si="1659"/>
        <v/>
      </c>
      <c r="AQ992" s="374" t="str">
        <f t="shared" si="1659"/>
        <v/>
      </c>
    </row>
    <row r="993" spans="27:43" ht="7.8" customHeight="1" x14ac:dyDescent="0.25">
      <c r="AA993" s="291"/>
      <c r="AB993" s="303"/>
      <c r="AC993" s="367"/>
      <c r="AD993" s="381" t="s">
        <v>33</v>
      </c>
      <c r="AE993" s="376">
        <f t="shared" si="1659"/>
        <v>-0.22025099488245811</v>
      </c>
      <c r="AF993" s="377">
        <f t="shared" si="1659"/>
        <v>-0.6470206636011524</v>
      </c>
      <c r="AG993" s="378">
        <f t="shared" si="1659"/>
        <v>-0.70967185072425099</v>
      </c>
      <c r="AH993" s="378">
        <f t="shared" si="1659"/>
        <v>-0.46432707899003939</v>
      </c>
      <c r="AI993" s="378">
        <f t="shared" si="1659"/>
        <v>-0.47402837403690329</v>
      </c>
      <c r="AJ993" s="378">
        <f t="shared" si="1659"/>
        <v>-0.47688392478439134</v>
      </c>
      <c r="AK993" s="378">
        <f t="shared" si="1659"/>
        <v>-0.20781055967113432</v>
      </c>
      <c r="AL993" s="378">
        <f t="shared" si="1659"/>
        <v>-0.22000168648284005</v>
      </c>
      <c r="AM993" s="378">
        <f t="shared" si="1659"/>
        <v>0.12598904443091904</v>
      </c>
      <c r="AN993" s="378" t="str">
        <f t="shared" si="1659"/>
        <v/>
      </c>
      <c r="AO993" s="378" t="str">
        <f t="shared" si="1659"/>
        <v/>
      </c>
      <c r="AP993" s="378" t="str">
        <f t="shared" si="1659"/>
        <v/>
      </c>
      <c r="AQ993" s="380" t="str">
        <f t="shared" si="1659"/>
        <v/>
      </c>
    </row>
    <row r="994" spans="27:43" ht="7.8" customHeight="1" x14ac:dyDescent="0.25">
      <c r="AA994" s="291"/>
      <c r="AB994" s="390"/>
      <c r="AC994" s="391"/>
      <c r="AD994" s="392" t="s">
        <v>30</v>
      </c>
      <c r="AE994" s="385">
        <f t="shared" si="1659"/>
        <v>7.6053627062207863E-2</v>
      </c>
      <c r="AF994" s="386">
        <f t="shared" si="1659"/>
        <v>-3.6366411631146185E-2</v>
      </c>
      <c r="AG994" s="387">
        <f t="shared" si="1659"/>
        <v>-2.4497418433483516E-2</v>
      </c>
      <c r="AH994" s="387">
        <f t="shared" si="1659"/>
        <v>0.19455061385221212</v>
      </c>
      <c r="AI994" s="387">
        <f t="shared" si="1659"/>
        <v>0.20973473971512235</v>
      </c>
      <c r="AJ994" s="387">
        <f t="shared" si="1659"/>
        <v>0.21362929450021195</v>
      </c>
      <c r="AK994" s="387">
        <f t="shared" si="1659"/>
        <v>0.16451847728343252</v>
      </c>
      <c r="AL994" s="387">
        <f t="shared" si="1659"/>
        <v>-2.5002108103550046E-2</v>
      </c>
      <c r="AM994" s="387">
        <f t="shared" si="1659"/>
        <v>1.3390139987827216E-2</v>
      </c>
      <c r="AN994" s="387" t="str">
        <f t="shared" si="1659"/>
        <v/>
      </c>
      <c r="AO994" s="387" t="str">
        <f t="shared" si="1659"/>
        <v/>
      </c>
      <c r="AP994" s="387" t="str">
        <f t="shared" si="1659"/>
        <v/>
      </c>
      <c r="AQ994" s="389" t="str">
        <f t="shared" si="1659"/>
        <v/>
      </c>
    </row>
    <row r="995" spans="27:43" ht="7.8" customHeight="1" x14ac:dyDescent="0.25">
      <c r="AA995" s="291"/>
      <c r="AB995" s="401" t="s">
        <v>48</v>
      </c>
      <c r="AC995" s="402" t="s">
        <v>39</v>
      </c>
      <c r="AD995" s="403" t="s">
        <v>32</v>
      </c>
      <c r="AE995" s="396">
        <f t="shared" ref="AE995:AE996" si="1660">SUM(AF995:AQ995)</f>
        <v>0</v>
      </c>
      <c r="AF995" s="397">
        <f>$X$77</f>
        <v>0</v>
      </c>
      <c r="AG995" s="398">
        <f>$X$131</f>
        <v>0</v>
      </c>
      <c r="AH995" s="398">
        <f>$X$185</f>
        <v>0</v>
      </c>
      <c r="AI995" s="398">
        <f>$X$239</f>
        <v>0</v>
      </c>
      <c r="AJ995" s="398">
        <f>$X$293</f>
        <v>0</v>
      </c>
      <c r="AK995" s="398">
        <f>$X$347</f>
        <v>0</v>
      </c>
      <c r="AL995" s="398">
        <f>$X$401</f>
        <v>0</v>
      </c>
      <c r="AM995" s="398">
        <f>$X$455</f>
        <v>0</v>
      </c>
      <c r="AN995" s="398">
        <f>$X$509</f>
        <v>0</v>
      </c>
      <c r="AO995" s="398">
        <f>$X$563</f>
        <v>0</v>
      </c>
      <c r="AP995" s="398">
        <f>$X$617</f>
        <v>0</v>
      </c>
      <c r="AQ995" s="400">
        <f>$X$671</f>
        <v>0</v>
      </c>
    </row>
    <row r="996" spans="27:43" ht="7.8" customHeight="1" x14ac:dyDescent="0.25">
      <c r="AA996" s="291"/>
      <c r="AB996" s="412"/>
      <c r="AC996" s="413"/>
      <c r="AD996" s="414" t="s">
        <v>33</v>
      </c>
      <c r="AE996" s="407">
        <f t="shared" si="1660"/>
        <v>0</v>
      </c>
      <c r="AF996" s="408">
        <f>$X$78</f>
        <v>0</v>
      </c>
      <c r="AG996" s="409">
        <f>$X$132</f>
        <v>0</v>
      </c>
      <c r="AH996" s="409">
        <f>$X$186</f>
        <v>0</v>
      </c>
      <c r="AI996" s="409">
        <f>$X$240</f>
        <v>0</v>
      </c>
      <c r="AJ996" s="409">
        <f>$X$294</f>
        <v>0</v>
      </c>
      <c r="AK996" s="409">
        <f>$X$348</f>
        <v>0</v>
      </c>
      <c r="AL996" s="409">
        <f>$X$402</f>
        <v>0</v>
      </c>
      <c r="AM996" s="409">
        <f>$X$456</f>
        <v>0</v>
      </c>
      <c r="AN996" s="409">
        <f>$X$510</f>
        <v>0</v>
      </c>
      <c r="AO996" s="409">
        <f>$X$564</f>
        <v>0</v>
      </c>
      <c r="AP996" s="409">
        <f>$X$618</f>
        <v>0</v>
      </c>
      <c r="AQ996" s="411">
        <f>$X$672</f>
        <v>0</v>
      </c>
    </row>
    <row r="997" spans="27:43" ht="7.8" customHeight="1" x14ac:dyDescent="0.25">
      <c r="AA997" s="291"/>
      <c r="AB997" s="412"/>
      <c r="AC997" s="422"/>
      <c r="AD997" s="423" t="s">
        <v>30</v>
      </c>
      <c r="AE997" s="417">
        <f t="shared" ref="AE997:AQ997" si="1661">IFERROR(AE996/AE995,0)</f>
        <v>0</v>
      </c>
      <c r="AF997" s="418">
        <f t="shared" si="1661"/>
        <v>0</v>
      </c>
      <c r="AG997" s="419">
        <f t="shared" si="1661"/>
        <v>0</v>
      </c>
      <c r="AH997" s="419">
        <f t="shared" si="1661"/>
        <v>0</v>
      </c>
      <c r="AI997" s="419">
        <f t="shared" si="1661"/>
        <v>0</v>
      </c>
      <c r="AJ997" s="419">
        <f t="shared" si="1661"/>
        <v>0</v>
      </c>
      <c r="AK997" s="419">
        <f t="shared" si="1661"/>
        <v>0</v>
      </c>
      <c r="AL997" s="419">
        <f t="shared" si="1661"/>
        <v>0</v>
      </c>
      <c r="AM997" s="419">
        <f t="shared" si="1661"/>
        <v>0</v>
      </c>
      <c r="AN997" s="419">
        <f t="shared" si="1661"/>
        <v>0</v>
      </c>
      <c r="AO997" s="419">
        <f t="shared" si="1661"/>
        <v>0</v>
      </c>
      <c r="AP997" s="419">
        <f t="shared" si="1661"/>
        <v>0</v>
      </c>
      <c r="AQ997" s="421">
        <f t="shared" si="1661"/>
        <v>0</v>
      </c>
    </row>
    <row r="998" spans="27:43" ht="7.8" customHeight="1" x14ac:dyDescent="0.25">
      <c r="AA998" s="291"/>
      <c r="AB998" s="412"/>
      <c r="AC998" s="431" t="s">
        <v>40</v>
      </c>
      <c r="AD998" s="432" t="s">
        <v>32</v>
      </c>
      <c r="AE998" s="426">
        <f t="shared" ref="AE998:AE999" si="1662">SUM(AF998:AQ998)</f>
        <v>1776</v>
      </c>
      <c r="AF998" s="427">
        <f>$X$80</f>
        <v>262</v>
      </c>
      <c r="AG998" s="428">
        <f>$X$134</f>
        <v>222</v>
      </c>
      <c r="AH998" s="428">
        <f>$X$188</f>
        <v>87</v>
      </c>
      <c r="AI998" s="428">
        <f>$X$242</f>
        <v>97</v>
      </c>
      <c r="AJ998" s="428">
        <f>$X$296</f>
        <v>95</v>
      </c>
      <c r="AK998" s="428">
        <f>$X$350</f>
        <v>112</v>
      </c>
      <c r="AL998" s="428">
        <f>$X$404</f>
        <v>147</v>
      </c>
      <c r="AM998" s="428">
        <f>$X$458</f>
        <v>99</v>
      </c>
      <c r="AN998" s="428">
        <f>$X$512</f>
        <v>136</v>
      </c>
      <c r="AO998" s="428">
        <f>$X$566</f>
        <v>117</v>
      </c>
      <c r="AP998" s="428">
        <f>$X$620</f>
        <v>157</v>
      </c>
      <c r="AQ998" s="430">
        <f>$X$674</f>
        <v>245</v>
      </c>
    </row>
    <row r="999" spans="27:43" ht="7.8" customHeight="1" x14ac:dyDescent="0.25">
      <c r="AA999" s="291"/>
      <c r="AB999" s="412"/>
      <c r="AC999" s="413"/>
      <c r="AD999" s="414" t="s">
        <v>33</v>
      </c>
      <c r="AE999" s="407">
        <f t="shared" si="1662"/>
        <v>296669</v>
      </c>
      <c r="AF999" s="408">
        <f>$X$81</f>
        <v>48914</v>
      </c>
      <c r="AG999" s="409">
        <f>$X$135</f>
        <v>41841</v>
      </c>
      <c r="AH999" s="409">
        <f>$X$189</f>
        <v>13900</v>
      </c>
      <c r="AI999" s="409">
        <f>$X$243</f>
        <v>14798</v>
      </c>
      <c r="AJ999" s="409">
        <f>$X$297</f>
        <v>14418</v>
      </c>
      <c r="AK999" s="409">
        <f>$X$351</f>
        <v>17828</v>
      </c>
      <c r="AL999" s="409">
        <f>$X$405</f>
        <v>28081</v>
      </c>
      <c r="AM999" s="409">
        <f>$X$459</f>
        <v>16489</v>
      </c>
      <c r="AN999" s="409">
        <f>$X$513</f>
        <v>21416</v>
      </c>
      <c r="AO999" s="409">
        <f>$X$567</f>
        <v>17982</v>
      </c>
      <c r="AP999" s="409">
        <f>$X$621</f>
        <v>24235</v>
      </c>
      <c r="AQ999" s="411">
        <f>$X$675</f>
        <v>36767</v>
      </c>
    </row>
    <row r="1000" spans="27:43" ht="7.8" customHeight="1" x14ac:dyDescent="0.25">
      <c r="AA1000" s="291"/>
      <c r="AB1000" s="412"/>
      <c r="AC1000" s="422"/>
      <c r="AD1000" s="423" t="s">
        <v>30</v>
      </c>
      <c r="AE1000" s="417">
        <f t="shared" ref="AE1000:AQ1000" si="1663">IFERROR(AE999/AE998,0)</f>
        <v>167.04335585585585</v>
      </c>
      <c r="AF1000" s="418">
        <f t="shared" si="1663"/>
        <v>186.69465648854961</v>
      </c>
      <c r="AG1000" s="419">
        <f t="shared" si="1663"/>
        <v>188.47297297297297</v>
      </c>
      <c r="AH1000" s="419">
        <f t="shared" si="1663"/>
        <v>159.77011494252875</v>
      </c>
      <c r="AI1000" s="419">
        <f t="shared" si="1663"/>
        <v>152.55670103092783</v>
      </c>
      <c r="AJ1000" s="419">
        <f t="shared" si="1663"/>
        <v>151.76842105263157</v>
      </c>
      <c r="AK1000" s="419">
        <f t="shared" si="1663"/>
        <v>159.17857142857142</v>
      </c>
      <c r="AL1000" s="419">
        <f t="shared" si="1663"/>
        <v>191.02721088435374</v>
      </c>
      <c r="AM1000" s="419">
        <f t="shared" si="1663"/>
        <v>166.55555555555554</v>
      </c>
      <c r="AN1000" s="419">
        <f t="shared" si="1663"/>
        <v>157.47058823529412</v>
      </c>
      <c r="AO1000" s="419">
        <f t="shared" si="1663"/>
        <v>153.69230769230768</v>
      </c>
      <c r="AP1000" s="419">
        <f t="shared" si="1663"/>
        <v>154.36305732484075</v>
      </c>
      <c r="AQ1000" s="421">
        <f t="shared" si="1663"/>
        <v>150.06938775510204</v>
      </c>
    </row>
    <row r="1001" spans="27:43" ht="7.8" customHeight="1" x14ac:dyDescent="0.25">
      <c r="AA1001" s="291"/>
      <c r="AB1001" s="412"/>
      <c r="AC1001" s="431" t="s">
        <v>41</v>
      </c>
      <c r="AD1001" s="432" t="s">
        <v>32</v>
      </c>
      <c r="AE1001" s="426">
        <f t="shared" ref="AE1001:AE1002" si="1664">SUM(AF1001:AQ1001)</f>
        <v>1162</v>
      </c>
      <c r="AF1001" s="427">
        <f>$X$83</f>
        <v>194</v>
      </c>
      <c r="AG1001" s="428">
        <f>$X$137</f>
        <v>234</v>
      </c>
      <c r="AH1001" s="428">
        <f>$X$191</f>
        <v>151</v>
      </c>
      <c r="AI1001" s="428">
        <f>$X$245</f>
        <v>164</v>
      </c>
      <c r="AJ1001" s="428">
        <f>$X$299</f>
        <v>155</v>
      </c>
      <c r="AK1001" s="428">
        <f>$X$353</f>
        <v>112</v>
      </c>
      <c r="AL1001" s="428">
        <f>$X$407</f>
        <v>97</v>
      </c>
      <c r="AM1001" s="428">
        <f>$X$461</f>
        <v>55</v>
      </c>
      <c r="AN1001" s="428">
        <f>$X$515</f>
        <v>0</v>
      </c>
      <c r="AO1001" s="428">
        <f>$X$569</f>
        <v>0</v>
      </c>
      <c r="AP1001" s="428">
        <f>$X$623</f>
        <v>0</v>
      </c>
      <c r="AQ1001" s="430">
        <f>$X$677</f>
        <v>0</v>
      </c>
    </row>
    <row r="1002" spans="27:43" ht="7.8" customHeight="1" x14ac:dyDescent="0.25">
      <c r="AA1002" s="291"/>
      <c r="AB1002" s="412"/>
      <c r="AC1002" s="413"/>
      <c r="AD1002" s="414" t="s">
        <v>33</v>
      </c>
      <c r="AE1002" s="407">
        <f t="shared" si="1664"/>
        <v>200137</v>
      </c>
      <c r="AF1002" s="408">
        <f>$X$84</f>
        <v>37344</v>
      </c>
      <c r="AG1002" s="409">
        <f>$X$138</f>
        <v>44239</v>
      </c>
      <c r="AH1002" s="409">
        <f>$X$192</f>
        <v>23166</v>
      </c>
      <c r="AI1002" s="409">
        <f>$X$246</f>
        <v>25019</v>
      </c>
      <c r="AJ1002" s="409">
        <f>$X$300</f>
        <v>23925</v>
      </c>
      <c r="AK1002" s="409">
        <f>$X$354</f>
        <v>17753</v>
      </c>
      <c r="AL1002" s="409">
        <f>$X$408</f>
        <v>18477</v>
      </c>
      <c r="AM1002" s="409">
        <f>$X$462</f>
        <v>10214</v>
      </c>
      <c r="AN1002" s="409">
        <f>$X$516</f>
        <v>0</v>
      </c>
      <c r="AO1002" s="409">
        <f>$X$570</f>
        <v>0</v>
      </c>
      <c r="AP1002" s="409">
        <f>$X$624</f>
        <v>0</v>
      </c>
      <c r="AQ1002" s="411">
        <f>$X$678</f>
        <v>0</v>
      </c>
    </row>
    <row r="1003" spans="27:43" ht="7.8" customHeight="1" x14ac:dyDescent="0.25">
      <c r="AA1003" s="291"/>
      <c r="AB1003" s="412"/>
      <c r="AC1003" s="422"/>
      <c r="AD1003" s="423" t="s">
        <v>30</v>
      </c>
      <c r="AE1003" s="417">
        <f t="shared" ref="AE1003:AQ1003" si="1665">IFERROR(AE1002/AE1001,0)</f>
        <v>172.23493975903614</v>
      </c>
      <c r="AF1003" s="418">
        <f t="shared" si="1665"/>
        <v>192.49484536082474</v>
      </c>
      <c r="AG1003" s="419">
        <f t="shared" si="1665"/>
        <v>189.05555555555554</v>
      </c>
      <c r="AH1003" s="419">
        <f t="shared" si="1665"/>
        <v>153.41721854304635</v>
      </c>
      <c r="AI1003" s="419">
        <f t="shared" si="1665"/>
        <v>152.55487804878049</v>
      </c>
      <c r="AJ1003" s="419">
        <f t="shared" si="1665"/>
        <v>154.35483870967741</v>
      </c>
      <c r="AK1003" s="419">
        <f t="shared" si="1665"/>
        <v>158.50892857142858</v>
      </c>
      <c r="AL1003" s="419">
        <f t="shared" si="1665"/>
        <v>190.48453608247422</v>
      </c>
      <c r="AM1003" s="419">
        <f t="shared" si="1665"/>
        <v>185.70909090909092</v>
      </c>
      <c r="AN1003" s="419">
        <f t="shared" si="1665"/>
        <v>0</v>
      </c>
      <c r="AO1003" s="419">
        <f t="shared" si="1665"/>
        <v>0</v>
      </c>
      <c r="AP1003" s="419">
        <f t="shared" si="1665"/>
        <v>0</v>
      </c>
      <c r="AQ1003" s="421">
        <f t="shared" si="1665"/>
        <v>0</v>
      </c>
    </row>
    <row r="1004" spans="27:43" ht="7.8" customHeight="1" x14ac:dyDescent="0.25">
      <c r="AA1004" s="291"/>
      <c r="AB1004" s="412"/>
      <c r="AC1004" s="568" t="s">
        <v>42</v>
      </c>
      <c r="AD1004" s="569" t="s">
        <v>32</v>
      </c>
      <c r="AE1004" s="442">
        <f t="shared" ref="AE1004:AE1005" si="1666">SUM(AF1004:AQ1004)</f>
        <v>794</v>
      </c>
      <c r="AF1004" s="443">
        <f>$X$86</f>
        <v>71</v>
      </c>
      <c r="AG1004" s="444">
        <f>$X$140</f>
        <v>75</v>
      </c>
      <c r="AH1004" s="444">
        <f>$X$194</f>
        <v>66</v>
      </c>
      <c r="AI1004" s="444">
        <f>$X$248</f>
        <v>67</v>
      </c>
      <c r="AJ1004" s="444">
        <f>$X$302</f>
        <v>66</v>
      </c>
      <c r="AK1004" s="444">
        <f>$X$356</f>
        <v>59</v>
      </c>
      <c r="AL1004" s="444">
        <f>$X$410</f>
        <v>55</v>
      </c>
      <c r="AM1004" s="444">
        <f>$X$464</f>
        <v>41</v>
      </c>
      <c r="AN1004" s="444">
        <f>$X$518</f>
        <v>71</v>
      </c>
      <c r="AO1004" s="444">
        <f>$X$572</f>
        <v>68</v>
      </c>
      <c r="AP1004" s="444">
        <f>$X$626</f>
        <v>74</v>
      </c>
      <c r="AQ1004" s="445">
        <f>$X$680</f>
        <v>81</v>
      </c>
    </row>
    <row r="1005" spans="27:43" ht="7.8" customHeight="1" x14ac:dyDescent="0.25">
      <c r="AA1005" s="291"/>
      <c r="AB1005" s="412"/>
      <c r="AC1005" s="564"/>
      <c r="AD1005" s="565" t="s">
        <v>33</v>
      </c>
      <c r="AE1005" s="455">
        <f t="shared" si="1666"/>
        <v>146890</v>
      </c>
      <c r="AF1005" s="456">
        <f>$X$87</f>
        <v>13135</v>
      </c>
      <c r="AG1005" s="457">
        <f>$X$141</f>
        <v>13875</v>
      </c>
      <c r="AH1005" s="457">
        <f>$X$195</f>
        <v>12210</v>
      </c>
      <c r="AI1005" s="457">
        <f>$X$249</f>
        <v>12395</v>
      </c>
      <c r="AJ1005" s="457">
        <f>$X$303</f>
        <v>12210</v>
      </c>
      <c r="AK1005" s="457">
        <f>$X$357</f>
        <v>10915</v>
      </c>
      <c r="AL1005" s="457">
        <f>$X$411</f>
        <v>10175</v>
      </c>
      <c r="AM1005" s="457">
        <f>$X$465</f>
        <v>7585</v>
      </c>
      <c r="AN1005" s="457">
        <f>$X$519</f>
        <v>13135</v>
      </c>
      <c r="AO1005" s="457">
        <f>$X$573</f>
        <v>12580</v>
      </c>
      <c r="AP1005" s="457">
        <f>$X$627</f>
        <v>13690</v>
      </c>
      <c r="AQ1005" s="458">
        <f>$X$681</f>
        <v>14985</v>
      </c>
    </row>
    <row r="1006" spans="27:43" ht="7.8" customHeight="1" x14ac:dyDescent="0.25">
      <c r="AA1006" s="291"/>
      <c r="AB1006" s="412"/>
      <c r="AC1006" s="566"/>
      <c r="AD1006" s="567" t="s">
        <v>30</v>
      </c>
      <c r="AE1006" s="468">
        <f t="shared" ref="AE1006:AQ1006" si="1667">IFERROR(AE1005/AE1004,0)</f>
        <v>185</v>
      </c>
      <c r="AF1006" s="469">
        <f t="shared" si="1667"/>
        <v>185</v>
      </c>
      <c r="AG1006" s="470">
        <f t="shared" si="1667"/>
        <v>185</v>
      </c>
      <c r="AH1006" s="470">
        <f t="shared" si="1667"/>
        <v>185</v>
      </c>
      <c r="AI1006" s="470">
        <f t="shared" si="1667"/>
        <v>185</v>
      </c>
      <c r="AJ1006" s="470">
        <f t="shared" si="1667"/>
        <v>185</v>
      </c>
      <c r="AK1006" s="470">
        <f t="shared" si="1667"/>
        <v>185</v>
      </c>
      <c r="AL1006" s="470">
        <f t="shared" si="1667"/>
        <v>185</v>
      </c>
      <c r="AM1006" s="470">
        <f t="shared" si="1667"/>
        <v>185</v>
      </c>
      <c r="AN1006" s="470">
        <f t="shared" si="1667"/>
        <v>185</v>
      </c>
      <c r="AO1006" s="470">
        <f t="shared" si="1667"/>
        <v>185</v>
      </c>
      <c r="AP1006" s="470">
        <f t="shared" si="1667"/>
        <v>185</v>
      </c>
      <c r="AQ1006" s="471">
        <f t="shared" si="1667"/>
        <v>185</v>
      </c>
    </row>
    <row r="1007" spans="27:43" ht="7.8" customHeight="1" x14ac:dyDescent="0.25">
      <c r="AA1007" s="291"/>
      <c r="AB1007" s="412"/>
      <c r="AC1007" s="473" t="s">
        <v>43</v>
      </c>
      <c r="AD1007" s="432" t="s">
        <v>32</v>
      </c>
      <c r="AE1007" s="426">
        <f t="shared" ref="AE1007:AQ1009" si="1668">AE1004-AE1001</f>
        <v>-368</v>
      </c>
      <c r="AF1007" s="427">
        <f t="shared" si="1668"/>
        <v>-123</v>
      </c>
      <c r="AG1007" s="428">
        <f t="shared" si="1668"/>
        <v>-159</v>
      </c>
      <c r="AH1007" s="428">
        <f t="shared" si="1668"/>
        <v>-85</v>
      </c>
      <c r="AI1007" s="428">
        <f t="shared" si="1668"/>
        <v>-97</v>
      </c>
      <c r="AJ1007" s="428">
        <f t="shared" si="1668"/>
        <v>-89</v>
      </c>
      <c r="AK1007" s="428">
        <f t="shared" si="1668"/>
        <v>-53</v>
      </c>
      <c r="AL1007" s="428">
        <f t="shared" si="1668"/>
        <v>-42</v>
      </c>
      <c r="AM1007" s="428">
        <f t="shared" si="1668"/>
        <v>-14</v>
      </c>
      <c r="AN1007" s="428">
        <f t="shared" si="1668"/>
        <v>71</v>
      </c>
      <c r="AO1007" s="428">
        <f t="shared" si="1668"/>
        <v>68</v>
      </c>
      <c r="AP1007" s="428">
        <f t="shared" si="1668"/>
        <v>74</v>
      </c>
      <c r="AQ1007" s="430">
        <f t="shared" si="1668"/>
        <v>81</v>
      </c>
    </row>
    <row r="1008" spans="27:43" ht="7.8" customHeight="1" x14ac:dyDescent="0.25">
      <c r="AA1008" s="291"/>
      <c r="AB1008" s="412"/>
      <c r="AC1008" s="475"/>
      <c r="AD1008" s="476" t="s">
        <v>33</v>
      </c>
      <c r="AE1008" s="407">
        <f t="shared" si="1668"/>
        <v>-53247</v>
      </c>
      <c r="AF1008" s="408">
        <f t="shared" si="1668"/>
        <v>-24209</v>
      </c>
      <c r="AG1008" s="409">
        <f t="shared" si="1668"/>
        <v>-30364</v>
      </c>
      <c r="AH1008" s="409">
        <f t="shared" si="1668"/>
        <v>-10956</v>
      </c>
      <c r="AI1008" s="409">
        <f t="shared" si="1668"/>
        <v>-12624</v>
      </c>
      <c r="AJ1008" s="409">
        <f t="shared" si="1668"/>
        <v>-11715</v>
      </c>
      <c r="AK1008" s="409">
        <f t="shared" si="1668"/>
        <v>-6838</v>
      </c>
      <c r="AL1008" s="409">
        <f t="shared" si="1668"/>
        <v>-8302</v>
      </c>
      <c r="AM1008" s="409">
        <f t="shared" si="1668"/>
        <v>-2629</v>
      </c>
      <c r="AN1008" s="409">
        <f t="shared" si="1668"/>
        <v>13135</v>
      </c>
      <c r="AO1008" s="409">
        <f t="shared" si="1668"/>
        <v>12580</v>
      </c>
      <c r="AP1008" s="409">
        <f t="shared" si="1668"/>
        <v>13690</v>
      </c>
      <c r="AQ1008" s="411">
        <f t="shared" si="1668"/>
        <v>14985</v>
      </c>
    </row>
    <row r="1009" spans="27:43" ht="7.8" customHeight="1" x14ac:dyDescent="0.25">
      <c r="AA1009" s="291"/>
      <c r="AB1009" s="412"/>
      <c r="AC1009" s="477"/>
      <c r="AD1009" s="423" t="s">
        <v>30</v>
      </c>
      <c r="AE1009" s="417">
        <f t="shared" si="1668"/>
        <v>12.765060240963862</v>
      </c>
      <c r="AF1009" s="418">
        <f t="shared" si="1668"/>
        <v>-7.4948453608247405</v>
      </c>
      <c r="AG1009" s="419">
        <f t="shared" si="1668"/>
        <v>-4.0555555555555429</v>
      </c>
      <c r="AH1009" s="419">
        <f t="shared" si="1668"/>
        <v>31.582781456953654</v>
      </c>
      <c r="AI1009" s="419">
        <f t="shared" si="1668"/>
        <v>32.445121951219505</v>
      </c>
      <c r="AJ1009" s="419">
        <f t="shared" si="1668"/>
        <v>30.645161290322591</v>
      </c>
      <c r="AK1009" s="419">
        <f t="shared" si="1668"/>
        <v>26.491071428571416</v>
      </c>
      <c r="AL1009" s="419">
        <f t="shared" si="1668"/>
        <v>-5.4845360824742215</v>
      </c>
      <c r="AM1009" s="419">
        <f t="shared" si="1668"/>
        <v>-0.70909090909091788</v>
      </c>
      <c r="AN1009" s="419">
        <f t="shared" si="1668"/>
        <v>185</v>
      </c>
      <c r="AO1009" s="419">
        <f t="shared" si="1668"/>
        <v>185</v>
      </c>
      <c r="AP1009" s="419">
        <f t="shared" si="1668"/>
        <v>185</v>
      </c>
      <c r="AQ1009" s="421">
        <f t="shared" si="1668"/>
        <v>185</v>
      </c>
    </row>
    <row r="1010" spans="27:43" ht="7.8" customHeight="1" x14ac:dyDescent="0.25">
      <c r="AA1010" s="291"/>
      <c r="AB1010" s="412"/>
      <c r="AC1010" s="473" t="s">
        <v>44</v>
      </c>
      <c r="AD1010" s="432" t="s">
        <v>32</v>
      </c>
      <c r="AE1010" s="478">
        <f t="shared" ref="AE1010:AQ1012" si="1669">IFERROR((AE1004-AE1001)/ABS(AE1001),"")</f>
        <v>-0.31669535283993117</v>
      </c>
      <c r="AF1010" s="479">
        <f t="shared" si="1669"/>
        <v>-0.634020618556701</v>
      </c>
      <c r="AG1010" s="480">
        <f t="shared" si="1669"/>
        <v>-0.67948717948717952</v>
      </c>
      <c r="AH1010" s="480">
        <f t="shared" si="1669"/>
        <v>-0.5629139072847682</v>
      </c>
      <c r="AI1010" s="480">
        <f t="shared" si="1669"/>
        <v>-0.59146341463414631</v>
      </c>
      <c r="AJ1010" s="480">
        <f t="shared" si="1669"/>
        <v>-0.5741935483870968</v>
      </c>
      <c r="AK1010" s="480">
        <f t="shared" si="1669"/>
        <v>-0.4732142857142857</v>
      </c>
      <c r="AL1010" s="480">
        <f t="shared" si="1669"/>
        <v>-0.4329896907216495</v>
      </c>
      <c r="AM1010" s="480">
        <f t="shared" si="1669"/>
        <v>-0.25454545454545452</v>
      </c>
      <c r="AN1010" s="480" t="str">
        <f t="shared" si="1669"/>
        <v/>
      </c>
      <c r="AO1010" s="480" t="str">
        <f t="shared" si="1669"/>
        <v/>
      </c>
      <c r="AP1010" s="480" t="str">
        <f t="shared" si="1669"/>
        <v/>
      </c>
      <c r="AQ1010" s="482" t="str">
        <f t="shared" si="1669"/>
        <v/>
      </c>
    </row>
    <row r="1011" spans="27:43" ht="7.8" customHeight="1" x14ac:dyDescent="0.25">
      <c r="AA1011" s="291"/>
      <c r="AB1011" s="412"/>
      <c r="AC1011" s="475"/>
      <c r="AD1011" s="489" t="s">
        <v>33</v>
      </c>
      <c r="AE1011" s="484">
        <f t="shared" si="1669"/>
        <v>-0.26605275386360344</v>
      </c>
      <c r="AF1011" s="485">
        <f t="shared" si="1669"/>
        <v>-0.64827013710368464</v>
      </c>
      <c r="AG1011" s="486">
        <f t="shared" si="1669"/>
        <v>-0.68636271163453066</v>
      </c>
      <c r="AH1011" s="486">
        <f t="shared" si="1669"/>
        <v>-0.47293447293447294</v>
      </c>
      <c r="AI1011" s="486">
        <f t="shared" si="1669"/>
        <v>-0.50457652184339896</v>
      </c>
      <c r="AJ1011" s="486">
        <f t="shared" si="1669"/>
        <v>-0.48965517241379308</v>
      </c>
      <c r="AK1011" s="486">
        <f t="shared" si="1669"/>
        <v>-0.38517433673182</v>
      </c>
      <c r="AL1011" s="486">
        <f t="shared" si="1669"/>
        <v>-0.44931536504843861</v>
      </c>
      <c r="AM1011" s="486">
        <f t="shared" si="1669"/>
        <v>-0.25739181515566867</v>
      </c>
      <c r="AN1011" s="486" t="str">
        <f t="shared" si="1669"/>
        <v/>
      </c>
      <c r="AO1011" s="486" t="str">
        <f t="shared" si="1669"/>
        <v/>
      </c>
      <c r="AP1011" s="486" t="str">
        <f t="shared" si="1669"/>
        <v/>
      </c>
      <c r="AQ1011" s="488" t="str">
        <f t="shared" si="1669"/>
        <v/>
      </c>
    </row>
    <row r="1012" spans="27:43" ht="7.8" customHeight="1" x14ac:dyDescent="0.25">
      <c r="AA1012" s="291"/>
      <c r="AB1012" s="412"/>
      <c r="AC1012" s="475"/>
      <c r="AD1012" s="489" t="s">
        <v>30</v>
      </c>
      <c r="AE1012" s="484">
        <f t="shared" si="1669"/>
        <v>7.4114231751250439E-2</v>
      </c>
      <c r="AF1012" s="485">
        <f t="shared" si="1669"/>
        <v>-3.8935304198800334E-2</v>
      </c>
      <c r="AG1012" s="486">
        <f t="shared" si="1669"/>
        <v>-2.1451660299735463E-2</v>
      </c>
      <c r="AH1012" s="486">
        <f t="shared" si="1669"/>
        <v>0.20586203919537263</v>
      </c>
      <c r="AI1012" s="486">
        <f t="shared" si="1669"/>
        <v>0.21267836444302324</v>
      </c>
      <c r="AJ1012" s="486">
        <f t="shared" si="1669"/>
        <v>0.19853709508881931</v>
      </c>
      <c r="AK1012" s="486">
        <f t="shared" si="1669"/>
        <v>0.16712668281417217</v>
      </c>
      <c r="AL1012" s="486">
        <f t="shared" si="1669"/>
        <v>-2.8792552903609867E-2</v>
      </c>
      <c r="AM1012" s="486">
        <f t="shared" si="1669"/>
        <v>-3.818288623458046E-3</v>
      </c>
      <c r="AN1012" s="486" t="str">
        <f t="shared" si="1669"/>
        <v/>
      </c>
      <c r="AO1012" s="486" t="str">
        <f t="shared" si="1669"/>
        <v/>
      </c>
      <c r="AP1012" s="486" t="str">
        <f t="shared" si="1669"/>
        <v/>
      </c>
      <c r="AQ1012" s="488" t="str">
        <f t="shared" si="1669"/>
        <v/>
      </c>
    </row>
    <row r="1013" spans="27:43" ht="7.8" customHeight="1" x14ac:dyDescent="0.25">
      <c r="AA1013" s="291"/>
      <c r="AB1013" s="499" t="s">
        <v>49</v>
      </c>
      <c r="AC1013" s="500" t="s">
        <v>39</v>
      </c>
      <c r="AD1013" s="501" t="s">
        <v>32</v>
      </c>
      <c r="AE1013" s="494">
        <f t="shared" ref="AE1013:AE1014" si="1670">SUM(AF1013:AQ1013)</f>
        <v>0</v>
      </c>
      <c r="AF1013" s="495">
        <f>$X$95</f>
        <v>0</v>
      </c>
      <c r="AG1013" s="496">
        <f>$X$149</f>
        <v>0</v>
      </c>
      <c r="AH1013" s="496">
        <f>$X$203</f>
        <v>0</v>
      </c>
      <c r="AI1013" s="496">
        <f>$X$257</f>
        <v>0</v>
      </c>
      <c r="AJ1013" s="496">
        <f>$X$311</f>
        <v>0</v>
      </c>
      <c r="AK1013" s="496">
        <f>$X$365</f>
        <v>0</v>
      </c>
      <c r="AL1013" s="496">
        <f>$X$419</f>
        <v>0</v>
      </c>
      <c r="AM1013" s="496">
        <f>$X$473</f>
        <v>0</v>
      </c>
      <c r="AN1013" s="496">
        <f>$X$527</f>
        <v>0</v>
      </c>
      <c r="AO1013" s="496">
        <f>$X$581</f>
        <v>0</v>
      </c>
      <c r="AP1013" s="496">
        <f>$X$635</f>
        <v>0</v>
      </c>
      <c r="AQ1013" s="498">
        <f>$X$689</f>
        <v>0</v>
      </c>
    </row>
    <row r="1014" spans="27:43" ht="7.8" customHeight="1" x14ac:dyDescent="0.25">
      <c r="AA1014" s="291"/>
      <c r="AB1014" s="412"/>
      <c r="AC1014" s="413"/>
      <c r="AD1014" s="414" t="s">
        <v>33</v>
      </c>
      <c r="AE1014" s="407">
        <f t="shared" si="1670"/>
        <v>0</v>
      </c>
      <c r="AF1014" s="408">
        <f>$X$96</f>
        <v>0</v>
      </c>
      <c r="AG1014" s="409">
        <f>$X$150</f>
        <v>0</v>
      </c>
      <c r="AH1014" s="409">
        <f>$X$204</f>
        <v>0</v>
      </c>
      <c r="AI1014" s="409">
        <f>$X$258</f>
        <v>0</v>
      </c>
      <c r="AJ1014" s="409">
        <f>$X$312</f>
        <v>0</v>
      </c>
      <c r="AK1014" s="409">
        <f>$X$366</f>
        <v>0</v>
      </c>
      <c r="AL1014" s="409">
        <f>$X$420</f>
        <v>0</v>
      </c>
      <c r="AM1014" s="409">
        <f>$X$474</f>
        <v>0</v>
      </c>
      <c r="AN1014" s="409">
        <f>$X$528</f>
        <v>0</v>
      </c>
      <c r="AO1014" s="409">
        <f>$X$582</f>
        <v>0</v>
      </c>
      <c r="AP1014" s="409">
        <f>$X$636</f>
        <v>0</v>
      </c>
      <c r="AQ1014" s="411">
        <f>$X$690</f>
        <v>0</v>
      </c>
    </row>
    <row r="1015" spans="27:43" ht="7.8" customHeight="1" x14ac:dyDescent="0.25">
      <c r="AA1015" s="291"/>
      <c r="AB1015" s="412"/>
      <c r="AC1015" s="422"/>
      <c r="AD1015" s="423" t="s">
        <v>30</v>
      </c>
      <c r="AE1015" s="417">
        <f t="shared" ref="AE1015:AQ1015" si="1671">IFERROR(AE1014/AE1013,0)</f>
        <v>0</v>
      </c>
      <c r="AF1015" s="418">
        <f t="shared" si="1671"/>
        <v>0</v>
      </c>
      <c r="AG1015" s="419">
        <f t="shared" si="1671"/>
        <v>0</v>
      </c>
      <c r="AH1015" s="419">
        <f t="shared" si="1671"/>
        <v>0</v>
      </c>
      <c r="AI1015" s="419">
        <f t="shared" si="1671"/>
        <v>0</v>
      </c>
      <c r="AJ1015" s="419">
        <f t="shared" si="1671"/>
        <v>0</v>
      </c>
      <c r="AK1015" s="419">
        <f t="shared" si="1671"/>
        <v>0</v>
      </c>
      <c r="AL1015" s="419">
        <f t="shared" si="1671"/>
        <v>0</v>
      </c>
      <c r="AM1015" s="419">
        <f t="shared" si="1671"/>
        <v>0</v>
      </c>
      <c r="AN1015" s="419">
        <f t="shared" si="1671"/>
        <v>0</v>
      </c>
      <c r="AO1015" s="419">
        <f t="shared" si="1671"/>
        <v>0</v>
      </c>
      <c r="AP1015" s="419">
        <f t="shared" si="1671"/>
        <v>0</v>
      </c>
      <c r="AQ1015" s="421">
        <f t="shared" si="1671"/>
        <v>0</v>
      </c>
    </row>
    <row r="1016" spans="27:43" ht="7.8" customHeight="1" x14ac:dyDescent="0.25">
      <c r="AA1016" s="291"/>
      <c r="AB1016" s="412"/>
      <c r="AC1016" s="431" t="s">
        <v>40</v>
      </c>
      <c r="AD1016" s="432" t="s">
        <v>32</v>
      </c>
      <c r="AE1016" s="426">
        <f t="shared" ref="AE1016:AE1017" si="1672">SUM(AF1016:AQ1016)</f>
        <v>857</v>
      </c>
      <c r="AF1016" s="427">
        <f>$X$98</f>
        <v>135</v>
      </c>
      <c r="AG1016" s="428">
        <f>$X$152</f>
        <v>106</v>
      </c>
      <c r="AH1016" s="428">
        <f>$X$206</f>
        <v>56</v>
      </c>
      <c r="AI1016" s="428">
        <f>$X$260</f>
        <v>35</v>
      </c>
      <c r="AJ1016" s="428">
        <f>$X$314</f>
        <v>51</v>
      </c>
      <c r="AK1016" s="428">
        <f>$X$368</f>
        <v>39</v>
      </c>
      <c r="AL1016" s="428">
        <f>$X$422</f>
        <v>67</v>
      </c>
      <c r="AM1016" s="428">
        <f>$X$476</f>
        <v>63</v>
      </c>
      <c r="AN1016" s="428">
        <f>$X$530</f>
        <v>56</v>
      </c>
      <c r="AO1016" s="428">
        <f>$X$584</f>
        <v>51</v>
      </c>
      <c r="AP1016" s="428">
        <f>$X$638</f>
        <v>88</v>
      </c>
      <c r="AQ1016" s="430">
        <f>$X$692</f>
        <v>110</v>
      </c>
    </row>
    <row r="1017" spans="27:43" ht="7.8" customHeight="1" x14ac:dyDescent="0.25">
      <c r="AA1017" s="291"/>
      <c r="AB1017" s="412"/>
      <c r="AC1017" s="413"/>
      <c r="AD1017" s="414" t="s">
        <v>33</v>
      </c>
      <c r="AE1017" s="407">
        <f t="shared" si="1672"/>
        <v>142517</v>
      </c>
      <c r="AF1017" s="408">
        <f>$X$99</f>
        <v>24831</v>
      </c>
      <c r="AG1017" s="409">
        <f>$X$153</f>
        <v>19323</v>
      </c>
      <c r="AH1017" s="409">
        <f>$X$207</f>
        <v>8967</v>
      </c>
      <c r="AI1017" s="409">
        <f>$X$261</f>
        <v>5234</v>
      </c>
      <c r="AJ1017" s="409">
        <f>$X$315</f>
        <v>7715</v>
      </c>
      <c r="AK1017" s="409">
        <f>$X$369</f>
        <v>6242</v>
      </c>
      <c r="AL1017" s="409">
        <f>$X$423</f>
        <v>12616</v>
      </c>
      <c r="AM1017" s="409">
        <f>$X$477</f>
        <v>10423</v>
      </c>
      <c r="AN1017" s="409">
        <f>$X$531</f>
        <v>8936</v>
      </c>
      <c r="AO1017" s="409">
        <f>$X$585</f>
        <v>7878</v>
      </c>
      <c r="AP1017" s="409">
        <f>$X$639</f>
        <v>13385</v>
      </c>
      <c r="AQ1017" s="411">
        <f>$X$693</f>
        <v>16967</v>
      </c>
    </row>
    <row r="1018" spans="27:43" ht="7.8" customHeight="1" x14ac:dyDescent="0.25">
      <c r="AA1018" s="291"/>
      <c r="AB1018" s="412"/>
      <c r="AC1018" s="422"/>
      <c r="AD1018" s="423" t="s">
        <v>30</v>
      </c>
      <c r="AE1018" s="417">
        <f t="shared" ref="AE1018:AQ1018" si="1673">IFERROR(AE1017/AE1016,0)</f>
        <v>166.2975495915986</v>
      </c>
      <c r="AF1018" s="418">
        <f t="shared" si="1673"/>
        <v>183.93333333333334</v>
      </c>
      <c r="AG1018" s="419">
        <f t="shared" si="1673"/>
        <v>182.29245283018867</v>
      </c>
      <c r="AH1018" s="419">
        <f t="shared" si="1673"/>
        <v>160.125</v>
      </c>
      <c r="AI1018" s="419">
        <f t="shared" si="1673"/>
        <v>149.54285714285714</v>
      </c>
      <c r="AJ1018" s="419">
        <f t="shared" si="1673"/>
        <v>151.27450980392157</v>
      </c>
      <c r="AK1018" s="419">
        <f t="shared" si="1673"/>
        <v>160.05128205128204</v>
      </c>
      <c r="AL1018" s="419">
        <f t="shared" si="1673"/>
        <v>188.29850746268656</v>
      </c>
      <c r="AM1018" s="419">
        <f t="shared" si="1673"/>
        <v>165.44444444444446</v>
      </c>
      <c r="AN1018" s="419">
        <f t="shared" si="1673"/>
        <v>159.57142857142858</v>
      </c>
      <c r="AO1018" s="419">
        <f t="shared" si="1673"/>
        <v>154.47058823529412</v>
      </c>
      <c r="AP1018" s="419">
        <f t="shared" si="1673"/>
        <v>152.10227272727272</v>
      </c>
      <c r="AQ1018" s="421">
        <f t="shared" si="1673"/>
        <v>154.24545454545455</v>
      </c>
    </row>
    <row r="1019" spans="27:43" ht="7.8" customHeight="1" x14ac:dyDescent="0.25">
      <c r="AA1019" s="291"/>
      <c r="AB1019" s="412"/>
      <c r="AC1019" s="431" t="s">
        <v>41</v>
      </c>
      <c r="AD1019" s="432" t="s">
        <v>32</v>
      </c>
      <c r="AE1019" s="426">
        <f t="shared" ref="AE1019:AE1020" si="1674">SUM(AF1019:AQ1019)</f>
        <v>494</v>
      </c>
      <c r="AF1019" s="427">
        <f>$X$101</f>
        <v>79</v>
      </c>
      <c r="AG1019" s="428">
        <f>$X$155</f>
        <v>102</v>
      </c>
      <c r="AH1019" s="428">
        <f>$X$209</f>
        <v>72</v>
      </c>
      <c r="AI1019" s="428">
        <f>$X$263</f>
        <v>66</v>
      </c>
      <c r="AJ1019" s="428">
        <f>$X$317</f>
        <v>77</v>
      </c>
      <c r="AK1019" s="428">
        <f>$X$371</f>
        <v>35</v>
      </c>
      <c r="AL1019" s="428">
        <f>$X$425</f>
        <v>28</v>
      </c>
      <c r="AM1019" s="428">
        <f>$X$479</f>
        <v>35</v>
      </c>
      <c r="AN1019" s="428">
        <f>$X$533</f>
        <v>0</v>
      </c>
      <c r="AO1019" s="428">
        <f>$X$587</f>
        <v>0</v>
      </c>
      <c r="AP1019" s="428">
        <f>$X$641</f>
        <v>0</v>
      </c>
      <c r="AQ1019" s="430">
        <f>$X$695</f>
        <v>0</v>
      </c>
    </row>
    <row r="1020" spans="27:43" ht="7.8" customHeight="1" x14ac:dyDescent="0.25">
      <c r="AA1020" s="291"/>
      <c r="AB1020" s="412"/>
      <c r="AC1020" s="413"/>
      <c r="AD1020" s="414" t="s">
        <v>33</v>
      </c>
      <c r="AE1020" s="407">
        <f t="shared" si="1674"/>
        <v>84570</v>
      </c>
      <c r="AF1020" s="408">
        <f>$X$102</f>
        <v>15067</v>
      </c>
      <c r="AG1020" s="409">
        <f>$X$156</f>
        <v>19482</v>
      </c>
      <c r="AH1020" s="409">
        <f>$X$210</f>
        <v>11370</v>
      </c>
      <c r="AI1020" s="409">
        <f>$X$264</f>
        <v>10154</v>
      </c>
      <c r="AJ1020" s="409">
        <f>$X$318</f>
        <v>11440</v>
      </c>
      <c r="AK1020" s="409">
        <f>$X$372</f>
        <v>5600</v>
      </c>
      <c r="AL1020" s="409">
        <f>$X$426</f>
        <v>5241</v>
      </c>
      <c r="AM1020" s="409">
        <f>$X$480</f>
        <v>6216</v>
      </c>
      <c r="AN1020" s="409">
        <f>$X$534</f>
        <v>0</v>
      </c>
      <c r="AO1020" s="409">
        <f>$X$588</f>
        <v>0</v>
      </c>
      <c r="AP1020" s="409">
        <f>$X$642</f>
        <v>0</v>
      </c>
      <c r="AQ1020" s="411">
        <f>$X$696</f>
        <v>0</v>
      </c>
    </row>
    <row r="1021" spans="27:43" ht="7.8" customHeight="1" x14ac:dyDescent="0.25">
      <c r="AA1021" s="291"/>
      <c r="AB1021" s="412"/>
      <c r="AC1021" s="422"/>
      <c r="AD1021" s="423" t="s">
        <v>30</v>
      </c>
      <c r="AE1021" s="417">
        <f t="shared" ref="AE1021:AQ1021" si="1675">IFERROR(AE1020/AE1019,0)</f>
        <v>171.19433198380565</v>
      </c>
      <c r="AF1021" s="418">
        <f t="shared" si="1675"/>
        <v>190.72151898734177</v>
      </c>
      <c r="AG1021" s="419">
        <f t="shared" si="1675"/>
        <v>191</v>
      </c>
      <c r="AH1021" s="419">
        <f t="shared" si="1675"/>
        <v>157.91666666666666</v>
      </c>
      <c r="AI1021" s="419">
        <f t="shared" si="1675"/>
        <v>153.84848484848484</v>
      </c>
      <c r="AJ1021" s="419">
        <f t="shared" si="1675"/>
        <v>148.57142857142858</v>
      </c>
      <c r="AK1021" s="419">
        <f t="shared" si="1675"/>
        <v>160</v>
      </c>
      <c r="AL1021" s="419">
        <f t="shared" si="1675"/>
        <v>187.17857142857142</v>
      </c>
      <c r="AM1021" s="419">
        <f t="shared" si="1675"/>
        <v>177.6</v>
      </c>
      <c r="AN1021" s="419">
        <f t="shared" si="1675"/>
        <v>0</v>
      </c>
      <c r="AO1021" s="419">
        <f t="shared" si="1675"/>
        <v>0</v>
      </c>
      <c r="AP1021" s="419">
        <f t="shared" si="1675"/>
        <v>0</v>
      </c>
      <c r="AQ1021" s="421">
        <f t="shared" si="1675"/>
        <v>0</v>
      </c>
    </row>
    <row r="1022" spans="27:43" ht="7.8" customHeight="1" x14ac:dyDescent="0.25">
      <c r="AA1022" s="291"/>
      <c r="AB1022" s="412"/>
      <c r="AC1022" s="568" t="s">
        <v>42</v>
      </c>
      <c r="AD1022" s="569" t="s">
        <v>32</v>
      </c>
      <c r="AE1022" s="442">
        <f t="shared" ref="AE1022:AE1023" si="1676">SUM(AF1022:AQ1022)</f>
        <v>406</v>
      </c>
      <c r="AF1022" s="443">
        <f>$X$104</f>
        <v>29</v>
      </c>
      <c r="AG1022" s="444">
        <f>$X$158</f>
        <v>25</v>
      </c>
      <c r="AH1022" s="444">
        <f>$X$212</f>
        <v>34</v>
      </c>
      <c r="AI1022" s="444">
        <f>$X$266</f>
        <v>33</v>
      </c>
      <c r="AJ1022" s="444">
        <f>$X$320</f>
        <v>34</v>
      </c>
      <c r="AK1022" s="444">
        <f>$X$374</f>
        <v>41</v>
      </c>
      <c r="AL1022" s="444">
        <f>$X$428</f>
        <v>45</v>
      </c>
      <c r="AM1022" s="444">
        <f>$X$482</f>
        <v>59</v>
      </c>
      <c r="AN1022" s="444">
        <f>$X$536</f>
        <v>29</v>
      </c>
      <c r="AO1022" s="444">
        <f>$X$590</f>
        <v>32</v>
      </c>
      <c r="AP1022" s="444">
        <f>$X$644</f>
        <v>26</v>
      </c>
      <c r="AQ1022" s="445">
        <f>$X$698</f>
        <v>19</v>
      </c>
    </row>
    <row r="1023" spans="27:43" ht="7.8" customHeight="1" x14ac:dyDescent="0.25">
      <c r="AA1023" s="291"/>
      <c r="AB1023" s="412"/>
      <c r="AC1023" s="564"/>
      <c r="AD1023" s="565" t="s">
        <v>33</v>
      </c>
      <c r="AE1023" s="455">
        <f t="shared" si="1676"/>
        <v>75110</v>
      </c>
      <c r="AF1023" s="456">
        <f>$X$105</f>
        <v>5365</v>
      </c>
      <c r="AG1023" s="457">
        <f>$X$159</f>
        <v>4625</v>
      </c>
      <c r="AH1023" s="457">
        <f>$X$213</f>
        <v>6290</v>
      </c>
      <c r="AI1023" s="457">
        <f>$X$267</f>
        <v>6105</v>
      </c>
      <c r="AJ1023" s="457">
        <f>$X$321</f>
        <v>6290</v>
      </c>
      <c r="AK1023" s="457">
        <f>$X$375</f>
        <v>7585</v>
      </c>
      <c r="AL1023" s="457">
        <f>$X$429</f>
        <v>8325</v>
      </c>
      <c r="AM1023" s="457">
        <f>$X$483</f>
        <v>10915</v>
      </c>
      <c r="AN1023" s="457">
        <f>$X$537</f>
        <v>5365</v>
      </c>
      <c r="AO1023" s="457">
        <f>$X$591</f>
        <v>5920</v>
      </c>
      <c r="AP1023" s="457">
        <f>$X$645</f>
        <v>4810</v>
      </c>
      <c r="AQ1023" s="458">
        <f>$X$699</f>
        <v>3515</v>
      </c>
    </row>
    <row r="1024" spans="27:43" ht="7.8" customHeight="1" x14ac:dyDescent="0.25">
      <c r="AA1024" s="291"/>
      <c r="AB1024" s="412"/>
      <c r="AC1024" s="566"/>
      <c r="AD1024" s="567" t="s">
        <v>30</v>
      </c>
      <c r="AE1024" s="468">
        <f t="shared" ref="AE1024:AQ1024" si="1677">IFERROR(AE1023/AE1022,0)</f>
        <v>185</v>
      </c>
      <c r="AF1024" s="469">
        <f t="shared" si="1677"/>
        <v>185</v>
      </c>
      <c r="AG1024" s="470">
        <f t="shared" si="1677"/>
        <v>185</v>
      </c>
      <c r="AH1024" s="470">
        <f t="shared" si="1677"/>
        <v>185</v>
      </c>
      <c r="AI1024" s="470">
        <f t="shared" si="1677"/>
        <v>185</v>
      </c>
      <c r="AJ1024" s="470">
        <f t="shared" si="1677"/>
        <v>185</v>
      </c>
      <c r="AK1024" s="470">
        <f t="shared" si="1677"/>
        <v>185</v>
      </c>
      <c r="AL1024" s="470">
        <f t="shared" si="1677"/>
        <v>185</v>
      </c>
      <c r="AM1024" s="470">
        <f t="shared" si="1677"/>
        <v>185</v>
      </c>
      <c r="AN1024" s="470">
        <f t="shared" si="1677"/>
        <v>185</v>
      </c>
      <c r="AO1024" s="470">
        <f t="shared" si="1677"/>
        <v>185</v>
      </c>
      <c r="AP1024" s="470">
        <f t="shared" si="1677"/>
        <v>185</v>
      </c>
      <c r="AQ1024" s="471">
        <f t="shared" si="1677"/>
        <v>185</v>
      </c>
    </row>
    <row r="1025" spans="27:43" ht="7.8" customHeight="1" x14ac:dyDescent="0.25">
      <c r="AA1025" s="291"/>
      <c r="AB1025" s="412"/>
      <c r="AC1025" s="473" t="s">
        <v>43</v>
      </c>
      <c r="AD1025" s="432" t="s">
        <v>32</v>
      </c>
      <c r="AE1025" s="426">
        <f t="shared" ref="AE1025:AQ1027" si="1678">AE1022-AE1019</f>
        <v>-88</v>
      </c>
      <c r="AF1025" s="427">
        <f t="shared" si="1678"/>
        <v>-50</v>
      </c>
      <c r="AG1025" s="428">
        <f t="shared" si="1678"/>
        <v>-77</v>
      </c>
      <c r="AH1025" s="428">
        <f t="shared" si="1678"/>
        <v>-38</v>
      </c>
      <c r="AI1025" s="428">
        <f t="shared" si="1678"/>
        <v>-33</v>
      </c>
      <c r="AJ1025" s="428">
        <f t="shared" si="1678"/>
        <v>-43</v>
      </c>
      <c r="AK1025" s="428">
        <f t="shared" si="1678"/>
        <v>6</v>
      </c>
      <c r="AL1025" s="428">
        <f t="shared" si="1678"/>
        <v>17</v>
      </c>
      <c r="AM1025" s="428">
        <f t="shared" si="1678"/>
        <v>24</v>
      </c>
      <c r="AN1025" s="428">
        <f t="shared" si="1678"/>
        <v>29</v>
      </c>
      <c r="AO1025" s="428">
        <f t="shared" si="1678"/>
        <v>32</v>
      </c>
      <c r="AP1025" s="428">
        <f t="shared" si="1678"/>
        <v>26</v>
      </c>
      <c r="AQ1025" s="430">
        <f t="shared" si="1678"/>
        <v>19</v>
      </c>
    </row>
    <row r="1026" spans="27:43" ht="7.8" customHeight="1" x14ac:dyDescent="0.25">
      <c r="AA1026" s="291"/>
      <c r="AB1026" s="412"/>
      <c r="AC1026" s="475"/>
      <c r="AD1026" s="476" t="s">
        <v>33</v>
      </c>
      <c r="AE1026" s="407">
        <f t="shared" si="1678"/>
        <v>-9460</v>
      </c>
      <c r="AF1026" s="408">
        <f t="shared" si="1678"/>
        <v>-9702</v>
      </c>
      <c r="AG1026" s="409">
        <f t="shared" si="1678"/>
        <v>-14857</v>
      </c>
      <c r="AH1026" s="409">
        <f t="shared" si="1678"/>
        <v>-5080</v>
      </c>
      <c r="AI1026" s="409">
        <f t="shared" si="1678"/>
        <v>-4049</v>
      </c>
      <c r="AJ1026" s="409">
        <f t="shared" si="1678"/>
        <v>-5150</v>
      </c>
      <c r="AK1026" s="409">
        <f t="shared" si="1678"/>
        <v>1985</v>
      </c>
      <c r="AL1026" s="409">
        <f t="shared" si="1678"/>
        <v>3084</v>
      </c>
      <c r="AM1026" s="409">
        <f t="shared" si="1678"/>
        <v>4699</v>
      </c>
      <c r="AN1026" s="409">
        <f t="shared" si="1678"/>
        <v>5365</v>
      </c>
      <c r="AO1026" s="409">
        <f t="shared" si="1678"/>
        <v>5920</v>
      </c>
      <c r="AP1026" s="409">
        <f t="shared" si="1678"/>
        <v>4810</v>
      </c>
      <c r="AQ1026" s="411">
        <f t="shared" si="1678"/>
        <v>3515</v>
      </c>
    </row>
    <row r="1027" spans="27:43" ht="7.8" customHeight="1" x14ac:dyDescent="0.25">
      <c r="AA1027" s="291"/>
      <c r="AB1027" s="412"/>
      <c r="AC1027" s="477"/>
      <c r="AD1027" s="423" t="s">
        <v>30</v>
      </c>
      <c r="AE1027" s="417">
        <f t="shared" si="1678"/>
        <v>13.805668016194346</v>
      </c>
      <c r="AF1027" s="418">
        <f t="shared" si="1678"/>
        <v>-5.7215189873417671</v>
      </c>
      <c r="AG1027" s="419">
        <f t="shared" si="1678"/>
        <v>-6</v>
      </c>
      <c r="AH1027" s="419">
        <f t="shared" si="1678"/>
        <v>27.083333333333343</v>
      </c>
      <c r="AI1027" s="419">
        <f t="shared" si="1678"/>
        <v>31.151515151515156</v>
      </c>
      <c r="AJ1027" s="419">
        <f t="shared" si="1678"/>
        <v>36.428571428571416</v>
      </c>
      <c r="AK1027" s="419">
        <f t="shared" si="1678"/>
        <v>25</v>
      </c>
      <c r="AL1027" s="419">
        <f t="shared" si="1678"/>
        <v>-2.1785714285714164</v>
      </c>
      <c r="AM1027" s="419">
        <f t="shared" si="1678"/>
        <v>7.4000000000000057</v>
      </c>
      <c r="AN1027" s="419">
        <f t="shared" si="1678"/>
        <v>185</v>
      </c>
      <c r="AO1027" s="419">
        <f t="shared" si="1678"/>
        <v>185</v>
      </c>
      <c r="AP1027" s="419">
        <f t="shared" si="1678"/>
        <v>185</v>
      </c>
      <c r="AQ1027" s="421">
        <f t="shared" si="1678"/>
        <v>185</v>
      </c>
    </row>
    <row r="1028" spans="27:43" ht="7.8" customHeight="1" x14ac:dyDescent="0.25">
      <c r="AA1028" s="291"/>
      <c r="AB1028" s="412"/>
      <c r="AC1028" s="473" t="s">
        <v>44</v>
      </c>
      <c r="AD1028" s="432" t="s">
        <v>32</v>
      </c>
      <c r="AE1028" s="478">
        <f t="shared" ref="AE1028:AQ1030" si="1679">IFERROR((AE1022-AE1019)/ABS(AE1019),"")</f>
        <v>-0.17813765182186234</v>
      </c>
      <c r="AF1028" s="479">
        <f t="shared" si="1679"/>
        <v>-0.63291139240506333</v>
      </c>
      <c r="AG1028" s="480">
        <f t="shared" si="1679"/>
        <v>-0.75490196078431371</v>
      </c>
      <c r="AH1028" s="480">
        <f t="shared" si="1679"/>
        <v>-0.52777777777777779</v>
      </c>
      <c r="AI1028" s="480">
        <f t="shared" si="1679"/>
        <v>-0.5</v>
      </c>
      <c r="AJ1028" s="480">
        <f t="shared" si="1679"/>
        <v>-0.55844155844155841</v>
      </c>
      <c r="AK1028" s="480">
        <f t="shared" si="1679"/>
        <v>0.17142857142857143</v>
      </c>
      <c r="AL1028" s="480">
        <f t="shared" si="1679"/>
        <v>0.6071428571428571</v>
      </c>
      <c r="AM1028" s="480">
        <f t="shared" si="1679"/>
        <v>0.68571428571428572</v>
      </c>
      <c r="AN1028" s="480" t="str">
        <f t="shared" si="1679"/>
        <v/>
      </c>
      <c r="AO1028" s="480" t="str">
        <f t="shared" si="1679"/>
        <v/>
      </c>
      <c r="AP1028" s="480" t="str">
        <f t="shared" si="1679"/>
        <v/>
      </c>
      <c r="AQ1028" s="482" t="str">
        <f t="shared" si="1679"/>
        <v/>
      </c>
    </row>
    <row r="1029" spans="27:43" ht="7.8" customHeight="1" x14ac:dyDescent="0.25">
      <c r="AA1029" s="291"/>
      <c r="AB1029" s="412"/>
      <c r="AC1029" s="475"/>
      <c r="AD1029" s="489" t="s">
        <v>33</v>
      </c>
      <c r="AE1029" s="484">
        <f t="shared" si="1679"/>
        <v>-0.11185999763509519</v>
      </c>
      <c r="AF1029" s="485">
        <f t="shared" si="1679"/>
        <v>-0.6439238069954204</v>
      </c>
      <c r="AG1029" s="486">
        <f t="shared" si="1679"/>
        <v>-0.76260137562878549</v>
      </c>
      <c r="AH1029" s="486">
        <f t="shared" si="1679"/>
        <v>-0.44678979771328059</v>
      </c>
      <c r="AI1029" s="486">
        <f t="shared" si="1679"/>
        <v>-0.39875910971045891</v>
      </c>
      <c r="AJ1029" s="486">
        <f t="shared" si="1679"/>
        <v>-0.45017482517482516</v>
      </c>
      <c r="AK1029" s="486">
        <f t="shared" si="1679"/>
        <v>0.35446428571428573</v>
      </c>
      <c r="AL1029" s="486">
        <f t="shared" si="1679"/>
        <v>0.58843732112192326</v>
      </c>
      <c r="AM1029" s="486">
        <f t="shared" si="1679"/>
        <v>0.75595238095238093</v>
      </c>
      <c r="AN1029" s="486" t="str">
        <f t="shared" si="1679"/>
        <v/>
      </c>
      <c r="AO1029" s="486" t="str">
        <f t="shared" si="1679"/>
        <v/>
      </c>
      <c r="AP1029" s="486" t="str">
        <f t="shared" si="1679"/>
        <v/>
      </c>
      <c r="AQ1029" s="488" t="str">
        <f t="shared" si="1679"/>
        <v/>
      </c>
    </row>
    <row r="1030" spans="27:43" ht="7.8" customHeight="1" x14ac:dyDescent="0.25">
      <c r="AA1030" s="291"/>
      <c r="AB1030" s="510"/>
      <c r="AC1030" s="511"/>
      <c r="AD1030" s="512" t="s">
        <v>30</v>
      </c>
      <c r="AE1030" s="505">
        <f t="shared" si="1679"/>
        <v>8.0643254109022205E-2</v>
      </c>
      <c r="AF1030" s="506">
        <f t="shared" si="1679"/>
        <v>-2.9999336297869491E-2</v>
      </c>
      <c r="AG1030" s="507">
        <f t="shared" si="1679"/>
        <v>-3.1413612565445025E-2</v>
      </c>
      <c r="AH1030" s="507">
        <f t="shared" si="1679"/>
        <v>0.17150395778364122</v>
      </c>
      <c r="AI1030" s="507">
        <f t="shared" si="1679"/>
        <v>0.20248178057908217</v>
      </c>
      <c r="AJ1030" s="507">
        <f t="shared" si="1679"/>
        <v>0.2451923076923076</v>
      </c>
      <c r="AK1030" s="507">
        <f t="shared" si="1679"/>
        <v>0.15625</v>
      </c>
      <c r="AL1030" s="507">
        <f t="shared" si="1679"/>
        <v>-1.1639000190803217E-2</v>
      </c>
      <c r="AM1030" s="507">
        <f t="shared" si="1679"/>
        <v>4.1666666666666699E-2</v>
      </c>
      <c r="AN1030" s="507" t="str">
        <f t="shared" si="1679"/>
        <v/>
      </c>
      <c r="AO1030" s="507" t="str">
        <f t="shared" si="1679"/>
        <v/>
      </c>
      <c r="AP1030" s="507" t="str">
        <f t="shared" si="1679"/>
        <v/>
      </c>
      <c r="AQ1030" s="509" t="str">
        <f t="shared" si="1679"/>
        <v/>
      </c>
    </row>
    <row r="1031" spans="27:43" ht="7.8" customHeight="1" x14ac:dyDescent="0.25">
      <c r="AA1031" s="291" t="s">
        <v>70</v>
      </c>
      <c r="AB1031" s="292" t="s">
        <v>9</v>
      </c>
      <c r="AC1031" s="293" t="s">
        <v>39</v>
      </c>
      <c r="AD1031" s="294" t="s">
        <v>32</v>
      </c>
      <c r="AE1031" s="286">
        <f t="shared" ref="AE1031:AE1032" si="1680">SUM(AF1031:AQ1031)</f>
        <v>0</v>
      </c>
      <c r="AF1031" s="287">
        <f t="shared" ref="AF1031:AQ1032" si="1681">SUM(AF1049,AF1067)</f>
        <v>0</v>
      </c>
      <c r="AG1031" s="288">
        <f t="shared" si="1681"/>
        <v>0</v>
      </c>
      <c r="AH1031" s="288">
        <f t="shared" si="1681"/>
        <v>0</v>
      </c>
      <c r="AI1031" s="288">
        <f t="shared" si="1681"/>
        <v>0</v>
      </c>
      <c r="AJ1031" s="288">
        <f t="shared" si="1681"/>
        <v>0</v>
      </c>
      <c r="AK1031" s="288">
        <f t="shared" si="1681"/>
        <v>0</v>
      </c>
      <c r="AL1031" s="288">
        <f t="shared" si="1681"/>
        <v>0</v>
      </c>
      <c r="AM1031" s="288">
        <f t="shared" si="1681"/>
        <v>0</v>
      </c>
      <c r="AN1031" s="288">
        <f t="shared" si="1681"/>
        <v>0</v>
      </c>
      <c r="AO1031" s="288">
        <f t="shared" si="1681"/>
        <v>0</v>
      </c>
      <c r="AP1031" s="288">
        <f t="shared" si="1681"/>
        <v>0</v>
      </c>
      <c r="AQ1031" s="290">
        <f t="shared" si="1681"/>
        <v>0</v>
      </c>
    </row>
    <row r="1032" spans="27:43" ht="7.8" customHeight="1" x14ac:dyDescent="0.25">
      <c r="AA1032" s="291"/>
      <c r="AB1032" s="303"/>
      <c r="AC1032" s="304"/>
      <c r="AD1032" s="305" t="s">
        <v>33</v>
      </c>
      <c r="AE1032" s="298">
        <f t="shared" si="1680"/>
        <v>0</v>
      </c>
      <c r="AF1032" s="299">
        <f t="shared" si="1681"/>
        <v>0</v>
      </c>
      <c r="AG1032" s="300">
        <f t="shared" si="1681"/>
        <v>0</v>
      </c>
      <c r="AH1032" s="300">
        <f t="shared" si="1681"/>
        <v>0</v>
      </c>
      <c r="AI1032" s="300">
        <f t="shared" si="1681"/>
        <v>0</v>
      </c>
      <c r="AJ1032" s="300">
        <f t="shared" si="1681"/>
        <v>0</v>
      </c>
      <c r="AK1032" s="300">
        <f t="shared" si="1681"/>
        <v>0</v>
      </c>
      <c r="AL1032" s="300">
        <f t="shared" si="1681"/>
        <v>0</v>
      </c>
      <c r="AM1032" s="300">
        <f t="shared" si="1681"/>
        <v>0</v>
      </c>
      <c r="AN1032" s="300">
        <f t="shared" si="1681"/>
        <v>0</v>
      </c>
      <c r="AO1032" s="300">
        <f t="shared" si="1681"/>
        <v>0</v>
      </c>
      <c r="AP1032" s="300">
        <f t="shared" si="1681"/>
        <v>0</v>
      </c>
      <c r="AQ1032" s="302">
        <f t="shared" si="1681"/>
        <v>0</v>
      </c>
    </row>
    <row r="1033" spans="27:43" ht="7.8" customHeight="1" x14ac:dyDescent="0.25">
      <c r="AA1033" s="291"/>
      <c r="AB1033" s="303"/>
      <c r="AC1033" s="313"/>
      <c r="AD1033" s="314" t="s">
        <v>30</v>
      </c>
      <c r="AE1033" s="308">
        <f t="shared" ref="AE1033:AQ1033" si="1682">IFERROR(AE1032/AE1031,0)</f>
        <v>0</v>
      </c>
      <c r="AF1033" s="309">
        <f t="shared" si="1682"/>
        <v>0</v>
      </c>
      <c r="AG1033" s="310">
        <f t="shared" si="1682"/>
        <v>0</v>
      </c>
      <c r="AH1033" s="310">
        <f t="shared" si="1682"/>
        <v>0</v>
      </c>
      <c r="AI1033" s="310">
        <f t="shared" si="1682"/>
        <v>0</v>
      </c>
      <c r="AJ1033" s="310">
        <f t="shared" si="1682"/>
        <v>0</v>
      </c>
      <c r="AK1033" s="310">
        <f t="shared" si="1682"/>
        <v>0</v>
      </c>
      <c r="AL1033" s="310">
        <f t="shared" si="1682"/>
        <v>0</v>
      </c>
      <c r="AM1033" s="310">
        <f t="shared" si="1682"/>
        <v>0</v>
      </c>
      <c r="AN1033" s="310">
        <f t="shared" si="1682"/>
        <v>0</v>
      </c>
      <c r="AO1033" s="310">
        <f t="shared" si="1682"/>
        <v>0</v>
      </c>
      <c r="AP1033" s="310">
        <f t="shared" si="1682"/>
        <v>0</v>
      </c>
      <c r="AQ1033" s="312">
        <f t="shared" si="1682"/>
        <v>0</v>
      </c>
    </row>
    <row r="1034" spans="27:43" ht="7.8" customHeight="1" x14ac:dyDescent="0.25">
      <c r="AA1034" s="291"/>
      <c r="AB1034" s="303"/>
      <c r="AC1034" s="322" t="s">
        <v>40</v>
      </c>
      <c r="AD1034" s="323" t="s">
        <v>32</v>
      </c>
      <c r="AE1034" s="317">
        <f t="shared" ref="AE1034:AE1035" si="1683">SUM(AF1034:AQ1034)</f>
        <v>3241</v>
      </c>
      <c r="AF1034" s="318">
        <f t="shared" ref="AF1034:AQ1035" si="1684">SUM(AF1052,AF1070)</f>
        <v>359</v>
      </c>
      <c r="AG1034" s="319">
        <f t="shared" si="1684"/>
        <v>471</v>
      </c>
      <c r="AH1034" s="319">
        <f t="shared" si="1684"/>
        <v>345</v>
      </c>
      <c r="AI1034" s="319">
        <f t="shared" si="1684"/>
        <v>238</v>
      </c>
      <c r="AJ1034" s="319">
        <f t="shared" si="1684"/>
        <v>322</v>
      </c>
      <c r="AK1034" s="319">
        <f t="shared" si="1684"/>
        <v>278</v>
      </c>
      <c r="AL1034" s="319">
        <f t="shared" si="1684"/>
        <v>333</v>
      </c>
      <c r="AM1034" s="319">
        <f t="shared" si="1684"/>
        <v>294</v>
      </c>
      <c r="AN1034" s="319">
        <f t="shared" si="1684"/>
        <v>130</v>
      </c>
      <c r="AO1034" s="319">
        <f t="shared" si="1684"/>
        <v>90</v>
      </c>
      <c r="AP1034" s="319">
        <f t="shared" si="1684"/>
        <v>179</v>
      </c>
      <c r="AQ1034" s="321">
        <f t="shared" si="1684"/>
        <v>202</v>
      </c>
    </row>
    <row r="1035" spans="27:43" ht="7.8" customHeight="1" x14ac:dyDescent="0.25">
      <c r="AA1035" s="291"/>
      <c r="AB1035" s="303"/>
      <c r="AC1035" s="304"/>
      <c r="AD1035" s="305" t="s">
        <v>33</v>
      </c>
      <c r="AE1035" s="298">
        <f t="shared" si="1683"/>
        <v>510658.87</v>
      </c>
      <c r="AF1035" s="299">
        <f t="shared" si="1684"/>
        <v>54258</v>
      </c>
      <c r="AG1035" s="300">
        <f t="shared" si="1684"/>
        <v>71223.61</v>
      </c>
      <c r="AH1035" s="300">
        <f t="shared" si="1684"/>
        <v>53917</v>
      </c>
      <c r="AI1035" s="300">
        <f t="shared" si="1684"/>
        <v>31765</v>
      </c>
      <c r="AJ1035" s="300">
        <f t="shared" si="1684"/>
        <v>42828</v>
      </c>
      <c r="AK1035" s="300">
        <f t="shared" si="1684"/>
        <v>37253.259999999995</v>
      </c>
      <c r="AL1035" s="300">
        <f t="shared" si="1684"/>
        <v>48122</v>
      </c>
      <c r="AM1035" s="300">
        <f t="shared" si="1684"/>
        <v>52709</v>
      </c>
      <c r="AN1035" s="300">
        <f t="shared" si="1684"/>
        <v>45299</v>
      </c>
      <c r="AO1035" s="300">
        <f t="shared" si="1684"/>
        <v>11554</v>
      </c>
      <c r="AP1035" s="300">
        <f t="shared" si="1684"/>
        <v>25584</v>
      </c>
      <c r="AQ1035" s="302">
        <f t="shared" si="1684"/>
        <v>36146</v>
      </c>
    </row>
    <row r="1036" spans="27:43" ht="7.8" customHeight="1" x14ac:dyDescent="0.25">
      <c r="AA1036" s="291"/>
      <c r="AB1036" s="303"/>
      <c r="AC1036" s="313"/>
      <c r="AD1036" s="314" t="s">
        <v>30</v>
      </c>
      <c r="AE1036" s="308">
        <f t="shared" ref="AE1036:AQ1036" si="1685">IFERROR(AE1035/AE1034,0)</f>
        <v>157.5621320580068</v>
      </c>
      <c r="AF1036" s="309">
        <f t="shared" si="1685"/>
        <v>151.13649025069637</v>
      </c>
      <c r="AG1036" s="310">
        <f t="shared" si="1685"/>
        <v>151.21785562632695</v>
      </c>
      <c r="AH1036" s="310">
        <f t="shared" si="1685"/>
        <v>156.28115942028987</v>
      </c>
      <c r="AI1036" s="310">
        <f t="shared" si="1685"/>
        <v>133.46638655462183</v>
      </c>
      <c r="AJ1036" s="310">
        <f t="shared" si="1685"/>
        <v>133.00621118012421</v>
      </c>
      <c r="AK1036" s="310">
        <f t="shared" si="1685"/>
        <v>134.00453237410071</v>
      </c>
      <c r="AL1036" s="310">
        <f t="shared" si="1685"/>
        <v>144.5105105105105</v>
      </c>
      <c r="AM1036" s="310">
        <f t="shared" si="1685"/>
        <v>179.28231292517006</v>
      </c>
      <c r="AN1036" s="310">
        <f t="shared" si="1685"/>
        <v>348.45384615384614</v>
      </c>
      <c r="AO1036" s="310">
        <f t="shared" si="1685"/>
        <v>128.37777777777777</v>
      </c>
      <c r="AP1036" s="310">
        <f t="shared" si="1685"/>
        <v>142.92737430167597</v>
      </c>
      <c r="AQ1036" s="312">
        <f t="shared" si="1685"/>
        <v>178.94059405940595</v>
      </c>
    </row>
    <row r="1037" spans="27:43" ht="7.8" customHeight="1" x14ac:dyDescent="0.25">
      <c r="AA1037" s="291"/>
      <c r="AB1037" s="303"/>
      <c r="AC1037" s="322" t="s">
        <v>41</v>
      </c>
      <c r="AD1037" s="323" t="s">
        <v>32</v>
      </c>
      <c r="AE1037" s="317">
        <f t="shared" ref="AE1037:AE1038" si="1686">SUM(AF1037:AQ1037)</f>
        <v>809</v>
      </c>
      <c r="AF1037" s="318">
        <f t="shared" ref="AF1037:AQ1038" si="1687">SUM(AF1055,AF1073)</f>
        <v>202</v>
      </c>
      <c r="AG1037" s="319">
        <f t="shared" si="1687"/>
        <v>88</v>
      </c>
      <c r="AH1037" s="319">
        <f t="shared" si="1687"/>
        <v>148</v>
      </c>
      <c r="AI1037" s="319">
        <f t="shared" si="1687"/>
        <v>103</v>
      </c>
      <c r="AJ1037" s="319">
        <f t="shared" si="1687"/>
        <v>64</v>
      </c>
      <c r="AK1037" s="319">
        <f t="shared" si="1687"/>
        <v>62</v>
      </c>
      <c r="AL1037" s="319">
        <f t="shared" si="1687"/>
        <v>70</v>
      </c>
      <c r="AM1037" s="319">
        <f t="shared" si="1687"/>
        <v>72</v>
      </c>
      <c r="AN1037" s="319">
        <f t="shared" si="1687"/>
        <v>0</v>
      </c>
      <c r="AO1037" s="319">
        <f t="shared" si="1687"/>
        <v>0</v>
      </c>
      <c r="AP1037" s="319">
        <f t="shared" si="1687"/>
        <v>0</v>
      </c>
      <c r="AQ1037" s="321">
        <f t="shared" si="1687"/>
        <v>0</v>
      </c>
    </row>
    <row r="1038" spans="27:43" ht="7.8" customHeight="1" x14ac:dyDescent="0.25">
      <c r="AA1038" s="291"/>
      <c r="AB1038" s="303"/>
      <c r="AC1038" s="304"/>
      <c r="AD1038" s="305" t="s">
        <v>33</v>
      </c>
      <c r="AE1038" s="298">
        <f t="shared" si="1686"/>
        <v>124047.09000000001</v>
      </c>
      <c r="AF1038" s="299">
        <f t="shared" si="1687"/>
        <v>30256</v>
      </c>
      <c r="AG1038" s="300">
        <f t="shared" si="1687"/>
        <v>14856</v>
      </c>
      <c r="AH1038" s="300">
        <f t="shared" si="1687"/>
        <v>24241</v>
      </c>
      <c r="AI1038" s="300">
        <f t="shared" si="1687"/>
        <v>15007.14</v>
      </c>
      <c r="AJ1038" s="300">
        <f t="shared" si="1687"/>
        <v>9074</v>
      </c>
      <c r="AK1038" s="300">
        <f t="shared" si="1687"/>
        <v>10001.799999999999</v>
      </c>
      <c r="AL1038" s="300">
        <f t="shared" si="1687"/>
        <v>10003.550000000001</v>
      </c>
      <c r="AM1038" s="300">
        <f t="shared" si="1687"/>
        <v>10607.600000000002</v>
      </c>
      <c r="AN1038" s="300">
        <f t="shared" si="1687"/>
        <v>0</v>
      </c>
      <c r="AO1038" s="300">
        <f t="shared" si="1687"/>
        <v>0</v>
      </c>
      <c r="AP1038" s="300">
        <f t="shared" si="1687"/>
        <v>0</v>
      </c>
      <c r="AQ1038" s="302">
        <f t="shared" si="1687"/>
        <v>0</v>
      </c>
    </row>
    <row r="1039" spans="27:43" ht="7.8" customHeight="1" x14ac:dyDescent="0.25">
      <c r="AA1039" s="291"/>
      <c r="AB1039" s="303"/>
      <c r="AC1039" s="313"/>
      <c r="AD1039" s="314" t="s">
        <v>30</v>
      </c>
      <c r="AE1039" s="308">
        <f t="shared" ref="AE1039:AQ1039" si="1688">IFERROR(AE1038/AE1037,0)</f>
        <v>153.3338566131026</v>
      </c>
      <c r="AF1039" s="309">
        <f t="shared" si="1688"/>
        <v>149.78217821782178</v>
      </c>
      <c r="AG1039" s="310">
        <f t="shared" si="1688"/>
        <v>168.81818181818181</v>
      </c>
      <c r="AH1039" s="310">
        <f t="shared" si="1688"/>
        <v>163.79054054054055</v>
      </c>
      <c r="AI1039" s="310">
        <f t="shared" si="1688"/>
        <v>145.70038834951455</v>
      </c>
      <c r="AJ1039" s="310">
        <f t="shared" si="1688"/>
        <v>141.78125</v>
      </c>
      <c r="AK1039" s="310">
        <f t="shared" si="1688"/>
        <v>161.31935483870967</v>
      </c>
      <c r="AL1039" s="310">
        <f t="shared" si="1688"/>
        <v>142.90785714285715</v>
      </c>
      <c r="AM1039" s="310">
        <f t="shared" si="1688"/>
        <v>147.32777777777781</v>
      </c>
      <c r="AN1039" s="310">
        <f t="shared" si="1688"/>
        <v>0</v>
      </c>
      <c r="AO1039" s="310">
        <f t="shared" si="1688"/>
        <v>0</v>
      </c>
      <c r="AP1039" s="310">
        <f t="shared" si="1688"/>
        <v>0</v>
      </c>
      <c r="AQ1039" s="312">
        <f t="shared" si="1688"/>
        <v>0</v>
      </c>
    </row>
    <row r="1040" spans="27:43" ht="7.8" customHeight="1" x14ac:dyDescent="0.25">
      <c r="AA1040" s="291"/>
      <c r="AB1040" s="303"/>
      <c r="AC1040" s="527" t="s">
        <v>42</v>
      </c>
      <c r="AD1040" s="528" t="s">
        <v>32</v>
      </c>
      <c r="AE1040" s="333">
        <f t="shared" ref="AE1040:AE1041" si="1689">SUM(AF1040:AQ1040)</f>
        <v>5700</v>
      </c>
      <c r="AF1040" s="334">
        <f t="shared" ref="AF1040:AQ1041" si="1690">SUM(AF1058,AF1076)</f>
        <v>300</v>
      </c>
      <c r="AG1040" s="335">
        <f t="shared" si="1690"/>
        <v>150</v>
      </c>
      <c r="AH1040" s="335">
        <f t="shared" si="1690"/>
        <v>250</v>
      </c>
      <c r="AI1040" s="335">
        <f t="shared" si="1690"/>
        <v>350</v>
      </c>
      <c r="AJ1040" s="335">
        <f t="shared" si="1690"/>
        <v>450</v>
      </c>
      <c r="AK1040" s="335">
        <f t="shared" si="1690"/>
        <v>550</v>
      </c>
      <c r="AL1040" s="335">
        <f t="shared" si="1690"/>
        <v>700</v>
      </c>
      <c r="AM1040" s="335">
        <f t="shared" si="1690"/>
        <v>650</v>
      </c>
      <c r="AN1040" s="335">
        <f t="shared" si="1690"/>
        <v>550</v>
      </c>
      <c r="AO1040" s="335">
        <f t="shared" si="1690"/>
        <v>600</v>
      </c>
      <c r="AP1040" s="335">
        <f t="shared" si="1690"/>
        <v>500</v>
      </c>
      <c r="AQ1040" s="336">
        <f t="shared" si="1690"/>
        <v>650</v>
      </c>
    </row>
    <row r="1041" spans="27:43" ht="7.8" customHeight="1" x14ac:dyDescent="0.25">
      <c r="AA1041" s="291"/>
      <c r="AB1041" s="303"/>
      <c r="AC1041" s="522"/>
      <c r="AD1041" s="523" t="s">
        <v>33</v>
      </c>
      <c r="AE1041" s="346">
        <f t="shared" si="1689"/>
        <v>1042950</v>
      </c>
      <c r="AF1041" s="347">
        <f t="shared" si="1690"/>
        <v>53700</v>
      </c>
      <c r="AG1041" s="348">
        <f t="shared" si="1690"/>
        <v>25350</v>
      </c>
      <c r="AH1041" s="348">
        <f t="shared" si="1690"/>
        <v>43500</v>
      </c>
      <c r="AI1041" s="348">
        <f t="shared" si="1690"/>
        <v>59150</v>
      </c>
      <c r="AJ1041" s="348">
        <f t="shared" si="1690"/>
        <v>80550</v>
      </c>
      <c r="AK1041" s="348">
        <f t="shared" si="1690"/>
        <v>98450</v>
      </c>
      <c r="AL1041" s="348">
        <f t="shared" si="1690"/>
        <v>146300</v>
      </c>
      <c r="AM1041" s="348">
        <f t="shared" si="1690"/>
        <v>122850</v>
      </c>
      <c r="AN1041" s="348">
        <f t="shared" si="1690"/>
        <v>95700</v>
      </c>
      <c r="AO1041" s="348">
        <f t="shared" si="1690"/>
        <v>104400</v>
      </c>
      <c r="AP1041" s="348">
        <f t="shared" si="1690"/>
        <v>89500</v>
      </c>
      <c r="AQ1041" s="349">
        <f t="shared" si="1690"/>
        <v>123500</v>
      </c>
    </row>
    <row r="1042" spans="27:43" ht="7.8" customHeight="1" x14ac:dyDescent="0.25">
      <c r="AA1042" s="291"/>
      <c r="AB1042" s="303"/>
      <c r="AC1042" s="524"/>
      <c r="AD1042" s="525" t="s">
        <v>30</v>
      </c>
      <c r="AE1042" s="359">
        <f t="shared" ref="AE1042:AQ1042" si="1691">IFERROR(AE1041/AE1040,0)</f>
        <v>182.97368421052633</v>
      </c>
      <c r="AF1042" s="360">
        <f t="shared" si="1691"/>
        <v>179</v>
      </c>
      <c r="AG1042" s="361">
        <f t="shared" si="1691"/>
        <v>169</v>
      </c>
      <c r="AH1042" s="361">
        <f t="shared" si="1691"/>
        <v>174</v>
      </c>
      <c r="AI1042" s="361">
        <f t="shared" si="1691"/>
        <v>169</v>
      </c>
      <c r="AJ1042" s="361">
        <f t="shared" si="1691"/>
        <v>179</v>
      </c>
      <c r="AK1042" s="361">
        <f t="shared" si="1691"/>
        <v>179</v>
      </c>
      <c r="AL1042" s="361">
        <f t="shared" si="1691"/>
        <v>209</v>
      </c>
      <c r="AM1042" s="361">
        <f t="shared" si="1691"/>
        <v>189</v>
      </c>
      <c r="AN1042" s="361">
        <f t="shared" si="1691"/>
        <v>174</v>
      </c>
      <c r="AO1042" s="361">
        <f t="shared" si="1691"/>
        <v>174</v>
      </c>
      <c r="AP1042" s="361">
        <f t="shared" si="1691"/>
        <v>179</v>
      </c>
      <c r="AQ1042" s="362">
        <f t="shared" si="1691"/>
        <v>190</v>
      </c>
    </row>
    <row r="1043" spans="27:43" ht="7.8" customHeight="1" x14ac:dyDescent="0.25">
      <c r="AA1043" s="291"/>
      <c r="AB1043" s="303"/>
      <c r="AC1043" s="364" t="s">
        <v>43</v>
      </c>
      <c r="AD1043" s="323" t="s">
        <v>32</v>
      </c>
      <c r="AE1043" s="317">
        <f t="shared" ref="AE1043:AQ1045" si="1692">AE1040-AE1037</f>
        <v>4891</v>
      </c>
      <c r="AF1043" s="318">
        <f t="shared" si="1692"/>
        <v>98</v>
      </c>
      <c r="AG1043" s="319">
        <f t="shared" si="1692"/>
        <v>62</v>
      </c>
      <c r="AH1043" s="319">
        <f t="shared" si="1692"/>
        <v>102</v>
      </c>
      <c r="AI1043" s="319">
        <f t="shared" si="1692"/>
        <v>247</v>
      </c>
      <c r="AJ1043" s="319">
        <f t="shared" si="1692"/>
        <v>386</v>
      </c>
      <c r="AK1043" s="319">
        <f t="shared" si="1692"/>
        <v>488</v>
      </c>
      <c r="AL1043" s="319">
        <f t="shared" si="1692"/>
        <v>630</v>
      </c>
      <c r="AM1043" s="319">
        <f t="shared" si="1692"/>
        <v>578</v>
      </c>
      <c r="AN1043" s="319">
        <f t="shared" si="1692"/>
        <v>550</v>
      </c>
      <c r="AO1043" s="319">
        <f t="shared" si="1692"/>
        <v>600</v>
      </c>
      <c r="AP1043" s="319">
        <f t="shared" si="1692"/>
        <v>500</v>
      </c>
      <c r="AQ1043" s="321">
        <f t="shared" si="1692"/>
        <v>650</v>
      </c>
    </row>
    <row r="1044" spans="27:43" ht="7.8" customHeight="1" x14ac:dyDescent="0.25">
      <c r="AA1044" s="291"/>
      <c r="AB1044" s="303"/>
      <c r="AC1044" s="367"/>
      <c r="AD1044" s="368" t="s">
        <v>33</v>
      </c>
      <c r="AE1044" s="298">
        <f t="shared" si="1692"/>
        <v>918902.91</v>
      </c>
      <c r="AF1044" s="299">
        <f t="shared" si="1692"/>
        <v>23444</v>
      </c>
      <c r="AG1044" s="300">
        <f t="shared" si="1692"/>
        <v>10494</v>
      </c>
      <c r="AH1044" s="300">
        <f t="shared" si="1692"/>
        <v>19259</v>
      </c>
      <c r="AI1044" s="300">
        <f t="shared" si="1692"/>
        <v>44142.86</v>
      </c>
      <c r="AJ1044" s="300">
        <f t="shared" si="1692"/>
        <v>71476</v>
      </c>
      <c r="AK1044" s="300">
        <f t="shared" si="1692"/>
        <v>88448.2</v>
      </c>
      <c r="AL1044" s="300">
        <f t="shared" si="1692"/>
        <v>136296.45000000001</v>
      </c>
      <c r="AM1044" s="300">
        <f t="shared" si="1692"/>
        <v>112242.4</v>
      </c>
      <c r="AN1044" s="300">
        <f t="shared" si="1692"/>
        <v>95700</v>
      </c>
      <c r="AO1044" s="300">
        <f t="shared" si="1692"/>
        <v>104400</v>
      </c>
      <c r="AP1044" s="300">
        <f t="shared" si="1692"/>
        <v>89500</v>
      </c>
      <c r="AQ1044" s="302">
        <f t="shared" si="1692"/>
        <v>123500</v>
      </c>
    </row>
    <row r="1045" spans="27:43" ht="7.8" customHeight="1" x14ac:dyDescent="0.25">
      <c r="AA1045" s="291"/>
      <c r="AB1045" s="303"/>
      <c r="AC1045" s="369"/>
      <c r="AD1045" s="314" t="s">
        <v>30</v>
      </c>
      <c r="AE1045" s="308">
        <f t="shared" si="1692"/>
        <v>29.639827597423732</v>
      </c>
      <c r="AF1045" s="309">
        <f t="shared" si="1692"/>
        <v>29.21782178217822</v>
      </c>
      <c r="AG1045" s="310">
        <f t="shared" si="1692"/>
        <v>0.18181818181818699</v>
      </c>
      <c r="AH1045" s="310">
        <f t="shared" si="1692"/>
        <v>10.209459459459453</v>
      </c>
      <c r="AI1045" s="310">
        <f t="shared" si="1692"/>
        <v>23.299611650485446</v>
      </c>
      <c r="AJ1045" s="310">
        <f t="shared" si="1692"/>
        <v>37.21875</v>
      </c>
      <c r="AK1045" s="310">
        <f t="shared" si="1692"/>
        <v>17.680645161290329</v>
      </c>
      <c r="AL1045" s="310">
        <f t="shared" si="1692"/>
        <v>66.092142857142846</v>
      </c>
      <c r="AM1045" s="310">
        <f t="shared" si="1692"/>
        <v>41.672222222222189</v>
      </c>
      <c r="AN1045" s="310">
        <f t="shared" si="1692"/>
        <v>174</v>
      </c>
      <c r="AO1045" s="310">
        <f t="shared" si="1692"/>
        <v>174</v>
      </c>
      <c r="AP1045" s="310">
        <f t="shared" si="1692"/>
        <v>179</v>
      </c>
      <c r="AQ1045" s="312">
        <f t="shared" si="1692"/>
        <v>190</v>
      </c>
    </row>
    <row r="1046" spans="27:43" ht="7.8" customHeight="1" x14ac:dyDescent="0.25">
      <c r="AA1046" s="291"/>
      <c r="AB1046" s="303"/>
      <c r="AC1046" s="364" t="s">
        <v>44</v>
      </c>
      <c r="AD1046" s="323" t="s">
        <v>32</v>
      </c>
      <c r="AE1046" s="370">
        <f t="shared" ref="AE1046:AQ1048" si="1693">IFERROR((AE1040-AE1037)/ABS(AE1037),"")</f>
        <v>6.0457354758961683</v>
      </c>
      <c r="AF1046" s="371">
        <f t="shared" si="1693"/>
        <v>0.48514851485148514</v>
      </c>
      <c r="AG1046" s="372">
        <f t="shared" si="1693"/>
        <v>0.70454545454545459</v>
      </c>
      <c r="AH1046" s="372">
        <f t="shared" si="1693"/>
        <v>0.68918918918918914</v>
      </c>
      <c r="AI1046" s="372">
        <f t="shared" si="1693"/>
        <v>2.3980582524271843</v>
      </c>
      <c r="AJ1046" s="372">
        <f t="shared" si="1693"/>
        <v>6.03125</v>
      </c>
      <c r="AK1046" s="372">
        <f t="shared" si="1693"/>
        <v>7.870967741935484</v>
      </c>
      <c r="AL1046" s="372">
        <f t="shared" si="1693"/>
        <v>9</v>
      </c>
      <c r="AM1046" s="372">
        <f t="shared" si="1693"/>
        <v>8.0277777777777786</v>
      </c>
      <c r="AN1046" s="372" t="str">
        <f t="shared" si="1693"/>
        <v/>
      </c>
      <c r="AO1046" s="372" t="str">
        <f t="shared" si="1693"/>
        <v/>
      </c>
      <c r="AP1046" s="372" t="str">
        <f t="shared" si="1693"/>
        <v/>
      </c>
      <c r="AQ1046" s="374" t="str">
        <f t="shared" si="1693"/>
        <v/>
      </c>
    </row>
    <row r="1047" spans="27:43" ht="7.8" customHeight="1" x14ac:dyDescent="0.25">
      <c r="AA1047" s="291"/>
      <c r="AB1047" s="303"/>
      <c r="AC1047" s="367"/>
      <c r="AD1047" s="381" t="s">
        <v>33</v>
      </c>
      <c r="AE1047" s="376">
        <f t="shared" si="1693"/>
        <v>7.4076942070950631</v>
      </c>
      <c r="AF1047" s="377">
        <f t="shared" si="1693"/>
        <v>0.77485457429931248</v>
      </c>
      <c r="AG1047" s="378">
        <f t="shared" si="1693"/>
        <v>0.70638126009693059</v>
      </c>
      <c r="AH1047" s="378">
        <f t="shared" si="1693"/>
        <v>0.79448042572501132</v>
      </c>
      <c r="AI1047" s="378">
        <f t="shared" si="1693"/>
        <v>2.9414571997062735</v>
      </c>
      <c r="AJ1047" s="378">
        <f t="shared" si="1693"/>
        <v>7.8770112409080895</v>
      </c>
      <c r="AK1047" s="378">
        <f t="shared" si="1693"/>
        <v>8.8432282189205953</v>
      </c>
      <c r="AL1047" s="378">
        <f t="shared" si="1693"/>
        <v>13.624808193091452</v>
      </c>
      <c r="AM1047" s="378">
        <f t="shared" si="1693"/>
        <v>10.581319054262979</v>
      </c>
      <c r="AN1047" s="378" t="str">
        <f t="shared" si="1693"/>
        <v/>
      </c>
      <c r="AO1047" s="378" t="str">
        <f t="shared" si="1693"/>
        <v/>
      </c>
      <c r="AP1047" s="378" t="str">
        <f t="shared" si="1693"/>
        <v/>
      </c>
      <c r="AQ1047" s="380" t="str">
        <f t="shared" si="1693"/>
        <v/>
      </c>
    </row>
    <row r="1048" spans="27:43" ht="7.8" customHeight="1" x14ac:dyDescent="0.25">
      <c r="AA1048" s="291"/>
      <c r="AB1048" s="390"/>
      <c r="AC1048" s="391"/>
      <c r="AD1048" s="392" t="s">
        <v>30</v>
      </c>
      <c r="AE1048" s="385">
        <f t="shared" si="1693"/>
        <v>0.19330256377893104</v>
      </c>
      <c r="AF1048" s="386">
        <f t="shared" si="1693"/>
        <v>0.19506874669487045</v>
      </c>
      <c r="AG1048" s="387">
        <f t="shared" si="1693"/>
        <v>1.07700592353261E-3</v>
      </c>
      <c r="AH1048" s="387">
        <f t="shared" si="1693"/>
        <v>6.2332412029206669E-2</v>
      </c>
      <c r="AI1048" s="387">
        <f t="shared" si="1693"/>
        <v>0.15991454734213187</v>
      </c>
      <c r="AJ1048" s="387">
        <f t="shared" si="1693"/>
        <v>0.2625082653735949</v>
      </c>
      <c r="AK1048" s="387">
        <f t="shared" si="1693"/>
        <v>0.10960027195104885</v>
      </c>
      <c r="AL1048" s="387">
        <f t="shared" si="1693"/>
        <v>0.46248081930914514</v>
      </c>
      <c r="AM1048" s="387">
        <f t="shared" si="1693"/>
        <v>0.28285380293374535</v>
      </c>
      <c r="AN1048" s="387" t="str">
        <f t="shared" si="1693"/>
        <v/>
      </c>
      <c r="AO1048" s="387" t="str">
        <f t="shared" si="1693"/>
        <v/>
      </c>
      <c r="AP1048" s="387" t="str">
        <f t="shared" si="1693"/>
        <v/>
      </c>
      <c r="AQ1048" s="389" t="str">
        <f t="shared" si="1693"/>
        <v/>
      </c>
    </row>
    <row r="1049" spans="27:43" ht="7.8" customHeight="1" x14ac:dyDescent="0.25">
      <c r="AA1049" s="291"/>
      <c r="AB1049" s="401" t="s">
        <v>48</v>
      </c>
      <c r="AC1049" s="402" t="s">
        <v>39</v>
      </c>
      <c r="AD1049" s="403" t="s">
        <v>32</v>
      </c>
      <c r="AE1049" s="396">
        <f t="shared" ref="AE1049:AE1050" si="1694">SUM(AF1049:AQ1049)</f>
        <v>0</v>
      </c>
      <c r="AF1049" s="397">
        <f>$Y$77</f>
        <v>0</v>
      </c>
      <c r="AG1049" s="398">
        <f>$Y$131</f>
        <v>0</v>
      </c>
      <c r="AH1049" s="398">
        <f>$Y$185</f>
        <v>0</v>
      </c>
      <c r="AI1049" s="398">
        <f>$Y$239</f>
        <v>0</v>
      </c>
      <c r="AJ1049" s="398">
        <f>$Y$293</f>
        <v>0</v>
      </c>
      <c r="AK1049" s="398">
        <f>$Y$347</f>
        <v>0</v>
      </c>
      <c r="AL1049" s="398">
        <f>$Y$401</f>
        <v>0</v>
      </c>
      <c r="AM1049" s="398">
        <f>$Y$455</f>
        <v>0</v>
      </c>
      <c r="AN1049" s="398">
        <f>$Y$509</f>
        <v>0</v>
      </c>
      <c r="AO1049" s="398">
        <f>$Y$563</f>
        <v>0</v>
      </c>
      <c r="AP1049" s="398">
        <f>$Y$617</f>
        <v>0</v>
      </c>
      <c r="AQ1049" s="400">
        <f>$Y$671</f>
        <v>0</v>
      </c>
    </row>
    <row r="1050" spans="27:43" ht="7.8" customHeight="1" x14ac:dyDescent="0.25">
      <c r="AA1050" s="291"/>
      <c r="AB1050" s="412"/>
      <c r="AC1050" s="413"/>
      <c r="AD1050" s="414" t="s">
        <v>33</v>
      </c>
      <c r="AE1050" s="407">
        <f t="shared" si="1694"/>
        <v>0</v>
      </c>
      <c r="AF1050" s="408">
        <f>$Y$78</f>
        <v>0</v>
      </c>
      <c r="AG1050" s="409">
        <f>$Y$132</f>
        <v>0</v>
      </c>
      <c r="AH1050" s="409">
        <f>$Y$186</f>
        <v>0</v>
      </c>
      <c r="AI1050" s="409">
        <f>$Y$240</f>
        <v>0</v>
      </c>
      <c r="AJ1050" s="409">
        <f>$Y$294</f>
        <v>0</v>
      </c>
      <c r="AK1050" s="409">
        <f>$Y$348</f>
        <v>0</v>
      </c>
      <c r="AL1050" s="409">
        <f>$Y$402</f>
        <v>0</v>
      </c>
      <c r="AM1050" s="409">
        <f>$Y$456</f>
        <v>0</v>
      </c>
      <c r="AN1050" s="409">
        <f>$Y$510</f>
        <v>0</v>
      </c>
      <c r="AO1050" s="409">
        <f>$Y$564</f>
        <v>0</v>
      </c>
      <c r="AP1050" s="409">
        <f>$Y$618</f>
        <v>0</v>
      </c>
      <c r="AQ1050" s="411">
        <f>$Y$672</f>
        <v>0</v>
      </c>
    </row>
    <row r="1051" spans="27:43" ht="7.8" customHeight="1" x14ac:dyDescent="0.25">
      <c r="AA1051" s="291"/>
      <c r="AB1051" s="412"/>
      <c r="AC1051" s="422"/>
      <c r="AD1051" s="423" t="s">
        <v>30</v>
      </c>
      <c r="AE1051" s="417">
        <f t="shared" ref="AE1051:AQ1051" si="1695">IFERROR(AE1050/AE1049,0)</f>
        <v>0</v>
      </c>
      <c r="AF1051" s="418">
        <f t="shared" si="1695"/>
        <v>0</v>
      </c>
      <c r="AG1051" s="419">
        <f t="shared" si="1695"/>
        <v>0</v>
      </c>
      <c r="AH1051" s="419">
        <f t="shared" si="1695"/>
        <v>0</v>
      </c>
      <c r="AI1051" s="419">
        <f t="shared" si="1695"/>
        <v>0</v>
      </c>
      <c r="AJ1051" s="419">
        <f t="shared" si="1695"/>
        <v>0</v>
      </c>
      <c r="AK1051" s="419">
        <f t="shared" si="1695"/>
        <v>0</v>
      </c>
      <c r="AL1051" s="419">
        <f t="shared" si="1695"/>
        <v>0</v>
      </c>
      <c r="AM1051" s="419">
        <f t="shared" si="1695"/>
        <v>0</v>
      </c>
      <c r="AN1051" s="419">
        <f t="shared" si="1695"/>
        <v>0</v>
      </c>
      <c r="AO1051" s="419">
        <f t="shared" si="1695"/>
        <v>0</v>
      </c>
      <c r="AP1051" s="419">
        <f t="shared" si="1695"/>
        <v>0</v>
      </c>
      <c r="AQ1051" s="421">
        <f t="shared" si="1695"/>
        <v>0</v>
      </c>
    </row>
    <row r="1052" spans="27:43" ht="7.8" customHeight="1" x14ac:dyDescent="0.25">
      <c r="AA1052" s="291"/>
      <c r="AB1052" s="412"/>
      <c r="AC1052" s="431" t="s">
        <v>40</v>
      </c>
      <c r="AD1052" s="432" t="s">
        <v>32</v>
      </c>
      <c r="AE1052" s="426">
        <f t="shared" ref="AE1052:AE1053" si="1696">SUM(AF1052:AQ1052)</f>
        <v>2157</v>
      </c>
      <c r="AF1052" s="427">
        <f>$Y$80</f>
        <v>246</v>
      </c>
      <c r="AG1052" s="428">
        <f>$Y$134</f>
        <v>329</v>
      </c>
      <c r="AH1052" s="428">
        <f>$Y$188</f>
        <v>223</v>
      </c>
      <c r="AI1052" s="428">
        <f>$Y$242</f>
        <v>161</v>
      </c>
      <c r="AJ1052" s="428">
        <f>$Y$296</f>
        <v>200</v>
      </c>
      <c r="AK1052" s="428">
        <f>$Y$350</f>
        <v>191</v>
      </c>
      <c r="AL1052" s="428">
        <f>$Y$404</f>
        <v>237</v>
      </c>
      <c r="AM1052" s="428">
        <f>$Y$458</f>
        <v>182</v>
      </c>
      <c r="AN1052" s="428">
        <f>$Y$512</f>
        <v>98</v>
      </c>
      <c r="AO1052" s="428">
        <f>$Y$566</f>
        <v>61</v>
      </c>
      <c r="AP1052" s="428">
        <f>$Y$620</f>
        <v>93</v>
      </c>
      <c r="AQ1052" s="430">
        <f>$Y$674</f>
        <v>136</v>
      </c>
    </row>
    <row r="1053" spans="27:43" ht="7.8" customHeight="1" x14ac:dyDescent="0.25">
      <c r="AA1053" s="291"/>
      <c r="AB1053" s="412"/>
      <c r="AC1053" s="413"/>
      <c r="AD1053" s="414" t="s">
        <v>33</v>
      </c>
      <c r="AE1053" s="407">
        <f t="shared" si="1696"/>
        <v>341192.87</v>
      </c>
      <c r="AF1053" s="408">
        <f>$Y$81</f>
        <v>36773</v>
      </c>
      <c r="AG1053" s="409">
        <f>$Y$135</f>
        <v>49610.61</v>
      </c>
      <c r="AH1053" s="409">
        <f>$Y$189</f>
        <v>35131</v>
      </c>
      <c r="AI1053" s="409">
        <f>$Y$243</f>
        <v>21385</v>
      </c>
      <c r="AJ1053" s="409">
        <f>$Y$297</f>
        <v>26173</v>
      </c>
      <c r="AK1053" s="409">
        <f>$Y$351</f>
        <v>25275.259999999995</v>
      </c>
      <c r="AL1053" s="409">
        <f>$Y$405</f>
        <v>34008</v>
      </c>
      <c r="AM1053" s="409">
        <f>$Y$459</f>
        <v>33119</v>
      </c>
      <c r="AN1053" s="409">
        <f>$Y$513</f>
        <v>33350</v>
      </c>
      <c r="AO1053" s="409">
        <f>$Y$567</f>
        <v>7702</v>
      </c>
      <c r="AP1053" s="409">
        <f>$Y$621</f>
        <v>13834</v>
      </c>
      <c r="AQ1053" s="411">
        <f>$Y$675</f>
        <v>24832</v>
      </c>
    </row>
    <row r="1054" spans="27:43" ht="7.8" customHeight="1" x14ac:dyDescent="0.25">
      <c r="AA1054" s="291"/>
      <c r="AB1054" s="412"/>
      <c r="AC1054" s="422"/>
      <c r="AD1054" s="423" t="s">
        <v>30</v>
      </c>
      <c r="AE1054" s="417">
        <f t="shared" ref="AE1054:AQ1054" si="1697">IFERROR(AE1053/AE1052,0)</f>
        <v>158.17935558646269</v>
      </c>
      <c r="AF1054" s="418">
        <f t="shared" si="1697"/>
        <v>149.48373983739836</v>
      </c>
      <c r="AG1054" s="419">
        <f t="shared" si="1697"/>
        <v>150.79212765957448</v>
      </c>
      <c r="AH1054" s="419">
        <f t="shared" si="1697"/>
        <v>157.53811659192826</v>
      </c>
      <c r="AI1054" s="419">
        <f t="shared" si="1697"/>
        <v>132.82608695652175</v>
      </c>
      <c r="AJ1054" s="419">
        <f t="shared" si="1697"/>
        <v>130.86500000000001</v>
      </c>
      <c r="AK1054" s="419">
        <f t="shared" si="1697"/>
        <v>132.33120418848165</v>
      </c>
      <c r="AL1054" s="419">
        <f t="shared" si="1697"/>
        <v>143.49367088607596</v>
      </c>
      <c r="AM1054" s="419">
        <f t="shared" si="1697"/>
        <v>181.97252747252747</v>
      </c>
      <c r="AN1054" s="419">
        <f t="shared" si="1697"/>
        <v>340.30612244897958</v>
      </c>
      <c r="AO1054" s="419">
        <f t="shared" si="1697"/>
        <v>126.26229508196721</v>
      </c>
      <c r="AP1054" s="419">
        <f t="shared" si="1697"/>
        <v>148.75268817204301</v>
      </c>
      <c r="AQ1054" s="421">
        <f t="shared" si="1697"/>
        <v>182.58823529411765</v>
      </c>
    </row>
    <row r="1055" spans="27:43" ht="7.8" customHeight="1" x14ac:dyDescent="0.25">
      <c r="AA1055" s="291"/>
      <c r="AB1055" s="412"/>
      <c r="AC1055" s="431" t="s">
        <v>41</v>
      </c>
      <c r="AD1055" s="432" t="s">
        <v>32</v>
      </c>
      <c r="AE1055" s="426">
        <f t="shared" ref="AE1055:AE1056" si="1698">SUM(AF1055:AQ1055)</f>
        <v>572</v>
      </c>
      <c r="AF1055" s="427">
        <f>$Y$83</f>
        <v>141</v>
      </c>
      <c r="AG1055" s="428">
        <f>$Y$137</f>
        <v>62</v>
      </c>
      <c r="AH1055" s="428">
        <f>$Y$191</f>
        <v>101</v>
      </c>
      <c r="AI1055" s="428">
        <f>$Y$245</f>
        <v>83</v>
      </c>
      <c r="AJ1055" s="428">
        <f>$Y$299</f>
        <v>46</v>
      </c>
      <c r="AK1055" s="428">
        <f>$Y$353</f>
        <v>42</v>
      </c>
      <c r="AL1055" s="428">
        <f>$Y$407</f>
        <v>48</v>
      </c>
      <c r="AM1055" s="428">
        <f>$Y$461</f>
        <v>49</v>
      </c>
      <c r="AN1055" s="428">
        <f>$Y$515</f>
        <v>0</v>
      </c>
      <c r="AO1055" s="428">
        <f>$Y$569</f>
        <v>0</v>
      </c>
      <c r="AP1055" s="428">
        <f>$Y$623</f>
        <v>0</v>
      </c>
      <c r="AQ1055" s="430">
        <f>$Y$677</f>
        <v>0</v>
      </c>
    </row>
    <row r="1056" spans="27:43" ht="7.8" customHeight="1" x14ac:dyDescent="0.25">
      <c r="AA1056" s="291"/>
      <c r="AB1056" s="412"/>
      <c r="AC1056" s="413"/>
      <c r="AD1056" s="414" t="s">
        <v>33</v>
      </c>
      <c r="AE1056" s="407">
        <f t="shared" si="1698"/>
        <v>87373.900000000009</v>
      </c>
      <c r="AF1056" s="408">
        <f>$Y$84</f>
        <v>21199</v>
      </c>
      <c r="AG1056" s="409">
        <f>$Y$138</f>
        <v>10411</v>
      </c>
      <c r="AH1056" s="409">
        <f>$Y$192</f>
        <v>16699</v>
      </c>
      <c r="AI1056" s="409">
        <f>$Y$246</f>
        <v>13302.029999999999</v>
      </c>
      <c r="AJ1056" s="409">
        <f>$Y$300</f>
        <v>6173</v>
      </c>
      <c r="AK1056" s="409">
        <f>$Y$354</f>
        <v>6752.0999999999995</v>
      </c>
      <c r="AL1056" s="409">
        <f>$Y$408</f>
        <v>5576.2700000000013</v>
      </c>
      <c r="AM1056" s="409">
        <f>$Y$462</f>
        <v>7261.5000000000018</v>
      </c>
      <c r="AN1056" s="409">
        <f>$Y$516</f>
        <v>0</v>
      </c>
      <c r="AO1056" s="409">
        <f>$Y$570</f>
        <v>0</v>
      </c>
      <c r="AP1056" s="409">
        <f>$Y$624</f>
        <v>0</v>
      </c>
      <c r="AQ1056" s="411">
        <f>$Y$678</f>
        <v>0</v>
      </c>
    </row>
    <row r="1057" spans="27:43" ht="7.8" customHeight="1" x14ac:dyDescent="0.25">
      <c r="AA1057" s="291"/>
      <c r="AB1057" s="412"/>
      <c r="AC1057" s="422"/>
      <c r="AD1057" s="423" t="s">
        <v>30</v>
      </c>
      <c r="AE1057" s="417">
        <f t="shared" ref="AE1057:AQ1057" si="1699">IFERROR(AE1056/AE1055,0)</f>
        <v>152.75157342657343</v>
      </c>
      <c r="AF1057" s="418">
        <f t="shared" si="1699"/>
        <v>150.34751773049646</v>
      </c>
      <c r="AG1057" s="419">
        <f t="shared" si="1699"/>
        <v>167.91935483870967</v>
      </c>
      <c r="AH1057" s="419">
        <f t="shared" si="1699"/>
        <v>165.33663366336634</v>
      </c>
      <c r="AI1057" s="419">
        <f t="shared" si="1699"/>
        <v>160.26542168674698</v>
      </c>
      <c r="AJ1057" s="419">
        <f t="shared" si="1699"/>
        <v>134.19565217391303</v>
      </c>
      <c r="AK1057" s="419">
        <f t="shared" si="1699"/>
        <v>160.76428571428571</v>
      </c>
      <c r="AL1057" s="419">
        <f t="shared" si="1699"/>
        <v>116.17229166666669</v>
      </c>
      <c r="AM1057" s="419">
        <f t="shared" si="1699"/>
        <v>148.19387755102045</v>
      </c>
      <c r="AN1057" s="419">
        <f t="shared" si="1699"/>
        <v>0</v>
      </c>
      <c r="AO1057" s="419">
        <f t="shared" si="1699"/>
        <v>0</v>
      </c>
      <c r="AP1057" s="419">
        <f t="shared" si="1699"/>
        <v>0</v>
      </c>
      <c r="AQ1057" s="421">
        <f t="shared" si="1699"/>
        <v>0</v>
      </c>
    </row>
    <row r="1058" spans="27:43" ht="7.8" customHeight="1" x14ac:dyDescent="0.25">
      <c r="AA1058" s="291"/>
      <c r="AB1058" s="412"/>
      <c r="AC1058" s="568" t="s">
        <v>42</v>
      </c>
      <c r="AD1058" s="569" t="s">
        <v>32</v>
      </c>
      <c r="AE1058" s="442">
        <f t="shared" ref="AE1058:AE1059" si="1700">SUM(AF1058:AQ1058)</f>
        <v>3365</v>
      </c>
      <c r="AF1058" s="443">
        <f>$Y$86</f>
        <v>209</v>
      </c>
      <c r="AG1058" s="444">
        <f>$Y$140</f>
        <v>76</v>
      </c>
      <c r="AH1058" s="444">
        <f>$Y$194</f>
        <v>156</v>
      </c>
      <c r="AI1058" s="444">
        <f>$Y$248</f>
        <v>202</v>
      </c>
      <c r="AJ1058" s="444">
        <f>$Y$302</f>
        <v>193</v>
      </c>
      <c r="AK1058" s="444">
        <f>$Y$356</f>
        <v>224</v>
      </c>
      <c r="AL1058" s="444">
        <f>$Y$410</f>
        <v>308</v>
      </c>
      <c r="AM1058" s="444">
        <f>$Y$464</f>
        <v>290</v>
      </c>
      <c r="AN1058" s="444">
        <f>$Y$518</f>
        <v>415</v>
      </c>
      <c r="AO1058" s="444">
        <f>$Y$572</f>
        <v>394</v>
      </c>
      <c r="AP1058" s="444">
        <f>$Y$626</f>
        <v>372</v>
      </c>
      <c r="AQ1058" s="445">
        <f>$Y$680</f>
        <v>526</v>
      </c>
    </row>
    <row r="1059" spans="27:43" ht="7.8" customHeight="1" x14ac:dyDescent="0.25">
      <c r="AA1059" s="291"/>
      <c r="AB1059" s="412"/>
      <c r="AC1059" s="564"/>
      <c r="AD1059" s="565" t="s">
        <v>33</v>
      </c>
      <c r="AE1059" s="455">
        <f t="shared" si="1700"/>
        <v>612656</v>
      </c>
      <c r="AF1059" s="456">
        <f>$Y$87</f>
        <v>37411</v>
      </c>
      <c r="AG1059" s="457">
        <f>$Y$141</f>
        <v>12844</v>
      </c>
      <c r="AH1059" s="457">
        <f>$Y$195</f>
        <v>27144</v>
      </c>
      <c r="AI1059" s="457">
        <f>$Y$249</f>
        <v>34138</v>
      </c>
      <c r="AJ1059" s="457">
        <f>$Y$303</f>
        <v>34547</v>
      </c>
      <c r="AK1059" s="457">
        <f>$Y$357</f>
        <v>40096</v>
      </c>
      <c r="AL1059" s="457">
        <f>$Y$411</f>
        <v>64372</v>
      </c>
      <c r="AM1059" s="457">
        <f>$Y$465</f>
        <v>54810</v>
      </c>
      <c r="AN1059" s="457">
        <f>$Y$519</f>
        <v>72210</v>
      </c>
      <c r="AO1059" s="457">
        <f>$Y$573</f>
        <v>68556</v>
      </c>
      <c r="AP1059" s="457">
        <f>$Y$627</f>
        <v>66588</v>
      </c>
      <c r="AQ1059" s="458">
        <f>$Y$681</f>
        <v>99940</v>
      </c>
    </row>
    <row r="1060" spans="27:43" ht="7.8" customHeight="1" x14ac:dyDescent="0.25">
      <c r="AA1060" s="291"/>
      <c r="AB1060" s="412"/>
      <c r="AC1060" s="566"/>
      <c r="AD1060" s="567" t="s">
        <v>30</v>
      </c>
      <c r="AE1060" s="468">
        <f t="shared" ref="AE1060:AQ1060" si="1701">IFERROR(AE1059/AE1058,0)</f>
        <v>182.06716196136702</v>
      </c>
      <c r="AF1060" s="469">
        <f t="shared" si="1701"/>
        <v>179</v>
      </c>
      <c r="AG1060" s="470">
        <f t="shared" si="1701"/>
        <v>169</v>
      </c>
      <c r="AH1060" s="470">
        <f t="shared" si="1701"/>
        <v>174</v>
      </c>
      <c r="AI1060" s="470">
        <f t="shared" si="1701"/>
        <v>169</v>
      </c>
      <c r="AJ1060" s="470">
        <f t="shared" si="1701"/>
        <v>179</v>
      </c>
      <c r="AK1060" s="470">
        <f t="shared" si="1701"/>
        <v>179</v>
      </c>
      <c r="AL1060" s="470">
        <f t="shared" si="1701"/>
        <v>209</v>
      </c>
      <c r="AM1060" s="470">
        <f t="shared" si="1701"/>
        <v>189</v>
      </c>
      <c r="AN1060" s="470">
        <f t="shared" si="1701"/>
        <v>174</v>
      </c>
      <c r="AO1060" s="470">
        <f t="shared" si="1701"/>
        <v>174</v>
      </c>
      <c r="AP1060" s="470">
        <f t="shared" si="1701"/>
        <v>179</v>
      </c>
      <c r="AQ1060" s="471">
        <f t="shared" si="1701"/>
        <v>190</v>
      </c>
    </row>
    <row r="1061" spans="27:43" ht="7.8" customHeight="1" x14ac:dyDescent="0.25">
      <c r="AA1061" s="291"/>
      <c r="AB1061" s="412"/>
      <c r="AC1061" s="473" t="s">
        <v>43</v>
      </c>
      <c r="AD1061" s="432" t="s">
        <v>32</v>
      </c>
      <c r="AE1061" s="426">
        <f t="shared" ref="AE1061:AQ1063" si="1702">AE1058-AE1055</f>
        <v>2793</v>
      </c>
      <c r="AF1061" s="427">
        <f t="shared" si="1702"/>
        <v>68</v>
      </c>
      <c r="AG1061" s="428">
        <f t="shared" si="1702"/>
        <v>14</v>
      </c>
      <c r="AH1061" s="428">
        <f t="shared" si="1702"/>
        <v>55</v>
      </c>
      <c r="AI1061" s="428">
        <f t="shared" si="1702"/>
        <v>119</v>
      </c>
      <c r="AJ1061" s="428">
        <f t="shared" si="1702"/>
        <v>147</v>
      </c>
      <c r="AK1061" s="428">
        <f t="shared" si="1702"/>
        <v>182</v>
      </c>
      <c r="AL1061" s="428">
        <f t="shared" si="1702"/>
        <v>260</v>
      </c>
      <c r="AM1061" s="428">
        <f t="shared" si="1702"/>
        <v>241</v>
      </c>
      <c r="AN1061" s="428">
        <f t="shared" si="1702"/>
        <v>415</v>
      </c>
      <c r="AO1061" s="428">
        <f t="shared" si="1702"/>
        <v>394</v>
      </c>
      <c r="AP1061" s="428">
        <f t="shared" si="1702"/>
        <v>372</v>
      </c>
      <c r="AQ1061" s="430">
        <f t="shared" si="1702"/>
        <v>526</v>
      </c>
    </row>
    <row r="1062" spans="27:43" ht="7.8" customHeight="1" x14ac:dyDescent="0.25">
      <c r="AA1062" s="291"/>
      <c r="AB1062" s="412"/>
      <c r="AC1062" s="475"/>
      <c r="AD1062" s="476" t="s">
        <v>33</v>
      </c>
      <c r="AE1062" s="407">
        <f t="shared" si="1702"/>
        <v>525282.1</v>
      </c>
      <c r="AF1062" s="408">
        <f t="shared" si="1702"/>
        <v>16212</v>
      </c>
      <c r="AG1062" s="409">
        <f t="shared" si="1702"/>
        <v>2433</v>
      </c>
      <c r="AH1062" s="409">
        <f t="shared" si="1702"/>
        <v>10445</v>
      </c>
      <c r="AI1062" s="409">
        <f t="shared" si="1702"/>
        <v>20835.97</v>
      </c>
      <c r="AJ1062" s="409">
        <f t="shared" si="1702"/>
        <v>28374</v>
      </c>
      <c r="AK1062" s="409">
        <f t="shared" si="1702"/>
        <v>33343.9</v>
      </c>
      <c r="AL1062" s="409">
        <f t="shared" si="1702"/>
        <v>58795.729999999996</v>
      </c>
      <c r="AM1062" s="409">
        <f t="shared" si="1702"/>
        <v>47548.5</v>
      </c>
      <c r="AN1062" s="409">
        <f t="shared" si="1702"/>
        <v>72210</v>
      </c>
      <c r="AO1062" s="409">
        <f t="shared" si="1702"/>
        <v>68556</v>
      </c>
      <c r="AP1062" s="409">
        <f t="shared" si="1702"/>
        <v>66588</v>
      </c>
      <c r="AQ1062" s="411">
        <f t="shared" si="1702"/>
        <v>99940</v>
      </c>
    </row>
    <row r="1063" spans="27:43" ht="7.8" customHeight="1" x14ac:dyDescent="0.25">
      <c r="AA1063" s="291"/>
      <c r="AB1063" s="412"/>
      <c r="AC1063" s="477"/>
      <c r="AD1063" s="423" t="s">
        <v>30</v>
      </c>
      <c r="AE1063" s="417">
        <f t="shared" si="1702"/>
        <v>29.315588534793591</v>
      </c>
      <c r="AF1063" s="418">
        <f t="shared" si="1702"/>
        <v>28.652482269503537</v>
      </c>
      <c r="AG1063" s="419">
        <f t="shared" si="1702"/>
        <v>1.0806451612903345</v>
      </c>
      <c r="AH1063" s="419">
        <f t="shared" si="1702"/>
        <v>8.6633663366336577</v>
      </c>
      <c r="AI1063" s="419">
        <f t="shared" si="1702"/>
        <v>8.7345783132530244</v>
      </c>
      <c r="AJ1063" s="419">
        <f t="shared" si="1702"/>
        <v>44.804347826086968</v>
      </c>
      <c r="AK1063" s="419">
        <f t="shared" si="1702"/>
        <v>18.235714285714295</v>
      </c>
      <c r="AL1063" s="419">
        <f t="shared" si="1702"/>
        <v>92.827708333333305</v>
      </c>
      <c r="AM1063" s="419">
        <f t="shared" si="1702"/>
        <v>40.806122448979551</v>
      </c>
      <c r="AN1063" s="419">
        <f t="shared" si="1702"/>
        <v>174</v>
      </c>
      <c r="AO1063" s="419">
        <f t="shared" si="1702"/>
        <v>174</v>
      </c>
      <c r="AP1063" s="419">
        <f t="shared" si="1702"/>
        <v>179</v>
      </c>
      <c r="AQ1063" s="421">
        <f t="shared" si="1702"/>
        <v>190</v>
      </c>
    </row>
    <row r="1064" spans="27:43" ht="7.8" customHeight="1" x14ac:dyDescent="0.25">
      <c r="AA1064" s="291"/>
      <c r="AB1064" s="412"/>
      <c r="AC1064" s="473" t="s">
        <v>44</v>
      </c>
      <c r="AD1064" s="432" t="s">
        <v>32</v>
      </c>
      <c r="AE1064" s="478">
        <f t="shared" ref="AE1064:AQ1066" si="1703">IFERROR((AE1058-AE1055)/ABS(AE1055),"")</f>
        <v>4.8828671328671325</v>
      </c>
      <c r="AF1064" s="479">
        <f t="shared" si="1703"/>
        <v>0.48226950354609927</v>
      </c>
      <c r="AG1064" s="480">
        <f t="shared" si="1703"/>
        <v>0.22580645161290322</v>
      </c>
      <c r="AH1064" s="480">
        <f t="shared" si="1703"/>
        <v>0.54455445544554459</v>
      </c>
      <c r="AI1064" s="480">
        <f t="shared" si="1703"/>
        <v>1.4337349397590362</v>
      </c>
      <c r="AJ1064" s="480">
        <f t="shared" si="1703"/>
        <v>3.1956521739130435</v>
      </c>
      <c r="AK1064" s="480">
        <f t="shared" si="1703"/>
        <v>4.333333333333333</v>
      </c>
      <c r="AL1064" s="480">
        <f t="shared" si="1703"/>
        <v>5.416666666666667</v>
      </c>
      <c r="AM1064" s="480">
        <f t="shared" si="1703"/>
        <v>4.9183673469387754</v>
      </c>
      <c r="AN1064" s="480" t="str">
        <f t="shared" si="1703"/>
        <v/>
      </c>
      <c r="AO1064" s="480" t="str">
        <f t="shared" si="1703"/>
        <v/>
      </c>
      <c r="AP1064" s="480" t="str">
        <f t="shared" si="1703"/>
        <v/>
      </c>
      <c r="AQ1064" s="482" t="str">
        <f t="shared" si="1703"/>
        <v/>
      </c>
    </row>
    <row r="1065" spans="27:43" ht="7.8" customHeight="1" x14ac:dyDescent="0.25">
      <c r="AA1065" s="291"/>
      <c r="AB1065" s="412"/>
      <c r="AC1065" s="475"/>
      <c r="AD1065" s="489" t="s">
        <v>33</v>
      </c>
      <c r="AE1065" s="484">
        <f t="shared" si="1703"/>
        <v>6.011887989433915</v>
      </c>
      <c r="AF1065" s="485">
        <f t="shared" si="1703"/>
        <v>0.76475305438935803</v>
      </c>
      <c r="AG1065" s="486">
        <f t="shared" si="1703"/>
        <v>0.23369513015080204</v>
      </c>
      <c r="AH1065" s="486">
        <f t="shared" si="1703"/>
        <v>0.62548655608120252</v>
      </c>
      <c r="AI1065" s="486">
        <f t="shared" si="1703"/>
        <v>1.5663752073931576</v>
      </c>
      <c r="AJ1065" s="486">
        <f t="shared" si="1703"/>
        <v>4.5964684918192127</v>
      </c>
      <c r="AK1065" s="486">
        <f t="shared" si="1703"/>
        <v>4.9383006768264694</v>
      </c>
      <c r="AL1065" s="486">
        <f t="shared" si="1703"/>
        <v>10.543917349769645</v>
      </c>
      <c r="AM1065" s="486">
        <f t="shared" si="1703"/>
        <v>6.5480272670935742</v>
      </c>
      <c r="AN1065" s="486" t="str">
        <f t="shared" si="1703"/>
        <v/>
      </c>
      <c r="AO1065" s="486" t="str">
        <f t="shared" si="1703"/>
        <v/>
      </c>
      <c r="AP1065" s="486" t="str">
        <f t="shared" si="1703"/>
        <v/>
      </c>
      <c r="AQ1065" s="488" t="str">
        <f t="shared" si="1703"/>
        <v/>
      </c>
    </row>
    <row r="1066" spans="27:43" ht="7.8" customHeight="1" x14ac:dyDescent="0.25">
      <c r="AA1066" s="291"/>
      <c r="AB1066" s="412"/>
      <c r="AC1066" s="475"/>
      <c r="AD1066" s="489" t="s">
        <v>30</v>
      </c>
      <c r="AE1066" s="484">
        <f t="shared" si="1703"/>
        <v>0.19191676967494795</v>
      </c>
      <c r="AF1066" s="485">
        <f t="shared" si="1703"/>
        <v>0.19057502712392085</v>
      </c>
      <c r="AG1066" s="486">
        <f t="shared" si="1703"/>
        <v>6.4355009124964693E-3</v>
      </c>
      <c r="AH1066" s="486">
        <f t="shared" si="1703"/>
        <v>5.2398347206419511E-2</v>
      </c>
      <c r="AI1066" s="486">
        <f t="shared" si="1703"/>
        <v>5.4500704027881541E-2</v>
      </c>
      <c r="AJ1066" s="486">
        <f t="shared" si="1703"/>
        <v>0.33387331929369846</v>
      </c>
      <c r="AK1066" s="486">
        <f t="shared" si="1703"/>
        <v>0.11343137690496297</v>
      </c>
      <c r="AL1066" s="486">
        <f t="shared" si="1703"/>
        <v>0.79905205450955519</v>
      </c>
      <c r="AM1066" s="486">
        <f t="shared" si="1703"/>
        <v>0.27535633133650039</v>
      </c>
      <c r="AN1066" s="486" t="str">
        <f t="shared" si="1703"/>
        <v/>
      </c>
      <c r="AO1066" s="486" t="str">
        <f t="shared" si="1703"/>
        <v/>
      </c>
      <c r="AP1066" s="486" t="str">
        <f t="shared" si="1703"/>
        <v/>
      </c>
      <c r="AQ1066" s="488" t="str">
        <f t="shared" si="1703"/>
        <v/>
      </c>
    </row>
    <row r="1067" spans="27:43" ht="7.8" customHeight="1" x14ac:dyDescent="0.25">
      <c r="AA1067" s="291"/>
      <c r="AB1067" s="499" t="s">
        <v>49</v>
      </c>
      <c r="AC1067" s="500" t="s">
        <v>39</v>
      </c>
      <c r="AD1067" s="501" t="s">
        <v>32</v>
      </c>
      <c r="AE1067" s="494">
        <f t="shared" ref="AE1067:AE1068" si="1704">SUM(AF1067:AQ1067)</f>
        <v>0</v>
      </c>
      <c r="AF1067" s="495">
        <f>$Y$95</f>
        <v>0</v>
      </c>
      <c r="AG1067" s="496">
        <f>$Y$149</f>
        <v>0</v>
      </c>
      <c r="AH1067" s="496">
        <f>$Y$203</f>
        <v>0</v>
      </c>
      <c r="AI1067" s="496">
        <f>$Y$257</f>
        <v>0</v>
      </c>
      <c r="AJ1067" s="496">
        <f>$Y$311</f>
        <v>0</v>
      </c>
      <c r="AK1067" s="496">
        <f>$Y$365</f>
        <v>0</v>
      </c>
      <c r="AL1067" s="496">
        <f>$Y$419</f>
        <v>0</v>
      </c>
      <c r="AM1067" s="496">
        <f>$Y$473</f>
        <v>0</v>
      </c>
      <c r="AN1067" s="496">
        <f>$Y$527</f>
        <v>0</v>
      </c>
      <c r="AO1067" s="496">
        <f>$Y$581</f>
        <v>0</v>
      </c>
      <c r="AP1067" s="496">
        <f>$Y$635</f>
        <v>0</v>
      </c>
      <c r="AQ1067" s="498">
        <f>$Y$689</f>
        <v>0</v>
      </c>
    </row>
    <row r="1068" spans="27:43" ht="7.8" customHeight="1" x14ac:dyDescent="0.25">
      <c r="AA1068" s="291"/>
      <c r="AB1068" s="412"/>
      <c r="AC1068" s="413"/>
      <c r="AD1068" s="414" t="s">
        <v>33</v>
      </c>
      <c r="AE1068" s="407">
        <f t="shared" si="1704"/>
        <v>0</v>
      </c>
      <c r="AF1068" s="408">
        <f>$Y$96</f>
        <v>0</v>
      </c>
      <c r="AG1068" s="409">
        <f>$Y$150</f>
        <v>0</v>
      </c>
      <c r="AH1068" s="409">
        <f>$Y$204</f>
        <v>0</v>
      </c>
      <c r="AI1068" s="409">
        <f>$Y$258</f>
        <v>0</v>
      </c>
      <c r="AJ1068" s="409">
        <f>$Y$312</f>
        <v>0</v>
      </c>
      <c r="AK1068" s="409">
        <f>$Y$366</f>
        <v>0</v>
      </c>
      <c r="AL1068" s="409">
        <f>$Y$420</f>
        <v>0</v>
      </c>
      <c r="AM1068" s="409">
        <f>$Y$474</f>
        <v>0</v>
      </c>
      <c r="AN1068" s="409">
        <f>$Y$528</f>
        <v>0</v>
      </c>
      <c r="AO1068" s="409">
        <f>$Y$582</f>
        <v>0</v>
      </c>
      <c r="AP1068" s="409">
        <f>$Y$636</f>
        <v>0</v>
      </c>
      <c r="AQ1068" s="411">
        <f>$Y$690</f>
        <v>0</v>
      </c>
    </row>
    <row r="1069" spans="27:43" ht="7.8" customHeight="1" x14ac:dyDescent="0.25">
      <c r="AA1069" s="291"/>
      <c r="AB1069" s="412"/>
      <c r="AC1069" s="422"/>
      <c r="AD1069" s="423" t="s">
        <v>30</v>
      </c>
      <c r="AE1069" s="417">
        <f t="shared" ref="AE1069:AQ1069" si="1705">IFERROR(AE1068/AE1067,0)</f>
        <v>0</v>
      </c>
      <c r="AF1069" s="418">
        <f t="shared" si="1705"/>
        <v>0</v>
      </c>
      <c r="AG1069" s="419">
        <f t="shared" si="1705"/>
        <v>0</v>
      </c>
      <c r="AH1069" s="419">
        <f t="shared" si="1705"/>
        <v>0</v>
      </c>
      <c r="AI1069" s="419">
        <f t="shared" si="1705"/>
        <v>0</v>
      </c>
      <c r="AJ1069" s="419">
        <f t="shared" si="1705"/>
        <v>0</v>
      </c>
      <c r="AK1069" s="419">
        <f t="shared" si="1705"/>
        <v>0</v>
      </c>
      <c r="AL1069" s="419">
        <f t="shared" si="1705"/>
        <v>0</v>
      </c>
      <c r="AM1069" s="419">
        <f t="shared" si="1705"/>
        <v>0</v>
      </c>
      <c r="AN1069" s="419">
        <f t="shared" si="1705"/>
        <v>0</v>
      </c>
      <c r="AO1069" s="419">
        <f t="shared" si="1705"/>
        <v>0</v>
      </c>
      <c r="AP1069" s="419">
        <f t="shared" si="1705"/>
        <v>0</v>
      </c>
      <c r="AQ1069" s="421">
        <f t="shared" si="1705"/>
        <v>0</v>
      </c>
    </row>
    <row r="1070" spans="27:43" ht="7.8" customHeight="1" x14ac:dyDescent="0.25">
      <c r="AA1070" s="291"/>
      <c r="AB1070" s="412"/>
      <c r="AC1070" s="431" t="s">
        <v>40</v>
      </c>
      <c r="AD1070" s="432" t="s">
        <v>32</v>
      </c>
      <c r="AE1070" s="426">
        <f t="shared" ref="AE1070:AE1071" si="1706">SUM(AF1070:AQ1070)</f>
        <v>1084</v>
      </c>
      <c r="AF1070" s="427">
        <f>$Y$98</f>
        <v>113</v>
      </c>
      <c r="AG1070" s="428">
        <f>$Y$152</f>
        <v>142</v>
      </c>
      <c r="AH1070" s="428">
        <f>$Y$206</f>
        <v>122</v>
      </c>
      <c r="AI1070" s="428">
        <f>$Y$260</f>
        <v>77</v>
      </c>
      <c r="AJ1070" s="428">
        <f>$Y$314</f>
        <v>122</v>
      </c>
      <c r="AK1070" s="428">
        <f>$Y$368</f>
        <v>87</v>
      </c>
      <c r="AL1070" s="428">
        <f>$Y$422</f>
        <v>96</v>
      </c>
      <c r="AM1070" s="428">
        <f>$Y$476</f>
        <v>112</v>
      </c>
      <c r="AN1070" s="428">
        <f>$Y$530</f>
        <v>32</v>
      </c>
      <c r="AO1070" s="428">
        <f>$Y$584</f>
        <v>29</v>
      </c>
      <c r="AP1070" s="428">
        <f>$Y$638</f>
        <v>86</v>
      </c>
      <c r="AQ1070" s="430">
        <f>$Y$692</f>
        <v>66</v>
      </c>
    </row>
    <row r="1071" spans="27:43" ht="7.8" customHeight="1" x14ac:dyDescent="0.25">
      <c r="AA1071" s="291"/>
      <c r="AB1071" s="412"/>
      <c r="AC1071" s="413"/>
      <c r="AD1071" s="414" t="s">
        <v>33</v>
      </c>
      <c r="AE1071" s="407">
        <f t="shared" si="1706"/>
        <v>169466</v>
      </c>
      <c r="AF1071" s="408">
        <f>$Y$99</f>
        <v>17485</v>
      </c>
      <c r="AG1071" s="409">
        <f>$Y$153</f>
        <v>21613</v>
      </c>
      <c r="AH1071" s="409">
        <f>$Y$207</f>
        <v>18786</v>
      </c>
      <c r="AI1071" s="409">
        <f>$Y$261</f>
        <v>10380</v>
      </c>
      <c r="AJ1071" s="409">
        <f>$Y$315</f>
        <v>16655</v>
      </c>
      <c r="AK1071" s="409">
        <f>$Y$369</f>
        <v>11978</v>
      </c>
      <c r="AL1071" s="409">
        <f>$Y$423</f>
        <v>14114</v>
      </c>
      <c r="AM1071" s="409">
        <f>$Y$477</f>
        <v>19590</v>
      </c>
      <c r="AN1071" s="409">
        <f>$Y$531</f>
        <v>11949</v>
      </c>
      <c r="AO1071" s="409">
        <f>$Y$585</f>
        <v>3852</v>
      </c>
      <c r="AP1071" s="409">
        <f>$Y$639</f>
        <v>11750</v>
      </c>
      <c r="AQ1071" s="411">
        <f>$Y$693</f>
        <v>11314</v>
      </c>
    </row>
    <row r="1072" spans="27:43" ht="7.8" customHeight="1" x14ac:dyDescent="0.25">
      <c r="AA1072" s="291"/>
      <c r="AB1072" s="412"/>
      <c r="AC1072" s="422"/>
      <c r="AD1072" s="423" t="s">
        <v>30</v>
      </c>
      <c r="AE1072" s="417">
        <f t="shared" ref="AE1072:AQ1072" si="1707">IFERROR(AE1071/AE1070,0)</f>
        <v>156.33394833948338</v>
      </c>
      <c r="AF1072" s="418">
        <f t="shared" si="1707"/>
        <v>154.73451327433628</v>
      </c>
      <c r="AG1072" s="419">
        <f t="shared" si="1707"/>
        <v>152.20422535211267</v>
      </c>
      <c r="AH1072" s="419">
        <f t="shared" si="1707"/>
        <v>153.98360655737704</v>
      </c>
      <c r="AI1072" s="419">
        <f t="shared" si="1707"/>
        <v>134.80519480519482</v>
      </c>
      <c r="AJ1072" s="419">
        <f t="shared" si="1707"/>
        <v>136.51639344262296</v>
      </c>
      <c r="AK1072" s="419">
        <f t="shared" si="1707"/>
        <v>137.67816091954023</v>
      </c>
      <c r="AL1072" s="419">
        <f t="shared" si="1707"/>
        <v>147.02083333333334</v>
      </c>
      <c r="AM1072" s="419">
        <f t="shared" si="1707"/>
        <v>174.91071428571428</v>
      </c>
      <c r="AN1072" s="419">
        <f t="shared" si="1707"/>
        <v>373.40625</v>
      </c>
      <c r="AO1072" s="419">
        <f t="shared" si="1707"/>
        <v>132.82758620689654</v>
      </c>
      <c r="AP1072" s="419">
        <f t="shared" si="1707"/>
        <v>136.62790697674419</v>
      </c>
      <c r="AQ1072" s="421">
        <f t="shared" si="1707"/>
        <v>171.42424242424244</v>
      </c>
    </row>
    <row r="1073" spans="27:43" ht="7.8" customHeight="1" x14ac:dyDescent="0.25">
      <c r="AA1073" s="291"/>
      <c r="AB1073" s="412"/>
      <c r="AC1073" s="431" t="s">
        <v>41</v>
      </c>
      <c r="AD1073" s="432" t="s">
        <v>32</v>
      </c>
      <c r="AE1073" s="426">
        <f t="shared" ref="AE1073:AE1074" si="1708">SUM(AF1073:AQ1073)</f>
        <v>237</v>
      </c>
      <c r="AF1073" s="427">
        <f>$Y$101</f>
        <v>61</v>
      </c>
      <c r="AG1073" s="428">
        <f>$Y$155</f>
        <v>26</v>
      </c>
      <c r="AH1073" s="428">
        <f>$Y$209</f>
        <v>47</v>
      </c>
      <c r="AI1073" s="428">
        <f>$Y$263</f>
        <v>20</v>
      </c>
      <c r="AJ1073" s="428">
        <f>$Y$317</f>
        <v>18</v>
      </c>
      <c r="AK1073" s="428">
        <f>$Y$371</f>
        <v>20</v>
      </c>
      <c r="AL1073" s="428">
        <f>$Y$425</f>
        <v>22</v>
      </c>
      <c r="AM1073" s="428">
        <f>$Y$479</f>
        <v>23</v>
      </c>
      <c r="AN1073" s="428">
        <f>$Y$533</f>
        <v>0</v>
      </c>
      <c r="AO1073" s="428">
        <f>$Y$587</f>
        <v>0</v>
      </c>
      <c r="AP1073" s="428">
        <f>$Y$641</f>
        <v>0</v>
      </c>
      <c r="AQ1073" s="430">
        <f>$Y$695</f>
        <v>0</v>
      </c>
    </row>
    <row r="1074" spans="27:43" ht="7.8" customHeight="1" x14ac:dyDescent="0.25">
      <c r="AA1074" s="291"/>
      <c r="AB1074" s="412"/>
      <c r="AC1074" s="413"/>
      <c r="AD1074" s="414" t="s">
        <v>33</v>
      </c>
      <c r="AE1074" s="407">
        <f t="shared" si="1708"/>
        <v>36673.19</v>
      </c>
      <c r="AF1074" s="408">
        <f>$Y$102</f>
        <v>9057</v>
      </c>
      <c r="AG1074" s="409">
        <f>$Y$156</f>
        <v>4445</v>
      </c>
      <c r="AH1074" s="409">
        <f>$Y$210</f>
        <v>7542</v>
      </c>
      <c r="AI1074" s="409">
        <f>$Y$264</f>
        <v>1705.1100000000001</v>
      </c>
      <c r="AJ1074" s="409">
        <f>$Y$318</f>
        <v>2901</v>
      </c>
      <c r="AK1074" s="409">
        <f>$Y$372</f>
        <v>3249.7</v>
      </c>
      <c r="AL1074" s="409">
        <f>$Y$426</f>
        <v>4427.28</v>
      </c>
      <c r="AM1074" s="409">
        <f>$Y$480</f>
        <v>3346.1</v>
      </c>
      <c r="AN1074" s="409">
        <f>$Y$534</f>
        <v>0</v>
      </c>
      <c r="AO1074" s="409">
        <f>$Y$588</f>
        <v>0</v>
      </c>
      <c r="AP1074" s="409">
        <f>$Y$642</f>
        <v>0</v>
      </c>
      <c r="AQ1074" s="411">
        <f>$Y$696</f>
        <v>0</v>
      </c>
    </row>
    <row r="1075" spans="27:43" ht="7.8" customHeight="1" x14ac:dyDescent="0.25">
      <c r="AA1075" s="291"/>
      <c r="AB1075" s="412"/>
      <c r="AC1075" s="422"/>
      <c r="AD1075" s="423" t="s">
        <v>30</v>
      </c>
      <c r="AE1075" s="417">
        <f t="shared" ref="AE1075:AQ1075" si="1709">IFERROR(AE1074/AE1073,0)</f>
        <v>154.73919831223628</v>
      </c>
      <c r="AF1075" s="418">
        <f t="shared" si="1709"/>
        <v>148.47540983606558</v>
      </c>
      <c r="AG1075" s="419">
        <f t="shared" si="1709"/>
        <v>170.96153846153845</v>
      </c>
      <c r="AH1075" s="419">
        <f t="shared" si="1709"/>
        <v>160.46808510638297</v>
      </c>
      <c r="AI1075" s="419">
        <f t="shared" si="1709"/>
        <v>85.255500000000012</v>
      </c>
      <c r="AJ1075" s="419">
        <f t="shared" si="1709"/>
        <v>161.16666666666666</v>
      </c>
      <c r="AK1075" s="419">
        <f t="shared" si="1709"/>
        <v>162.48499999999999</v>
      </c>
      <c r="AL1075" s="419">
        <f t="shared" si="1709"/>
        <v>201.23999999999998</v>
      </c>
      <c r="AM1075" s="419">
        <f t="shared" si="1709"/>
        <v>145.48260869565217</v>
      </c>
      <c r="AN1075" s="419">
        <f t="shared" si="1709"/>
        <v>0</v>
      </c>
      <c r="AO1075" s="419">
        <f t="shared" si="1709"/>
        <v>0</v>
      </c>
      <c r="AP1075" s="419">
        <f t="shared" si="1709"/>
        <v>0</v>
      </c>
      <c r="AQ1075" s="421">
        <f t="shared" si="1709"/>
        <v>0</v>
      </c>
    </row>
    <row r="1076" spans="27:43" ht="7.8" customHeight="1" x14ac:dyDescent="0.25">
      <c r="AA1076" s="291"/>
      <c r="AB1076" s="412"/>
      <c r="AC1076" s="568" t="s">
        <v>42</v>
      </c>
      <c r="AD1076" s="569" t="s">
        <v>32</v>
      </c>
      <c r="AE1076" s="442">
        <f t="shared" ref="AE1076:AE1077" si="1710">SUM(AF1076:AQ1076)</f>
        <v>2335</v>
      </c>
      <c r="AF1076" s="443">
        <f>$Y$104</f>
        <v>91</v>
      </c>
      <c r="AG1076" s="444">
        <f>$Y$158</f>
        <v>74</v>
      </c>
      <c r="AH1076" s="444">
        <f>$Y$212</f>
        <v>94</v>
      </c>
      <c r="AI1076" s="444">
        <f>$Y$266</f>
        <v>148</v>
      </c>
      <c r="AJ1076" s="444">
        <f>$Y$320</f>
        <v>257</v>
      </c>
      <c r="AK1076" s="444">
        <f>$Y$374</f>
        <v>326</v>
      </c>
      <c r="AL1076" s="444">
        <f>$Y$428</f>
        <v>392</v>
      </c>
      <c r="AM1076" s="444">
        <f>$Y$482</f>
        <v>360</v>
      </c>
      <c r="AN1076" s="444">
        <f>$Y$536</f>
        <v>135</v>
      </c>
      <c r="AO1076" s="444">
        <f>$Y$590</f>
        <v>206</v>
      </c>
      <c r="AP1076" s="444">
        <f>$Y$644</f>
        <v>128</v>
      </c>
      <c r="AQ1076" s="445">
        <f>$Y$698</f>
        <v>124</v>
      </c>
    </row>
    <row r="1077" spans="27:43" ht="7.8" customHeight="1" x14ac:dyDescent="0.25">
      <c r="AA1077" s="291"/>
      <c r="AB1077" s="412"/>
      <c r="AC1077" s="564"/>
      <c r="AD1077" s="565" t="s">
        <v>33</v>
      </c>
      <c r="AE1077" s="455">
        <f t="shared" si="1710"/>
        <v>430294</v>
      </c>
      <c r="AF1077" s="456">
        <f>$Y$105</f>
        <v>16289</v>
      </c>
      <c r="AG1077" s="457">
        <f>$Y$159</f>
        <v>12506</v>
      </c>
      <c r="AH1077" s="457">
        <f>$Y$213</f>
        <v>16356</v>
      </c>
      <c r="AI1077" s="457">
        <f>$Y$267</f>
        <v>25012</v>
      </c>
      <c r="AJ1077" s="457">
        <f>$Y$321</f>
        <v>46003</v>
      </c>
      <c r="AK1077" s="457">
        <f>$Y$375</f>
        <v>58354</v>
      </c>
      <c r="AL1077" s="457">
        <f>$Y$429</f>
        <v>81928</v>
      </c>
      <c r="AM1077" s="457">
        <f>$Y$483</f>
        <v>68040</v>
      </c>
      <c r="AN1077" s="457">
        <f>$Y$537</f>
        <v>23490</v>
      </c>
      <c r="AO1077" s="457">
        <f>$Y$591</f>
        <v>35844</v>
      </c>
      <c r="AP1077" s="457">
        <f>$Y$645</f>
        <v>22912</v>
      </c>
      <c r="AQ1077" s="458">
        <f>$Y$699</f>
        <v>23560</v>
      </c>
    </row>
    <row r="1078" spans="27:43" ht="7.8" customHeight="1" x14ac:dyDescent="0.25">
      <c r="AA1078" s="291"/>
      <c r="AB1078" s="412"/>
      <c r="AC1078" s="566"/>
      <c r="AD1078" s="567" t="s">
        <v>30</v>
      </c>
      <c r="AE1078" s="468">
        <f t="shared" ref="AE1078:AQ1078" si="1711">IFERROR(AE1077/AE1076,0)</f>
        <v>184.28008565310492</v>
      </c>
      <c r="AF1078" s="469">
        <f t="shared" si="1711"/>
        <v>179</v>
      </c>
      <c r="AG1078" s="470">
        <f t="shared" si="1711"/>
        <v>169</v>
      </c>
      <c r="AH1078" s="470">
        <f t="shared" si="1711"/>
        <v>174</v>
      </c>
      <c r="AI1078" s="470">
        <f t="shared" si="1711"/>
        <v>169</v>
      </c>
      <c r="AJ1078" s="470">
        <f t="shared" si="1711"/>
        <v>179</v>
      </c>
      <c r="AK1078" s="470">
        <f t="shared" si="1711"/>
        <v>179</v>
      </c>
      <c r="AL1078" s="470">
        <f t="shared" si="1711"/>
        <v>209</v>
      </c>
      <c r="AM1078" s="470">
        <f t="shared" si="1711"/>
        <v>189</v>
      </c>
      <c r="AN1078" s="470">
        <f t="shared" si="1711"/>
        <v>174</v>
      </c>
      <c r="AO1078" s="470">
        <f t="shared" si="1711"/>
        <v>174</v>
      </c>
      <c r="AP1078" s="470">
        <f t="shared" si="1711"/>
        <v>179</v>
      </c>
      <c r="AQ1078" s="471">
        <f t="shared" si="1711"/>
        <v>190</v>
      </c>
    </row>
    <row r="1079" spans="27:43" ht="7.8" customHeight="1" x14ac:dyDescent="0.25">
      <c r="AA1079" s="291"/>
      <c r="AB1079" s="412"/>
      <c r="AC1079" s="473" t="s">
        <v>43</v>
      </c>
      <c r="AD1079" s="432" t="s">
        <v>32</v>
      </c>
      <c r="AE1079" s="426">
        <f t="shared" ref="AE1079:AQ1081" si="1712">AE1076-AE1073</f>
        <v>2098</v>
      </c>
      <c r="AF1079" s="427">
        <f t="shared" si="1712"/>
        <v>30</v>
      </c>
      <c r="AG1079" s="428">
        <f t="shared" si="1712"/>
        <v>48</v>
      </c>
      <c r="AH1079" s="428">
        <f t="shared" si="1712"/>
        <v>47</v>
      </c>
      <c r="AI1079" s="428">
        <f t="shared" si="1712"/>
        <v>128</v>
      </c>
      <c r="AJ1079" s="428">
        <f t="shared" si="1712"/>
        <v>239</v>
      </c>
      <c r="AK1079" s="428">
        <f t="shared" si="1712"/>
        <v>306</v>
      </c>
      <c r="AL1079" s="428">
        <f t="shared" si="1712"/>
        <v>370</v>
      </c>
      <c r="AM1079" s="428">
        <f t="shared" si="1712"/>
        <v>337</v>
      </c>
      <c r="AN1079" s="428">
        <f t="shared" si="1712"/>
        <v>135</v>
      </c>
      <c r="AO1079" s="428">
        <f t="shared" si="1712"/>
        <v>206</v>
      </c>
      <c r="AP1079" s="428">
        <f t="shared" si="1712"/>
        <v>128</v>
      </c>
      <c r="AQ1079" s="430">
        <f t="shared" si="1712"/>
        <v>124</v>
      </c>
    </row>
    <row r="1080" spans="27:43" ht="7.8" customHeight="1" x14ac:dyDescent="0.25">
      <c r="AA1080" s="291"/>
      <c r="AB1080" s="412"/>
      <c r="AC1080" s="475"/>
      <c r="AD1080" s="476" t="s">
        <v>33</v>
      </c>
      <c r="AE1080" s="407">
        <f t="shared" si="1712"/>
        <v>393620.81</v>
      </c>
      <c r="AF1080" s="408">
        <f t="shared" si="1712"/>
        <v>7232</v>
      </c>
      <c r="AG1080" s="409">
        <f t="shared" si="1712"/>
        <v>8061</v>
      </c>
      <c r="AH1080" s="409">
        <f t="shared" si="1712"/>
        <v>8814</v>
      </c>
      <c r="AI1080" s="409">
        <f t="shared" si="1712"/>
        <v>23306.89</v>
      </c>
      <c r="AJ1080" s="409">
        <f t="shared" si="1712"/>
        <v>43102</v>
      </c>
      <c r="AK1080" s="409">
        <f t="shared" si="1712"/>
        <v>55104.3</v>
      </c>
      <c r="AL1080" s="409">
        <f t="shared" si="1712"/>
        <v>77500.72</v>
      </c>
      <c r="AM1080" s="409">
        <f t="shared" si="1712"/>
        <v>64693.9</v>
      </c>
      <c r="AN1080" s="409">
        <f t="shared" si="1712"/>
        <v>23490</v>
      </c>
      <c r="AO1080" s="409">
        <f t="shared" si="1712"/>
        <v>35844</v>
      </c>
      <c r="AP1080" s="409">
        <f t="shared" si="1712"/>
        <v>22912</v>
      </c>
      <c r="AQ1080" s="411">
        <f t="shared" si="1712"/>
        <v>23560</v>
      </c>
    </row>
    <row r="1081" spans="27:43" ht="7.8" customHeight="1" x14ac:dyDescent="0.25">
      <c r="AA1081" s="291"/>
      <c r="AB1081" s="412"/>
      <c r="AC1081" s="477"/>
      <c r="AD1081" s="423" t="s">
        <v>30</v>
      </c>
      <c r="AE1081" s="417">
        <f t="shared" si="1712"/>
        <v>29.540887340868636</v>
      </c>
      <c r="AF1081" s="418">
        <f t="shared" si="1712"/>
        <v>30.52459016393442</v>
      </c>
      <c r="AG1081" s="419">
        <f t="shared" si="1712"/>
        <v>-1.9615384615384528</v>
      </c>
      <c r="AH1081" s="419">
        <f t="shared" si="1712"/>
        <v>13.531914893617028</v>
      </c>
      <c r="AI1081" s="419">
        <f t="shared" si="1712"/>
        <v>83.744499999999988</v>
      </c>
      <c r="AJ1081" s="419">
        <f t="shared" si="1712"/>
        <v>17.833333333333343</v>
      </c>
      <c r="AK1081" s="419">
        <f t="shared" si="1712"/>
        <v>16.515000000000015</v>
      </c>
      <c r="AL1081" s="419">
        <f t="shared" si="1712"/>
        <v>7.7600000000000193</v>
      </c>
      <c r="AM1081" s="419">
        <f t="shared" si="1712"/>
        <v>43.517391304347825</v>
      </c>
      <c r="AN1081" s="419">
        <f t="shared" si="1712"/>
        <v>174</v>
      </c>
      <c r="AO1081" s="419">
        <f t="shared" si="1712"/>
        <v>174</v>
      </c>
      <c r="AP1081" s="419">
        <f t="shared" si="1712"/>
        <v>179</v>
      </c>
      <c r="AQ1081" s="421">
        <f t="shared" si="1712"/>
        <v>190</v>
      </c>
    </row>
    <row r="1082" spans="27:43" ht="7.8" customHeight="1" x14ac:dyDescent="0.25">
      <c r="AA1082" s="291"/>
      <c r="AB1082" s="412"/>
      <c r="AC1082" s="473" t="s">
        <v>44</v>
      </c>
      <c r="AD1082" s="432" t="s">
        <v>32</v>
      </c>
      <c r="AE1082" s="478">
        <f t="shared" ref="AE1082:AQ1084" si="1713">IFERROR((AE1076-AE1073)/ABS(AE1073),"")</f>
        <v>8.852320675105485</v>
      </c>
      <c r="AF1082" s="479">
        <f t="shared" si="1713"/>
        <v>0.49180327868852458</v>
      </c>
      <c r="AG1082" s="480">
        <f t="shared" si="1713"/>
        <v>1.8461538461538463</v>
      </c>
      <c r="AH1082" s="480">
        <f t="shared" si="1713"/>
        <v>1</v>
      </c>
      <c r="AI1082" s="480">
        <f t="shared" si="1713"/>
        <v>6.4</v>
      </c>
      <c r="AJ1082" s="480">
        <f t="shared" si="1713"/>
        <v>13.277777777777779</v>
      </c>
      <c r="AK1082" s="480">
        <f t="shared" si="1713"/>
        <v>15.3</v>
      </c>
      <c r="AL1082" s="480">
        <f t="shared" si="1713"/>
        <v>16.818181818181817</v>
      </c>
      <c r="AM1082" s="480">
        <f t="shared" si="1713"/>
        <v>14.652173913043478</v>
      </c>
      <c r="AN1082" s="480" t="str">
        <f t="shared" si="1713"/>
        <v/>
      </c>
      <c r="AO1082" s="480" t="str">
        <f t="shared" si="1713"/>
        <v/>
      </c>
      <c r="AP1082" s="480" t="str">
        <f t="shared" si="1713"/>
        <v/>
      </c>
      <c r="AQ1082" s="482" t="str">
        <f t="shared" si="1713"/>
        <v/>
      </c>
    </row>
    <row r="1083" spans="27:43" ht="7.8" customHeight="1" x14ac:dyDescent="0.25">
      <c r="AA1083" s="291"/>
      <c r="AB1083" s="412"/>
      <c r="AC1083" s="475"/>
      <c r="AD1083" s="489" t="s">
        <v>33</v>
      </c>
      <c r="AE1083" s="484">
        <f t="shared" si="1713"/>
        <v>10.733203465528904</v>
      </c>
      <c r="AF1083" s="485">
        <f t="shared" si="1713"/>
        <v>0.79849839902837583</v>
      </c>
      <c r="AG1083" s="486">
        <f t="shared" si="1713"/>
        <v>1.8134983127109112</v>
      </c>
      <c r="AH1083" s="486">
        <f t="shared" si="1713"/>
        <v>1.1686555290373906</v>
      </c>
      <c r="AI1083" s="486">
        <f t="shared" si="1713"/>
        <v>13.668848344095101</v>
      </c>
      <c r="AJ1083" s="486">
        <f t="shared" si="1713"/>
        <v>14.857635298173044</v>
      </c>
      <c r="AK1083" s="486">
        <f t="shared" si="1713"/>
        <v>16.95673446779703</v>
      </c>
      <c r="AL1083" s="486">
        <f t="shared" si="1713"/>
        <v>17.505267342476646</v>
      </c>
      <c r="AM1083" s="486">
        <f t="shared" si="1713"/>
        <v>19.334120319177551</v>
      </c>
      <c r="AN1083" s="486" t="str">
        <f t="shared" si="1713"/>
        <v/>
      </c>
      <c r="AO1083" s="486" t="str">
        <f t="shared" si="1713"/>
        <v/>
      </c>
      <c r="AP1083" s="486" t="str">
        <f t="shared" si="1713"/>
        <v/>
      </c>
      <c r="AQ1083" s="488" t="str">
        <f t="shared" si="1713"/>
        <v/>
      </c>
    </row>
    <row r="1084" spans="27:43" ht="7.8" customHeight="1" thickBot="1" x14ac:dyDescent="0.3">
      <c r="AA1084" s="291"/>
      <c r="AB1084" s="510"/>
      <c r="AC1084" s="511"/>
      <c r="AD1084" s="512" t="s">
        <v>30</v>
      </c>
      <c r="AE1084" s="505">
        <f t="shared" si="1713"/>
        <v>0.19090758943483965</v>
      </c>
      <c r="AF1084" s="506">
        <f t="shared" si="1713"/>
        <v>0.20558683890913101</v>
      </c>
      <c r="AG1084" s="507">
        <f t="shared" si="1713"/>
        <v>-1.1473565804274416E-2</v>
      </c>
      <c r="AH1084" s="507">
        <f t="shared" si="1713"/>
        <v>8.432776451869535E-2</v>
      </c>
      <c r="AI1084" s="507">
        <f t="shared" si="1713"/>
        <v>0.98227680325609468</v>
      </c>
      <c r="AJ1084" s="507">
        <f t="shared" si="1713"/>
        <v>0.11065149948293698</v>
      </c>
      <c r="AK1084" s="507">
        <f t="shared" si="1713"/>
        <v>0.10164015139859074</v>
      </c>
      <c r="AL1084" s="507">
        <f t="shared" si="1713"/>
        <v>3.8560922281852615E-2</v>
      </c>
      <c r="AM1084" s="507">
        <f t="shared" si="1713"/>
        <v>0.29912435372523233</v>
      </c>
      <c r="AN1084" s="507" t="str">
        <f t="shared" si="1713"/>
        <v/>
      </c>
      <c r="AO1084" s="507" t="str">
        <f t="shared" si="1713"/>
        <v/>
      </c>
      <c r="AP1084" s="507" t="str">
        <f t="shared" si="1713"/>
        <v/>
      </c>
      <c r="AQ1084" s="509" t="str">
        <f t="shared" si="1713"/>
        <v/>
      </c>
    </row>
    <row r="1085" spans="27:43" ht="7.8" customHeight="1" thickTop="1" x14ac:dyDescent="0.25">
      <c r="AA1085" s="632" t="s">
        <v>76</v>
      </c>
      <c r="AB1085" s="633" t="s">
        <v>77</v>
      </c>
      <c r="AC1085" s="634" t="s">
        <v>78</v>
      </c>
      <c r="AD1085" s="635" t="s">
        <v>79</v>
      </c>
      <c r="AE1085" s="636">
        <f>IFERROR(AE23/AE1109,0)</f>
        <v>0</v>
      </c>
      <c r="AF1085" s="637">
        <f t="shared" ref="AF1085:AQ1085" si="1714">IFERROR(AF23/AF1109,0)</f>
        <v>0</v>
      </c>
      <c r="AG1085" s="638">
        <f t="shared" si="1714"/>
        <v>0</v>
      </c>
      <c r="AH1085" s="638">
        <f t="shared" si="1714"/>
        <v>0</v>
      </c>
      <c r="AI1085" s="638">
        <f t="shared" si="1714"/>
        <v>0</v>
      </c>
      <c r="AJ1085" s="638">
        <f t="shared" si="1714"/>
        <v>0</v>
      </c>
      <c r="AK1085" s="638">
        <f t="shared" si="1714"/>
        <v>0</v>
      </c>
      <c r="AL1085" s="638">
        <f t="shared" si="1714"/>
        <v>0</v>
      </c>
      <c r="AM1085" s="638">
        <f t="shared" si="1714"/>
        <v>0</v>
      </c>
      <c r="AN1085" s="638">
        <f t="shared" si="1714"/>
        <v>0</v>
      </c>
      <c r="AO1085" s="638">
        <f t="shared" si="1714"/>
        <v>0</v>
      </c>
      <c r="AP1085" s="638">
        <f t="shared" si="1714"/>
        <v>0</v>
      </c>
      <c r="AQ1085" s="639">
        <f t="shared" si="1714"/>
        <v>0</v>
      </c>
    </row>
    <row r="1086" spans="27:43" ht="7.8" customHeight="1" x14ac:dyDescent="0.25">
      <c r="AA1086" s="28"/>
      <c r="AB1086" s="640"/>
      <c r="AC1086" s="532"/>
      <c r="AD1086" s="641" t="s">
        <v>80</v>
      </c>
      <c r="AE1086" s="642">
        <f>IFERROR(AE41/AE1110,0)</f>
        <v>0</v>
      </c>
      <c r="AF1086" s="643">
        <f t="shared" ref="AF1086:AQ1086" si="1715">IFERROR(AF41/AF1110,0)</f>
        <v>0</v>
      </c>
      <c r="AG1086" s="644">
        <f t="shared" si="1715"/>
        <v>0</v>
      </c>
      <c r="AH1086" s="644">
        <f t="shared" si="1715"/>
        <v>0</v>
      </c>
      <c r="AI1086" s="644">
        <f t="shared" si="1715"/>
        <v>0</v>
      </c>
      <c r="AJ1086" s="644">
        <f t="shared" si="1715"/>
        <v>0</v>
      </c>
      <c r="AK1086" s="644">
        <f t="shared" si="1715"/>
        <v>0</v>
      </c>
      <c r="AL1086" s="644">
        <f t="shared" si="1715"/>
        <v>0</v>
      </c>
      <c r="AM1086" s="644">
        <f t="shared" si="1715"/>
        <v>0</v>
      </c>
      <c r="AN1086" s="644">
        <f t="shared" si="1715"/>
        <v>0</v>
      </c>
      <c r="AO1086" s="644">
        <f t="shared" si="1715"/>
        <v>0</v>
      </c>
      <c r="AP1086" s="644">
        <f t="shared" si="1715"/>
        <v>0</v>
      </c>
      <c r="AQ1086" s="645">
        <f t="shared" si="1715"/>
        <v>0</v>
      </c>
    </row>
    <row r="1087" spans="27:43" ht="7.8" customHeight="1" x14ac:dyDescent="0.25">
      <c r="AA1087" s="28"/>
      <c r="AB1087" s="640"/>
      <c r="AC1087" s="646"/>
      <c r="AD1087" s="647" t="s">
        <v>81</v>
      </c>
      <c r="AE1087" s="648">
        <f>IFERROR(AE5/AE1111,0)</f>
        <v>0</v>
      </c>
      <c r="AF1087" s="649">
        <f t="shared" ref="AF1087:AQ1087" si="1716">IFERROR(AF5/AF1111,0)</f>
        <v>0</v>
      </c>
      <c r="AG1087" s="650">
        <f t="shared" si="1716"/>
        <v>0</v>
      </c>
      <c r="AH1087" s="650">
        <f t="shared" si="1716"/>
        <v>0</v>
      </c>
      <c r="AI1087" s="650">
        <f t="shared" si="1716"/>
        <v>0</v>
      </c>
      <c r="AJ1087" s="650">
        <f t="shared" si="1716"/>
        <v>0</v>
      </c>
      <c r="AK1087" s="650">
        <f t="shared" si="1716"/>
        <v>0</v>
      </c>
      <c r="AL1087" s="650">
        <f t="shared" si="1716"/>
        <v>0</v>
      </c>
      <c r="AM1087" s="650">
        <f t="shared" si="1716"/>
        <v>0</v>
      </c>
      <c r="AN1087" s="650">
        <f t="shared" si="1716"/>
        <v>0</v>
      </c>
      <c r="AO1087" s="650">
        <f t="shared" si="1716"/>
        <v>0</v>
      </c>
      <c r="AP1087" s="650">
        <f t="shared" si="1716"/>
        <v>0</v>
      </c>
      <c r="AQ1087" s="651">
        <f t="shared" si="1716"/>
        <v>0</v>
      </c>
    </row>
    <row r="1088" spans="27:43" ht="7.8" customHeight="1" x14ac:dyDescent="0.25">
      <c r="AA1088" s="28"/>
      <c r="AB1088" s="640"/>
      <c r="AC1088" s="652" t="s">
        <v>82</v>
      </c>
      <c r="AD1088" s="653" t="s">
        <v>83</v>
      </c>
      <c r="AE1088" s="654">
        <f>IFERROR(AE26/AE1112,0)</f>
        <v>0.87213046495489244</v>
      </c>
      <c r="AF1088" s="655">
        <f t="shared" ref="AF1088:AQ1088" si="1717">IFERROR(AF26/AF1112,0)</f>
        <v>0.89565217391304353</v>
      </c>
      <c r="AG1088" s="656">
        <f t="shared" si="1717"/>
        <v>0.90077922077922079</v>
      </c>
      <c r="AH1088" s="656">
        <f t="shared" si="1717"/>
        <v>0.84155844155844151</v>
      </c>
      <c r="AI1088" s="656">
        <f t="shared" si="1717"/>
        <v>0.86842975206611572</v>
      </c>
      <c r="AJ1088" s="656">
        <f t="shared" si="1717"/>
        <v>0.88429752066115708</v>
      </c>
      <c r="AK1088" s="656">
        <f t="shared" si="1717"/>
        <v>0.9193073593073593</v>
      </c>
      <c r="AL1088" s="656">
        <f t="shared" si="1717"/>
        <v>0.89501976284584983</v>
      </c>
      <c r="AM1088" s="656">
        <f t="shared" si="1717"/>
        <v>0.83930735930735934</v>
      </c>
      <c r="AN1088" s="656">
        <f t="shared" si="1717"/>
        <v>0.80909090909090908</v>
      </c>
      <c r="AO1088" s="656">
        <f t="shared" si="1717"/>
        <v>0.8374703557312253</v>
      </c>
      <c r="AP1088" s="656">
        <f t="shared" si="1717"/>
        <v>0.87345454545454548</v>
      </c>
      <c r="AQ1088" s="657">
        <f t="shared" si="1717"/>
        <v>0.90007905138339916</v>
      </c>
    </row>
    <row r="1089" spans="27:43" ht="7.8" customHeight="1" x14ac:dyDescent="0.25">
      <c r="AA1089" s="28"/>
      <c r="AB1089" s="640"/>
      <c r="AC1089" s="532"/>
      <c r="AD1089" s="641" t="s">
        <v>84</v>
      </c>
      <c r="AE1089" s="642">
        <f>IFERROR(AE44/AE1113,0)</f>
        <v>0.89465034965034962</v>
      </c>
      <c r="AF1089" s="643">
        <f t="shared" ref="AF1089:AQ1089" si="1718">IFERROR(AF44/AF1113,0)</f>
        <v>0.93227272727272725</v>
      </c>
      <c r="AG1089" s="644">
        <f t="shared" si="1718"/>
        <v>0.94181818181818178</v>
      </c>
      <c r="AH1089" s="644">
        <f t="shared" si="1718"/>
        <v>0.90181818181818185</v>
      </c>
      <c r="AI1089" s="644">
        <f t="shared" si="1718"/>
        <v>0.92636363636363639</v>
      </c>
      <c r="AJ1089" s="644">
        <f t="shared" si="1718"/>
        <v>0.88686868686868692</v>
      </c>
      <c r="AK1089" s="644">
        <f t="shared" si="1718"/>
        <v>0.93494949494949497</v>
      </c>
      <c r="AL1089" s="644">
        <f t="shared" si="1718"/>
        <v>0.92818181818181822</v>
      </c>
      <c r="AM1089" s="644">
        <f t="shared" si="1718"/>
        <v>0.85054545454545449</v>
      </c>
      <c r="AN1089" s="644">
        <f t="shared" si="1718"/>
        <v>0.81272727272727274</v>
      </c>
      <c r="AO1089" s="644">
        <f t="shared" si="1718"/>
        <v>0.81681818181818178</v>
      </c>
      <c r="AP1089" s="644">
        <f t="shared" si="1718"/>
        <v>0.85963636363636364</v>
      </c>
      <c r="AQ1089" s="645">
        <f t="shared" si="1718"/>
        <v>0.95772727272727276</v>
      </c>
    </row>
    <row r="1090" spans="27:43" ht="7.8" customHeight="1" x14ac:dyDescent="0.25">
      <c r="AA1090" s="28"/>
      <c r="AB1090" s="640"/>
      <c r="AC1090" s="646"/>
      <c r="AD1090" s="647" t="s">
        <v>9</v>
      </c>
      <c r="AE1090" s="648">
        <f>IFERROR(AE8/AE1114,0)</f>
        <v>0.87852955787382014</v>
      </c>
      <c r="AF1090" s="649">
        <f t="shared" ref="AF1090:AQ1090" si="1719">IFERROR(AF8/AF1114,0)</f>
        <v>0.90510263929618773</v>
      </c>
      <c r="AG1090" s="650">
        <f t="shared" si="1719"/>
        <v>0.91210031347962384</v>
      </c>
      <c r="AH1090" s="650">
        <f t="shared" si="1719"/>
        <v>0.86099706744868032</v>
      </c>
      <c r="AI1090" s="650">
        <f t="shared" si="1719"/>
        <v>0.88387878787878793</v>
      </c>
      <c r="AJ1090" s="650">
        <f t="shared" si="1719"/>
        <v>0.88504398826979469</v>
      </c>
      <c r="AK1090" s="650">
        <f t="shared" si="1719"/>
        <v>0.92400000000000004</v>
      </c>
      <c r="AL1090" s="650">
        <f t="shared" si="1719"/>
        <v>0.90357771260997066</v>
      </c>
      <c r="AM1090" s="650">
        <f t="shared" si="1719"/>
        <v>0.84293255131964806</v>
      </c>
      <c r="AN1090" s="650">
        <f t="shared" si="1719"/>
        <v>0.81006060606060604</v>
      </c>
      <c r="AO1090" s="650">
        <f t="shared" si="1719"/>
        <v>0.83214076246334312</v>
      </c>
      <c r="AP1090" s="650">
        <f t="shared" si="1719"/>
        <v>0.86884848484848487</v>
      </c>
      <c r="AQ1090" s="651">
        <f t="shared" si="1719"/>
        <v>0.91495601173020524</v>
      </c>
    </row>
    <row r="1091" spans="27:43" ht="7.8" customHeight="1" x14ac:dyDescent="0.25">
      <c r="AA1091" s="28"/>
      <c r="AB1091" s="640"/>
      <c r="AC1091" s="652" t="s">
        <v>85</v>
      </c>
      <c r="AD1091" s="653" t="s">
        <v>83</v>
      </c>
      <c r="AE1091" s="654">
        <f>IFERROR(AE29/AE1115,0)</f>
        <v>0.69283176593521423</v>
      </c>
      <c r="AF1091" s="655">
        <f t="shared" ref="AF1091:AQ1091" si="1720">IFERROR(AF29/AF1115,0)</f>
        <v>0.8859504132231405</v>
      </c>
      <c r="AG1091" s="656">
        <f t="shared" si="1720"/>
        <v>0.88</v>
      </c>
      <c r="AH1091" s="656">
        <f t="shared" si="1720"/>
        <v>0.86578512396694218</v>
      </c>
      <c r="AI1091" s="656">
        <f t="shared" si="1720"/>
        <v>0.88677685950413221</v>
      </c>
      <c r="AJ1091" s="656">
        <f t="shared" si="1720"/>
        <v>0.89627705627705623</v>
      </c>
      <c r="AK1091" s="656">
        <f t="shared" si="1720"/>
        <v>0.90033057851239673</v>
      </c>
      <c r="AL1091" s="656">
        <f t="shared" si="1720"/>
        <v>0.90102766798418976</v>
      </c>
      <c r="AM1091" s="656">
        <f t="shared" si="1720"/>
        <v>0.90753246753246752</v>
      </c>
      <c r="AN1091" s="656">
        <f t="shared" si="1720"/>
        <v>1.2168595041322314</v>
      </c>
      <c r="AO1091" s="656">
        <f t="shared" si="1720"/>
        <v>0</v>
      </c>
      <c r="AP1091" s="656">
        <f t="shared" si="1720"/>
        <v>0</v>
      </c>
      <c r="AQ1091" s="657">
        <f t="shared" si="1720"/>
        <v>0</v>
      </c>
    </row>
    <row r="1092" spans="27:43" ht="7.8" customHeight="1" x14ac:dyDescent="0.25">
      <c r="AA1092" s="28"/>
      <c r="AB1092" s="640"/>
      <c r="AC1092" s="532"/>
      <c r="AD1092" s="641" t="s">
        <v>84</v>
      </c>
      <c r="AE1092" s="642">
        <f>IFERROR(AE47/AE1116,0)</f>
        <v>0.61891608391608388</v>
      </c>
      <c r="AF1092" s="643">
        <f t="shared" ref="AF1092:AQ1092" si="1721">IFERROR(AF47/AF1116,0)</f>
        <v>0.90505050505050511</v>
      </c>
      <c r="AG1092" s="644">
        <f t="shared" si="1721"/>
        <v>0.92045454545454541</v>
      </c>
      <c r="AH1092" s="644">
        <f t="shared" si="1721"/>
        <v>0.91595959595959597</v>
      </c>
      <c r="AI1092" s="644">
        <f t="shared" si="1721"/>
        <v>0.91454545454545455</v>
      </c>
      <c r="AJ1092" s="644">
        <f t="shared" si="1721"/>
        <v>0.91345454545454541</v>
      </c>
      <c r="AK1092" s="644">
        <f t="shared" si="1721"/>
        <v>0.93772727272727274</v>
      </c>
      <c r="AL1092" s="644">
        <f t="shared" si="1721"/>
        <v>0.93045454545454542</v>
      </c>
      <c r="AM1092" s="644">
        <f t="shared" si="1721"/>
        <v>0.92181818181818187</v>
      </c>
      <c r="AN1092" s="644">
        <f t="shared" si="1721"/>
        <v>0</v>
      </c>
      <c r="AO1092" s="644">
        <f t="shared" si="1721"/>
        <v>0</v>
      </c>
      <c r="AP1092" s="644">
        <f t="shared" si="1721"/>
        <v>0</v>
      </c>
      <c r="AQ1092" s="645">
        <f t="shared" si="1721"/>
        <v>0</v>
      </c>
    </row>
    <row r="1093" spans="27:43" ht="7.8" customHeight="1" x14ac:dyDescent="0.25">
      <c r="AA1093" s="28"/>
      <c r="AB1093" s="640"/>
      <c r="AC1093" s="646"/>
      <c r="AD1093" s="647" t="s">
        <v>9</v>
      </c>
      <c r="AE1093" s="648">
        <f>IFERROR(AE11/AE1117,0)</f>
        <v>0.67177085927770863</v>
      </c>
      <c r="AF1093" s="649">
        <f t="shared" ref="AF1093:AQ1093" si="1722">IFERROR(AF11/AF1117,0)</f>
        <v>0.89149560117302051</v>
      </c>
      <c r="AG1093" s="650">
        <f t="shared" si="1722"/>
        <v>0.89155844155844155</v>
      </c>
      <c r="AH1093" s="650">
        <f t="shared" si="1722"/>
        <v>0.88035190615835779</v>
      </c>
      <c r="AI1093" s="650">
        <f t="shared" si="1722"/>
        <v>0.89418181818181819</v>
      </c>
      <c r="AJ1093" s="650">
        <f t="shared" si="1722"/>
        <v>0.90181818181818185</v>
      </c>
      <c r="AK1093" s="650">
        <f t="shared" si="1722"/>
        <v>0.91030303030303028</v>
      </c>
      <c r="AL1093" s="650">
        <f t="shared" si="1722"/>
        <v>0.90862170087976535</v>
      </c>
      <c r="AM1093" s="650">
        <f t="shared" si="1722"/>
        <v>0.91214076246334308</v>
      </c>
      <c r="AN1093" s="650">
        <f t="shared" si="1722"/>
        <v>0.89236363636363636</v>
      </c>
      <c r="AO1093" s="650">
        <f t="shared" si="1722"/>
        <v>0</v>
      </c>
      <c r="AP1093" s="650">
        <f t="shared" si="1722"/>
        <v>0</v>
      </c>
      <c r="AQ1093" s="651">
        <f t="shared" si="1722"/>
        <v>0</v>
      </c>
    </row>
    <row r="1094" spans="27:43" ht="7.8" customHeight="1" x14ac:dyDescent="0.25">
      <c r="AA1094" s="28"/>
      <c r="AB1094" s="640"/>
      <c r="AC1094" s="658" t="s">
        <v>86</v>
      </c>
      <c r="AD1094" s="659" t="s">
        <v>83</v>
      </c>
      <c r="AE1094" s="660">
        <f>IFERROR(AE32/AE1118,0)</f>
        <v>0.87660048763497045</v>
      </c>
      <c r="AF1094" s="661">
        <f t="shared" ref="AF1094:AQ1094" si="1723">IFERROR(AF32/AF1118,0)</f>
        <v>0.84190476190476193</v>
      </c>
      <c r="AG1094" s="662">
        <f t="shared" si="1723"/>
        <v>0.8592727272727273</v>
      </c>
      <c r="AH1094" s="662">
        <f t="shared" si="1723"/>
        <v>0.82513833992094865</v>
      </c>
      <c r="AI1094" s="662">
        <f t="shared" si="1723"/>
        <v>0.86297520661157023</v>
      </c>
      <c r="AJ1094" s="662">
        <f t="shared" si="1723"/>
        <v>0.88225108225108229</v>
      </c>
      <c r="AK1094" s="662">
        <f t="shared" si="1723"/>
        <v>0.89520661157024795</v>
      </c>
      <c r="AL1094" s="662">
        <f t="shared" si="1723"/>
        <v>0.84677685950413228</v>
      </c>
      <c r="AM1094" s="662">
        <f t="shared" si="1723"/>
        <v>0.80578512396694213</v>
      </c>
      <c r="AN1094" s="662">
        <f t="shared" si="1723"/>
        <v>0.91239669421487601</v>
      </c>
      <c r="AO1094" s="662">
        <f t="shared" si="1723"/>
        <v>0.97610389610389614</v>
      </c>
      <c r="AP1094" s="662">
        <f t="shared" si="1723"/>
        <v>0.91834710743801651</v>
      </c>
      <c r="AQ1094" s="663">
        <f t="shared" si="1723"/>
        <v>0.89612648221343871</v>
      </c>
    </row>
    <row r="1095" spans="27:43" ht="7.8" customHeight="1" x14ac:dyDescent="0.25">
      <c r="AA1095" s="28"/>
      <c r="AB1095" s="640"/>
      <c r="AC1095" s="664"/>
      <c r="AD1095" s="665" t="s">
        <v>84</v>
      </c>
      <c r="AE1095" s="666">
        <f>IFERROR(AE50/AE1119,0)</f>
        <v>0.92013986013986016</v>
      </c>
      <c r="AF1095" s="667">
        <f t="shared" ref="AF1095:AQ1095" si="1724">IFERROR(AF50/AF1119,0)</f>
        <v>0.93272727272727274</v>
      </c>
      <c r="AG1095" s="668">
        <f t="shared" si="1724"/>
        <v>0.97681818181818181</v>
      </c>
      <c r="AH1095" s="668">
        <f t="shared" si="1724"/>
        <v>0.9822727272727273</v>
      </c>
      <c r="AI1095" s="668">
        <f t="shared" si="1724"/>
        <v>0.98409090909090913</v>
      </c>
      <c r="AJ1095" s="668">
        <f t="shared" si="1724"/>
        <v>0.93781818181818177</v>
      </c>
      <c r="AK1095" s="668">
        <f t="shared" si="1724"/>
        <v>0.98136363636363633</v>
      </c>
      <c r="AL1095" s="668">
        <f t="shared" si="1724"/>
        <v>0.90989898989898987</v>
      </c>
      <c r="AM1095" s="668">
        <f t="shared" si="1724"/>
        <v>0.92686868686868684</v>
      </c>
      <c r="AN1095" s="668">
        <f t="shared" si="1724"/>
        <v>0.92363636363636359</v>
      </c>
      <c r="AO1095" s="668">
        <f t="shared" si="1724"/>
        <v>0.79927272727272725</v>
      </c>
      <c r="AP1095" s="668">
        <f t="shared" si="1724"/>
        <v>0.90181818181818185</v>
      </c>
      <c r="AQ1095" s="669">
        <f t="shared" si="1724"/>
        <v>0.80818181818181822</v>
      </c>
    </row>
    <row r="1096" spans="27:43" ht="7.8" customHeight="1" x14ac:dyDescent="0.25">
      <c r="AA1096" s="28"/>
      <c r="AB1096" s="640"/>
      <c r="AC1096" s="670"/>
      <c r="AD1096" s="671" t="s">
        <v>9</v>
      </c>
      <c r="AE1096" s="672">
        <f>IFERROR(AE14/AE1120,0)</f>
        <v>0.88900622665006224</v>
      </c>
      <c r="AF1096" s="673">
        <f t="shared" ref="AF1096:AQ1096" si="1725">IFERROR(AF14/AF1120,0)</f>
        <v>0.87120234604105573</v>
      </c>
      <c r="AG1096" s="674">
        <f t="shared" si="1725"/>
        <v>0.8928571428571429</v>
      </c>
      <c r="AH1096" s="674">
        <f t="shared" si="1725"/>
        <v>0.86568914956011733</v>
      </c>
      <c r="AI1096" s="674">
        <f t="shared" si="1725"/>
        <v>0.89527272727272722</v>
      </c>
      <c r="AJ1096" s="674">
        <f t="shared" si="1725"/>
        <v>0.90017595307917886</v>
      </c>
      <c r="AK1096" s="674">
        <f t="shared" si="1725"/>
        <v>0.91818181818181821</v>
      </c>
      <c r="AL1096" s="674">
        <f t="shared" si="1725"/>
        <v>0.86510263929618769</v>
      </c>
      <c r="AM1096" s="674">
        <f t="shared" si="1725"/>
        <v>0.84093841642228739</v>
      </c>
      <c r="AN1096" s="674">
        <f t="shared" si="1725"/>
        <v>0.91539393939393943</v>
      </c>
      <c r="AO1096" s="674">
        <f t="shared" si="1725"/>
        <v>0.91906158357771262</v>
      </c>
      <c r="AP1096" s="674">
        <f t="shared" si="1725"/>
        <v>0.91393939393939394</v>
      </c>
      <c r="AQ1096" s="675">
        <f t="shared" si="1725"/>
        <v>0.87343108504398825</v>
      </c>
    </row>
    <row r="1097" spans="27:43" ht="7.8" customHeight="1" x14ac:dyDescent="0.25">
      <c r="AA1097" s="28"/>
      <c r="AB1097" s="640" t="s">
        <v>87</v>
      </c>
      <c r="AC1097" s="652" t="s">
        <v>39</v>
      </c>
      <c r="AD1097" s="653" t="s">
        <v>83</v>
      </c>
      <c r="AE1097" s="676">
        <f>SUM(AF1097:AQ1097)</f>
        <v>261</v>
      </c>
      <c r="AF1097" s="677">
        <v>23</v>
      </c>
      <c r="AG1097" s="678">
        <v>20</v>
      </c>
      <c r="AH1097" s="678">
        <v>22</v>
      </c>
      <c r="AI1097" s="678">
        <v>21</v>
      </c>
      <c r="AJ1097" s="678">
        <v>23</v>
      </c>
      <c r="AK1097" s="678">
        <v>21</v>
      </c>
      <c r="AL1097" s="678">
        <v>22</v>
      </c>
      <c r="AM1097" s="678">
        <v>23</v>
      </c>
      <c r="AN1097" s="678">
        <v>20</v>
      </c>
      <c r="AO1097" s="678">
        <v>23</v>
      </c>
      <c r="AP1097" s="678">
        <v>22</v>
      </c>
      <c r="AQ1097" s="679">
        <v>21</v>
      </c>
    </row>
    <row r="1098" spans="27:43" ht="7.8" customHeight="1" x14ac:dyDescent="0.25">
      <c r="AA1098" s="28"/>
      <c r="AB1098" s="640"/>
      <c r="AC1098" s="532"/>
      <c r="AD1098" s="641" t="s">
        <v>84</v>
      </c>
      <c r="AE1098" s="680">
        <f>SUM(AF1098:AQ1098)</f>
        <v>104</v>
      </c>
      <c r="AF1098" s="681">
        <v>8</v>
      </c>
      <c r="AG1098" s="682">
        <v>8</v>
      </c>
      <c r="AH1098" s="682">
        <v>9</v>
      </c>
      <c r="AI1098" s="682">
        <v>9</v>
      </c>
      <c r="AJ1098" s="682">
        <v>8</v>
      </c>
      <c r="AK1098" s="682">
        <v>9</v>
      </c>
      <c r="AL1098" s="682">
        <v>9</v>
      </c>
      <c r="AM1098" s="682">
        <v>8</v>
      </c>
      <c r="AN1098" s="682">
        <v>10</v>
      </c>
      <c r="AO1098" s="682">
        <v>8</v>
      </c>
      <c r="AP1098" s="682">
        <v>8</v>
      </c>
      <c r="AQ1098" s="683">
        <v>10</v>
      </c>
    </row>
    <row r="1099" spans="27:43" ht="7.8" customHeight="1" x14ac:dyDescent="0.25">
      <c r="AA1099" s="28"/>
      <c r="AB1099" s="640"/>
      <c r="AC1099" s="646"/>
      <c r="AD1099" s="647" t="s">
        <v>9</v>
      </c>
      <c r="AE1099" s="684">
        <f t="shared" ref="AE1099:AQ1099" si="1726">SUM(AE1097:AE1098)</f>
        <v>365</v>
      </c>
      <c r="AF1099" s="685">
        <f t="shared" si="1726"/>
        <v>31</v>
      </c>
      <c r="AG1099" s="686">
        <f t="shared" si="1726"/>
        <v>28</v>
      </c>
      <c r="AH1099" s="686">
        <f t="shared" si="1726"/>
        <v>31</v>
      </c>
      <c r="AI1099" s="686">
        <f t="shared" si="1726"/>
        <v>30</v>
      </c>
      <c r="AJ1099" s="686">
        <f t="shared" si="1726"/>
        <v>31</v>
      </c>
      <c r="AK1099" s="686">
        <f t="shared" si="1726"/>
        <v>30</v>
      </c>
      <c r="AL1099" s="686">
        <f t="shared" si="1726"/>
        <v>31</v>
      </c>
      <c r="AM1099" s="686">
        <f t="shared" si="1726"/>
        <v>31</v>
      </c>
      <c r="AN1099" s="686">
        <f t="shared" si="1726"/>
        <v>30</v>
      </c>
      <c r="AO1099" s="686">
        <f t="shared" si="1726"/>
        <v>31</v>
      </c>
      <c r="AP1099" s="686">
        <f t="shared" si="1726"/>
        <v>30</v>
      </c>
      <c r="AQ1099" s="687">
        <f t="shared" si="1726"/>
        <v>31</v>
      </c>
    </row>
    <row r="1100" spans="27:43" ht="7.8" customHeight="1" x14ac:dyDescent="0.25">
      <c r="AA1100" s="28"/>
      <c r="AB1100" s="640"/>
      <c r="AC1100" s="652" t="s">
        <v>40</v>
      </c>
      <c r="AD1100" s="653" t="s">
        <v>83</v>
      </c>
      <c r="AE1100" s="676">
        <f t="shared" ref="AE1100:AE1101" si="1727">SUM(AF1100:AQ1100)</f>
        <v>262</v>
      </c>
      <c r="AF1100" s="677">
        <v>23</v>
      </c>
      <c r="AG1100" s="678">
        <v>21</v>
      </c>
      <c r="AH1100" s="678">
        <v>21</v>
      </c>
      <c r="AI1100" s="678">
        <v>22</v>
      </c>
      <c r="AJ1100" s="678">
        <v>22</v>
      </c>
      <c r="AK1100" s="678">
        <v>21</v>
      </c>
      <c r="AL1100" s="678">
        <v>23</v>
      </c>
      <c r="AM1100" s="678">
        <v>21</v>
      </c>
      <c r="AN1100" s="678">
        <v>22</v>
      </c>
      <c r="AO1100" s="678">
        <v>23</v>
      </c>
      <c r="AP1100" s="678">
        <v>20</v>
      </c>
      <c r="AQ1100" s="679">
        <v>23</v>
      </c>
    </row>
    <row r="1101" spans="27:43" ht="7.8" customHeight="1" x14ac:dyDescent="0.25">
      <c r="AA1101" s="28"/>
      <c r="AB1101" s="640"/>
      <c r="AC1101" s="532"/>
      <c r="AD1101" s="641" t="s">
        <v>84</v>
      </c>
      <c r="AE1101" s="680">
        <f t="shared" si="1727"/>
        <v>104</v>
      </c>
      <c r="AF1101" s="681">
        <v>8</v>
      </c>
      <c r="AG1101" s="682">
        <v>8</v>
      </c>
      <c r="AH1101" s="682">
        <v>10</v>
      </c>
      <c r="AI1101" s="682">
        <v>8</v>
      </c>
      <c r="AJ1101" s="682">
        <v>9</v>
      </c>
      <c r="AK1101" s="682">
        <v>9</v>
      </c>
      <c r="AL1101" s="682">
        <v>8</v>
      </c>
      <c r="AM1101" s="682">
        <v>10</v>
      </c>
      <c r="AN1101" s="682">
        <v>8</v>
      </c>
      <c r="AO1101" s="682">
        <v>8</v>
      </c>
      <c r="AP1101" s="682">
        <v>10</v>
      </c>
      <c r="AQ1101" s="683">
        <v>8</v>
      </c>
    </row>
    <row r="1102" spans="27:43" ht="7.8" customHeight="1" x14ac:dyDescent="0.25">
      <c r="AA1102" s="28"/>
      <c r="AB1102" s="640"/>
      <c r="AC1102" s="646"/>
      <c r="AD1102" s="647" t="s">
        <v>9</v>
      </c>
      <c r="AE1102" s="684">
        <f t="shared" ref="AE1102:AQ1102" si="1728">SUM(AE1100:AE1101)</f>
        <v>366</v>
      </c>
      <c r="AF1102" s="685">
        <f t="shared" si="1728"/>
        <v>31</v>
      </c>
      <c r="AG1102" s="686">
        <f t="shared" si="1728"/>
        <v>29</v>
      </c>
      <c r="AH1102" s="686">
        <f t="shared" si="1728"/>
        <v>31</v>
      </c>
      <c r="AI1102" s="686">
        <f t="shared" si="1728"/>
        <v>30</v>
      </c>
      <c r="AJ1102" s="686">
        <f t="shared" si="1728"/>
        <v>31</v>
      </c>
      <c r="AK1102" s="686">
        <f t="shared" si="1728"/>
        <v>30</v>
      </c>
      <c r="AL1102" s="686">
        <f t="shared" si="1728"/>
        <v>31</v>
      </c>
      <c r="AM1102" s="686">
        <f t="shared" si="1728"/>
        <v>31</v>
      </c>
      <c r="AN1102" s="686">
        <f t="shared" si="1728"/>
        <v>30</v>
      </c>
      <c r="AO1102" s="686">
        <f t="shared" si="1728"/>
        <v>31</v>
      </c>
      <c r="AP1102" s="686">
        <f t="shared" si="1728"/>
        <v>30</v>
      </c>
      <c r="AQ1102" s="687">
        <f t="shared" si="1728"/>
        <v>31</v>
      </c>
    </row>
    <row r="1103" spans="27:43" ht="7.8" customHeight="1" x14ac:dyDescent="0.25">
      <c r="AA1103" s="28"/>
      <c r="AB1103" s="640"/>
      <c r="AC1103" s="652" t="s">
        <v>41</v>
      </c>
      <c r="AD1103" s="653" t="s">
        <v>83</v>
      </c>
      <c r="AE1103" s="676">
        <f t="shared" ref="AE1103:AE1104" si="1729">SUM(AF1103:AQ1103)</f>
        <v>261</v>
      </c>
      <c r="AF1103" s="677">
        <v>22</v>
      </c>
      <c r="AG1103" s="678">
        <v>20</v>
      </c>
      <c r="AH1103" s="678">
        <v>22</v>
      </c>
      <c r="AI1103" s="678">
        <v>22</v>
      </c>
      <c r="AJ1103" s="678">
        <v>21</v>
      </c>
      <c r="AK1103" s="678">
        <v>22</v>
      </c>
      <c r="AL1103" s="678">
        <v>23</v>
      </c>
      <c r="AM1103" s="678">
        <v>21</v>
      </c>
      <c r="AN1103" s="678">
        <v>22</v>
      </c>
      <c r="AO1103" s="678">
        <v>22</v>
      </c>
      <c r="AP1103" s="678">
        <v>21</v>
      </c>
      <c r="AQ1103" s="679">
        <v>23</v>
      </c>
    </row>
    <row r="1104" spans="27:43" ht="7.8" customHeight="1" x14ac:dyDescent="0.25">
      <c r="AA1104" s="28"/>
      <c r="AB1104" s="640"/>
      <c r="AC1104" s="532"/>
      <c r="AD1104" s="641" t="s">
        <v>84</v>
      </c>
      <c r="AE1104" s="680">
        <f t="shared" si="1729"/>
        <v>104</v>
      </c>
      <c r="AF1104" s="681">
        <v>9</v>
      </c>
      <c r="AG1104" s="682">
        <v>8</v>
      </c>
      <c r="AH1104" s="682">
        <v>9</v>
      </c>
      <c r="AI1104" s="682">
        <v>8</v>
      </c>
      <c r="AJ1104" s="682">
        <v>10</v>
      </c>
      <c r="AK1104" s="682">
        <v>8</v>
      </c>
      <c r="AL1104" s="682">
        <v>8</v>
      </c>
      <c r="AM1104" s="682">
        <v>10</v>
      </c>
      <c r="AN1104" s="682">
        <v>8</v>
      </c>
      <c r="AO1104" s="682">
        <v>9</v>
      </c>
      <c r="AP1104" s="682">
        <v>9</v>
      </c>
      <c r="AQ1104" s="683">
        <v>8</v>
      </c>
    </row>
    <row r="1105" spans="27:43" ht="7.8" customHeight="1" x14ac:dyDescent="0.25">
      <c r="AA1105" s="28"/>
      <c r="AB1105" s="640"/>
      <c r="AC1105" s="646"/>
      <c r="AD1105" s="647" t="s">
        <v>9</v>
      </c>
      <c r="AE1105" s="684">
        <f t="shared" ref="AE1105:AQ1105" si="1730">SUM(AE1103:AE1104)</f>
        <v>365</v>
      </c>
      <c r="AF1105" s="685">
        <f t="shared" si="1730"/>
        <v>31</v>
      </c>
      <c r="AG1105" s="686">
        <f t="shared" si="1730"/>
        <v>28</v>
      </c>
      <c r="AH1105" s="686">
        <f t="shared" si="1730"/>
        <v>31</v>
      </c>
      <c r="AI1105" s="686">
        <f t="shared" si="1730"/>
        <v>30</v>
      </c>
      <c r="AJ1105" s="686">
        <f t="shared" si="1730"/>
        <v>31</v>
      </c>
      <c r="AK1105" s="686">
        <f t="shared" si="1730"/>
        <v>30</v>
      </c>
      <c r="AL1105" s="686">
        <f t="shared" si="1730"/>
        <v>31</v>
      </c>
      <c r="AM1105" s="686">
        <f t="shared" si="1730"/>
        <v>31</v>
      </c>
      <c r="AN1105" s="686">
        <f t="shared" si="1730"/>
        <v>30</v>
      </c>
      <c r="AO1105" s="686">
        <f t="shared" si="1730"/>
        <v>31</v>
      </c>
      <c r="AP1105" s="686">
        <f t="shared" si="1730"/>
        <v>30</v>
      </c>
      <c r="AQ1105" s="687">
        <f t="shared" si="1730"/>
        <v>31</v>
      </c>
    </row>
    <row r="1106" spans="27:43" ht="7.8" customHeight="1" x14ac:dyDescent="0.25">
      <c r="AA1106" s="28"/>
      <c r="AB1106" s="640"/>
      <c r="AC1106" s="658" t="s">
        <v>42</v>
      </c>
      <c r="AD1106" s="659" t="s">
        <v>83</v>
      </c>
      <c r="AE1106" s="688">
        <f t="shared" ref="AE1106:AE1107" si="1731">SUM(AF1106:AQ1106)</f>
        <v>261</v>
      </c>
      <c r="AF1106" s="689">
        <v>21</v>
      </c>
      <c r="AG1106" s="690">
        <v>20</v>
      </c>
      <c r="AH1106" s="690">
        <v>23</v>
      </c>
      <c r="AI1106" s="690">
        <v>22</v>
      </c>
      <c r="AJ1106" s="690">
        <v>21</v>
      </c>
      <c r="AK1106" s="690">
        <v>22</v>
      </c>
      <c r="AL1106" s="690">
        <v>22</v>
      </c>
      <c r="AM1106" s="690">
        <v>22</v>
      </c>
      <c r="AN1106" s="690">
        <v>22</v>
      </c>
      <c r="AO1106" s="690">
        <v>21</v>
      </c>
      <c r="AP1106" s="690">
        <v>22</v>
      </c>
      <c r="AQ1106" s="691">
        <v>23</v>
      </c>
    </row>
    <row r="1107" spans="27:43" ht="7.8" customHeight="1" x14ac:dyDescent="0.25">
      <c r="AA1107" s="28"/>
      <c r="AB1107" s="640"/>
      <c r="AC1107" s="664"/>
      <c r="AD1107" s="665" t="s">
        <v>84</v>
      </c>
      <c r="AE1107" s="692">
        <f t="shared" si="1731"/>
        <v>104</v>
      </c>
      <c r="AF1107" s="693">
        <v>10</v>
      </c>
      <c r="AG1107" s="694">
        <v>8</v>
      </c>
      <c r="AH1107" s="694">
        <v>8</v>
      </c>
      <c r="AI1107" s="694">
        <v>8</v>
      </c>
      <c r="AJ1107" s="694">
        <v>10</v>
      </c>
      <c r="AK1107" s="694">
        <v>8</v>
      </c>
      <c r="AL1107" s="694">
        <v>9</v>
      </c>
      <c r="AM1107" s="694">
        <v>9</v>
      </c>
      <c r="AN1107" s="694">
        <v>8</v>
      </c>
      <c r="AO1107" s="694">
        <v>10</v>
      </c>
      <c r="AP1107" s="694">
        <v>8</v>
      </c>
      <c r="AQ1107" s="695">
        <v>8</v>
      </c>
    </row>
    <row r="1108" spans="27:43" ht="7.8" customHeight="1" x14ac:dyDescent="0.25">
      <c r="AA1108" s="28"/>
      <c r="AB1108" s="640"/>
      <c r="AC1108" s="670"/>
      <c r="AD1108" s="671" t="s">
        <v>9</v>
      </c>
      <c r="AE1108" s="696">
        <f t="shared" ref="AE1108:AQ1108" si="1732">SUM(AE1106:AE1107)</f>
        <v>365</v>
      </c>
      <c r="AF1108" s="697">
        <f t="shared" si="1732"/>
        <v>31</v>
      </c>
      <c r="AG1108" s="698">
        <f t="shared" si="1732"/>
        <v>28</v>
      </c>
      <c r="AH1108" s="698">
        <f t="shared" si="1732"/>
        <v>31</v>
      </c>
      <c r="AI1108" s="698">
        <f t="shared" si="1732"/>
        <v>30</v>
      </c>
      <c r="AJ1108" s="698">
        <f t="shared" si="1732"/>
        <v>31</v>
      </c>
      <c r="AK1108" s="698">
        <f t="shared" si="1732"/>
        <v>30</v>
      </c>
      <c r="AL1108" s="698">
        <f t="shared" si="1732"/>
        <v>31</v>
      </c>
      <c r="AM1108" s="698">
        <f t="shared" si="1732"/>
        <v>31</v>
      </c>
      <c r="AN1108" s="698">
        <f t="shared" si="1732"/>
        <v>30</v>
      </c>
      <c r="AO1108" s="698">
        <f t="shared" si="1732"/>
        <v>31</v>
      </c>
      <c r="AP1108" s="698">
        <f t="shared" si="1732"/>
        <v>30</v>
      </c>
      <c r="AQ1108" s="699">
        <f t="shared" si="1732"/>
        <v>31</v>
      </c>
    </row>
    <row r="1109" spans="27:43" ht="7.8" customHeight="1" x14ac:dyDescent="0.25">
      <c r="AA1109" s="28"/>
      <c r="AB1109" s="640" t="s">
        <v>88</v>
      </c>
      <c r="AC1109" s="652" t="s">
        <v>39</v>
      </c>
      <c r="AD1109" s="653" t="s">
        <v>83</v>
      </c>
      <c r="AE1109" s="700">
        <f t="shared" ref="AE1109:AE1110" si="1733">SUM(AF1109:AQ1109)</f>
        <v>71775</v>
      </c>
      <c r="AF1109" s="701">
        <f>IFERROR(AF1097*AF$1121,0)</f>
        <v>6325</v>
      </c>
      <c r="AG1109" s="702">
        <f t="shared" ref="AG1109:AQ1109" si="1734">IFERROR(AG1097*AG$1121,0)</f>
        <v>5500</v>
      </c>
      <c r="AH1109" s="702">
        <f t="shared" si="1734"/>
        <v>6050</v>
      </c>
      <c r="AI1109" s="702">
        <f t="shared" si="1734"/>
        <v>5775</v>
      </c>
      <c r="AJ1109" s="702">
        <f t="shared" si="1734"/>
        <v>6325</v>
      </c>
      <c r="AK1109" s="702">
        <f t="shared" si="1734"/>
        <v>5775</v>
      </c>
      <c r="AL1109" s="702">
        <f t="shared" si="1734"/>
        <v>6050</v>
      </c>
      <c r="AM1109" s="702">
        <f t="shared" si="1734"/>
        <v>6325</v>
      </c>
      <c r="AN1109" s="702">
        <f t="shared" si="1734"/>
        <v>5500</v>
      </c>
      <c r="AO1109" s="702">
        <f t="shared" si="1734"/>
        <v>6325</v>
      </c>
      <c r="AP1109" s="702">
        <f t="shared" si="1734"/>
        <v>6050</v>
      </c>
      <c r="AQ1109" s="703">
        <f t="shared" si="1734"/>
        <v>5775</v>
      </c>
    </row>
    <row r="1110" spans="27:43" ht="7.8" customHeight="1" x14ac:dyDescent="0.25">
      <c r="AA1110" s="28"/>
      <c r="AB1110" s="640"/>
      <c r="AC1110" s="532"/>
      <c r="AD1110" s="641" t="s">
        <v>84</v>
      </c>
      <c r="AE1110" s="704">
        <f t="shared" si="1733"/>
        <v>28600</v>
      </c>
      <c r="AF1110" s="705">
        <f t="shared" ref="AF1110:AQ1110" si="1735">IFERROR(AF1098*AF$1121,0)</f>
        <v>2200</v>
      </c>
      <c r="AG1110" s="706">
        <f t="shared" si="1735"/>
        <v>2200</v>
      </c>
      <c r="AH1110" s="706">
        <f t="shared" si="1735"/>
        <v>2475</v>
      </c>
      <c r="AI1110" s="706">
        <f t="shared" si="1735"/>
        <v>2475</v>
      </c>
      <c r="AJ1110" s="706">
        <f t="shared" si="1735"/>
        <v>2200</v>
      </c>
      <c r="AK1110" s="706">
        <f t="shared" si="1735"/>
        <v>2475</v>
      </c>
      <c r="AL1110" s="706">
        <f t="shared" si="1735"/>
        <v>2475</v>
      </c>
      <c r="AM1110" s="706">
        <f t="shared" si="1735"/>
        <v>2200</v>
      </c>
      <c r="AN1110" s="706">
        <f t="shared" si="1735"/>
        <v>2750</v>
      </c>
      <c r="AO1110" s="706">
        <f t="shared" si="1735"/>
        <v>2200</v>
      </c>
      <c r="AP1110" s="706">
        <f t="shared" si="1735"/>
        <v>2200</v>
      </c>
      <c r="AQ1110" s="707">
        <f t="shared" si="1735"/>
        <v>2750</v>
      </c>
    </row>
    <row r="1111" spans="27:43" ht="7.8" customHeight="1" x14ac:dyDescent="0.25">
      <c r="AA1111" s="28"/>
      <c r="AB1111" s="640"/>
      <c r="AC1111" s="646"/>
      <c r="AD1111" s="647" t="s">
        <v>9</v>
      </c>
      <c r="AE1111" s="708">
        <f t="shared" ref="AE1111:AQ1111" si="1736">SUM(AE1109:AE1110)</f>
        <v>100375</v>
      </c>
      <c r="AF1111" s="709">
        <f t="shared" si="1736"/>
        <v>8525</v>
      </c>
      <c r="AG1111" s="710">
        <f t="shared" si="1736"/>
        <v>7700</v>
      </c>
      <c r="AH1111" s="710">
        <f t="shared" si="1736"/>
        <v>8525</v>
      </c>
      <c r="AI1111" s="710">
        <f t="shared" si="1736"/>
        <v>8250</v>
      </c>
      <c r="AJ1111" s="710">
        <f t="shared" si="1736"/>
        <v>8525</v>
      </c>
      <c r="AK1111" s="710">
        <f t="shared" si="1736"/>
        <v>8250</v>
      </c>
      <c r="AL1111" s="710">
        <f t="shared" si="1736"/>
        <v>8525</v>
      </c>
      <c r="AM1111" s="710">
        <f t="shared" si="1736"/>
        <v>8525</v>
      </c>
      <c r="AN1111" s="710">
        <f t="shared" si="1736"/>
        <v>8250</v>
      </c>
      <c r="AO1111" s="710">
        <f t="shared" si="1736"/>
        <v>8525</v>
      </c>
      <c r="AP1111" s="710">
        <f t="shared" si="1736"/>
        <v>8250</v>
      </c>
      <c r="AQ1111" s="711">
        <f t="shared" si="1736"/>
        <v>8525</v>
      </c>
    </row>
    <row r="1112" spans="27:43" ht="7.8" customHeight="1" x14ac:dyDescent="0.25">
      <c r="AA1112" s="28"/>
      <c r="AB1112" s="640"/>
      <c r="AC1112" s="652" t="s">
        <v>40</v>
      </c>
      <c r="AD1112" s="653" t="s">
        <v>83</v>
      </c>
      <c r="AE1112" s="700">
        <f t="shared" ref="AE1112:AE1113" si="1737">SUM(AF1112:AQ1112)</f>
        <v>72050</v>
      </c>
      <c r="AF1112" s="701">
        <f>IFERROR(AF1100*AF$1122,0)</f>
        <v>6325</v>
      </c>
      <c r="AG1112" s="702">
        <f t="shared" ref="AG1112:AQ1112" si="1738">IFERROR(AG1100*AG$1122,0)</f>
        <v>5775</v>
      </c>
      <c r="AH1112" s="702">
        <f t="shared" si="1738"/>
        <v>5775</v>
      </c>
      <c r="AI1112" s="702">
        <f t="shared" si="1738"/>
        <v>6050</v>
      </c>
      <c r="AJ1112" s="702">
        <f t="shared" si="1738"/>
        <v>6050</v>
      </c>
      <c r="AK1112" s="702">
        <f t="shared" si="1738"/>
        <v>5775</v>
      </c>
      <c r="AL1112" s="702">
        <f t="shared" si="1738"/>
        <v>6325</v>
      </c>
      <c r="AM1112" s="702">
        <f t="shared" si="1738"/>
        <v>5775</v>
      </c>
      <c r="AN1112" s="702">
        <f t="shared" si="1738"/>
        <v>6050</v>
      </c>
      <c r="AO1112" s="702">
        <f t="shared" si="1738"/>
        <v>6325</v>
      </c>
      <c r="AP1112" s="702">
        <f t="shared" si="1738"/>
        <v>5500</v>
      </c>
      <c r="AQ1112" s="703">
        <f t="shared" si="1738"/>
        <v>6325</v>
      </c>
    </row>
    <row r="1113" spans="27:43" ht="7.8" customHeight="1" x14ac:dyDescent="0.25">
      <c r="AA1113" s="28"/>
      <c r="AB1113" s="640"/>
      <c r="AC1113" s="532"/>
      <c r="AD1113" s="641" t="s">
        <v>84</v>
      </c>
      <c r="AE1113" s="704">
        <f t="shared" si="1737"/>
        <v>28600</v>
      </c>
      <c r="AF1113" s="705">
        <f t="shared" ref="AF1113:AQ1113" si="1739">IFERROR(AF1101*AF$1122,0)</f>
        <v>2200</v>
      </c>
      <c r="AG1113" s="706">
        <f t="shared" si="1739"/>
        <v>2200</v>
      </c>
      <c r="AH1113" s="706">
        <f t="shared" si="1739"/>
        <v>2750</v>
      </c>
      <c r="AI1113" s="706">
        <f t="shared" si="1739"/>
        <v>2200</v>
      </c>
      <c r="AJ1113" s="706">
        <f t="shared" si="1739"/>
        <v>2475</v>
      </c>
      <c r="AK1113" s="706">
        <f t="shared" si="1739"/>
        <v>2475</v>
      </c>
      <c r="AL1113" s="706">
        <f t="shared" si="1739"/>
        <v>2200</v>
      </c>
      <c r="AM1113" s="706">
        <f t="shared" si="1739"/>
        <v>2750</v>
      </c>
      <c r="AN1113" s="706">
        <f t="shared" si="1739"/>
        <v>2200</v>
      </c>
      <c r="AO1113" s="706">
        <f t="shared" si="1739"/>
        <v>2200</v>
      </c>
      <c r="AP1113" s="706">
        <f t="shared" si="1739"/>
        <v>2750</v>
      </c>
      <c r="AQ1113" s="707">
        <f t="shared" si="1739"/>
        <v>2200</v>
      </c>
    </row>
    <row r="1114" spans="27:43" ht="7.8" customHeight="1" x14ac:dyDescent="0.25">
      <c r="AA1114" s="28"/>
      <c r="AB1114" s="640"/>
      <c r="AC1114" s="646"/>
      <c r="AD1114" s="647" t="s">
        <v>9</v>
      </c>
      <c r="AE1114" s="708">
        <f t="shared" ref="AE1114:AQ1114" si="1740">SUM(AE1112:AE1113)</f>
        <v>100650</v>
      </c>
      <c r="AF1114" s="709">
        <f t="shared" si="1740"/>
        <v>8525</v>
      </c>
      <c r="AG1114" s="710">
        <f t="shared" si="1740"/>
        <v>7975</v>
      </c>
      <c r="AH1114" s="710">
        <f t="shared" si="1740"/>
        <v>8525</v>
      </c>
      <c r="AI1114" s="710">
        <f t="shared" si="1740"/>
        <v>8250</v>
      </c>
      <c r="AJ1114" s="710">
        <f t="shared" si="1740"/>
        <v>8525</v>
      </c>
      <c r="AK1114" s="710">
        <f t="shared" si="1740"/>
        <v>8250</v>
      </c>
      <c r="AL1114" s="710">
        <f t="shared" si="1740"/>
        <v>8525</v>
      </c>
      <c r="AM1114" s="710">
        <f t="shared" si="1740"/>
        <v>8525</v>
      </c>
      <c r="AN1114" s="710">
        <f t="shared" si="1740"/>
        <v>8250</v>
      </c>
      <c r="AO1114" s="710">
        <f t="shared" si="1740"/>
        <v>8525</v>
      </c>
      <c r="AP1114" s="710">
        <f t="shared" si="1740"/>
        <v>8250</v>
      </c>
      <c r="AQ1114" s="711">
        <f t="shared" si="1740"/>
        <v>8525</v>
      </c>
    </row>
    <row r="1115" spans="27:43" ht="7.8" customHeight="1" x14ac:dyDescent="0.25">
      <c r="AA1115" s="28"/>
      <c r="AB1115" s="640"/>
      <c r="AC1115" s="652" t="s">
        <v>41</v>
      </c>
      <c r="AD1115" s="653" t="s">
        <v>83</v>
      </c>
      <c r="AE1115" s="700">
        <f t="shared" ref="AE1115:AE1116" si="1741">SUM(AF1115:AQ1115)</f>
        <v>71775</v>
      </c>
      <c r="AF1115" s="701">
        <f>IFERROR(AF1103*AF$1123,0)</f>
        <v>6050</v>
      </c>
      <c r="AG1115" s="702">
        <f t="shared" ref="AG1115:AQ1115" si="1742">IFERROR(AG1103*AG$1123,0)</f>
        <v>5500</v>
      </c>
      <c r="AH1115" s="702">
        <f t="shared" si="1742"/>
        <v>6050</v>
      </c>
      <c r="AI1115" s="702">
        <f t="shared" si="1742"/>
        <v>6050</v>
      </c>
      <c r="AJ1115" s="702">
        <f t="shared" si="1742"/>
        <v>5775</v>
      </c>
      <c r="AK1115" s="702">
        <f t="shared" si="1742"/>
        <v>6050</v>
      </c>
      <c r="AL1115" s="702">
        <f t="shared" si="1742"/>
        <v>6325</v>
      </c>
      <c r="AM1115" s="702">
        <f t="shared" si="1742"/>
        <v>5775</v>
      </c>
      <c r="AN1115" s="702">
        <f t="shared" si="1742"/>
        <v>6050</v>
      </c>
      <c r="AO1115" s="702">
        <f t="shared" si="1742"/>
        <v>6050</v>
      </c>
      <c r="AP1115" s="702">
        <f t="shared" si="1742"/>
        <v>5775</v>
      </c>
      <c r="AQ1115" s="703">
        <f t="shared" si="1742"/>
        <v>6325</v>
      </c>
    </row>
    <row r="1116" spans="27:43" ht="7.8" customHeight="1" x14ac:dyDescent="0.25">
      <c r="AA1116" s="28"/>
      <c r="AB1116" s="640"/>
      <c r="AC1116" s="532"/>
      <c r="AD1116" s="641" t="s">
        <v>84</v>
      </c>
      <c r="AE1116" s="704">
        <f t="shared" si="1741"/>
        <v>28600</v>
      </c>
      <c r="AF1116" s="705">
        <f t="shared" ref="AF1116:AQ1116" si="1743">IFERROR(AF1104*AF$1123,0)</f>
        <v>2475</v>
      </c>
      <c r="AG1116" s="706">
        <f t="shared" si="1743"/>
        <v>2200</v>
      </c>
      <c r="AH1116" s="706">
        <f t="shared" si="1743"/>
        <v>2475</v>
      </c>
      <c r="AI1116" s="706">
        <f t="shared" si="1743"/>
        <v>2200</v>
      </c>
      <c r="AJ1116" s="706">
        <f t="shared" si="1743"/>
        <v>2750</v>
      </c>
      <c r="AK1116" s="706">
        <f t="shared" si="1743"/>
        <v>2200</v>
      </c>
      <c r="AL1116" s="706">
        <f t="shared" si="1743"/>
        <v>2200</v>
      </c>
      <c r="AM1116" s="706">
        <f t="shared" si="1743"/>
        <v>2750</v>
      </c>
      <c r="AN1116" s="706">
        <f t="shared" si="1743"/>
        <v>2200</v>
      </c>
      <c r="AO1116" s="706">
        <f t="shared" si="1743"/>
        <v>2475</v>
      </c>
      <c r="AP1116" s="706">
        <f t="shared" si="1743"/>
        <v>2475</v>
      </c>
      <c r="AQ1116" s="707">
        <f t="shared" si="1743"/>
        <v>2200</v>
      </c>
    </row>
    <row r="1117" spans="27:43" ht="7.8" customHeight="1" x14ac:dyDescent="0.25">
      <c r="AA1117" s="28"/>
      <c r="AB1117" s="640"/>
      <c r="AC1117" s="646"/>
      <c r="AD1117" s="647" t="s">
        <v>9</v>
      </c>
      <c r="AE1117" s="708">
        <f t="shared" ref="AE1117:AQ1117" si="1744">SUM(AE1115:AE1116)</f>
        <v>100375</v>
      </c>
      <c r="AF1117" s="709">
        <f t="shared" si="1744"/>
        <v>8525</v>
      </c>
      <c r="AG1117" s="710">
        <f t="shared" si="1744"/>
        <v>7700</v>
      </c>
      <c r="AH1117" s="710">
        <f t="shared" si="1744"/>
        <v>8525</v>
      </c>
      <c r="AI1117" s="710">
        <f t="shared" si="1744"/>
        <v>8250</v>
      </c>
      <c r="AJ1117" s="710">
        <f t="shared" si="1744"/>
        <v>8525</v>
      </c>
      <c r="AK1117" s="710">
        <f t="shared" si="1744"/>
        <v>8250</v>
      </c>
      <c r="AL1117" s="710">
        <f t="shared" si="1744"/>
        <v>8525</v>
      </c>
      <c r="AM1117" s="710">
        <f t="shared" si="1744"/>
        <v>8525</v>
      </c>
      <c r="AN1117" s="710">
        <f t="shared" si="1744"/>
        <v>8250</v>
      </c>
      <c r="AO1117" s="710">
        <f t="shared" si="1744"/>
        <v>8525</v>
      </c>
      <c r="AP1117" s="710">
        <f t="shared" si="1744"/>
        <v>8250</v>
      </c>
      <c r="AQ1117" s="711">
        <f t="shared" si="1744"/>
        <v>8525</v>
      </c>
    </row>
    <row r="1118" spans="27:43" ht="7.8" customHeight="1" x14ac:dyDescent="0.25">
      <c r="AA1118" s="28"/>
      <c r="AB1118" s="640"/>
      <c r="AC1118" s="658" t="s">
        <v>42</v>
      </c>
      <c r="AD1118" s="659" t="s">
        <v>83</v>
      </c>
      <c r="AE1118" s="712">
        <f t="shared" ref="AE1118:AE1119" si="1745">SUM(AF1118:AQ1118)</f>
        <v>71775</v>
      </c>
      <c r="AF1118" s="713">
        <f>IFERROR(AF1106*AF$1124,0)</f>
        <v>5775</v>
      </c>
      <c r="AG1118" s="714">
        <f t="shared" ref="AG1118:AQ1118" si="1746">IFERROR(AG1106*AG$1124,0)</f>
        <v>5500</v>
      </c>
      <c r="AH1118" s="714">
        <f t="shared" si="1746"/>
        <v>6325</v>
      </c>
      <c r="AI1118" s="714">
        <f t="shared" si="1746"/>
        <v>6050</v>
      </c>
      <c r="AJ1118" s="714">
        <f t="shared" si="1746"/>
        <v>5775</v>
      </c>
      <c r="AK1118" s="714">
        <f t="shared" si="1746"/>
        <v>6050</v>
      </c>
      <c r="AL1118" s="714">
        <f t="shared" si="1746"/>
        <v>6050</v>
      </c>
      <c r="AM1118" s="714">
        <f t="shared" si="1746"/>
        <v>6050</v>
      </c>
      <c r="AN1118" s="714">
        <f t="shared" si="1746"/>
        <v>6050</v>
      </c>
      <c r="AO1118" s="714">
        <f t="shared" si="1746"/>
        <v>5775</v>
      </c>
      <c r="AP1118" s="714">
        <f t="shared" si="1746"/>
        <v>6050</v>
      </c>
      <c r="AQ1118" s="715">
        <f t="shared" si="1746"/>
        <v>6325</v>
      </c>
    </row>
    <row r="1119" spans="27:43" ht="7.8" customHeight="1" x14ac:dyDescent="0.25">
      <c r="AA1119" s="28"/>
      <c r="AB1119" s="640"/>
      <c r="AC1119" s="664"/>
      <c r="AD1119" s="665" t="s">
        <v>84</v>
      </c>
      <c r="AE1119" s="716">
        <f t="shared" si="1745"/>
        <v>28600</v>
      </c>
      <c r="AF1119" s="717">
        <f t="shared" ref="AF1119:AQ1119" si="1747">IFERROR(AF1107*AF$1124,0)</f>
        <v>2750</v>
      </c>
      <c r="AG1119" s="718">
        <f t="shared" si="1747"/>
        <v>2200</v>
      </c>
      <c r="AH1119" s="718">
        <f t="shared" si="1747"/>
        <v>2200</v>
      </c>
      <c r="AI1119" s="718">
        <f t="shared" si="1747"/>
        <v>2200</v>
      </c>
      <c r="AJ1119" s="718">
        <f t="shared" si="1747"/>
        <v>2750</v>
      </c>
      <c r="AK1119" s="718">
        <f t="shared" si="1747"/>
        <v>2200</v>
      </c>
      <c r="AL1119" s="718">
        <f t="shared" si="1747"/>
        <v>2475</v>
      </c>
      <c r="AM1119" s="718">
        <f t="shared" si="1747"/>
        <v>2475</v>
      </c>
      <c r="AN1119" s="718">
        <f t="shared" si="1747"/>
        <v>2200</v>
      </c>
      <c r="AO1119" s="718">
        <f t="shared" si="1747"/>
        <v>2750</v>
      </c>
      <c r="AP1119" s="718">
        <f t="shared" si="1747"/>
        <v>2200</v>
      </c>
      <c r="AQ1119" s="719">
        <f t="shared" si="1747"/>
        <v>2200</v>
      </c>
    </row>
    <row r="1120" spans="27:43" ht="7.8" customHeight="1" x14ac:dyDescent="0.25">
      <c r="AA1120" s="28"/>
      <c r="AB1120" s="640"/>
      <c r="AC1120" s="670"/>
      <c r="AD1120" s="671" t="s">
        <v>9</v>
      </c>
      <c r="AE1120" s="720">
        <f t="shared" ref="AE1120:AQ1120" si="1748">SUM(AE1118:AE1119)</f>
        <v>100375</v>
      </c>
      <c r="AF1120" s="721">
        <f t="shared" si="1748"/>
        <v>8525</v>
      </c>
      <c r="AG1120" s="722">
        <f t="shared" si="1748"/>
        <v>7700</v>
      </c>
      <c r="AH1120" s="722">
        <f t="shared" si="1748"/>
        <v>8525</v>
      </c>
      <c r="AI1120" s="722">
        <f t="shared" si="1748"/>
        <v>8250</v>
      </c>
      <c r="AJ1120" s="722">
        <f t="shared" si="1748"/>
        <v>8525</v>
      </c>
      <c r="AK1120" s="722">
        <f t="shared" si="1748"/>
        <v>8250</v>
      </c>
      <c r="AL1120" s="722">
        <f t="shared" si="1748"/>
        <v>8525</v>
      </c>
      <c r="AM1120" s="722">
        <f t="shared" si="1748"/>
        <v>8525</v>
      </c>
      <c r="AN1120" s="722">
        <f t="shared" si="1748"/>
        <v>8250</v>
      </c>
      <c r="AO1120" s="722">
        <f t="shared" si="1748"/>
        <v>8525</v>
      </c>
      <c r="AP1120" s="722">
        <f t="shared" si="1748"/>
        <v>8250</v>
      </c>
      <c r="AQ1120" s="723">
        <f t="shared" si="1748"/>
        <v>8525</v>
      </c>
    </row>
    <row r="1121" spans="27:43" ht="7.8" customHeight="1" x14ac:dyDescent="0.25">
      <c r="AA1121" s="28"/>
      <c r="AB1121" s="724" t="s">
        <v>89</v>
      </c>
      <c r="AC1121" s="725" t="s">
        <v>90</v>
      </c>
      <c r="AD1121" s="726" t="s">
        <v>91</v>
      </c>
      <c r="AE1121" s="32">
        <f>AVERAGE(AF1121:AQ1121)</f>
        <v>275</v>
      </c>
      <c r="AF1121" s="33">
        <v>275</v>
      </c>
      <c r="AG1121" s="34">
        <v>275</v>
      </c>
      <c r="AH1121" s="34">
        <v>275</v>
      </c>
      <c r="AI1121" s="34">
        <v>275</v>
      </c>
      <c r="AJ1121" s="34">
        <v>275</v>
      </c>
      <c r="AK1121" s="34">
        <v>275</v>
      </c>
      <c r="AL1121" s="34">
        <v>275</v>
      </c>
      <c r="AM1121" s="34">
        <v>275</v>
      </c>
      <c r="AN1121" s="34">
        <v>275</v>
      </c>
      <c r="AO1121" s="34">
        <v>275</v>
      </c>
      <c r="AP1121" s="34">
        <v>275</v>
      </c>
      <c r="AQ1121" s="36">
        <v>275</v>
      </c>
    </row>
    <row r="1122" spans="27:43" ht="7.8" customHeight="1" x14ac:dyDescent="0.25">
      <c r="AA1122" s="28"/>
      <c r="AB1122" s="727"/>
      <c r="AC1122" s="728" t="s">
        <v>92</v>
      </c>
      <c r="AD1122" s="729" t="s">
        <v>93</v>
      </c>
      <c r="AE1122" s="730">
        <f t="shared" ref="AE1122:AE1124" si="1749">AVERAGE(AF1122:AQ1122)</f>
        <v>275</v>
      </c>
      <c r="AF1122" s="731">
        <v>275</v>
      </c>
      <c r="AG1122" s="732">
        <v>275</v>
      </c>
      <c r="AH1122" s="732">
        <v>275</v>
      </c>
      <c r="AI1122" s="732">
        <v>275</v>
      </c>
      <c r="AJ1122" s="732">
        <v>275</v>
      </c>
      <c r="AK1122" s="732">
        <v>275</v>
      </c>
      <c r="AL1122" s="732">
        <v>275</v>
      </c>
      <c r="AM1122" s="732">
        <v>275</v>
      </c>
      <c r="AN1122" s="732">
        <v>275</v>
      </c>
      <c r="AO1122" s="732">
        <v>275</v>
      </c>
      <c r="AP1122" s="732">
        <v>275</v>
      </c>
      <c r="AQ1122" s="733">
        <v>275</v>
      </c>
    </row>
    <row r="1123" spans="27:43" ht="7.8" customHeight="1" x14ac:dyDescent="0.25">
      <c r="AA1123" s="28"/>
      <c r="AB1123" s="727"/>
      <c r="AC1123" s="728" t="s">
        <v>94</v>
      </c>
      <c r="AD1123" s="729" t="s">
        <v>95</v>
      </c>
      <c r="AE1123" s="730">
        <f t="shared" si="1749"/>
        <v>275</v>
      </c>
      <c r="AF1123" s="731">
        <v>275</v>
      </c>
      <c r="AG1123" s="732">
        <v>275</v>
      </c>
      <c r="AH1123" s="732">
        <v>275</v>
      </c>
      <c r="AI1123" s="732">
        <v>275</v>
      </c>
      <c r="AJ1123" s="732">
        <v>275</v>
      </c>
      <c r="AK1123" s="732">
        <v>275</v>
      </c>
      <c r="AL1123" s="732">
        <v>275</v>
      </c>
      <c r="AM1123" s="732">
        <v>275</v>
      </c>
      <c r="AN1123" s="732">
        <v>275</v>
      </c>
      <c r="AO1123" s="732">
        <v>275</v>
      </c>
      <c r="AP1123" s="732">
        <v>275</v>
      </c>
      <c r="AQ1123" s="733">
        <v>275</v>
      </c>
    </row>
    <row r="1124" spans="27:43" ht="7.8" customHeight="1" thickBot="1" x14ac:dyDescent="0.3">
      <c r="AA1124" s="734"/>
      <c r="AB1124" s="735"/>
      <c r="AC1124" s="736" t="s">
        <v>96</v>
      </c>
      <c r="AD1124" s="737" t="s">
        <v>97</v>
      </c>
      <c r="AE1124" s="738">
        <f t="shared" si="1749"/>
        <v>275</v>
      </c>
      <c r="AF1124" s="739">
        <v>275</v>
      </c>
      <c r="AG1124" s="740">
        <v>275</v>
      </c>
      <c r="AH1124" s="740">
        <v>275</v>
      </c>
      <c r="AI1124" s="740">
        <v>275</v>
      </c>
      <c r="AJ1124" s="740">
        <v>275</v>
      </c>
      <c r="AK1124" s="740">
        <v>275</v>
      </c>
      <c r="AL1124" s="740">
        <v>275</v>
      </c>
      <c r="AM1124" s="740">
        <v>275</v>
      </c>
      <c r="AN1124" s="740">
        <v>275</v>
      </c>
      <c r="AO1124" s="740">
        <v>275</v>
      </c>
      <c r="AP1124" s="740">
        <v>275</v>
      </c>
      <c r="AQ1124" s="741">
        <v>275</v>
      </c>
    </row>
  </sheetData>
  <mergeCells count="789">
    <mergeCell ref="AB1121:AB1124"/>
    <mergeCell ref="AC1121:AD1121"/>
    <mergeCell ref="AC1122:AD1122"/>
    <mergeCell ref="AC1123:AD1123"/>
    <mergeCell ref="AC1124:AD1124"/>
    <mergeCell ref="AC1106:AC1108"/>
    <mergeCell ref="AB1109:AB1120"/>
    <mergeCell ref="AC1109:AC1111"/>
    <mergeCell ref="AC1112:AC1114"/>
    <mergeCell ref="AC1115:AC1117"/>
    <mergeCell ref="AC1118:AC1120"/>
    <mergeCell ref="AA1085:AA1124"/>
    <mergeCell ref="AB1085:AB1096"/>
    <mergeCell ref="AC1085:AC1087"/>
    <mergeCell ref="AC1088:AC1090"/>
    <mergeCell ref="AC1091:AC1093"/>
    <mergeCell ref="AC1094:AC1096"/>
    <mergeCell ref="AB1097:AB1108"/>
    <mergeCell ref="AC1097:AC1099"/>
    <mergeCell ref="AC1100:AC1102"/>
    <mergeCell ref="AC1103:AC1105"/>
    <mergeCell ref="AB1067:AB1084"/>
    <mergeCell ref="AC1067:AC1069"/>
    <mergeCell ref="AC1070:AC1072"/>
    <mergeCell ref="AC1073:AC1075"/>
    <mergeCell ref="AC1076:AC1078"/>
    <mergeCell ref="AC1079:AC1081"/>
    <mergeCell ref="AC1082:AC1084"/>
    <mergeCell ref="AB1049:AB1066"/>
    <mergeCell ref="AC1049:AC1051"/>
    <mergeCell ref="AC1052:AC1054"/>
    <mergeCell ref="AC1055:AC1057"/>
    <mergeCell ref="AC1058:AC1060"/>
    <mergeCell ref="AC1061:AC1063"/>
    <mergeCell ref="AC1064:AC1066"/>
    <mergeCell ref="AC1025:AC1027"/>
    <mergeCell ref="AC1028:AC1030"/>
    <mergeCell ref="AA1031:AA1084"/>
    <mergeCell ref="AB1031:AB1048"/>
    <mergeCell ref="AC1031:AC1033"/>
    <mergeCell ref="AC1034:AC1036"/>
    <mergeCell ref="AC1037:AC1039"/>
    <mergeCell ref="AC1040:AC1042"/>
    <mergeCell ref="AC1043:AC1045"/>
    <mergeCell ref="AC1046:AC1048"/>
    <mergeCell ref="AC998:AC1000"/>
    <mergeCell ref="AC1001:AC1003"/>
    <mergeCell ref="AC1004:AC1006"/>
    <mergeCell ref="AC1007:AC1009"/>
    <mergeCell ref="AC1010:AC1012"/>
    <mergeCell ref="AB1013:AB1030"/>
    <mergeCell ref="AC1013:AC1015"/>
    <mergeCell ref="AC1016:AC1018"/>
    <mergeCell ref="AC1019:AC1021"/>
    <mergeCell ref="AC1022:AC1024"/>
    <mergeCell ref="AA977:AA1030"/>
    <mergeCell ref="AB977:AB994"/>
    <mergeCell ref="AC977:AC979"/>
    <mergeCell ref="AC980:AC982"/>
    <mergeCell ref="AC983:AC985"/>
    <mergeCell ref="AC986:AC988"/>
    <mergeCell ref="AC989:AC991"/>
    <mergeCell ref="AC992:AC994"/>
    <mergeCell ref="AB995:AB1012"/>
    <mergeCell ref="AC995:AC997"/>
    <mergeCell ref="AB959:AB976"/>
    <mergeCell ref="AC959:AC961"/>
    <mergeCell ref="AC962:AC964"/>
    <mergeCell ref="AC965:AC967"/>
    <mergeCell ref="AC968:AC970"/>
    <mergeCell ref="AC971:AC973"/>
    <mergeCell ref="AC974:AC976"/>
    <mergeCell ref="AB941:AB958"/>
    <mergeCell ref="AC941:AC943"/>
    <mergeCell ref="AC944:AC946"/>
    <mergeCell ref="AC947:AC949"/>
    <mergeCell ref="AC950:AC952"/>
    <mergeCell ref="AC953:AC955"/>
    <mergeCell ref="AC956:AC958"/>
    <mergeCell ref="AC917:AC919"/>
    <mergeCell ref="AC920:AC922"/>
    <mergeCell ref="AA923:AA976"/>
    <mergeCell ref="AB923:AB940"/>
    <mergeCell ref="AC923:AC925"/>
    <mergeCell ref="AC926:AC928"/>
    <mergeCell ref="AC929:AC931"/>
    <mergeCell ref="AC932:AC934"/>
    <mergeCell ref="AC935:AC937"/>
    <mergeCell ref="AC938:AC940"/>
    <mergeCell ref="AC890:AC892"/>
    <mergeCell ref="AC893:AC895"/>
    <mergeCell ref="AC896:AC898"/>
    <mergeCell ref="AC899:AC901"/>
    <mergeCell ref="AC902:AC904"/>
    <mergeCell ref="AB905:AB922"/>
    <mergeCell ref="AC905:AC907"/>
    <mergeCell ref="AC908:AC910"/>
    <mergeCell ref="AC911:AC913"/>
    <mergeCell ref="AC914:AC916"/>
    <mergeCell ref="AA869:AA922"/>
    <mergeCell ref="AB869:AB886"/>
    <mergeCell ref="AC869:AC871"/>
    <mergeCell ref="AC872:AC874"/>
    <mergeCell ref="AC875:AC877"/>
    <mergeCell ref="AC878:AC880"/>
    <mergeCell ref="AC881:AC883"/>
    <mergeCell ref="AC884:AC886"/>
    <mergeCell ref="AB887:AB904"/>
    <mergeCell ref="AC887:AC889"/>
    <mergeCell ref="AB851:AB868"/>
    <mergeCell ref="AC851:AC853"/>
    <mergeCell ref="AC854:AC856"/>
    <mergeCell ref="AC857:AC859"/>
    <mergeCell ref="AC860:AC862"/>
    <mergeCell ref="AC863:AC865"/>
    <mergeCell ref="AC866:AC868"/>
    <mergeCell ref="AB833:AB850"/>
    <mergeCell ref="AC833:AC835"/>
    <mergeCell ref="AC836:AC838"/>
    <mergeCell ref="AC839:AC841"/>
    <mergeCell ref="AC842:AC844"/>
    <mergeCell ref="AC845:AC847"/>
    <mergeCell ref="AC848:AC850"/>
    <mergeCell ref="AC809:AC811"/>
    <mergeCell ref="AC812:AC814"/>
    <mergeCell ref="AA815:AA868"/>
    <mergeCell ref="AB815:AB832"/>
    <mergeCell ref="AC815:AC817"/>
    <mergeCell ref="AC818:AC820"/>
    <mergeCell ref="AC821:AC823"/>
    <mergeCell ref="AC824:AC826"/>
    <mergeCell ref="AC827:AC829"/>
    <mergeCell ref="AC830:AC832"/>
    <mergeCell ref="AC782:AC784"/>
    <mergeCell ref="AC785:AC787"/>
    <mergeCell ref="AC788:AC790"/>
    <mergeCell ref="AC791:AC793"/>
    <mergeCell ref="AC794:AC796"/>
    <mergeCell ref="AB797:AB814"/>
    <mergeCell ref="AC797:AC799"/>
    <mergeCell ref="AC800:AC802"/>
    <mergeCell ref="AC803:AC805"/>
    <mergeCell ref="AC806:AC808"/>
    <mergeCell ref="AA761:AA814"/>
    <mergeCell ref="AB761:AB778"/>
    <mergeCell ref="AC761:AC763"/>
    <mergeCell ref="AC764:AC766"/>
    <mergeCell ref="AC767:AC769"/>
    <mergeCell ref="AC770:AC772"/>
    <mergeCell ref="AC773:AC775"/>
    <mergeCell ref="AC776:AC778"/>
    <mergeCell ref="AB779:AB796"/>
    <mergeCell ref="AC779:AC781"/>
    <mergeCell ref="D752:D754"/>
    <mergeCell ref="AC752:AC754"/>
    <mergeCell ref="D755:D757"/>
    <mergeCell ref="AC755:AC757"/>
    <mergeCell ref="D758:D760"/>
    <mergeCell ref="AC758:AC760"/>
    <mergeCell ref="D740:D742"/>
    <mergeCell ref="AC740:AC742"/>
    <mergeCell ref="C743:C760"/>
    <mergeCell ref="D743:D745"/>
    <mergeCell ref="AB743:AB760"/>
    <mergeCell ref="AC743:AC745"/>
    <mergeCell ref="D746:D748"/>
    <mergeCell ref="AC746:AC748"/>
    <mergeCell ref="D749:D751"/>
    <mergeCell ref="AC749:AC751"/>
    <mergeCell ref="D731:D733"/>
    <mergeCell ref="AC731:AC733"/>
    <mergeCell ref="D734:D736"/>
    <mergeCell ref="AC734:AC736"/>
    <mergeCell ref="D737:D739"/>
    <mergeCell ref="AC737:AC739"/>
    <mergeCell ref="D719:D721"/>
    <mergeCell ref="AC719:AC721"/>
    <mergeCell ref="D722:D724"/>
    <mergeCell ref="AC722:AC724"/>
    <mergeCell ref="C725:C742"/>
    <mergeCell ref="D725:D727"/>
    <mergeCell ref="AB725:AB742"/>
    <mergeCell ref="AC725:AC727"/>
    <mergeCell ref="D728:D730"/>
    <mergeCell ref="AC728:AC730"/>
    <mergeCell ref="D710:D712"/>
    <mergeCell ref="AC710:AC712"/>
    <mergeCell ref="D713:D715"/>
    <mergeCell ref="AC713:AC715"/>
    <mergeCell ref="D716:D718"/>
    <mergeCell ref="AC716:AC718"/>
    <mergeCell ref="D701:D703"/>
    <mergeCell ref="AC701:AC703"/>
    <mergeCell ref="D704:D706"/>
    <mergeCell ref="AC704:AC706"/>
    <mergeCell ref="B707:B760"/>
    <mergeCell ref="C707:C724"/>
    <mergeCell ref="D707:D709"/>
    <mergeCell ref="AA707:AA760"/>
    <mergeCell ref="AB707:AB724"/>
    <mergeCell ref="AC707:AC709"/>
    <mergeCell ref="C689:C706"/>
    <mergeCell ref="D689:D691"/>
    <mergeCell ref="AB689:AB706"/>
    <mergeCell ref="AC689:AC691"/>
    <mergeCell ref="D692:D694"/>
    <mergeCell ref="AC692:AC694"/>
    <mergeCell ref="D695:D697"/>
    <mergeCell ref="AC695:AC697"/>
    <mergeCell ref="D698:D700"/>
    <mergeCell ref="AC698:AC700"/>
    <mergeCell ref="D680:D682"/>
    <mergeCell ref="AC680:AC682"/>
    <mergeCell ref="D683:D685"/>
    <mergeCell ref="AC683:AC685"/>
    <mergeCell ref="D686:D688"/>
    <mergeCell ref="AC686:AC688"/>
    <mergeCell ref="D668:D670"/>
    <mergeCell ref="AC668:AC670"/>
    <mergeCell ref="C671:C688"/>
    <mergeCell ref="D671:D673"/>
    <mergeCell ref="AB671:AB688"/>
    <mergeCell ref="AC671:AC673"/>
    <mergeCell ref="D674:D676"/>
    <mergeCell ref="AC674:AC676"/>
    <mergeCell ref="D677:D679"/>
    <mergeCell ref="AC677:AC679"/>
    <mergeCell ref="D659:D661"/>
    <mergeCell ref="AC659:AC661"/>
    <mergeCell ref="D662:D664"/>
    <mergeCell ref="AC662:AC664"/>
    <mergeCell ref="D665:D667"/>
    <mergeCell ref="AC665:AC667"/>
    <mergeCell ref="D650:D652"/>
    <mergeCell ref="AC650:AC652"/>
    <mergeCell ref="B653:B706"/>
    <mergeCell ref="C653:C670"/>
    <mergeCell ref="D653:D655"/>
    <mergeCell ref="AA653:AA706"/>
    <mergeCell ref="AB653:AB670"/>
    <mergeCell ref="AC653:AC655"/>
    <mergeCell ref="D656:D658"/>
    <mergeCell ref="AC656:AC658"/>
    <mergeCell ref="D641:D643"/>
    <mergeCell ref="AC641:AC643"/>
    <mergeCell ref="D644:D646"/>
    <mergeCell ref="AC644:AC646"/>
    <mergeCell ref="D647:D649"/>
    <mergeCell ref="AC647:AC649"/>
    <mergeCell ref="D629:D631"/>
    <mergeCell ref="AC629:AC631"/>
    <mergeCell ref="D632:D634"/>
    <mergeCell ref="AC632:AC634"/>
    <mergeCell ref="C635:C652"/>
    <mergeCell ref="D635:D637"/>
    <mergeCell ref="AB635:AB652"/>
    <mergeCell ref="AC635:AC637"/>
    <mergeCell ref="D638:D640"/>
    <mergeCell ref="AC638:AC640"/>
    <mergeCell ref="C617:C634"/>
    <mergeCell ref="D617:D619"/>
    <mergeCell ref="AB617:AB634"/>
    <mergeCell ref="AC617:AC619"/>
    <mergeCell ref="D620:D622"/>
    <mergeCell ref="AC620:AC622"/>
    <mergeCell ref="D623:D625"/>
    <mergeCell ref="AC623:AC625"/>
    <mergeCell ref="D626:D628"/>
    <mergeCell ref="AC626:AC628"/>
    <mergeCell ref="D608:D610"/>
    <mergeCell ref="AC608:AC610"/>
    <mergeCell ref="D611:D613"/>
    <mergeCell ref="AC611:AC613"/>
    <mergeCell ref="D614:D616"/>
    <mergeCell ref="AC614:AC616"/>
    <mergeCell ref="B599:B652"/>
    <mergeCell ref="C599:C616"/>
    <mergeCell ref="D599:D601"/>
    <mergeCell ref="AA599:AA652"/>
    <mergeCell ref="AB599:AB616"/>
    <mergeCell ref="AC599:AC601"/>
    <mergeCell ref="D602:D604"/>
    <mergeCell ref="AC602:AC604"/>
    <mergeCell ref="D605:D607"/>
    <mergeCell ref="AC605:AC607"/>
    <mergeCell ref="D590:D592"/>
    <mergeCell ref="AC590:AC592"/>
    <mergeCell ref="D593:D595"/>
    <mergeCell ref="AC593:AC595"/>
    <mergeCell ref="D596:D598"/>
    <mergeCell ref="AC596:AC598"/>
    <mergeCell ref="D578:D580"/>
    <mergeCell ref="AC578:AC580"/>
    <mergeCell ref="C581:C598"/>
    <mergeCell ref="D581:D583"/>
    <mergeCell ref="AB581:AB598"/>
    <mergeCell ref="AC581:AC583"/>
    <mergeCell ref="D584:D586"/>
    <mergeCell ref="AC584:AC586"/>
    <mergeCell ref="D587:D589"/>
    <mergeCell ref="AC587:AC589"/>
    <mergeCell ref="D569:D571"/>
    <mergeCell ref="AC569:AC571"/>
    <mergeCell ref="D572:D574"/>
    <mergeCell ref="AC572:AC574"/>
    <mergeCell ref="D575:D577"/>
    <mergeCell ref="AC575:AC577"/>
    <mergeCell ref="D557:D559"/>
    <mergeCell ref="AC557:AC559"/>
    <mergeCell ref="D560:D562"/>
    <mergeCell ref="AC560:AC562"/>
    <mergeCell ref="C563:C580"/>
    <mergeCell ref="D563:D565"/>
    <mergeCell ref="AB563:AB580"/>
    <mergeCell ref="AC563:AC565"/>
    <mergeCell ref="D566:D568"/>
    <mergeCell ref="AC566:AC568"/>
    <mergeCell ref="D548:D550"/>
    <mergeCell ref="AC548:AC550"/>
    <mergeCell ref="D551:D553"/>
    <mergeCell ref="AC551:AC553"/>
    <mergeCell ref="D554:D556"/>
    <mergeCell ref="AC554:AC556"/>
    <mergeCell ref="D539:D541"/>
    <mergeCell ref="AC539:AC541"/>
    <mergeCell ref="D542:D544"/>
    <mergeCell ref="AC542:AC544"/>
    <mergeCell ref="B545:B598"/>
    <mergeCell ref="C545:C562"/>
    <mergeCell ref="D545:D547"/>
    <mergeCell ref="AA545:AA598"/>
    <mergeCell ref="AB545:AB562"/>
    <mergeCell ref="AC545:AC547"/>
    <mergeCell ref="C527:C544"/>
    <mergeCell ref="D527:D529"/>
    <mergeCell ref="AB527:AB544"/>
    <mergeCell ref="AC527:AC529"/>
    <mergeCell ref="D530:D532"/>
    <mergeCell ref="AC530:AC532"/>
    <mergeCell ref="D533:D535"/>
    <mergeCell ref="AC533:AC535"/>
    <mergeCell ref="D536:D538"/>
    <mergeCell ref="AC536:AC538"/>
    <mergeCell ref="D518:D520"/>
    <mergeCell ref="AC518:AC520"/>
    <mergeCell ref="D521:D523"/>
    <mergeCell ref="AC521:AC523"/>
    <mergeCell ref="D524:D526"/>
    <mergeCell ref="AC524:AC526"/>
    <mergeCell ref="D506:D508"/>
    <mergeCell ref="AC506:AC508"/>
    <mergeCell ref="C509:C526"/>
    <mergeCell ref="D509:D511"/>
    <mergeCell ref="AB509:AB526"/>
    <mergeCell ref="AC509:AC511"/>
    <mergeCell ref="D512:D514"/>
    <mergeCell ref="AC512:AC514"/>
    <mergeCell ref="D515:D517"/>
    <mergeCell ref="AC515:AC517"/>
    <mergeCell ref="D497:D499"/>
    <mergeCell ref="AC497:AC499"/>
    <mergeCell ref="D500:D502"/>
    <mergeCell ref="AC500:AC502"/>
    <mergeCell ref="D503:D505"/>
    <mergeCell ref="AC503:AC505"/>
    <mergeCell ref="D488:D490"/>
    <mergeCell ref="AC488:AC490"/>
    <mergeCell ref="B491:B544"/>
    <mergeCell ref="C491:C508"/>
    <mergeCell ref="D491:D493"/>
    <mergeCell ref="AA491:AA544"/>
    <mergeCell ref="AB491:AB508"/>
    <mergeCell ref="AC491:AC493"/>
    <mergeCell ref="D494:D496"/>
    <mergeCell ref="AC494:AC496"/>
    <mergeCell ref="D479:D481"/>
    <mergeCell ref="AC479:AC481"/>
    <mergeCell ref="D482:D484"/>
    <mergeCell ref="AC482:AC484"/>
    <mergeCell ref="D485:D487"/>
    <mergeCell ref="AC485:AC487"/>
    <mergeCell ref="D467:D469"/>
    <mergeCell ref="AC467:AC469"/>
    <mergeCell ref="D470:D472"/>
    <mergeCell ref="AC470:AC472"/>
    <mergeCell ref="C473:C490"/>
    <mergeCell ref="D473:D475"/>
    <mergeCell ref="AB473:AB490"/>
    <mergeCell ref="AC473:AC475"/>
    <mergeCell ref="D476:D478"/>
    <mergeCell ref="AC476:AC478"/>
    <mergeCell ref="C455:C472"/>
    <mergeCell ref="D455:D457"/>
    <mergeCell ref="AB455:AB472"/>
    <mergeCell ref="AC455:AC457"/>
    <mergeCell ref="D458:D460"/>
    <mergeCell ref="AC458:AC460"/>
    <mergeCell ref="D461:D463"/>
    <mergeCell ref="AC461:AC463"/>
    <mergeCell ref="D464:D466"/>
    <mergeCell ref="AC464:AC466"/>
    <mergeCell ref="D446:D448"/>
    <mergeCell ref="AC446:AC448"/>
    <mergeCell ref="D449:D451"/>
    <mergeCell ref="AC449:AC451"/>
    <mergeCell ref="D452:D454"/>
    <mergeCell ref="AC452:AC454"/>
    <mergeCell ref="B437:B490"/>
    <mergeCell ref="C437:C454"/>
    <mergeCell ref="D437:D439"/>
    <mergeCell ref="AA437:AA490"/>
    <mergeCell ref="AB437:AB454"/>
    <mergeCell ref="AC437:AC439"/>
    <mergeCell ref="D440:D442"/>
    <mergeCell ref="AC440:AC442"/>
    <mergeCell ref="D443:D445"/>
    <mergeCell ref="AC443:AC445"/>
    <mergeCell ref="D428:D430"/>
    <mergeCell ref="AC428:AC430"/>
    <mergeCell ref="D431:D433"/>
    <mergeCell ref="AC431:AC433"/>
    <mergeCell ref="D434:D436"/>
    <mergeCell ref="AC434:AC436"/>
    <mergeCell ref="D416:D418"/>
    <mergeCell ref="AC416:AC418"/>
    <mergeCell ref="C419:C436"/>
    <mergeCell ref="D419:D421"/>
    <mergeCell ref="AB419:AB436"/>
    <mergeCell ref="AC419:AC421"/>
    <mergeCell ref="D422:D424"/>
    <mergeCell ref="AC422:AC424"/>
    <mergeCell ref="D425:D427"/>
    <mergeCell ref="AC425:AC427"/>
    <mergeCell ref="D407:D409"/>
    <mergeCell ref="AC407:AC409"/>
    <mergeCell ref="D410:D412"/>
    <mergeCell ref="AC410:AC412"/>
    <mergeCell ref="D413:D415"/>
    <mergeCell ref="AC413:AC415"/>
    <mergeCell ref="D395:D397"/>
    <mergeCell ref="AC395:AC397"/>
    <mergeCell ref="D398:D400"/>
    <mergeCell ref="AC398:AC400"/>
    <mergeCell ref="C401:C418"/>
    <mergeCell ref="D401:D403"/>
    <mergeCell ref="AB401:AB418"/>
    <mergeCell ref="AC401:AC403"/>
    <mergeCell ref="D404:D406"/>
    <mergeCell ref="AC404:AC406"/>
    <mergeCell ref="D386:D388"/>
    <mergeCell ref="AC386:AC388"/>
    <mergeCell ref="D389:D391"/>
    <mergeCell ref="AC389:AC391"/>
    <mergeCell ref="D392:D394"/>
    <mergeCell ref="AC392:AC394"/>
    <mergeCell ref="D377:D379"/>
    <mergeCell ref="AC377:AC379"/>
    <mergeCell ref="D380:D382"/>
    <mergeCell ref="AC380:AC382"/>
    <mergeCell ref="B383:B436"/>
    <mergeCell ref="C383:C400"/>
    <mergeCell ref="D383:D385"/>
    <mergeCell ref="AA383:AA436"/>
    <mergeCell ref="AB383:AB400"/>
    <mergeCell ref="AC383:AC385"/>
    <mergeCell ref="C365:C382"/>
    <mergeCell ref="D365:D367"/>
    <mergeCell ref="AB365:AB382"/>
    <mergeCell ref="AC365:AC367"/>
    <mergeCell ref="D368:D370"/>
    <mergeCell ref="AC368:AC370"/>
    <mergeCell ref="D371:D373"/>
    <mergeCell ref="AC371:AC373"/>
    <mergeCell ref="D374:D376"/>
    <mergeCell ref="AC374:AC376"/>
    <mergeCell ref="D356:D358"/>
    <mergeCell ref="AC356:AC358"/>
    <mergeCell ref="D359:D361"/>
    <mergeCell ref="AC359:AC361"/>
    <mergeCell ref="D362:D364"/>
    <mergeCell ref="AC362:AC364"/>
    <mergeCell ref="D344:D346"/>
    <mergeCell ref="AC344:AC346"/>
    <mergeCell ref="C347:C364"/>
    <mergeCell ref="D347:D349"/>
    <mergeCell ref="AB347:AB364"/>
    <mergeCell ref="AC347:AC349"/>
    <mergeCell ref="D350:D352"/>
    <mergeCell ref="AC350:AC352"/>
    <mergeCell ref="D353:D355"/>
    <mergeCell ref="AC353:AC355"/>
    <mergeCell ref="D335:D337"/>
    <mergeCell ref="AC335:AC337"/>
    <mergeCell ref="D338:D340"/>
    <mergeCell ref="AC338:AC340"/>
    <mergeCell ref="D341:D343"/>
    <mergeCell ref="AC341:AC343"/>
    <mergeCell ref="D326:D328"/>
    <mergeCell ref="AC326:AC328"/>
    <mergeCell ref="B329:B382"/>
    <mergeCell ref="C329:C346"/>
    <mergeCell ref="D329:D331"/>
    <mergeCell ref="AA329:AA382"/>
    <mergeCell ref="AB329:AB346"/>
    <mergeCell ref="AC329:AC331"/>
    <mergeCell ref="D332:D334"/>
    <mergeCell ref="AC332:AC334"/>
    <mergeCell ref="D317:D319"/>
    <mergeCell ref="AC317:AC319"/>
    <mergeCell ref="D320:D322"/>
    <mergeCell ref="AC320:AC322"/>
    <mergeCell ref="D323:D325"/>
    <mergeCell ref="AC323:AC325"/>
    <mergeCell ref="D305:D307"/>
    <mergeCell ref="AC305:AC307"/>
    <mergeCell ref="D308:D310"/>
    <mergeCell ref="AC308:AC310"/>
    <mergeCell ref="C311:C328"/>
    <mergeCell ref="D311:D313"/>
    <mergeCell ref="AB311:AB328"/>
    <mergeCell ref="AC311:AC313"/>
    <mergeCell ref="D314:D316"/>
    <mergeCell ref="AC314:AC316"/>
    <mergeCell ref="C293:C310"/>
    <mergeCell ref="D293:D295"/>
    <mergeCell ref="AB293:AB310"/>
    <mergeCell ref="AC293:AC295"/>
    <mergeCell ref="D296:D298"/>
    <mergeCell ref="AC296:AC298"/>
    <mergeCell ref="D299:D301"/>
    <mergeCell ref="AC299:AC301"/>
    <mergeCell ref="D302:D304"/>
    <mergeCell ref="AC302:AC304"/>
    <mergeCell ref="D284:D286"/>
    <mergeCell ref="AC284:AC286"/>
    <mergeCell ref="D287:D289"/>
    <mergeCell ref="AC287:AC289"/>
    <mergeCell ref="D290:D292"/>
    <mergeCell ref="AC290:AC292"/>
    <mergeCell ref="B275:B328"/>
    <mergeCell ref="C275:C292"/>
    <mergeCell ref="D275:D277"/>
    <mergeCell ref="AA275:AA328"/>
    <mergeCell ref="AB275:AB292"/>
    <mergeCell ref="AC275:AC277"/>
    <mergeCell ref="D278:D280"/>
    <mergeCell ref="AC278:AC280"/>
    <mergeCell ref="D281:D283"/>
    <mergeCell ref="AC281:AC283"/>
    <mergeCell ref="D266:D268"/>
    <mergeCell ref="AC266:AC268"/>
    <mergeCell ref="D269:D271"/>
    <mergeCell ref="AC269:AC271"/>
    <mergeCell ref="D272:D274"/>
    <mergeCell ref="AC272:AC274"/>
    <mergeCell ref="D254:D256"/>
    <mergeCell ref="AC254:AC256"/>
    <mergeCell ref="C257:C274"/>
    <mergeCell ref="D257:D259"/>
    <mergeCell ref="AB257:AB274"/>
    <mergeCell ref="AC257:AC259"/>
    <mergeCell ref="D260:D262"/>
    <mergeCell ref="AC260:AC262"/>
    <mergeCell ref="D263:D265"/>
    <mergeCell ref="AC263:AC265"/>
    <mergeCell ref="D245:D247"/>
    <mergeCell ref="AC245:AC247"/>
    <mergeCell ref="D248:D250"/>
    <mergeCell ref="AC248:AC250"/>
    <mergeCell ref="D251:D253"/>
    <mergeCell ref="AC251:AC253"/>
    <mergeCell ref="D233:D235"/>
    <mergeCell ref="AC233:AC235"/>
    <mergeCell ref="D236:D238"/>
    <mergeCell ref="AC236:AC238"/>
    <mergeCell ref="C239:C256"/>
    <mergeCell ref="D239:D241"/>
    <mergeCell ref="AB239:AB256"/>
    <mergeCell ref="AC239:AC241"/>
    <mergeCell ref="D242:D244"/>
    <mergeCell ref="AC242:AC244"/>
    <mergeCell ref="D224:D226"/>
    <mergeCell ref="AC224:AC226"/>
    <mergeCell ref="D227:D229"/>
    <mergeCell ref="AC227:AC229"/>
    <mergeCell ref="D230:D232"/>
    <mergeCell ref="AC230:AC232"/>
    <mergeCell ref="D215:D217"/>
    <mergeCell ref="AC215:AC217"/>
    <mergeCell ref="D218:D220"/>
    <mergeCell ref="AC218:AC220"/>
    <mergeCell ref="B221:B274"/>
    <mergeCell ref="C221:C238"/>
    <mergeCell ref="D221:D223"/>
    <mergeCell ref="AA221:AA274"/>
    <mergeCell ref="AB221:AB238"/>
    <mergeCell ref="AC221:AC223"/>
    <mergeCell ref="C203:C220"/>
    <mergeCell ref="D203:D205"/>
    <mergeCell ref="AB203:AB220"/>
    <mergeCell ref="AC203:AC205"/>
    <mergeCell ref="D206:D208"/>
    <mergeCell ref="AC206:AC208"/>
    <mergeCell ref="D209:D211"/>
    <mergeCell ref="AC209:AC211"/>
    <mergeCell ref="D212:D214"/>
    <mergeCell ref="AC212:AC214"/>
    <mergeCell ref="D194:D196"/>
    <mergeCell ref="AC194:AC196"/>
    <mergeCell ref="D197:D199"/>
    <mergeCell ref="AC197:AC199"/>
    <mergeCell ref="D200:D202"/>
    <mergeCell ref="AC200:AC202"/>
    <mergeCell ref="D182:D184"/>
    <mergeCell ref="AC182:AC184"/>
    <mergeCell ref="C185:C202"/>
    <mergeCell ref="D185:D187"/>
    <mergeCell ref="AB185:AB202"/>
    <mergeCell ref="AC185:AC187"/>
    <mergeCell ref="D188:D190"/>
    <mergeCell ref="AC188:AC190"/>
    <mergeCell ref="D191:D193"/>
    <mergeCell ref="AC191:AC193"/>
    <mergeCell ref="D173:D175"/>
    <mergeCell ref="AC173:AC175"/>
    <mergeCell ref="D176:D178"/>
    <mergeCell ref="AC176:AC178"/>
    <mergeCell ref="D179:D181"/>
    <mergeCell ref="AC179:AC181"/>
    <mergeCell ref="D164:D166"/>
    <mergeCell ref="AC164:AC166"/>
    <mergeCell ref="B167:B220"/>
    <mergeCell ref="C167:C184"/>
    <mergeCell ref="D167:D169"/>
    <mergeCell ref="AA167:AA220"/>
    <mergeCell ref="AB167:AB184"/>
    <mergeCell ref="AC167:AC169"/>
    <mergeCell ref="D170:D172"/>
    <mergeCell ref="AC170:AC172"/>
    <mergeCell ref="D155:D157"/>
    <mergeCell ref="AC155:AC157"/>
    <mergeCell ref="D158:D160"/>
    <mergeCell ref="AC158:AC160"/>
    <mergeCell ref="D161:D163"/>
    <mergeCell ref="AC161:AC163"/>
    <mergeCell ref="D143:D145"/>
    <mergeCell ref="AC143:AC145"/>
    <mergeCell ref="D146:D148"/>
    <mergeCell ref="AC146:AC148"/>
    <mergeCell ref="C149:C166"/>
    <mergeCell ref="D149:D151"/>
    <mergeCell ref="AB149:AB166"/>
    <mergeCell ref="AC149:AC151"/>
    <mergeCell ref="D152:D154"/>
    <mergeCell ref="AC152:AC154"/>
    <mergeCell ref="C131:C148"/>
    <mergeCell ref="D131:D133"/>
    <mergeCell ref="AB131:AB148"/>
    <mergeCell ref="AC131:AC133"/>
    <mergeCell ref="D134:D136"/>
    <mergeCell ref="AC134:AC136"/>
    <mergeCell ref="D137:D139"/>
    <mergeCell ref="AC137:AC139"/>
    <mergeCell ref="D140:D142"/>
    <mergeCell ref="AC140:AC142"/>
    <mergeCell ref="D122:D124"/>
    <mergeCell ref="AC122:AC124"/>
    <mergeCell ref="D125:D127"/>
    <mergeCell ref="AC125:AC127"/>
    <mergeCell ref="D128:D130"/>
    <mergeCell ref="AC128:AC130"/>
    <mergeCell ref="B113:B166"/>
    <mergeCell ref="C113:C130"/>
    <mergeCell ref="D113:D115"/>
    <mergeCell ref="AA113:AA166"/>
    <mergeCell ref="AB113:AB130"/>
    <mergeCell ref="AC113:AC115"/>
    <mergeCell ref="D116:D118"/>
    <mergeCell ref="AC116:AC118"/>
    <mergeCell ref="D119:D121"/>
    <mergeCell ref="AC119:AC121"/>
    <mergeCell ref="D104:D106"/>
    <mergeCell ref="AC104:AC106"/>
    <mergeCell ref="D107:D109"/>
    <mergeCell ref="AC107:AC109"/>
    <mergeCell ref="D110:D112"/>
    <mergeCell ref="AC110:AC112"/>
    <mergeCell ref="D92:D94"/>
    <mergeCell ref="AC92:AC94"/>
    <mergeCell ref="C95:C112"/>
    <mergeCell ref="D95:D97"/>
    <mergeCell ref="AB95:AB112"/>
    <mergeCell ref="AC95:AC97"/>
    <mergeCell ref="D98:D100"/>
    <mergeCell ref="AC98:AC100"/>
    <mergeCell ref="D101:D103"/>
    <mergeCell ref="AC101:AC103"/>
    <mergeCell ref="D83:D85"/>
    <mergeCell ref="AC83:AC85"/>
    <mergeCell ref="D86:D88"/>
    <mergeCell ref="AC86:AC88"/>
    <mergeCell ref="D89:D91"/>
    <mergeCell ref="AC89:AC91"/>
    <mergeCell ref="D71:D73"/>
    <mergeCell ref="AC71:AC73"/>
    <mergeCell ref="D74:D76"/>
    <mergeCell ref="AC74:AC76"/>
    <mergeCell ref="C77:C94"/>
    <mergeCell ref="D77:D79"/>
    <mergeCell ref="AB77:AB94"/>
    <mergeCell ref="AC77:AC79"/>
    <mergeCell ref="D80:D82"/>
    <mergeCell ref="AC80:AC82"/>
    <mergeCell ref="D62:D64"/>
    <mergeCell ref="AC62:AC64"/>
    <mergeCell ref="D65:D67"/>
    <mergeCell ref="AC65:AC67"/>
    <mergeCell ref="D68:D70"/>
    <mergeCell ref="AC68:AC70"/>
    <mergeCell ref="D53:D55"/>
    <mergeCell ref="AC53:AC55"/>
    <mergeCell ref="D56:D58"/>
    <mergeCell ref="AC56:AC58"/>
    <mergeCell ref="B59:B112"/>
    <mergeCell ref="C59:C76"/>
    <mergeCell ref="D59:D61"/>
    <mergeCell ref="AA59:AA112"/>
    <mergeCell ref="AB59:AB76"/>
    <mergeCell ref="AC59:AC61"/>
    <mergeCell ref="C41:C58"/>
    <mergeCell ref="D41:D43"/>
    <mergeCell ref="AB41:AB58"/>
    <mergeCell ref="AC41:AC43"/>
    <mergeCell ref="D44:D46"/>
    <mergeCell ref="AC44:AC46"/>
    <mergeCell ref="D47:D49"/>
    <mergeCell ref="AC47:AC49"/>
    <mergeCell ref="D50:D52"/>
    <mergeCell ref="AC50:AC52"/>
    <mergeCell ref="D32:D34"/>
    <mergeCell ref="AC32:AC34"/>
    <mergeCell ref="D35:D37"/>
    <mergeCell ref="AC35:AC37"/>
    <mergeCell ref="D38:D40"/>
    <mergeCell ref="AC38:AC40"/>
    <mergeCell ref="D20:D22"/>
    <mergeCell ref="AC20:AC22"/>
    <mergeCell ref="C23:C40"/>
    <mergeCell ref="D23:D25"/>
    <mergeCell ref="AB23:AB40"/>
    <mergeCell ref="AC23:AC25"/>
    <mergeCell ref="D26:D28"/>
    <mergeCell ref="AC26:AC28"/>
    <mergeCell ref="D29:D31"/>
    <mergeCell ref="AC29:AC31"/>
    <mergeCell ref="D11:D13"/>
    <mergeCell ref="AC11:AC13"/>
    <mergeCell ref="D14:D16"/>
    <mergeCell ref="AC14:AC16"/>
    <mergeCell ref="D17:D19"/>
    <mergeCell ref="AC17:AC19"/>
    <mergeCell ref="AP3:AP4"/>
    <mergeCell ref="AQ3:AQ4"/>
    <mergeCell ref="B5:B58"/>
    <mergeCell ref="C5:C22"/>
    <mergeCell ref="D5:D7"/>
    <mergeCell ref="AA5:AA58"/>
    <mergeCell ref="AB5:AB22"/>
    <mergeCell ref="AC5:AC7"/>
    <mergeCell ref="D8:D10"/>
    <mergeCell ref="AC8:AC10"/>
    <mergeCell ref="AJ3:AJ4"/>
    <mergeCell ref="AK3:AK4"/>
    <mergeCell ref="AL3:AL4"/>
    <mergeCell ref="AM3:AM4"/>
    <mergeCell ref="AN3:AN4"/>
    <mergeCell ref="AO3:AO4"/>
    <mergeCell ref="AA3:AD4"/>
    <mergeCell ref="AE3:AE4"/>
    <mergeCell ref="AF3:AF4"/>
    <mergeCell ref="AG3:AG4"/>
    <mergeCell ref="AH3:AH4"/>
    <mergeCell ref="AI3:AI4"/>
    <mergeCell ref="B3:E4"/>
    <mergeCell ref="F3:F4"/>
    <mergeCell ref="G3:G4"/>
    <mergeCell ref="H3:M3"/>
    <mergeCell ref="N3:S3"/>
    <mergeCell ref="T3:Y3"/>
  </mergeCells>
  <phoneticPr fontId="3" type="noConversion"/>
  <pageMargins left="0.19685039370078741" right="0.19685039370078741" top="0.39370078740157483" bottom="0.39370078740157483" header="0.15748031496062992" footer="0.1574803149606299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⑴-4 WRHⅠ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CJL</dc:creator>
  <cp:lastModifiedBy>CJL</cp:lastModifiedBy>
  <dcterms:created xsi:type="dcterms:W3CDTF">2025-11-19T01:32:00Z</dcterms:created>
  <dcterms:modified xsi:type="dcterms:W3CDTF">2025-11-19T01:33:36Z</dcterms:modified>
</cp:coreProperties>
</file>