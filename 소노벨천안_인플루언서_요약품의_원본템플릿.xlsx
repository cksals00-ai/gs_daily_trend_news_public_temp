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3395" yWindow="45" windowWidth="51840" windowHeight="21120" tabRatio="600" firstSheet="3" activeTab="3" autoFilterDateGrouping="1"/>
  </bookViews>
  <sheets>
    <sheet xmlns:r="http://schemas.openxmlformats.org/officeDocument/2006/relationships" name="Sheet6" sheetId="1" state="hidden" r:id="rId1"/>
    <sheet xmlns:r="http://schemas.openxmlformats.org/officeDocument/2006/relationships" name="Sheet7" sheetId="2" state="hidden" r:id="rId2"/>
    <sheet xmlns:r="http://schemas.openxmlformats.org/officeDocument/2006/relationships" name="품의 양식(회원동반) (2)" sheetId="3" state="hidden" r:id="rId3"/>
    <sheet xmlns:r="http://schemas.openxmlformats.org/officeDocument/2006/relationships" name="품의 양식(회원동반)" sheetId="4" state="visible" r:id="rId4"/>
    <sheet xmlns:r="http://schemas.openxmlformats.org/officeDocument/2006/relationships" name="품의 양식(FIT)_3" sheetId="5" state="visible" r:id="rId5"/>
    <sheet xmlns:r="http://schemas.openxmlformats.org/officeDocument/2006/relationships" name="품의 양식(FIT)_2" sheetId="6" state="hidden" r:id="rId6"/>
    <sheet xmlns:r="http://schemas.openxmlformats.org/officeDocument/2006/relationships" name="품의 양식(FIT)" sheetId="7" state="hidden" r:id="rId7"/>
    <sheet xmlns:r="http://schemas.openxmlformats.org/officeDocument/2006/relationships" name="첨부 내용(회원동반)" sheetId="8" state="visible" r:id="rId8"/>
    <sheet xmlns:r="http://schemas.openxmlformats.org/officeDocument/2006/relationships" name="첨부 내용(FIT)" sheetId="9" state="visible" r:id="rId9"/>
  </sheets>
  <definedNames/>
  <calcPr calcId="162913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 ;[Red]\-#,##0\ "/>
    <numFmt numFmtId="166" formatCode="0.0%"/>
    <numFmt numFmtId="167" formatCode="#,##0&quot; 천원&quot;"/>
    <numFmt numFmtId="168" formatCode="\+0%\p;[Red]\-0%\p;0%"/>
    <numFmt numFmtId="169" formatCode="mm&quot;월&quot;\ dd&quot;일&quot;"/>
  </numFmts>
  <fonts count="29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대명체 보통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9"/>
    </font>
    <font>
      <name val="맑은 고딕"/>
      <charset val="129"/>
      <family val="2"/>
      <color theme="10"/>
      <sz val="11"/>
      <u val="single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1"/>
    </font>
    <font>
      <name val="돋움"/>
      <charset val="129"/>
      <family val="3"/>
      <color theme="1"/>
      <sz val="10"/>
    </font>
    <font>
      <name val="대명체 굵게"/>
      <charset val="129"/>
      <family val="3"/>
      <color theme="1" tint="0.249977111117893"/>
      <sz val="10"/>
    </font>
    <font>
      <name val="대명체 보통"/>
      <charset val="129"/>
      <family val="3"/>
      <color theme="1" tint="0.249977111117893"/>
      <sz val="8"/>
    </font>
    <font>
      <name val="대명체 보통"/>
      <charset val="129"/>
      <family val="3"/>
      <color theme="0" tint="-0.249977111117893"/>
      <sz val="8"/>
    </font>
    <font>
      <name val="대명체 보통"/>
      <charset val="129"/>
      <family val="3"/>
      <color theme="1"/>
      <sz val="9"/>
    </font>
    <font>
      <name val="대명체 보통"/>
      <charset val="129"/>
      <family val="3"/>
      <sz val="9"/>
    </font>
    <font>
      <name val="대명체 보통"/>
      <charset val="129"/>
      <family val="3"/>
      <sz val="8"/>
    </font>
    <font>
      <name val="대명체 보통"/>
      <charset val="129"/>
      <family val="3"/>
      <color rgb="FFFF0000"/>
      <sz val="8"/>
    </font>
    <font>
      <name val="대명체 보통"/>
      <charset val="129"/>
      <family val="3"/>
      <color theme="1" tint="0.1499984740745262"/>
      <sz val="8"/>
    </font>
    <font>
      <name val="대명체 보통"/>
      <charset val="129"/>
      <family val="3"/>
      <sz val="10"/>
    </font>
    <font>
      <name val="나눔스퀘어"/>
      <charset val="129"/>
      <family val="2"/>
      <sz val="8"/>
    </font>
    <font>
      <name val="대명체 보통"/>
      <charset val="129"/>
      <family val="3"/>
      <color theme="1"/>
      <sz val="11"/>
    </font>
    <font>
      <name val="대명체 굵게"/>
      <charset val="129"/>
      <family val="3"/>
      <color theme="1" tint="0.249977111117893"/>
      <sz val="16"/>
    </font>
    <font>
      <name val="대명체 보통"/>
      <charset val="129"/>
      <family val="3"/>
      <color theme="0" tint="-0.499984740745262"/>
      <sz val="9"/>
    </font>
    <font>
      <name val="대명체 보통"/>
      <charset val="129"/>
      <family val="3"/>
      <color theme="0" tint="-0.499984740745262"/>
      <sz val="7"/>
    </font>
    <font>
      <name val="대명체 보통"/>
      <charset val="129"/>
      <family val="3"/>
      <color rgb="FFC00000"/>
      <sz val="7"/>
    </font>
    <font>
      <name val="대명체 보통"/>
      <charset val="129"/>
      <family val="3"/>
      <color theme="1" tint="0.499984740745262"/>
      <sz val="9"/>
    </font>
    <font>
      <name val="Gulim"/>
      <charset val="129"/>
      <family val="3"/>
      <color theme="1" tint="0.499984740745262"/>
      <sz val="9"/>
    </font>
    <font>
      <name val="대명체 보통"/>
      <charset val="129"/>
      <family val="3"/>
      <color rgb="FFC00000"/>
      <sz val="9"/>
    </font>
    <font>
      <name val="대명체 보통"/>
      <charset val="129"/>
      <family val="3"/>
      <color rgb="FFFF0000"/>
      <sz val="9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179">
    <border>
      <left/>
      <right/>
      <top/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/>
      <diagonal/>
    </border>
    <border>
      <left style="thin">
        <color theme="0" tint="-0.249946592608417"/>
      </left>
      <right/>
      <top/>
      <bottom style="thin">
        <color theme="0" tint="-0.249946592608417"/>
      </bottom>
      <diagonal/>
    </border>
    <border>
      <left/>
      <right style="thin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/>
      <top/>
      <bottom/>
      <diagonal/>
    </border>
    <border>
      <left/>
      <right style="thin">
        <color theme="0" tint="-0.249946592608417"/>
      </right>
      <top/>
      <bottom/>
      <diagonal/>
    </border>
    <border>
      <left/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thin">
        <color theme="0" tint="-0.249946592608417"/>
      </top>
      <bottom style="double">
        <color theme="0" tint="-0.249946592608417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/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/>
      <bottom style="thin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/>
      <right/>
      <top style="double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249946592608417"/>
      </right>
      <top/>
      <bottom style="thin">
        <color theme="1" tint="0.499984740745262"/>
      </bottom>
      <diagonal/>
    </border>
    <border>
      <left/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1" tint="0.499984740745262"/>
      </top>
      <bottom/>
      <diagonal/>
    </border>
    <border>
      <left style="thin">
        <color theme="0" tint="-0.249946592608417"/>
      </left>
      <right/>
      <top style="thin">
        <color theme="1" tint="0.499984740745262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1" tint="0.499984740745262"/>
      </bottom>
      <diagonal/>
    </border>
    <border>
      <left style="thin">
        <color theme="0" tint="-0.249946592608417"/>
      </left>
      <right/>
      <top/>
      <bottom style="thin">
        <color theme="1" tint="0.499984740745262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/>
      <top/>
      <bottom style="hair">
        <color theme="0" tint="-0.249946592608417"/>
      </bottom>
      <diagonal/>
    </border>
    <border>
      <left/>
      <right/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/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/>
      <diagonal/>
    </border>
    <border>
      <left style="double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 style="hair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/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hair">
        <color theme="0" tint="-0.249946592608417"/>
      </left>
      <right/>
      <top style="double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/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hair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/>
      <right/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/>
      <top style="hair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 style="thin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double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thin">
        <color theme="0" tint="-0.249946592608417"/>
      </top>
      <bottom style="hair">
        <color theme="0" tint="-0.249946592608417"/>
      </bottom>
      <diagonal/>
    </border>
    <border>
      <left/>
      <right style="double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 style="hair">
        <color theme="0" tint="-0.249946592608417"/>
      </bottom>
      <diagonal/>
    </border>
    <border>
      <left style="double">
        <color theme="0" tint="-0.249946592608417"/>
      </left>
      <right/>
      <top style="hair">
        <color theme="0" tint="-0.249946592608417"/>
      </top>
      <bottom/>
      <diagonal/>
    </border>
    <border>
      <left/>
      <right/>
      <top style="hair">
        <color theme="0" tint="-0.249946592608417"/>
      </top>
      <bottom/>
      <diagonal/>
    </border>
    <border>
      <left/>
      <right style="thin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/>
      <top style="double">
        <color theme="0" tint="-0.249946592608417"/>
      </top>
      <bottom style="thin">
        <color theme="0" tint="-0.249946592608417"/>
      </bottom>
      <diagonal/>
    </border>
    <border>
      <left/>
      <right/>
      <top style="double">
        <color theme="0" tint="-0.249946592608417"/>
      </top>
      <bottom style="thin">
        <color theme="0" tint="-0.249946592608417"/>
      </bottom>
      <diagonal/>
    </border>
    <border>
      <left/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hair">
        <color theme="0" tint="-0.249946592608417"/>
      </left>
      <right style="double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/>
      <top/>
      <bottom style="double">
        <color theme="0" tint="-0.249946592608417"/>
      </bottom>
      <diagonal/>
    </border>
    <border>
      <left/>
      <right/>
      <top/>
      <bottom style="double">
        <color theme="0" tint="-0.249946592608417"/>
      </bottom>
      <diagonal/>
    </border>
    <border>
      <left/>
      <right style="thin">
        <color theme="0" tint="-0.249946592608417"/>
      </right>
      <top/>
      <bottom style="double">
        <color theme="0" tint="-0.249946592608417"/>
      </bottom>
      <diagonal/>
    </border>
    <border>
      <left/>
      <right/>
      <top style="thin">
        <color theme="0" tint="-0.249946592608417"/>
      </top>
      <bottom/>
      <diagonal/>
    </border>
    <border>
      <left/>
      <right style="thin">
        <color theme="0" tint="-0.249946592608417"/>
      </right>
      <top style="thin">
        <color theme="0" tint="-0.249946592608417"/>
      </top>
      <bottom/>
      <diagonal/>
    </border>
    <border>
      <left/>
      <right/>
      <top style="double">
        <color theme="0" tint="-0.249946592608417"/>
      </top>
      <bottom/>
      <diagonal/>
    </border>
    <border>
      <left/>
      <right style="thin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thin">
        <color theme="0" tint="-0.249946592608417"/>
      </top>
      <bottom/>
      <diagonal/>
    </border>
    <border>
      <left/>
      <right style="double">
        <color theme="0" tint="-0.249946592608417"/>
      </right>
      <top style="double">
        <color theme="0" tint="-0.249946592608417"/>
      </top>
      <bottom/>
      <diagonal/>
    </border>
    <border>
      <left style="thin">
        <color theme="0" tint="-0.249946592608417"/>
      </left>
      <right style="double">
        <color theme="0" tint="-0.249946592608417"/>
      </right>
      <top/>
      <bottom style="double">
        <color theme="0" tint="-0.249946592608417"/>
      </bottom>
      <diagonal/>
    </border>
    <border>
      <left/>
      <right style="double">
        <color theme="0" tint="-0.249946592608417"/>
      </right>
      <top style="thin">
        <color theme="0" tint="-0.249946592608417"/>
      </top>
      <bottom style="double">
        <color theme="0" tint="-0.249946592608417"/>
      </bottom>
      <diagonal/>
    </border>
    <border>
      <left/>
      <right style="double">
        <color theme="0" tint="-0.249946592608417"/>
      </right>
      <top style="hair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/>
      <diagonal/>
    </border>
    <border>
      <left/>
      <right style="hair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/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double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double">
        <color theme="0" tint="-0.249946592608417"/>
      </left>
      <right style="thin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 style="thin">
        <color theme="0" tint="-0.249946592608417"/>
      </left>
      <right style="double">
        <color theme="0" tint="-0.249946592608417"/>
      </right>
      <top style="hair">
        <color theme="0" tint="-0.249946592608417"/>
      </top>
      <bottom style="double">
        <color theme="0" tint="-0.249946592608417"/>
      </bottom>
      <diagonal/>
    </border>
    <border>
      <left/>
      <right style="hair">
        <color theme="0" tint="-0.249946592608417"/>
      </right>
      <top style="hair">
        <color theme="0" tint="-0.249946592608417"/>
      </top>
      <bottom/>
      <diagonal/>
    </border>
    <border>
      <left style="thin">
        <color theme="0" tint="-0.249946592608417"/>
      </left>
      <right/>
      <top/>
      <bottom style="hair">
        <color theme="0" tint="-0.249946592608417"/>
      </bottom>
      <diagonal/>
    </border>
    <border>
      <left/>
      <right style="hair">
        <color theme="0" tint="-0.249946592608417"/>
      </right>
      <top/>
      <bottom/>
      <diagonal/>
    </border>
    <border>
      <left style="double">
        <color theme="0" tint="-0.249946592608417"/>
      </left>
      <right/>
      <top/>
      <bottom/>
      <diagonal/>
    </border>
    <border>
      <left style="double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double">
        <color theme="0" tint="-0.249946592608417"/>
      </left>
      <right style="hair">
        <color theme="0" tint="-0.249946592608417"/>
      </right>
      <top/>
      <bottom/>
      <diagonal/>
    </border>
    <border>
      <left style="thin">
        <color theme="0" tint="-0.249946592608417"/>
      </left>
      <right style="hair">
        <color theme="0" tint="-0.249946592608417"/>
      </right>
      <top style="hair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hair">
        <color theme="0" tint="-0.249946592608417"/>
      </right>
      <top/>
      <bottom/>
      <diagonal/>
    </border>
  </borders>
  <cellStyleXfs count="4">
    <xf numFmtId="0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  <xf numFmtId="41" fontId="1" fillId="0" borderId="0" applyAlignment="1">
      <alignment vertical="center"/>
    </xf>
  </cellStyleXfs>
  <cellXfs count="621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6" fillId="0" borderId="20" applyAlignment="1" pivotButton="0" quotePrefix="0" xfId="0">
      <alignment wrapText="1"/>
    </xf>
    <xf numFmtId="0" fontId="7" fillId="0" borderId="20" applyAlignment="1" pivotButton="0" quotePrefix="0" xfId="0">
      <alignment wrapText="1"/>
    </xf>
    <xf numFmtId="0" fontId="6" fillId="0" borderId="21" applyAlignment="1" pivotButton="0" quotePrefix="0" xfId="0">
      <alignment wrapText="1"/>
    </xf>
    <xf numFmtId="0" fontId="6" fillId="0" borderId="22" applyAlignment="1" pivotButton="0" quotePrefix="0" xfId="0">
      <alignment wrapText="1"/>
    </xf>
    <xf numFmtId="0" fontId="6" fillId="0" borderId="23" applyAlignment="1" pivotButton="0" quotePrefix="0" xfId="0">
      <alignment wrapText="1"/>
    </xf>
    <xf numFmtId="9" fontId="6" fillId="0" borderId="23" applyAlignment="1" pivotButton="0" quotePrefix="0" xfId="0">
      <alignment horizontal="right" wrapText="1"/>
    </xf>
    <xf numFmtId="0" fontId="7" fillId="0" borderId="21" applyAlignment="1" pivotButton="0" quotePrefix="0" xfId="0">
      <alignment wrapText="1"/>
    </xf>
    <xf numFmtId="10" fontId="6" fillId="0" borderId="23" applyAlignment="1" pivotButton="0" quotePrefix="0" xfId="0">
      <alignment horizontal="right" wrapText="1"/>
    </xf>
    <xf numFmtId="10" fontId="6" fillId="0" borderId="20" applyAlignment="1" pivotButton="0" quotePrefix="0" xfId="0">
      <alignment horizontal="right" wrapText="1"/>
    </xf>
    <xf numFmtId="0" fontId="6" fillId="0" borderId="23" applyAlignment="1" pivotButton="0" quotePrefix="0" xfId="0">
      <alignment horizontal="right" wrapText="1"/>
    </xf>
    <xf numFmtId="0" fontId="7" fillId="0" borderId="20" applyAlignment="1" pivotButton="0" quotePrefix="0" xfId="0">
      <alignment horizontal="center" wrapText="1"/>
    </xf>
    <xf numFmtId="0" fontId="8" fillId="4" borderId="20" applyAlignment="1" pivotButton="0" quotePrefix="0" xfId="0">
      <alignment horizontal="center" wrapText="1"/>
    </xf>
    <xf numFmtId="0" fontId="6" fillId="4" borderId="20" applyAlignment="1" pivotButton="0" quotePrefix="0" xfId="0">
      <alignment wrapText="1"/>
    </xf>
    <xf numFmtId="9" fontId="8" fillId="4" borderId="20" applyAlignment="1" pivotButton="0" quotePrefix="0" xfId="0">
      <alignment horizontal="center" wrapText="1"/>
    </xf>
    <xf numFmtId="0" fontId="6" fillId="0" borderId="20" applyAlignment="1" pivotButton="0" quotePrefix="0" xfId="0">
      <alignment horizontal="center" wrapText="1"/>
    </xf>
    <xf numFmtId="9" fontId="8" fillId="4" borderId="20" applyAlignment="1" pivotButton="0" quotePrefix="0" xfId="0">
      <alignment horizontal="right" wrapText="1"/>
    </xf>
    <xf numFmtId="0" fontId="9" fillId="0" borderId="20" applyAlignment="1" pivotButton="0" quotePrefix="0" xfId="0">
      <alignment wrapText="1"/>
    </xf>
    <xf numFmtId="0" fontId="6" fillId="5" borderId="20" applyAlignment="1" pivotButton="0" quotePrefix="0" xfId="0">
      <alignment wrapText="1"/>
    </xf>
    <xf numFmtId="0" fontId="9" fillId="5" borderId="20" applyAlignment="1" pivotButton="0" quotePrefix="0" xfId="0">
      <alignment wrapText="1"/>
    </xf>
    <xf numFmtId="0" fontId="3" fillId="3" borderId="0" applyAlignment="1" pivotButton="0" quotePrefix="0" xfId="0">
      <alignment horizontal="left" vertical="center"/>
    </xf>
    <xf numFmtId="0" fontId="14" fillId="2" borderId="8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/>
    </xf>
    <xf numFmtId="0" fontId="14" fillId="0" borderId="25" applyAlignment="1" pivotButton="0" quotePrefix="0" xfId="0">
      <alignment horizontal="center" vertical="center"/>
    </xf>
    <xf numFmtId="9" fontId="15" fillId="0" borderId="26" applyAlignment="1" pivotButton="0" quotePrefix="0" xfId="1">
      <alignment horizontal="right" vertical="center"/>
    </xf>
    <xf numFmtId="9" fontId="15" fillId="0" borderId="27" applyAlignment="1" pivotButton="0" quotePrefix="0" xfId="1">
      <alignment horizontal="right" vertical="center"/>
    </xf>
    <xf numFmtId="9" fontId="16" fillId="0" borderId="27" applyAlignment="1" pivotButton="0" quotePrefix="0" xfId="1">
      <alignment horizontal="right" vertical="center"/>
    </xf>
    <xf numFmtId="0" fontId="14" fillId="0" borderId="28" applyAlignment="1" pivotButton="0" quotePrefix="0" xfId="0">
      <alignment horizontal="center" vertical="center"/>
    </xf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9" fontId="15" fillId="0" borderId="30" applyAlignment="1" pivotButton="0" quotePrefix="0" xfId="1">
      <alignment horizontal="right" vertical="center"/>
    </xf>
    <xf numFmtId="165" fontId="16" fillId="0" borderId="30" applyAlignment="1" pivotButton="0" quotePrefix="0" xfId="3">
      <alignment horizontal="right" vertical="center"/>
    </xf>
    <xf numFmtId="9" fontId="16" fillId="0" borderId="30" applyAlignment="1" pivotButton="0" quotePrefix="0" xfId="1">
      <alignment horizontal="right" vertical="center"/>
    </xf>
    <xf numFmtId="165" fontId="15" fillId="0" borderId="30" applyAlignment="1" pivotButton="0" quotePrefix="0" xfId="3">
      <alignment horizontal="right" vertical="center"/>
    </xf>
    <xf numFmtId="0" fontId="14" fillId="0" borderId="31" applyAlignment="1" pivotButton="0" quotePrefix="0" xfId="0">
      <alignment horizontal="center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9" fontId="15" fillId="0" borderId="33" applyAlignment="1" pivotButton="0" quotePrefix="0" xfId="1">
      <alignment horizontal="right" vertical="center"/>
    </xf>
    <xf numFmtId="165" fontId="15" fillId="0" borderId="33" applyAlignment="1" pivotButton="0" quotePrefix="0" xfId="3">
      <alignment horizontal="right" vertical="center"/>
    </xf>
    <xf numFmtId="9" fontId="16" fillId="0" borderId="33" applyAlignment="1" pivotButton="0" quotePrefix="0" xfId="1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9" fontId="17" fillId="0" borderId="30" applyAlignment="1" pivotButton="0" quotePrefix="0" xfId="1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9" fontId="17" fillId="0" borderId="33" applyAlignment="1" pivotButton="0" quotePrefix="0" xfId="1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left" vertical="center"/>
    </xf>
    <xf numFmtId="9" fontId="14" fillId="0" borderId="0" applyAlignment="1" pivotButton="0" quotePrefix="0" xfId="1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14" fillId="2" borderId="5" applyAlignment="1" pivotButton="0" quotePrefix="0" xfId="0">
      <alignment horizontal="center" vertical="center"/>
    </xf>
    <xf numFmtId="0" fontId="14" fillId="0" borderId="17" applyAlignment="1" pivotButton="0" quotePrefix="0" xfId="0">
      <alignment horizontal="left" vertical="center"/>
    </xf>
    <xf numFmtId="0" fontId="15" fillId="0" borderId="14" applyAlignment="1" pivotButton="0" quotePrefix="0" xfId="0">
      <alignment horizontal="right"/>
    </xf>
    <xf numFmtId="0" fontId="14" fillId="2" borderId="6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4" fillId="2" borderId="38" applyAlignment="1" pivotButton="0" quotePrefix="0" xfId="0">
      <alignment horizontal="center" vertical="center"/>
    </xf>
    <xf numFmtId="0" fontId="14" fillId="2" borderId="28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3" fillId="3" borderId="47" applyAlignment="1" pivotButton="0" quotePrefix="0" xfId="0">
      <alignment horizontal="left" vertical="center"/>
    </xf>
    <xf numFmtId="0" fontId="4" fillId="0" borderId="4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3" fillId="3" borderId="46" applyAlignment="1" pivotButton="0" quotePrefix="0" xfId="0">
      <alignment horizontal="left" vertical="center"/>
    </xf>
    <xf numFmtId="0" fontId="14" fillId="0" borderId="47" applyAlignment="1" pivotButton="0" quotePrefix="0" xfId="0">
      <alignment horizontal="center" vertical="center"/>
    </xf>
    <xf numFmtId="0" fontId="14" fillId="0" borderId="46" applyAlignment="1" pivotButton="0" quotePrefix="0" xfId="0">
      <alignment horizontal="center" vertical="center"/>
    </xf>
    <xf numFmtId="0" fontId="3" fillId="0" borderId="47" applyAlignment="1" pivotButton="0" quotePrefix="0" xfId="0">
      <alignment vertical="center"/>
    </xf>
    <xf numFmtId="0" fontId="3" fillId="0" borderId="46" applyAlignment="1" pivotButton="0" quotePrefix="0" xfId="0">
      <alignment vertical="center"/>
    </xf>
    <xf numFmtId="0" fontId="4" fillId="0" borderId="46" applyAlignment="1" pivotButton="0" quotePrefix="0" xfId="0">
      <alignment horizontal="center" vertical="center"/>
    </xf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9" fontId="22" fillId="0" borderId="42" applyAlignment="1" pivotButton="0" quotePrefix="0" xfId="1">
      <alignment vertical="center"/>
    </xf>
    <xf numFmtId="9" fontId="22" fillId="0" borderId="43" applyAlignment="1" pivotButton="0" quotePrefix="0" xfId="1">
      <alignment vertical="center"/>
    </xf>
    <xf numFmtId="9" fontId="22" fillId="0" borderId="56" applyAlignment="1" pivotButton="0" quotePrefix="0" xfId="1">
      <alignment vertical="center"/>
    </xf>
    <xf numFmtId="9" fontId="22" fillId="0" borderId="44" applyAlignment="1" pivotButton="0" quotePrefix="0" xfId="1">
      <alignment vertical="center"/>
    </xf>
    <xf numFmtId="0" fontId="14" fillId="0" borderId="0" applyAlignment="1" pivotButton="0" quotePrefix="1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40" applyAlignment="1" pivotButton="0" quotePrefix="0" xfId="0">
      <alignment horizontal="center" vertical="center" wrapText="1"/>
    </xf>
    <xf numFmtId="0" fontId="14" fillId="2" borderId="36" applyAlignment="1" pivotButton="0" quotePrefix="0" xfId="0">
      <alignment horizontal="center" vertical="center" wrapText="1"/>
    </xf>
    <xf numFmtId="0" fontId="14" fillId="2" borderId="67" applyAlignment="1" pivotButton="0" quotePrefix="0" xfId="0">
      <alignment horizontal="center" vertical="center" wrapText="1"/>
    </xf>
    <xf numFmtId="0" fontId="14" fillId="2" borderId="68" applyAlignment="1" pivotButton="0" quotePrefix="0" xfId="0">
      <alignment horizontal="center" vertical="center" wrapText="1"/>
    </xf>
    <xf numFmtId="0" fontId="14" fillId="2" borderId="78" applyAlignment="1" pivotButton="0" quotePrefix="0" xfId="0">
      <alignment horizontal="center" vertical="center" wrapText="1"/>
    </xf>
    <xf numFmtId="0" fontId="14" fillId="2" borderId="85" applyAlignment="1" pivotButton="0" quotePrefix="0" xfId="0">
      <alignment horizontal="center" vertical="center"/>
    </xf>
    <xf numFmtId="0" fontId="14" fillId="2" borderId="86" applyAlignment="1" pivotButton="0" quotePrefix="0" xfId="0">
      <alignment horizontal="center" vertical="center"/>
    </xf>
    <xf numFmtId="0" fontId="14" fillId="2" borderId="87" applyAlignment="1" pivotButton="0" quotePrefix="0" xfId="0">
      <alignment horizontal="center" vertical="center"/>
    </xf>
    <xf numFmtId="0" fontId="14" fillId="2" borderId="88" applyAlignment="1" pivotButton="0" quotePrefix="0" xfId="0">
      <alignment horizontal="center" vertical="center"/>
    </xf>
    <xf numFmtId="0" fontId="14" fillId="2" borderId="104" applyAlignment="1" pivotButton="0" quotePrefix="0" xfId="0">
      <alignment horizontal="center" vertical="center"/>
    </xf>
    <xf numFmtId="0" fontId="14" fillId="2" borderId="105" applyAlignment="1" pivotButton="0" quotePrefix="0" xfId="0">
      <alignment horizontal="center" vertical="center"/>
    </xf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9" fontId="23" fillId="0" borderId="72" applyAlignment="1" pivotButton="0" quotePrefix="0" xfId="1">
      <alignment horizontal="right" vertical="center"/>
    </xf>
    <xf numFmtId="9" fontId="23" fillId="0" borderId="73" applyAlignment="1" pivotButton="0" quotePrefix="0" xfId="1">
      <alignment horizontal="right" vertical="center"/>
    </xf>
    <xf numFmtId="9" fontId="23" fillId="0" borderId="90" applyAlignment="1" pivotButton="0" quotePrefix="0" xfId="1">
      <alignment horizontal="right" vertical="center"/>
    </xf>
    <xf numFmtId="9" fontId="23" fillId="0" borderId="73" applyAlignment="1" pivotButton="0" quotePrefix="0" xfId="1">
      <alignment vertical="center"/>
    </xf>
    <xf numFmtId="9" fontId="23" fillId="0" borderId="75" applyAlignment="1" pivotButton="0" quotePrefix="0" xfId="1">
      <alignment horizontal="right" vertical="center"/>
    </xf>
    <xf numFmtId="9" fontId="23" fillId="0" borderId="76" applyAlignment="1" pivotButton="0" quotePrefix="0" xfId="1">
      <alignment horizontal="right" vertical="center"/>
    </xf>
    <xf numFmtId="9" fontId="23" fillId="0" borderId="91" applyAlignment="1" pivotButton="0" quotePrefix="0" xfId="1">
      <alignment horizontal="right" vertical="center"/>
    </xf>
    <xf numFmtId="9" fontId="23" fillId="0" borderId="76" applyAlignment="1" pivotButton="0" quotePrefix="0" xfId="1">
      <alignment vertical="center"/>
    </xf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9" fontId="23" fillId="0" borderId="43" applyAlignment="1" pivotButton="0" quotePrefix="0" xfId="1">
      <alignment horizontal="right" vertical="center"/>
    </xf>
    <xf numFmtId="9" fontId="23" fillId="0" borderId="44" applyAlignment="1" pivotButton="0" quotePrefix="0" xfId="1">
      <alignment horizontal="right" vertical="center"/>
    </xf>
    <xf numFmtId="9" fontId="23" fillId="0" borderId="57" applyAlignment="1" pivotButton="0" quotePrefix="0" xfId="1">
      <alignment horizontal="right" vertical="center"/>
    </xf>
    <xf numFmtId="9" fontId="23" fillId="0" borderId="44" applyAlignment="1" pivotButton="0" quotePrefix="0" xfId="1">
      <alignment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108" applyAlignment="1" pivotButton="0" quotePrefix="0" xfId="0">
      <alignment horizontal="right" vertical="center"/>
    </xf>
    <xf numFmtId="9" fontId="23" fillId="0" borderId="109" applyAlignment="1" pivotButton="0" quotePrefix="0" xfId="1">
      <alignment horizontal="right" vertical="center"/>
    </xf>
    <xf numFmtId="9" fontId="23" fillId="0" borderId="110" applyAlignment="1" pivotButton="0" quotePrefix="0" xfId="1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9" fontId="23" fillId="0" borderId="56" applyAlignment="1" pivotButton="0" quotePrefix="0" xfId="1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116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right" vertical="center"/>
    </xf>
    <xf numFmtId="0" fontId="14" fillId="2" borderId="103" applyAlignment="1" pivotButton="0" quotePrefix="0" xfId="0">
      <alignment horizontal="center" vertical="center" wrapText="1"/>
    </xf>
    <xf numFmtId="0" fontId="14" fillId="2" borderId="104" applyAlignment="1" pivotButton="0" quotePrefix="0" xfId="0">
      <alignment horizontal="center" vertical="center" wrapText="1"/>
    </xf>
    <xf numFmtId="0" fontId="14" fillId="2" borderId="105" applyAlignment="1" pivotButton="0" quotePrefix="0" xfId="0">
      <alignment horizontal="center" vertical="center" wrapText="1"/>
    </xf>
    <xf numFmtId="0" fontId="14" fillId="2" borderId="125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 wrapText="1"/>
    </xf>
    <xf numFmtId="0" fontId="14" fillId="2" borderId="126" applyAlignment="1" pivotButton="0" quotePrefix="0" xfId="0">
      <alignment horizontal="center" vertical="center"/>
    </xf>
    <xf numFmtId="0" fontId="14" fillId="2" borderId="125" applyAlignment="1" pivotButton="0" quotePrefix="0" xfId="0">
      <alignment horizontal="center" vertical="center"/>
    </xf>
    <xf numFmtId="0" fontId="22" fillId="0" borderId="6" applyAlignment="1" pivotButton="0" quotePrefix="0" xfId="0">
      <alignment horizontal="left" vertical="center"/>
    </xf>
    <xf numFmtId="0" fontId="22" fillId="0" borderId="7" applyAlignment="1" pivotButton="0" quotePrefix="0" xfId="0">
      <alignment horizontal="left" vertical="center"/>
    </xf>
    <xf numFmtId="0" fontId="22" fillId="0" borderId="8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7" applyAlignment="1" pivotButton="0" quotePrefix="0" xfId="0">
      <alignment horizontal="right" vertical="center"/>
    </xf>
    <xf numFmtId="0" fontId="14" fillId="0" borderId="8" applyAlignment="1" pivotButton="0" quotePrefix="0" xfId="0">
      <alignment horizontal="right" vertical="center"/>
    </xf>
    <xf numFmtId="0" fontId="14" fillId="2" borderId="6" applyAlignment="1" pivotButton="0" quotePrefix="0" xfId="0">
      <alignment horizontal="center" vertical="center"/>
    </xf>
    <xf numFmtId="0" fontId="14" fillId="2" borderId="7" applyAlignment="1" pivotButton="0" quotePrefix="0" xfId="0">
      <alignment horizontal="center" vertical="center"/>
    </xf>
    <xf numFmtId="0" fontId="14" fillId="2" borderId="8" applyAlignment="1" pivotButton="0" quotePrefix="0" xfId="0">
      <alignment horizontal="center" vertical="center"/>
    </xf>
    <xf numFmtId="167" fontId="22" fillId="0" borderId="43" applyAlignment="1" pivotButton="0" quotePrefix="0" xfId="0">
      <alignment horizontal="right" vertical="center"/>
    </xf>
    <xf numFmtId="167" fontId="22" fillId="0" borderId="56" applyAlignment="1" pivotButton="0" quotePrefix="0" xfId="0">
      <alignment horizontal="right" vertical="center"/>
    </xf>
    <xf numFmtId="167" fontId="22" fillId="0" borderId="44" applyAlignment="1" pivotButton="0" quotePrefix="0" xfId="0">
      <alignment horizontal="right" vertical="center"/>
    </xf>
    <xf numFmtId="9" fontId="22" fillId="0" borderId="42" applyAlignment="1" pivotButton="0" quotePrefix="0" xfId="1">
      <alignment horizontal="right" vertical="center"/>
    </xf>
    <xf numFmtId="9" fontId="22" fillId="0" borderId="57" applyAlignment="1" pivotButton="0" quotePrefix="0" xfId="1">
      <alignment horizontal="right" vertical="center"/>
    </xf>
    <xf numFmtId="9" fontId="22" fillId="0" borderId="43" applyAlignment="1" pivotButton="0" quotePrefix="0" xfId="1">
      <alignment horizontal="right" vertical="center"/>
    </xf>
    <xf numFmtId="9" fontId="22" fillId="0" borderId="56" applyAlignment="1" pivotButton="0" quotePrefix="0" xfId="1">
      <alignment horizontal="right" vertical="center"/>
    </xf>
    <xf numFmtId="9" fontId="22" fillId="0" borderId="44" applyAlignment="1" pivotButton="0" quotePrefix="0" xfId="1">
      <alignment horizontal="right" vertical="center"/>
    </xf>
    <xf numFmtId="9" fontId="22" fillId="0" borderId="45" applyAlignment="1" pivotButton="0" quotePrefix="0" xfId="1">
      <alignment horizontal="right" vertical="center"/>
    </xf>
    <xf numFmtId="0" fontId="14" fillId="2" borderId="9" applyAlignment="1" pivotButton="0" quotePrefix="0" xfId="0">
      <alignment horizontal="center" vertical="center" wrapText="1"/>
    </xf>
    <xf numFmtId="0" fontId="14" fillId="2" borderId="12" applyAlignment="1" pivotButton="0" quotePrefix="0" xfId="0">
      <alignment horizontal="center" vertical="center"/>
    </xf>
    <xf numFmtId="0" fontId="14" fillId="2" borderId="10" applyAlignment="1" pivotButton="0" quotePrefix="0" xfId="0">
      <alignment horizontal="center" vertical="center"/>
    </xf>
    <xf numFmtId="0" fontId="14" fillId="2" borderId="42" applyAlignment="1" pivotButton="0" quotePrefix="0" xfId="0">
      <alignment horizontal="center" vertical="center"/>
    </xf>
    <xf numFmtId="0" fontId="14" fillId="2" borderId="57" applyAlignment="1" pivotButton="0" quotePrefix="0" xfId="0">
      <alignment horizontal="center" vertical="center"/>
    </xf>
    <xf numFmtId="0" fontId="14" fillId="2" borderId="43" applyAlignment="1" pivotButton="0" quotePrefix="0" xfId="0">
      <alignment horizontal="center" vertical="center"/>
    </xf>
    <xf numFmtId="0" fontId="14" fillId="2" borderId="56" applyAlignment="1" pivotButton="0" quotePrefix="0" xfId="0">
      <alignment horizontal="center" vertical="center"/>
    </xf>
    <xf numFmtId="0" fontId="14" fillId="2" borderId="44" applyAlignment="1" pivotButton="0" quotePrefix="0" xfId="0">
      <alignment horizontal="center" vertical="center"/>
    </xf>
    <xf numFmtId="0" fontId="14" fillId="2" borderId="45" applyAlignment="1" pivotButton="0" quotePrefix="0" xfId="0">
      <alignment horizontal="center" vertical="center"/>
    </xf>
    <xf numFmtId="167" fontId="22" fillId="0" borderId="42" applyAlignment="1" pivotButton="0" quotePrefix="0" xfId="0">
      <alignment horizontal="right" vertical="center"/>
    </xf>
    <xf numFmtId="167" fontId="22" fillId="0" borderId="57" applyAlignment="1" pivotButton="0" quotePrefix="0" xfId="0">
      <alignment horizontal="right" vertical="center"/>
    </xf>
    <xf numFmtId="167" fontId="22" fillId="0" borderId="45" applyAlignment="1" pivotButton="0" quotePrefix="0" xfId="0">
      <alignment horizontal="right" vertical="center"/>
    </xf>
    <xf numFmtId="0" fontId="14" fillId="2" borderId="11" applyAlignment="1" pivotButton="0" quotePrefix="0" xfId="0">
      <alignment horizontal="center" vertical="center" wrapText="1"/>
    </xf>
    <xf numFmtId="0" fontId="14" fillId="2" borderId="15" applyAlignment="1" pivotButton="0" quotePrefix="0" xfId="0">
      <alignment horizontal="center" vertical="center"/>
    </xf>
    <xf numFmtId="0" fontId="14" fillId="2" borderId="13" applyAlignment="1" pivotButton="0" quotePrefix="0" xfId="0">
      <alignment horizontal="center" vertical="center"/>
    </xf>
    <xf numFmtId="0" fontId="14" fillId="0" borderId="34" applyAlignment="1" pivotButton="0" quotePrefix="0" xfId="0">
      <alignment horizontal="left" vertical="center"/>
    </xf>
    <xf numFmtId="0" fontId="14" fillId="0" borderId="17" applyAlignment="1" pivotButton="0" quotePrefix="0" xfId="0">
      <alignment horizontal="left" vertical="center"/>
    </xf>
    <xf numFmtId="0" fontId="14" fillId="2" borderId="12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22" fillId="0" borderId="35" applyAlignment="1" pivotButton="0" quotePrefix="0" xfId="0">
      <alignment horizontal="left" vertical="center"/>
    </xf>
    <xf numFmtId="0" fontId="22" fillId="0" borderId="36" applyAlignment="1" pivotButton="0" quotePrefix="0" xfId="0">
      <alignment horizontal="left" vertical="center"/>
    </xf>
    <xf numFmtId="0" fontId="22" fillId="0" borderId="29" applyAlignment="1" pivotButton="0" quotePrefix="0" xfId="0">
      <alignment horizontal="left" vertical="center"/>
    </xf>
    <xf numFmtId="0" fontId="13" fillId="2" borderId="5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4" fillId="0" borderId="17" applyAlignment="1" pivotButton="0" quotePrefix="0" xfId="0">
      <alignment horizontal="right" vertical="center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22" fillId="0" borderId="39" applyAlignment="1" pivotButton="0" quotePrefix="0" xfId="0">
      <alignment horizontal="left" vertical="center"/>
    </xf>
    <xf numFmtId="0" fontId="22" fillId="0" borderId="40" applyAlignment="1" pivotButton="0" quotePrefix="0" xfId="0">
      <alignment horizontal="left" vertical="center"/>
    </xf>
    <xf numFmtId="0" fontId="22" fillId="0" borderId="4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1" xfId="0">
      <alignment horizontal="center" vertical="center"/>
    </xf>
    <xf numFmtId="0" fontId="15" fillId="0" borderId="0" applyAlignment="1" pivotButton="0" quotePrefix="0" xfId="0">
      <alignment horizontal="right"/>
    </xf>
    <xf numFmtId="0" fontId="14" fillId="3" borderId="30" applyAlignment="1" pivotButton="0" quotePrefix="0" xfId="0">
      <alignment horizontal="center" vertical="center"/>
    </xf>
    <xf numFmtId="0" fontId="14" fillId="3" borderId="134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 wrapText="1"/>
    </xf>
    <xf numFmtId="0" fontId="14" fillId="3" borderId="33" applyAlignment="1" pivotButton="0" quotePrefix="0" xfId="0">
      <alignment horizontal="center" vertical="center"/>
    </xf>
    <xf numFmtId="0" fontId="14" fillId="3" borderId="37" applyAlignment="1" pivotButton="0" quotePrefix="0" xfId="0">
      <alignment horizontal="center" vertical="center"/>
    </xf>
    <xf numFmtId="0" fontId="14" fillId="3" borderId="32" applyAlignment="1" pivotButton="0" quotePrefix="0" xfId="0">
      <alignment horizontal="center" vertical="center" wrapText="1"/>
    </xf>
    <xf numFmtId="0" fontId="14" fillId="3" borderId="29" applyAlignment="1" pivotButton="0" quotePrefix="0" xfId="0">
      <alignment horizontal="center" vertical="center" wrapText="1"/>
    </xf>
    <xf numFmtId="0" fontId="14" fillId="3" borderId="30" applyAlignment="1" pivotButton="0" quotePrefix="0" xfId="0">
      <alignment horizontal="center" vertical="center" wrapText="1"/>
    </xf>
    <xf numFmtId="0" fontId="14" fillId="3" borderId="61" applyAlignment="1" pivotButton="0" quotePrefix="0" xfId="0">
      <alignment horizontal="center" vertical="center"/>
    </xf>
    <xf numFmtId="0" fontId="14" fillId="3" borderId="132" applyAlignment="1" pivotButton="0" quotePrefix="0" xfId="0">
      <alignment horizontal="center" vertical="center" wrapText="1"/>
    </xf>
    <xf numFmtId="0" fontId="14" fillId="3" borderId="129" applyAlignment="1" pivotButton="0" quotePrefix="0" xfId="0">
      <alignment horizontal="center" vertical="center"/>
    </xf>
    <xf numFmtId="0" fontId="14" fillId="3" borderId="77" applyAlignment="1" pivotButton="0" quotePrefix="0" xfId="0">
      <alignment horizontal="center" vertical="center"/>
    </xf>
    <xf numFmtId="0" fontId="14" fillId="3" borderId="129" applyAlignment="1" pivotButton="0" quotePrefix="0" xfId="0">
      <alignment horizontal="center" vertical="center" wrapText="1"/>
    </xf>
    <xf numFmtId="0" fontId="14" fillId="3" borderId="84" applyAlignment="1" pivotButton="0" quotePrefix="0" xfId="0">
      <alignment horizontal="center" vertical="center" wrapText="1"/>
    </xf>
    <xf numFmtId="0" fontId="14" fillId="3" borderId="137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 wrapText="1"/>
    </xf>
    <xf numFmtId="0" fontId="14" fillId="3" borderId="131" applyAlignment="1" pivotButton="0" quotePrefix="0" xfId="0">
      <alignment horizontal="center" vertical="center" wrapText="1"/>
    </xf>
    <xf numFmtId="0" fontId="14" fillId="3" borderId="60" applyAlignment="1" pivotButton="0" quotePrefix="0" xfId="0">
      <alignment horizontal="center" vertical="center"/>
    </xf>
    <xf numFmtId="0" fontId="14" fillId="3" borderId="130" applyAlignment="1" pivotButton="0" quotePrefix="0" xfId="0">
      <alignment horizontal="center" vertical="center" wrapText="1"/>
    </xf>
    <xf numFmtId="0" fontId="14" fillId="2" borderId="123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4" fillId="2" borderId="135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 wrapText="1"/>
    </xf>
    <xf numFmtId="0" fontId="14" fillId="2" borderId="151" applyAlignment="1" pivotButton="0" quotePrefix="0" xfId="0">
      <alignment horizontal="center" vertical="center"/>
    </xf>
    <xf numFmtId="0" fontId="14" fillId="3" borderId="28" applyAlignment="1" pivotButton="0" quotePrefix="0" xfId="0">
      <alignment horizontal="center" vertical="center"/>
    </xf>
    <xf numFmtId="0" fontId="14" fillId="3" borderId="31" applyAlignment="1" pivotButton="0" quotePrefix="0" xfId="0">
      <alignment horizontal="center" vertical="center"/>
    </xf>
    <xf numFmtId="0" fontId="14" fillId="3" borderId="133" applyAlignment="1" pivotButton="0" quotePrefix="0" xfId="0">
      <alignment horizontal="center" vertical="center"/>
    </xf>
    <xf numFmtId="0" fontId="14" fillId="3" borderId="27" applyAlignment="1" pivotButton="0" quotePrefix="0" xfId="0">
      <alignment horizontal="center" vertical="center"/>
    </xf>
    <xf numFmtId="0" fontId="14" fillId="3" borderId="25" applyAlignment="1" pivotButton="0" quotePrefix="0" xfId="0">
      <alignment horizontal="center" vertical="center"/>
    </xf>
    <xf numFmtId="0" fontId="14" fillId="3" borderId="26" applyAlignment="1" pivotButton="0" quotePrefix="0" xfId="0">
      <alignment horizontal="center" vertical="center"/>
    </xf>
    <xf numFmtId="0" fontId="14" fillId="3" borderId="38" applyAlignment="1" pivotButton="0" quotePrefix="0" xfId="0">
      <alignment horizontal="center" vertical="center"/>
    </xf>
    <xf numFmtId="0" fontId="14" fillId="3" borderId="41" applyAlignment="1" pivotButton="0" quotePrefix="0" xfId="0">
      <alignment horizontal="center" vertical="center"/>
    </xf>
    <xf numFmtId="0" fontId="14" fillId="3" borderId="130" applyAlignment="1" pivotButton="0" quotePrefix="0" xfId="0">
      <alignment horizontal="right" vertical="center"/>
    </xf>
    <xf numFmtId="0" fontId="14" fillId="3" borderId="131" applyAlignment="1" pivotButton="0" quotePrefix="0" xfId="0">
      <alignment horizontal="right" vertical="center"/>
    </xf>
    <xf numFmtId="0" fontId="14" fillId="2" borderId="123" applyAlignment="1" pivotButton="0" quotePrefix="0" xfId="0">
      <alignment horizontal="center" vertical="center"/>
    </xf>
    <xf numFmtId="0" fontId="14" fillId="2" borderId="2" applyAlignment="1" pivotButton="0" quotePrefix="0" xfId="0">
      <alignment horizontal="center" vertical="center"/>
    </xf>
    <xf numFmtId="0" fontId="22" fillId="3" borderId="6" applyAlignment="1" pivotButton="0" quotePrefix="0" xfId="0">
      <alignment horizontal="left" vertical="center"/>
    </xf>
    <xf numFmtId="0" fontId="22" fillId="3" borderId="7" applyAlignment="1" pivotButton="0" quotePrefix="0" xfId="0">
      <alignment horizontal="left" vertical="center"/>
    </xf>
    <xf numFmtId="0" fontId="22" fillId="3" borderId="8" applyAlignment="1" pivotButton="0" quotePrefix="0" xfId="0">
      <alignment horizontal="left" vertical="center"/>
    </xf>
    <xf numFmtId="0" fontId="22" fillId="3" borderId="147" applyAlignment="1" pivotButton="0" quotePrefix="0" xfId="0">
      <alignment horizontal="left" vertical="center"/>
    </xf>
    <xf numFmtId="0" fontId="22" fillId="3" borderId="148" applyAlignment="1" pivotButton="0" quotePrefix="0" xfId="0">
      <alignment horizontal="left" vertical="center"/>
    </xf>
    <xf numFmtId="0" fontId="22" fillId="3" borderId="149" applyAlignment="1" pivotButton="0" quotePrefix="0" xfId="0">
      <alignment horizontal="left" vertical="center"/>
    </xf>
    <xf numFmtId="0" fontId="14" fillId="2" borderId="127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/>
    </xf>
    <xf numFmtId="0" fontId="14" fillId="2" borderId="84" applyAlignment="1" pivotButton="0" quotePrefix="0" xfId="0">
      <alignment horizontal="center" vertical="center"/>
    </xf>
    <xf numFmtId="0" fontId="14" fillId="2" borderId="129" applyAlignment="1" pivotButton="0" quotePrefix="0" xfId="0">
      <alignment horizontal="center" vertical="center"/>
    </xf>
    <xf numFmtId="0" fontId="14" fillId="2" borderId="136" applyAlignment="1" pivotButton="0" quotePrefix="0" xfId="0">
      <alignment horizontal="center" vertical="center"/>
    </xf>
    <xf numFmtId="0" fontId="22" fillId="3" borderId="124" applyAlignment="1" pivotButton="0" quotePrefix="0" xfId="0">
      <alignment horizontal="left" vertical="center"/>
    </xf>
    <xf numFmtId="0" fontId="22" fillId="3" borderId="68" applyAlignment="1" pivotButton="0" quotePrefix="0" xfId="0">
      <alignment horizontal="left" vertical="center"/>
    </xf>
    <xf numFmtId="0" fontId="22" fillId="3" borderId="32" applyAlignment="1" pivotButton="0" quotePrefix="0" xfId="0">
      <alignment horizontal="left" vertical="center"/>
    </xf>
    <xf numFmtId="0" fontId="22" fillId="3" borderId="139" applyAlignment="1" pivotButton="0" quotePrefix="0" xfId="0">
      <alignment horizontal="left" vertical="center"/>
    </xf>
    <xf numFmtId="0" fontId="22" fillId="3" borderId="67" applyAlignment="1" pivotButton="0" quotePrefix="0" xfId="0">
      <alignment horizontal="left" vertical="center"/>
    </xf>
    <xf numFmtId="0" fontId="22" fillId="3" borderId="26" applyAlignment="1" pivotButton="0" quotePrefix="0" xfId="0">
      <alignment horizontal="left" vertical="center"/>
    </xf>
    <xf numFmtId="0" fontId="22" fillId="3" borderId="83" applyAlignment="1" pivotButton="0" quotePrefix="0" xfId="0">
      <alignment horizontal="left" vertical="center"/>
    </xf>
    <xf numFmtId="0" fontId="22" fillId="3" borderId="78" applyAlignment="1" pivotButton="0" quotePrefix="0" xfId="0">
      <alignment horizontal="left" vertical="center"/>
    </xf>
    <xf numFmtId="0" fontId="22" fillId="3" borderId="84" applyAlignment="1" pivotButton="0" quotePrefix="0" xfId="0">
      <alignment horizontal="left" vertical="center"/>
    </xf>
    <xf numFmtId="165" fontId="13" fillId="3" borderId="61" applyAlignment="1" pivotButton="0" quotePrefix="0" xfId="0">
      <alignment horizontal="right" vertical="center"/>
    </xf>
    <xf numFmtId="165" fontId="13" fillId="3" borderId="36" applyAlignment="1" pivotButton="0" quotePrefix="0" xfId="0">
      <alignment horizontal="right" vertical="center"/>
    </xf>
    <xf numFmtId="165" fontId="13" fillId="3" borderId="29" applyAlignment="1" pivotButton="0" quotePrefix="0" xfId="0">
      <alignment horizontal="right" vertical="center"/>
    </xf>
    <xf numFmtId="9" fontId="13" fillId="3" borderId="61" applyAlignment="1" pivotButton="0" quotePrefix="0" xfId="1">
      <alignment horizontal="right" vertical="center"/>
    </xf>
    <xf numFmtId="9" fontId="13" fillId="3" borderId="36" applyAlignment="1" pivotButton="0" quotePrefix="0" xfId="1">
      <alignment horizontal="right" vertical="center"/>
    </xf>
    <xf numFmtId="9" fontId="13" fillId="3" borderId="29" applyAlignment="1" pivotButton="0" quotePrefix="0" xfId="1">
      <alignment horizontal="right" vertical="center"/>
    </xf>
    <xf numFmtId="164" fontId="14" fillId="3" borderId="124" applyAlignment="1" pivotButton="0" quotePrefix="0" xfId="3">
      <alignment horizontal="right" vertical="center"/>
    </xf>
    <xf numFmtId="164" fontId="14" fillId="3" borderId="68" applyAlignment="1" pivotButton="0" quotePrefix="0" xfId="3">
      <alignment horizontal="right" vertical="center"/>
    </xf>
    <xf numFmtId="164" fontId="14" fillId="3" borderId="32" applyAlignment="1" pivotButton="0" quotePrefix="0" xfId="3">
      <alignment horizontal="right" vertical="center"/>
    </xf>
    <xf numFmtId="164" fontId="13" fillId="3" borderId="37" applyAlignment="1" pivotButton="0" quotePrefix="0" xfId="3">
      <alignment horizontal="right" vertical="center"/>
    </xf>
    <xf numFmtId="164" fontId="13" fillId="3" borderId="68" applyAlignment="1" pivotButton="0" quotePrefix="0" xfId="3">
      <alignment horizontal="right" vertical="center"/>
    </xf>
    <xf numFmtId="164" fontId="13" fillId="3" borderId="32" applyAlignment="1" pivotButton="0" quotePrefix="0" xfId="3">
      <alignment horizontal="right" vertical="center"/>
    </xf>
    <xf numFmtId="9" fontId="13" fillId="3" borderId="37" applyAlignment="1" pivotButton="0" quotePrefix="0" xfId="1">
      <alignment horizontal="right" vertical="center"/>
    </xf>
    <xf numFmtId="9" fontId="13" fillId="3" borderId="68" applyAlignment="1" pivotButton="0" quotePrefix="0" xfId="1">
      <alignment horizontal="right" vertical="center"/>
    </xf>
    <xf numFmtId="9" fontId="13" fillId="3" borderId="32" applyAlignment="1" pivotButton="0" quotePrefix="0" xfId="1">
      <alignment horizontal="right" vertical="center"/>
    </xf>
    <xf numFmtId="165" fontId="13" fillId="3" borderId="37" applyAlignment="1" pivotButton="0" quotePrefix="0" xfId="0">
      <alignment horizontal="right" vertical="center"/>
    </xf>
    <xf numFmtId="165" fontId="13" fillId="3" borderId="68" applyAlignment="1" pivotButton="0" quotePrefix="0" xfId="0">
      <alignment horizontal="right" vertical="center"/>
    </xf>
    <xf numFmtId="165" fontId="13" fillId="3" borderId="32" applyAlignment="1" pivotButton="0" quotePrefix="0" xfId="0">
      <alignment horizontal="right" vertical="center"/>
    </xf>
    <xf numFmtId="164" fontId="14" fillId="3" borderId="36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4" fontId="13" fillId="3" borderId="61" applyAlignment="1" pivotButton="0" quotePrefix="0" xfId="3">
      <alignment horizontal="right" vertical="center"/>
    </xf>
    <xf numFmtId="164" fontId="13" fillId="3" borderId="36" applyAlignment="1" pivotButton="0" quotePrefix="0" xfId="3">
      <alignment horizontal="right" vertical="center"/>
    </xf>
    <xf numFmtId="164" fontId="13" fillId="3" borderId="29" applyAlignment="1" pivotButton="0" quotePrefix="0" xfId="3">
      <alignment horizontal="right" vertical="center"/>
    </xf>
    <xf numFmtId="164" fontId="14" fillId="3" borderId="35" applyAlignment="1" pivotButton="0" quotePrefix="0" xfId="3">
      <alignment horizontal="right" vertical="center"/>
    </xf>
    <xf numFmtId="9" fontId="13" fillId="3" borderId="60" applyAlignment="1" pivotButton="0" quotePrefix="0" xfId="1">
      <alignment horizontal="right" vertical="center"/>
    </xf>
    <xf numFmtId="9" fontId="13" fillId="3" borderId="40" applyAlignment="1" pivotButton="0" quotePrefix="0" xfId="1">
      <alignment horizontal="right" vertical="center"/>
    </xf>
    <xf numFmtId="9" fontId="13" fillId="3" borderId="41" applyAlignment="1" pivotButton="0" quotePrefix="0" xfId="1">
      <alignment horizontal="right" vertical="center"/>
    </xf>
    <xf numFmtId="165" fontId="13" fillId="3" borderId="61" applyAlignment="1" pivotButton="0" quotePrefix="0" xfId="3">
      <alignment horizontal="right" vertical="center"/>
    </xf>
    <xf numFmtId="165" fontId="13" fillId="3" borderId="36" applyAlignment="1" pivotButton="0" quotePrefix="0" xfId="3">
      <alignment horizontal="right" vertical="center"/>
    </xf>
    <xf numFmtId="165" fontId="13" fillId="3" borderId="29" applyAlignment="1" pivotButton="0" quotePrefix="0" xfId="3">
      <alignment horizontal="right" vertical="center"/>
    </xf>
    <xf numFmtId="9" fontId="14" fillId="3" borderId="40" applyAlignment="1" pivotButton="0" quotePrefix="0" xfId="1">
      <alignment horizontal="right" vertical="center"/>
    </xf>
    <xf numFmtId="9" fontId="14" fillId="3" borderId="41" applyAlignment="1" pivotButton="0" quotePrefix="0" xfId="1">
      <alignment horizontal="right" vertical="center"/>
    </xf>
    <xf numFmtId="9" fontId="14" fillId="3" borderId="39" applyAlignment="1" pivotButton="0" quotePrefix="0" xfId="1">
      <alignment horizontal="right" vertical="center"/>
    </xf>
    <xf numFmtId="168" fontId="13" fillId="3" borderId="60" applyAlignment="1" pivotButton="0" quotePrefix="0" xfId="1">
      <alignment horizontal="right" vertical="center"/>
    </xf>
    <xf numFmtId="168" fontId="13" fillId="3" borderId="40" applyAlignment="1" pivotButton="0" quotePrefix="0" xfId="1">
      <alignment horizontal="right" vertical="center"/>
    </xf>
    <xf numFmtId="168" fontId="13" fillId="3" borderId="41" applyAlignment="1" pivotButton="0" quotePrefix="0" xfId="1">
      <alignment horizontal="right" vertical="center"/>
    </xf>
    <xf numFmtId="0" fontId="14" fillId="2" borderId="152" applyAlignment="1" pivotButton="0" quotePrefix="0" xfId="0">
      <alignment horizontal="center" vertical="center"/>
    </xf>
    <xf numFmtId="0" fontId="14" fillId="2" borderId="153" applyAlignment="1" pivotButton="0" quotePrefix="0" xfId="0">
      <alignment horizontal="center" vertical="center"/>
    </xf>
    <xf numFmtId="0" fontId="14" fillId="2" borderId="154" applyAlignment="1" pivotButton="0" quotePrefix="0" xfId="0">
      <alignment horizontal="center" vertical="center"/>
    </xf>
    <xf numFmtId="0" fontId="13" fillId="2" borderId="153" applyAlignment="1" pivotButton="0" quotePrefix="0" xfId="0">
      <alignment horizontal="center" vertical="center"/>
    </xf>
    <xf numFmtId="0" fontId="13" fillId="2" borderId="154" applyAlignment="1" pivotButton="0" quotePrefix="0" xfId="0">
      <alignment horizontal="center" vertical="center"/>
    </xf>
    <xf numFmtId="0" fontId="13" fillId="2" borderId="58" applyAlignment="1" pivotButton="0" quotePrefix="0" xfId="0">
      <alignment horizontal="center" vertical="center"/>
    </xf>
    <xf numFmtId="0" fontId="14" fillId="0" borderId="61" applyAlignment="1" pivotButton="0" quotePrefix="0" xfId="0">
      <alignment horizontal="center" vertical="center"/>
    </xf>
    <xf numFmtId="0" fontId="14" fillId="0" borderId="104" applyAlignment="1" pivotButton="0" quotePrefix="0" xfId="0">
      <alignment horizontal="center" vertical="center"/>
    </xf>
    <xf numFmtId="0" fontId="13" fillId="2" borderId="11" applyAlignment="1" pivotButton="0" quotePrefix="0" xfId="0">
      <alignment horizontal="center" vertical="center"/>
    </xf>
    <xf numFmtId="0" fontId="13" fillId="2" borderId="82" applyAlignment="1" pivotButton="0" quotePrefix="0" xfId="0">
      <alignment horizontal="center" vertical="center"/>
    </xf>
    <xf numFmtId="0" fontId="13" fillId="2" borderId="59" applyAlignment="1" pivotButton="0" quotePrefix="0" xfId="0">
      <alignment horizontal="center" vertical="center"/>
    </xf>
    <xf numFmtId="0" fontId="14" fillId="2" borderId="102" applyAlignment="1" pivotButton="0" quotePrefix="0" xfId="0">
      <alignment horizontal="center" vertical="center"/>
    </xf>
    <xf numFmtId="0" fontId="14" fillId="2" borderId="65" applyAlignment="1" pivotButton="0" quotePrefix="0" xfId="0">
      <alignment horizontal="center" vertical="center"/>
    </xf>
    <xf numFmtId="0" fontId="14" fillId="2" borderId="117" applyAlignment="1" pivotButton="0" quotePrefix="0" xfId="0">
      <alignment horizontal="center" vertical="center"/>
    </xf>
    <xf numFmtId="0" fontId="14" fillId="2" borderId="66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2" borderId="100" applyAlignment="1" pivotButton="0" quotePrefix="0" xfId="0">
      <alignment horizontal="center" vertical="center"/>
    </xf>
    <xf numFmtId="0" fontId="14" fillId="2" borderId="101" applyAlignment="1" pivotButton="0" quotePrefix="0" xfId="0">
      <alignment horizontal="center" vertical="center"/>
    </xf>
    <xf numFmtId="0" fontId="14" fillId="0" borderId="37" applyAlignment="1" pivotButton="0" quotePrefix="0" xfId="0">
      <alignment horizontal="center" vertical="center"/>
    </xf>
    <xf numFmtId="0" fontId="14" fillId="0" borderId="105" applyAlignment="1" pivotButton="0" quotePrefix="0" xfId="0">
      <alignment horizontal="center" vertical="center"/>
    </xf>
    <xf numFmtId="0" fontId="14" fillId="2" borderId="150" applyAlignment="1" pivotButton="0" quotePrefix="0" xfId="0">
      <alignment horizontal="center" vertical="center"/>
    </xf>
    <xf numFmtId="0" fontId="14" fillId="2" borderId="143" applyAlignment="1" pivotButton="0" quotePrefix="0" xfId="0">
      <alignment horizontal="center" vertical="center"/>
    </xf>
    <xf numFmtId="0" fontId="14" fillId="2" borderId="146" applyAlignment="1" pivotButton="0" quotePrefix="0" xfId="0">
      <alignment horizontal="center" vertical="center"/>
    </xf>
    <xf numFmtId="0" fontId="14" fillId="0" borderId="60" applyAlignment="1" pivotButton="0" quotePrefix="0" xfId="0">
      <alignment horizontal="center" vertical="center"/>
    </xf>
    <xf numFmtId="0" fontId="14" fillId="0" borderId="103" applyAlignment="1" pivotButton="0" quotePrefix="0" xfId="0">
      <alignment horizontal="center" vertical="center"/>
    </xf>
    <xf numFmtId="0" fontId="13" fillId="2" borderId="15" applyAlignment="1" pivotButton="0" quotePrefix="0" xfId="0">
      <alignment horizontal="center" vertical="center"/>
    </xf>
    <xf numFmtId="0" fontId="13" fillId="2" borderId="138" applyAlignment="1" pivotButton="0" quotePrefix="0" xfId="0">
      <alignment horizontal="center" vertical="center"/>
    </xf>
    <xf numFmtId="0" fontId="14" fillId="2" borderId="106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6" applyAlignment="1" pivotButton="0" quotePrefix="0" xfId="0">
      <alignment horizontal="center" vertical="center"/>
    </xf>
    <xf numFmtId="0" fontId="14" fillId="2" borderId="128" applyAlignment="1" pivotButton="0" quotePrefix="0" xfId="0">
      <alignment horizontal="center" vertical="center" wrapText="1"/>
    </xf>
    <xf numFmtId="0" fontId="14" fillId="2" borderId="144" applyAlignment="1" pivotButton="0" quotePrefix="0" xfId="0">
      <alignment horizontal="center" vertical="center" wrapText="1"/>
    </xf>
    <xf numFmtId="0" fontId="14" fillId="2" borderId="82" applyAlignment="1" pivotButton="0" quotePrefix="0" xfId="0">
      <alignment horizontal="center" vertical="center" wrapText="1"/>
    </xf>
    <xf numFmtId="0" fontId="14" fillId="2" borderId="59" applyAlignment="1" pivotButton="0" quotePrefix="0" xfId="0">
      <alignment horizontal="center" vertical="center" wrapText="1"/>
    </xf>
    <xf numFmtId="0" fontId="14" fillId="2" borderId="131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 wrapText="1"/>
    </xf>
    <xf numFmtId="0" fontId="14" fillId="2" borderId="33" applyAlignment="1" pivotButton="0" quotePrefix="0" xfId="0">
      <alignment horizontal="center" vertical="center" wrapText="1"/>
    </xf>
    <xf numFmtId="0" fontId="14" fillId="2" borderId="30" applyAlignment="1" pivotButton="0" quotePrefix="0" xfId="0">
      <alignment horizontal="center" vertical="center"/>
    </xf>
    <xf numFmtId="0" fontId="14" fillId="2" borderId="33" applyAlignment="1" pivotButton="0" quotePrefix="0" xfId="0">
      <alignment horizontal="center" vertical="center"/>
    </xf>
    <xf numFmtId="0" fontId="14" fillId="2" borderId="53" applyAlignment="1" pivotButton="0" quotePrefix="0" xfId="0">
      <alignment horizontal="center" vertical="center"/>
    </xf>
    <xf numFmtId="0" fontId="14" fillId="2" borderId="145" applyAlignment="1" pivotButton="0" quotePrefix="0" xfId="0">
      <alignment horizontal="center" vertical="center"/>
    </xf>
    <xf numFmtId="0" fontId="14" fillId="2" borderId="27" applyAlignment="1" pivotButton="0" quotePrefix="0" xfId="0">
      <alignment horizontal="center" vertical="center"/>
    </xf>
    <xf numFmtId="0" fontId="28" fillId="3" borderId="140" applyAlignment="1" pivotButton="0" quotePrefix="0" xfId="0">
      <alignment horizontal="center" vertical="center" wrapText="1"/>
    </xf>
    <xf numFmtId="0" fontId="28" fillId="3" borderId="141" applyAlignment="1" pivotButton="0" quotePrefix="0" xfId="0">
      <alignment horizontal="center" vertical="center" wrapText="1"/>
    </xf>
    <xf numFmtId="0" fontId="28" fillId="3" borderId="142" applyAlignment="1" pivotButton="0" quotePrefix="0" xfId="0">
      <alignment horizontal="center" vertical="center" wrapText="1"/>
    </xf>
    <xf numFmtId="0" fontId="28" fillId="3" borderId="34" applyAlignment="1" pivotButton="0" quotePrefix="0" xfId="0">
      <alignment horizontal="center" vertical="center" wrapText="1"/>
    </xf>
    <xf numFmtId="0" fontId="28" fillId="3" borderId="17" applyAlignment="1" pivotButton="0" quotePrefix="0" xfId="0">
      <alignment horizontal="center" vertical="center" wrapText="1"/>
    </xf>
    <xf numFmtId="0" fontId="28" fillId="3" borderId="14" applyAlignment="1" pivotButton="0" quotePrefix="0" xfId="0">
      <alignment horizontal="center" vertical="center" wrapText="1"/>
    </xf>
    <xf numFmtId="167" fontId="27" fillId="0" borderId="140" applyAlignment="1" pivotButton="0" quotePrefix="0" xfId="0">
      <alignment horizontal="center" vertical="center"/>
    </xf>
    <xf numFmtId="167" fontId="27" fillId="0" borderId="141" applyAlignment="1" pivotButton="0" quotePrefix="0" xfId="0">
      <alignment horizontal="center" vertical="center"/>
    </xf>
    <xf numFmtId="167" fontId="27" fillId="0" borderId="142" applyAlignment="1" pivotButton="0" quotePrefix="0" xfId="0">
      <alignment horizontal="center" vertical="center"/>
    </xf>
    <xf numFmtId="167" fontId="27" fillId="0" borderId="34" applyAlignment="1" pivotButton="0" quotePrefix="0" xfId="0">
      <alignment horizontal="center" vertical="center"/>
    </xf>
    <xf numFmtId="167" fontId="27" fillId="0" borderId="17" applyAlignment="1" pivotButton="0" quotePrefix="0" xfId="0">
      <alignment horizontal="center" vertical="center"/>
    </xf>
    <xf numFmtId="167" fontId="27" fillId="0" borderId="14" applyAlignment="1" pivotButton="0" quotePrefix="0" xfId="0">
      <alignment horizontal="center" vertical="center"/>
    </xf>
    <xf numFmtId="0" fontId="14" fillId="3" borderId="136" applyAlignment="1" pivotButton="0" quotePrefix="0" xfId="0">
      <alignment horizontal="center" vertical="center"/>
    </xf>
    <xf numFmtId="0" fontId="14" fillId="2" borderId="77" applyAlignment="1" pivotButton="0" quotePrefix="0" xfId="0">
      <alignment horizontal="center" vertical="center"/>
    </xf>
    <xf numFmtId="0" fontId="14" fillId="2" borderId="61" applyAlignment="1" pivotButton="0" quotePrefix="0" xfId="0">
      <alignment horizontal="center" vertical="center"/>
    </xf>
    <xf numFmtId="0" fontId="14" fillId="2" borderId="37" applyAlignment="1" pivotButton="0" quotePrefix="0" xfId="0">
      <alignment horizontal="center" vertical="center"/>
    </xf>
    <xf numFmtId="0" fontId="14" fillId="2" borderId="60" applyAlignment="1" pivotButton="0" quotePrefix="0" xfId="0">
      <alignment horizontal="center" vertical="center" wrapText="1"/>
    </xf>
    <xf numFmtId="0" fontId="14" fillId="2" borderId="61" applyAlignment="1" pivotButton="0" quotePrefix="0" xfId="0">
      <alignment horizontal="center" vertical="center" wrapText="1"/>
    </xf>
    <xf numFmtId="0" fontId="14" fillId="2" borderId="37" applyAlignment="1" pivotButton="0" quotePrefix="0" xfId="0">
      <alignment horizontal="center" vertical="center" wrapText="1"/>
    </xf>
    <xf numFmtId="0" fontId="14" fillId="2" borderId="58" applyAlignment="1" pivotButton="0" quotePrefix="0" xfId="0">
      <alignment horizontal="center" vertical="center" wrapText="1"/>
    </xf>
    <xf numFmtId="0" fontId="14" fillId="2" borderId="5" applyAlignment="1" pivotButton="0" quotePrefix="0" xfId="0">
      <alignment horizontal="center" vertical="center"/>
    </xf>
    <xf numFmtId="0" fontId="14" fillId="2" borderId="11" applyAlignment="1" pivotButton="0" quotePrefix="0" xfId="0">
      <alignment horizontal="center" vertical="center"/>
    </xf>
    <xf numFmtId="0" fontId="14" fillId="2" borderId="74" applyAlignment="1" pivotButton="0" quotePrefix="0" xfId="0">
      <alignment horizontal="center" vertical="center"/>
    </xf>
    <xf numFmtId="0" fontId="14" fillId="2" borderId="97" applyAlignment="1" pivotButton="0" quotePrefix="0" xfId="0">
      <alignment horizontal="center" vertical="center"/>
    </xf>
    <xf numFmtId="0" fontId="22" fillId="3" borderId="35" applyAlignment="1" pivotButton="0" quotePrefix="0" xfId="0">
      <alignment horizontal="left" vertical="center"/>
    </xf>
    <xf numFmtId="0" fontId="22" fillId="3" borderId="36" applyAlignment="1" pivotButton="0" quotePrefix="0" xfId="0">
      <alignment horizontal="left" vertical="center"/>
    </xf>
    <xf numFmtId="0" fontId="22" fillId="3" borderId="29" applyAlignment="1" pivotButton="0" quotePrefix="0" xfId="0">
      <alignment horizontal="left" vertical="center"/>
    </xf>
    <xf numFmtId="0" fontId="14" fillId="2" borderId="98" applyAlignment="1" pivotButton="0" quotePrefix="0" xfId="0">
      <alignment horizontal="center" vertical="center"/>
    </xf>
    <xf numFmtId="0" fontId="14" fillId="2" borderId="99" applyAlignment="1" pivotButton="0" quotePrefix="0" xfId="0">
      <alignment horizontal="center" vertical="center"/>
    </xf>
    <xf numFmtId="0" fontId="22" fillId="3" borderId="39" applyAlignment="1" pivotButton="0" quotePrefix="0" xfId="0">
      <alignment horizontal="left" vertical="center"/>
    </xf>
    <xf numFmtId="0" fontId="22" fillId="3" borderId="40" applyAlignment="1" pivotButton="0" quotePrefix="0" xfId="0">
      <alignment horizontal="left" vertical="center"/>
    </xf>
    <xf numFmtId="0" fontId="22" fillId="3" borderId="41" applyAlignment="1" pivotButton="0" quotePrefix="0" xfId="0">
      <alignment horizontal="left" vertical="center"/>
    </xf>
    <xf numFmtId="9" fontId="13" fillId="3" borderId="105" applyAlignment="1" pivotButton="0" quotePrefix="0" xfId="1">
      <alignment horizontal="right" vertical="center"/>
    </xf>
    <xf numFmtId="9" fontId="13" fillId="3" borderId="104" applyAlignment="1" pivotButton="0" quotePrefix="0" xfId="1">
      <alignment horizontal="right" vertical="center"/>
    </xf>
    <xf numFmtId="9" fontId="13" fillId="3" borderId="103" applyAlignment="1" pivotButton="0" quotePrefix="0" xfId="1">
      <alignment horizontal="right" vertical="center"/>
    </xf>
    <xf numFmtId="0" fontId="14" fillId="2" borderId="119" applyAlignment="1" pivotButton="0" quotePrefix="0" xfId="0">
      <alignment horizontal="center" vertical="center"/>
    </xf>
    <xf numFmtId="0" fontId="14" fillId="2" borderId="118" applyAlignment="1" pivotButton="0" quotePrefix="0" xfId="0">
      <alignment horizontal="center" vertical="center"/>
    </xf>
    <xf numFmtId="0" fontId="14" fillId="2" borderId="120" applyAlignment="1" pivotButton="0" quotePrefix="0" xfId="0">
      <alignment horizontal="center" vertical="center"/>
    </xf>
    <xf numFmtId="0" fontId="13" fillId="2" borderId="118" applyAlignment="1" pivotButton="0" quotePrefix="0" xfId="0">
      <alignment horizontal="center" vertical="center"/>
    </xf>
    <xf numFmtId="0" fontId="13" fillId="2" borderId="120" applyAlignment="1" pivotButton="0" quotePrefix="0" xfId="0">
      <alignment horizontal="center" vertical="center"/>
    </xf>
    <xf numFmtId="0" fontId="13" fillId="2" borderId="121" applyAlignment="1" pivotButton="0" quotePrefix="0" xfId="0">
      <alignment horizontal="center" vertical="center"/>
    </xf>
    <xf numFmtId="0" fontId="13" fillId="2" borderId="122" applyAlignment="1" pivotButton="0" quotePrefix="0" xfId="0">
      <alignment horizontal="center" vertical="center"/>
    </xf>
    <xf numFmtId="0" fontId="14" fillId="2" borderId="139" applyAlignment="1" pivotButton="0" quotePrefix="0" xfId="0">
      <alignment horizontal="center" vertical="center"/>
    </xf>
    <xf numFmtId="0" fontId="14" fillId="2" borderId="67" applyAlignment="1" pivotButton="0" quotePrefix="0" xfId="0">
      <alignment horizontal="center" vertical="center"/>
    </xf>
    <xf numFmtId="0" fontId="14" fillId="2" borderId="26" applyAlignment="1" pivotButton="0" quotePrefix="0" xfId="0">
      <alignment horizontal="center" vertical="center"/>
    </xf>
    <xf numFmtId="0" fontId="14" fillId="2" borderId="83" applyAlignment="1" pivotButton="0" quotePrefix="0" xfId="0">
      <alignment horizontal="center" vertical="center"/>
    </xf>
    <xf numFmtId="0" fontId="14" fillId="2" borderId="78" applyAlignment="1" pivotButton="0" quotePrefix="0" xfId="0">
      <alignment horizontal="center" vertical="center"/>
    </xf>
    <xf numFmtId="167" fontId="24" fillId="0" borderId="114" applyAlignment="1" pivotButton="0" quotePrefix="0" xfId="0">
      <alignment horizontal="center" vertical="center"/>
    </xf>
    <xf numFmtId="167" fontId="24" fillId="0" borderId="115" applyAlignment="1" pivotButton="0" quotePrefix="0" xfId="0">
      <alignment horizontal="center" vertical="center"/>
    </xf>
    <xf numFmtId="167" fontId="24" fillId="0" borderId="107" applyAlignment="1" pivotButton="0" quotePrefix="0" xfId="0">
      <alignment horizontal="center" vertical="center"/>
    </xf>
    <xf numFmtId="167" fontId="24" fillId="0" borderId="62" applyAlignment="1" pivotButton="0" quotePrefix="0" xfId="0">
      <alignment horizontal="center" vertical="center"/>
    </xf>
    <xf numFmtId="0" fontId="22" fillId="0" borderId="90" applyAlignment="1" pivotButton="0" quotePrefix="0" xfId="0">
      <alignment horizontal="left" vertical="center"/>
    </xf>
    <xf numFmtId="0" fontId="22" fillId="0" borderId="72" applyAlignment="1" pivotButton="0" quotePrefix="0" xfId="0">
      <alignment horizontal="left" vertical="center"/>
    </xf>
    <xf numFmtId="0" fontId="22" fillId="0" borderId="73" applyAlignment="1" pivotButton="0" quotePrefix="0" xfId="0">
      <alignment horizontal="left" vertical="center"/>
    </xf>
    <xf numFmtId="0" fontId="22" fillId="0" borderId="91" applyAlignment="1" pivotButton="0" quotePrefix="0" xfId="0">
      <alignment horizontal="left" vertical="center"/>
    </xf>
    <xf numFmtId="0" fontId="22" fillId="0" borderId="75" applyAlignment="1" pivotButton="0" quotePrefix="0" xfId="0">
      <alignment horizontal="left" vertical="center"/>
    </xf>
    <xf numFmtId="0" fontId="22" fillId="0" borderId="76" applyAlignment="1" pivotButton="0" quotePrefix="0" xfId="0">
      <alignment horizontal="left" vertical="center"/>
    </xf>
    <xf numFmtId="0" fontId="22" fillId="0" borderId="96" applyAlignment="1" pivotButton="0" quotePrefix="0" xfId="0">
      <alignment horizontal="left" vertical="center"/>
    </xf>
    <xf numFmtId="0" fontId="22" fillId="0" borderId="94" applyAlignment="1" pivotButton="0" quotePrefix="0" xfId="0">
      <alignment horizontal="left" vertical="center"/>
    </xf>
    <xf numFmtId="0" fontId="22" fillId="0" borderId="95" applyAlignment="1" pivotButton="0" quotePrefix="0" xfId="0">
      <alignment horizontal="left" vertical="center"/>
    </xf>
    <xf numFmtId="9" fontId="22" fillId="0" borderId="54" applyAlignment="1" pivotButton="0" quotePrefix="0" xfId="1">
      <alignment horizontal="right" vertical="center"/>
    </xf>
    <xf numFmtId="164" fontId="22" fillId="0" borderId="53" applyAlignment="1" pivotButton="0" quotePrefix="0" xfId="3">
      <alignment horizontal="center" vertical="center"/>
    </xf>
    <xf numFmtId="0" fontId="3" fillId="2" borderId="48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 wrapText="1"/>
    </xf>
    <xf numFmtId="0" fontId="21" fillId="0" borderId="46" applyAlignment="1" pivotButton="0" quotePrefix="0" xfId="0">
      <alignment horizontal="left" vertical="center" wrapText="1"/>
    </xf>
    <xf numFmtId="0" fontId="11" fillId="0" borderId="46" applyAlignment="1" pivotButton="0" quotePrefix="0" xfId="0">
      <alignment horizontal="right" vertical="center"/>
    </xf>
    <xf numFmtId="0" fontId="3" fillId="3" borderId="46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4" fontId="22" fillId="0" borderId="51" applyAlignment="1" pivotButton="0" quotePrefix="0" xfId="3">
      <alignment horizontal="center" vertical="center"/>
    </xf>
    <xf numFmtId="0" fontId="22" fillId="0" borderId="53" applyAlignment="1" pivotButton="0" quotePrefix="0" xfId="0">
      <alignment horizontal="right" vertical="center"/>
    </xf>
    <xf numFmtId="9" fontId="22" fillId="0" borderId="15" applyAlignment="1" pivotButton="0" quotePrefix="0" xfId="0">
      <alignment horizontal="right" vertical="center"/>
    </xf>
    <xf numFmtId="9" fontId="22" fillId="0" borderId="16" applyAlignment="1" pivotButton="0" quotePrefix="0" xfId="0">
      <alignment horizontal="right" vertical="center"/>
    </xf>
    <xf numFmtId="9" fontId="22" fillId="0" borderId="55" applyAlignment="1" pivotButton="0" quotePrefix="0" xfId="0">
      <alignment horizontal="right" vertical="center"/>
    </xf>
    <xf numFmtId="9" fontId="22" fillId="0" borderId="49" applyAlignment="1" pivotButton="0" quotePrefix="0" xfId="0">
      <alignment horizontal="right" vertical="center"/>
    </xf>
    <xf numFmtId="0" fontId="22" fillId="0" borderId="51" applyAlignment="1" pivotButton="0" quotePrefix="0" xfId="0">
      <alignment horizontal="right" vertical="center"/>
    </xf>
    <xf numFmtId="0" fontId="22" fillId="0" borderId="52" applyAlignment="1" pivotButton="0" quotePrefix="0" xfId="0">
      <alignment horizontal="right" vertical="center"/>
    </xf>
    <xf numFmtId="0" fontId="22" fillId="0" borderId="50" applyAlignment="1" pivotButton="0" quotePrefix="0" xfId="0">
      <alignment horizontal="right" vertical="center"/>
    </xf>
    <xf numFmtId="0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right" vertical="center"/>
    </xf>
    <xf numFmtId="0" fontId="3" fillId="3" borderId="47" applyAlignment="1" pivotButton="0" quotePrefix="0" xfId="0">
      <alignment horizontal="center" vertical="center"/>
    </xf>
    <xf numFmtId="0" fontId="14" fillId="2" borderId="46" applyAlignment="1" pivotButton="0" quotePrefix="0" xfId="0">
      <alignment horizontal="center" vertical="center"/>
    </xf>
    <xf numFmtId="0" fontId="14" fillId="2" borderId="49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14" fillId="2" borderId="16" applyAlignment="1" pivotButton="0" quotePrefix="0" xfId="0">
      <alignment horizontal="center" vertical="center"/>
    </xf>
    <xf numFmtId="0" fontId="14" fillId="2" borderId="47" applyAlignment="1" pivotButton="0" quotePrefix="0" xfId="0">
      <alignment horizontal="center" vertical="center"/>
    </xf>
    <xf numFmtId="0" fontId="14" fillId="2" borderId="50" applyAlignment="1" pivotButton="0" quotePrefix="0" xfId="0">
      <alignment horizontal="center" vertical="center"/>
    </xf>
    <xf numFmtId="0" fontId="22" fillId="0" borderId="54" applyAlignment="1" pivotButton="0" quotePrefix="1" xfId="0">
      <alignment horizontal="right" vertical="center"/>
    </xf>
    <xf numFmtId="0" fontId="22" fillId="0" borderId="54" applyAlignment="1" pivotButton="0" quotePrefix="0" xfId="0">
      <alignment horizontal="right" vertical="center"/>
    </xf>
    <xf numFmtId="164" fontId="4" fillId="0" borderId="55" applyAlignment="1" pivotButton="0" quotePrefix="0" xfId="3">
      <alignment horizontal="center" vertical="center"/>
    </xf>
    <xf numFmtId="164" fontId="4" fillId="0" borderId="46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0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4" fillId="0" borderId="47" applyAlignment="1" pivotButton="0" quotePrefix="0" xfId="3">
      <alignment horizontal="center" vertical="center"/>
    </xf>
    <xf numFmtId="164" fontId="14" fillId="0" borderId="55" applyAlignment="1" pivotButton="0" quotePrefix="0" xfId="3">
      <alignment horizontal="right" vertical="center"/>
    </xf>
    <xf numFmtId="164" fontId="14" fillId="0" borderId="49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0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16" applyAlignment="1" pivotButton="0" quotePrefix="0" xfId="3">
      <alignment horizontal="right" vertical="center"/>
    </xf>
    <xf numFmtId="164" fontId="14" fillId="0" borderId="46" applyAlignment="1" pivotButton="0" quotePrefix="0" xfId="3">
      <alignment horizontal="right" vertical="center"/>
    </xf>
    <xf numFmtId="164" fontId="14" fillId="0" borderId="0" applyAlignment="1" pivotButton="0" quotePrefix="0" xfId="3">
      <alignment horizontal="right" vertical="center"/>
    </xf>
    <xf numFmtId="164" fontId="14" fillId="0" borderId="47" applyAlignment="1" pivotButton="0" quotePrefix="0" xfId="3">
      <alignment horizontal="right" vertical="center"/>
    </xf>
    <xf numFmtId="0" fontId="14" fillId="3" borderId="38" applyAlignment="1" pivotButton="0" quotePrefix="0" xfId="0">
      <alignment horizontal="right" vertical="center"/>
    </xf>
    <xf numFmtId="0" fontId="14" fillId="3" borderId="41" applyAlignment="1" pivotButton="0" quotePrefix="0" xfId="0">
      <alignment horizontal="right" vertical="center"/>
    </xf>
    <xf numFmtId="0" fontId="14" fillId="3" borderId="132" applyAlignment="1" pivotButton="0" quotePrefix="0" xfId="0">
      <alignment horizontal="right" vertical="center"/>
    </xf>
    <xf numFmtId="0" fontId="14" fillId="3" borderId="30" applyAlignment="1" pivotButton="0" quotePrefix="0" xfId="0">
      <alignment horizontal="right" vertical="center"/>
    </xf>
    <xf numFmtId="0" fontId="14" fillId="3" borderId="28" applyAlignment="1" pivotButton="0" quotePrefix="0" xfId="0">
      <alignment horizontal="right" vertical="center"/>
    </xf>
    <xf numFmtId="0" fontId="14" fillId="3" borderId="29" applyAlignment="1" pivotButton="0" quotePrefix="0" xfId="0">
      <alignment horizontal="right" vertical="center"/>
    </xf>
    <xf numFmtId="0" fontId="14" fillId="3" borderId="134" applyAlignment="1" pivotButton="0" quotePrefix="0" xfId="0">
      <alignment horizontal="right" vertical="center"/>
    </xf>
    <xf numFmtId="0" fontId="14" fillId="3" borderId="33" applyAlignment="1" pivotButton="0" quotePrefix="0" xfId="0">
      <alignment horizontal="right" vertical="center"/>
    </xf>
    <xf numFmtId="0" fontId="14" fillId="3" borderId="31" applyAlignment="1" pivotButton="0" quotePrefix="0" xfId="0">
      <alignment horizontal="right" vertical="center"/>
    </xf>
    <xf numFmtId="0" fontId="14" fillId="3" borderId="32" applyAlignment="1" pivotButton="0" quotePrefix="0" xfId="0">
      <alignment horizontal="right" vertical="center"/>
    </xf>
    <xf numFmtId="0" fontId="14" fillId="3" borderId="133" applyAlignment="1" pivotButton="0" quotePrefix="0" xfId="0">
      <alignment horizontal="right" vertical="center"/>
    </xf>
    <xf numFmtId="0" fontId="14" fillId="3" borderId="27" applyAlignment="1" pivotButton="0" quotePrefix="0" xfId="0">
      <alignment horizontal="right" vertical="center"/>
    </xf>
    <xf numFmtId="0" fontId="14" fillId="3" borderId="25" applyAlignment="1" pivotButton="0" quotePrefix="0" xfId="0">
      <alignment horizontal="right" vertical="center"/>
    </xf>
    <xf numFmtId="0" fontId="14" fillId="3" borderId="26" applyAlignment="1" pivotButton="0" quotePrefix="0" xfId="0">
      <alignment horizontal="right" vertical="center"/>
    </xf>
    <xf numFmtId="169" fontId="14" fillId="2" borderId="129" applyAlignment="1" pivotButton="0" quotePrefix="1" xfId="0">
      <alignment horizontal="center" vertical="center"/>
    </xf>
    <xf numFmtId="9" fontId="14" fillId="3" borderId="13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164" fontId="15" fillId="0" borderId="29" applyAlignment="1" pivotButton="0" quotePrefix="0" xfId="3">
      <alignment horizontal="right" vertical="center"/>
    </xf>
    <xf numFmtId="164" fontId="15" fillId="0" borderId="30" applyAlignment="1" pivotButton="0" quotePrefix="0" xfId="3">
      <alignment horizontal="right" vertical="center"/>
    </xf>
    <xf numFmtId="165" fontId="16" fillId="0" borderId="30" applyAlignment="1" pivotButton="0" quotePrefix="0" xfId="3">
      <alignment horizontal="right" vertical="center"/>
    </xf>
    <xf numFmtId="165" fontId="15" fillId="0" borderId="30" applyAlignment="1" pivotButton="0" quotePrefix="0" xfId="3">
      <alignment horizontal="right" vertical="center"/>
    </xf>
    <xf numFmtId="164" fontId="15" fillId="0" borderId="32" applyAlignment="1" pivotButton="0" quotePrefix="0" xfId="3">
      <alignment horizontal="right" vertical="center"/>
    </xf>
    <xf numFmtId="164" fontId="15" fillId="0" borderId="33" applyAlignment="1" pivotButton="0" quotePrefix="0" xfId="3">
      <alignment horizontal="right" vertical="center"/>
    </xf>
    <xf numFmtId="165" fontId="15" fillId="0" borderId="33" applyAlignment="1" pivotButton="0" quotePrefix="0" xfId="3">
      <alignment horizontal="right" vertical="center"/>
    </xf>
    <xf numFmtId="166" fontId="16" fillId="0" borderId="27" applyAlignment="1" pivotButton="0" quotePrefix="0" xfId="1">
      <alignment horizontal="right" vertical="center"/>
    </xf>
    <xf numFmtId="165" fontId="17" fillId="0" borderId="30" applyAlignment="1" pivotButton="0" quotePrefix="0" xfId="3">
      <alignment horizontal="right" vertical="center"/>
    </xf>
    <xf numFmtId="165" fontId="16" fillId="0" borderId="33" applyAlignment="1" pivotButton="0" quotePrefix="0" xfId="3">
      <alignment horizontal="right" vertical="center"/>
    </xf>
    <xf numFmtId="165" fontId="17" fillId="0" borderId="33" applyAlignment="1" pivotButton="0" quotePrefix="0" xfId="3">
      <alignment horizontal="right" vertical="center"/>
    </xf>
    <xf numFmtId="0" fontId="0" fillId="0" borderId="17" pivotButton="0" quotePrefix="0" xfId="0"/>
    <xf numFmtId="0" fontId="0" fillId="0" borderId="19" pivotButton="0" quotePrefix="0" xfId="0"/>
    <xf numFmtId="0" fontId="0" fillId="0" borderId="3" pivotButton="0" quotePrefix="0" xfId="0"/>
    <xf numFmtId="0" fontId="22" fillId="0" borderId="130" applyAlignment="1" pivotButton="0" quotePrefix="0" xfId="0">
      <alignment horizontal="left" vertical="center"/>
    </xf>
    <xf numFmtId="0" fontId="0" fillId="0" borderId="40" pivotButton="0" quotePrefix="0" xfId="0"/>
    <xf numFmtId="0" fontId="0" fillId="0" borderId="41" pivotButton="0" quotePrefix="0" xfId="0"/>
    <xf numFmtId="0" fontId="22" fillId="0" borderId="132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29" pivotButton="0" quotePrefix="0" xfId="0"/>
    <xf numFmtId="0" fontId="14" fillId="2" borderId="5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57" pivotButton="0" quotePrefix="0" xfId="0"/>
    <xf numFmtId="167" fontId="22" fillId="0" borderId="42" applyAlignment="1" pivotButton="0" quotePrefix="0" xfId="0">
      <alignment vertical="center"/>
    </xf>
    <xf numFmtId="167" fontId="22" fillId="0" borderId="43" applyAlignment="1" pivotButton="0" quotePrefix="0" xfId="0">
      <alignment vertical="center"/>
    </xf>
    <xf numFmtId="167" fontId="22" fillId="0" borderId="56" applyAlignment="1" pivotButton="0" quotePrefix="0" xfId="0">
      <alignment vertical="center"/>
    </xf>
    <xf numFmtId="167" fontId="22" fillId="0" borderId="44" applyAlignment="1" pivotButton="0" quotePrefix="0" xfId="0">
      <alignment vertical="center"/>
    </xf>
    <xf numFmtId="167" fontId="22" fillId="0" borderId="45" applyAlignment="1" pivotButton="0" quotePrefix="0" xfId="0">
      <alignment horizontal="right" vertical="center"/>
    </xf>
    <xf numFmtId="167" fontId="22" fillId="0" borderId="43" applyAlignment="1" pivotButton="0" quotePrefix="0" xfId="0">
      <alignment horizontal="right" vertical="center"/>
    </xf>
    <xf numFmtId="0" fontId="14" fillId="2" borderId="10" applyAlignment="1" pivotButton="0" quotePrefix="0" xfId="0">
      <alignment horizontal="center" vertical="center" wrapText="1"/>
    </xf>
    <xf numFmtId="0" fontId="0" fillId="0" borderId="15" pivotButton="0" quotePrefix="0" xfId="0"/>
    <xf numFmtId="167" fontId="22" fillId="0" borderId="42" applyAlignment="1" pivotButton="0" quotePrefix="0" xfId="0">
      <alignment horizontal="right" vertical="center"/>
    </xf>
    <xf numFmtId="0" fontId="0" fillId="0" borderId="13" pivotButton="0" quotePrefix="0" xfId="0"/>
    <xf numFmtId="0" fontId="14" fillId="0" borderId="135" applyAlignment="1" pivotButton="0" quotePrefix="0" xfId="0">
      <alignment horizontal="left" vertical="center"/>
    </xf>
    <xf numFmtId="0" fontId="22" fillId="0" borderId="135" applyAlignment="1" pivotButton="0" quotePrefix="0" xfId="0">
      <alignment horizontal="left" vertical="center"/>
    </xf>
    <xf numFmtId="0" fontId="0" fillId="0" borderId="82" pivotButton="0" quotePrefix="0" xfId="0"/>
    <xf numFmtId="0" fontId="0" fillId="0" borderId="58" pivotButton="0" quotePrefix="0" xfId="0"/>
    <xf numFmtId="0" fontId="0" fillId="0" borderId="59" pivotButton="0" quotePrefix="0" xfId="0"/>
    <xf numFmtId="0" fontId="14" fillId="2" borderId="166" applyAlignment="1" pivotButton="0" quotePrefix="0" xfId="0">
      <alignment horizontal="center" vertical="center"/>
    </xf>
    <xf numFmtId="0" fontId="0" fillId="0" borderId="153" pivotButton="0" quotePrefix="0" xfId="0"/>
    <xf numFmtId="0" fontId="0" fillId="0" borderId="154" pivotButton="0" quotePrefix="0" xfId="0"/>
    <xf numFmtId="0" fontId="13" fillId="2" borderId="144" applyAlignment="1" pivotButton="0" quotePrefix="0" xfId="0">
      <alignment horizontal="center" vertical="center"/>
    </xf>
    <xf numFmtId="0" fontId="14" fillId="0" borderId="38" applyAlignment="1" pivotButton="0" quotePrefix="0" xfId="0">
      <alignment horizontal="center" vertical="center"/>
    </xf>
    <xf numFmtId="0" fontId="0" fillId="0" borderId="103" pivotButton="0" quotePrefix="0" xfId="0"/>
    <xf numFmtId="9" fontId="14" fillId="3" borderId="130" applyAlignment="1" pivotButton="0" quotePrefix="0" xfId="1">
      <alignment horizontal="right" vertical="center"/>
    </xf>
    <xf numFmtId="9" fontId="13" fillId="3" borderId="131" applyAlignment="1" pivotButton="0" quotePrefix="0" xfId="1">
      <alignment horizontal="right" vertical="center"/>
    </xf>
    <xf numFmtId="168" fontId="13" fillId="3" borderId="131" applyAlignment="1" pivotButton="0" quotePrefix="0" xfId="1">
      <alignment horizontal="right" vertical="center"/>
    </xf>
    <xf numFmtId="0" fontId="0" fillId="0" borderId="104" pivotButton="0" quotePrefix="0" xfId="0"/>
    <xf numFmtId="164" fontId="14" fillId="3" borderId="132" applyAlignment="1" pivotButton="0" quotePrefix="0" xfId="3">
      <alignment horizontal="right" vertical="center"/>
    </xf>
    <xf numFmtId="164" fontId="13" fillId="3" borderId="30" applyAlignment="1" pivotButton="0" quotePrefix="0" xfId="3">
      <alignment horizontal="right" vertical="center"/>
    </xf>
    <xf numFmtId="9" fontId="13" fillId="3" borderId="30" applyAlignment="1" pivotButton="0" quotePrefix="0" xfId="1">
      <alignment horizontal="right" vertical="center"/>
    </xf>
    <xf numFmtId="165" fontId="13" fillId="3" borderId="30" applyAlignment="1" pivotButton="0" quotePrefix="0" xfId="3">
      <alignment horizontal="right" vertical="center"/>
    </xf>
    <xf numFmtId="164" fontId="14" fillId="3" borderId="29" applyAlignment="1" pivotButton="0" quotePrefix="0" xfId="3">
      <alignment horizontal="right" vertical="center"/>
    </xf>
    <xf numFmtId="165" fontId="13" fillId="3" borderId="30" applyAlignment="1" pivotButton="0" quotePrefix="0" xfId="0">
      <alignment horizontal="right" vertical="center"/>
    </xf>
    <xf numFmtId="0" fontId="0" fillId="0" borderId="105" pivotButton="0" quotePrefix="0" xfId="0"/>
    <xf numFmtId="164" fontId="14" fillId="3" borderId="134" applyAlignment="1" pivotButton="0" quotePrefix="0" xfId="3">
      <alignment horizontal="right" vertical="center"/>
    </xf>
    <xf numFmtId="0" fontId="0" fillId="0" borderId="68" pivotButton="0" quotePrefix="0" xfId="0"/>
    <xf numFmtId="0" fontId="0" fillId="0" borderId="32" pivotButton="0" quotePrefix="0" xfId="0"/>
    <xf numFmtId="164" fontId="13" fillId="3" borderId="33" applyAlignment="1" pivotButton="0" quotePrefix="0" xfId="3">
      <alignment horizontal="right" vertical="center"/>
    </xf>
    <xf numFmtId="9" fontId="13" fillId="3" borderId="33" applyAlignment="1" pivotButton="0" quotePrefix="0" xfId="1">
      <alignment horizontal="right" vertical="center"/>
    </xf>
    <xf numFmtId="165" fontId="13" fillId="3" borderId="33" applyAlignment="1" pivotButton="0" quotePrefix="0" xfId="0">
      <alignment horizontal="right" vertical="center"/>
    </xf>
    <xf numFmtId="164" fontId="14" fillId="3" borderId="32" applyAlignment="1" pivotButton="0" quotePrefix="0" xfId="3">
      <alignment horizontal="right" vertical="center"/>
    </xf>
    <xf numFmtId="0" fontId="13" fillId="2" borderId="161" applyAlignment="1" pivotButton="0" quotePrefix="0" xfId="0">
      <alignment horizontal="center" vertical="center"/>
    </xf>
    <xf numFmtId="0" fontId="0" fillId="0" borderId="138" pivotButton="0" quotePrefix="0" xfId="0"/>
    <xf numFmtId="0" fontId="0" fillId="0" borderId="102" pivotButton="0" quotePrefix="0" xfId="0"/>
    <xf numFmtId="0" fontId="0" fillId="0" borderId="165" pivotButton="0" quotePrefix="0" xfId="0"/>
    <xf numFmtId="0" fontId="22" fillId="3" borderId="167" applyAlignment="1" pivotButton="0" quotePrefix="0" xfId="0">
      <alignment horizontal="left" vertical="center"/>
    </xf>
    <xf numFmtId="0" fontId="0" fillId="0" borderId="148" pivotButton="0" quotePrefix="0" xfId="0"/>
    <xf numFmtId="0" fontId="0" fillId="0" borderId="149" pivotButton="0" quotePrefix="0" xfId="0"/>
    <xf numFmtId="0" fontId="22" fillId="3" borderId="135" applyAlignment="1" pivotButton="0" quotePrefix="0" xfId="0">
      <alignment horizontal="left" vertical="center"/>
    </xf>
    <xf numFmtId="0" fontId="22" fillId="3" borderId="137" applyAlignment="1" pivotButton="0" quotePrefix="0" xfId="0">
      <alignment horizontal="left" vertical="center"/>
    </xf>
    <xf numFmtId="0" fontId="0" fillId="0" borderId="78" pivotButton="0" quotePrefix="0" xfId="0"/>
    <xf numFmtId="0" fontId="0" fillId="0" borderId="84" pivotButton="0" quotePrefix="0" xfId="0"/>
    <xf numFmtId="0" fontId="0" fillId="0" borderId="27" pivotButton="0" quotePrefix="0" xfId="0"/>
    <xf numFmtId="0" fontId="22" fillId="3" borderId="134" applyAlignment="1" pivotButton="0" quotePrefix="0" xfId="0">
      <alignment horizontal="left" vertical="center"/>
    </xf>
    <xf numFmtId="0" fontId="22" fillId="3" borderId="133" applyAlignment="1" pivotButton="0" quotePrefix="0" xfId="0">
      <alignment horizontal="left" vertical="center"/>
    </xf>
    <xf numFmtId="0" fontId="0" fillId="0" borderId="67" pivotButton="0" quotePrefix="0" xfId="0"/>
    <xf numFmtId="0" fontId="0" fillId="0" borderId="26" pivotButton="0" quotePrefix="0" xfId="0"/>
    <xf numFmtId="0" fontId="14" fillId="2" borderId="162" applyAlignment="1" pivotButton="0" quotePrefix="0" xfId="0">
      <alignment horizontal="center" vertical="center" wrapText="1"/>
    </xf>
    <xf numFmtId="0" fontId="0" fillId="0" borderId="155" pivotButton="0" quotePrefix="0" xfId="0"/>
    <xf numFmtId="0" fontId="0" fillId="0" borderId="156" pivotButton="0" quotePrefix="0" xfId="0"/>
    <xf numFmtId="0" fontId="0" fillId="0" borderId="144" pivotButton="0" quotePrefix="0" xfId="0"/>
    <xf numFmtId="0" fontId="0" fillId="0" borderId="53" pivotButton="0" quotePrefix="0" xfId="0"/>
    <xf numFmtId="169" fontId="14" fillId="2" borderId="129" applyAlignment="1" pivotButton="0" quotePrefix="1" xfId="0">
      <alignment horizontal="center" vertical="center"/>
    </xf>
    <xf numFmtId="0" fontId="0" fillId="0" borderId="145" pivotButton="0" quotePrefix="0" xfId="0"/>
    <xf numFmtId="0" fontId="0" fillId="0" borderId="106" pivotButton="0" quotePrefix="0" xfId="0"/>
    <xf numFmtId="0" fontId="14" fillId="2" borderId="137" applyAlignment="1" pivotButton="0" quotePrefix="0" xfId="0">
      <alignment horizontal="center" vertical="center"/>
    </xf>
    <xf numFmtId="0" fontId="14" fillId="2" borderId="169" applyAlignment="1" pivotButton="0" quotePrefix="0" xfId="0">
      <alignment horizontal="center" vertical="center"/>
    </xf>
    <xf numFmtId="0" fontId="0" fillId="0" borderId="118" pivotButton="0" quotePrefix="0" xfId="0"/>
    <xf numFmtId="0" fontId="0" fillId="0" borderId="120" pivotButton="0" quotePrefix="0" xfId="0"/>
    <xf numFmtId="0" fontId="13" fillId="2" borderId="168" applyAlignment="1" pivotButton="0" quotePrefix="0" xfId="0">
      <alignment horizontal="center" vertical="center"/>
    </xf>
    <xf numFmtId="0" fontId="13" fillId="2" borderId="170" applyAlignment="1" pivotButton="0" quotePrefix="0" xfId="0">
      <alignment horizontal="center" vertical="center"/>
    </xf>
    <xf numFmtId="0" fontId="0" fillId="0" borderId="122" pivotButton="0" quotePrefix="0" xfId="0"/>
    <xf numFmtId="9" fontId="13" fillId="3" borderId="38" applyAlignment="1" pivotButton="0" quotePrefix="0" xfId="1">
      <alignment horizontal="right" vertical="center"/>
    </xf>
    <xf numFmtId="9" fontId="13" fillId="3" borderId="28" applyAlignment="1" pivotButton="0" quotePrefix="0" xfId="1">
      <alignment horizontal="right" vertical="center"/>
    </xf>
    <xf numFmtId="9" fontId="13" fillId="3" borderId="31" applyAlignment="1" pivotButton="0" quotePrefix="0" xfId="1">
      <alignment horizontal="right" vertical="center"/>
    </xf>
    <xf numFmtId="0" fontId="14" fillId="2" borderId="133" applyAlignment="1" pivotButton="0" quotePrefix="0" xfId="0">
      <alignment horizontal="center" vertical="center"/>
    </xf>
    <xf numFmtId="0" fontId="0" fillId="0" borderId="96" pivotButton="0" quotePrefix="0" xfId="0"/>
    <xf numFmtId="0" fontId="22" fillId="3" borderId="130" applyAlignment="1" pivotButton="0" quotePrefix="0" xfId="0">
      <alignment horizontal="left" vertical="center"/>
    </xf>
    <xf numFmtId="0" fontId="0" fillId="0" borderId="90" pivotButton="0" quotePrefix="0" xfId="0"/>
    <xf numFmtId="0" fontId="22" fillId="3" borderId="132" applyAlignment="1" pivotButton="0" quotePrefix="0" xfId="0">
      <alignment horizontal="left" vertical="center"/>
    </xf>
    <xf numFmtId="0" fontId="0" fillId="0" borderId="172" pivotButton="0" quotePrefix="0" xfId="0"/>
    <xf numFmtId="0" fontId="14" fillId="2" borderId="151" applyAlignment="1" pivotButton="0" quotePrefix="0" xfId="0">
      <alignment horizontal="center" vertical="center" wrapText="1"/>
    </xf>
    <xf numFmtId="167" fontId="27" fillId="0" borderId="134" applyAlignment="1" pivotButton="0" quotePrefix="0" xfId="0">
      <alignment horizontal="center" vertical="center"/>
    </xf>
    <xf numFmtId="0" fontId="0" fillId="0" borderId="141" pivotButton="0" quotePrefix="0" xfId="0"/>
    <xf numFmtId="0" fontId="0" fillId="0" borderId="142" pivotButton="0" quotePrefix="0" xfId="0"/>
    <xf numFmtId="0" fontId="0" fillId="0" borderId="34" pivotButton="0" quotePrefix="0" xfId="0"/>
    <xf numFmtId="0" fontId="0" fillId="0" borderId="14" pivotButton="0" quotePrefix="0" xfId="0"/>
    <xf numFmtId="0" fontId="28" fillId="3" borderId="134" applyAlignment="1" pivotButton="0" quotePrefix="0" xfId="0">
      <alignment horizontal="center" vertical="center" wrapText="1"/>
    </xf>
    <xf numFmtId="0" fontId="0" fillId="0" borderId="91" pivotButton="0" quotePrefix="0" xfId="0"/>
    <xf numFmtId="167" fontId="23" fillId="0" borderId="69" applyAlignment="1" pivotButton="0" quotePrefix="0" xfId="0">
      <alignment horizontal="right" vertical="center"/>
    </xf>
    <xf numFmtId="167" fontId="23" fillId="0" borderId="70" applyAlignment="1" pivotButton="0" quotePrefix="0" xfId="0">
      <alignment horizontal="right" vertical="center"/>
    </xf>
    <xf numFmtId="167" fontId="23" fillId="0" borderId="108" applyAlignment="1" pivotButton="0" quotePrefix="0" xfId="0">
      <alignment horizontal="right" vertical="center"/>
    </xf>
    <xf numFmtId="167" fontId="23" fillId="0" borderId="113" applyAlignment="1" pivotButton="0" quotePrefix="0" xfId="0">
      <alignment horizontal="right" vertical="center" shrinkToFit="1"/>
    </xf>
    <xf numFmtId="167" fontId="23" fillId="0" borderId="71" applyAlignment="1" pivotButton="0" quotePrefix="0" xfId="0">
      <alignment horizontal="right" vertical="center"/>
    </xf>
    <xf numFmtId="167" fontId="23" fillId="0" borderId="89" applyAlignment="1" pivotButton="0" quotePrefix="0" xfId="0">
      <alignment horizontal="right" vertical="center" shrinkToFit="1"/>
    </xf>
    <xf numFmtId="167" fontId="23" fillId="0" borderId="89" applyAlignment="1" pivotButton="0" quotePrefix="0" xfId="0">
      <alignment horizontal="right" vertical="center"/>
    </xf>
    <xf numFmtId="167" fontId="23" fillId="0" borderId="71" applyAlignment="1" pivotButton="0" quotePrefix="0" xfId="0">
      <alignment vertical="center"/>
    </xf>
    <xf numFmtId="167" fontId="24" fillId="0" borderId="175" applyAlignment="1" pivotButton="0" quotePrefix="0" xfId="0">
      <alignment horizontal="center" vertical="center"/>
    </xf>
    <xf numFmtId="167" fontId="24" fillId="0" borderId="177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15" pivotButton="0" quotePrefix="0" xfId="0"/>
    <xf numFmtId="167" fontId="23" fillId="0" borderId="79" applyAlignment="1" pivotButton="0" quotePrefix="0" xfId="0">
      <alignment horizontal="right" vertical="center"/>
    </xf>
    <xf numFmtId="167" fontId="23" fillId="0" borderId="80" applyAlignment="1" pivotButton="0" quotePrefix="0" xfId="0">
      <alignment horizontal="right" vertical="center"/>
    </xf>
    <xf numFmtId="167" fontId="23" fillId="0" borderId="111" applyAlignment="1" pivotButton="0" quotePrefix="0" xfId="0">
      <alignment horizontal="right" vertical="center"/>
    </xf>
    <xf numFmtId="167" fontId="23" fillId="0" borderId="116" applyAlignment="1" pivotButton="0" quotePrefix="0" xfId="0">
      <alignment horizontal="right" vertical="center"/>
    </xf>
    <xf numFmtId="167" fontId="23" fillId="0" borderId="81" applyAlignment="1" pivotButton="0" quotePrefix="0" xfId="0">
      <alignment horizontal="right" vertical="center"/>
    </xf>
    <xf numFmtId="167" fontId="23" fillId="0" borderId="92" applyAlignment="1" pivotButton="0" quotePrefix="0" xfId="0">
      <alignment horizontal="right" vertical="center"/>
    </xf>
    <xf numFmtId="167" fontId="23" fillId="0" borderId="81" applyAlignment="1" pivotButton="0" quotePrefix="0" xfId="0">
      <alignment vertical="center"/>
    </xf>
    <xf numFmtId="167" fontId="23" fillId="0" borderId="62" applyAlignment="1" pivotButton="0" quotePrefix="0" xfId="0">
      <alignment horizontal="right" vertical="center"/>
    </xf>
    <xf numFmtId="167" fontId="23" fillId="0" borderId="63" applyAlignment="1" pivotButton="0" quotePrefix="0" xfId="0">
      <alignment horizontal="right" vertical="center"/>
    </xf>
    <xf numFmtId="167" fontId="23" fillId="0" borderId="112" applyAlignment="1" pivotButton="0" quotePrefix="0" xfId="0">
      <alignment horizontal="right" vertical="center"/>
    </xf>
    <xf numFmtId="167" fontId="23" fillId="0" borderId="115" applyAlignment="1" pivotButton="0" quotePrefix="0" xfId="0">
      <alignment horizontal="right" vertical="center"/>
    </xf>
    <xf numFmtId="167" fontId="23" fillId="0" borderId="64" applyAlignment="1" pivotButton="0" quotePrefix="0" xfId="0">
      <alignment horizontal="right" vertical="center"/>
    </xf>
    <xf numFmtId="167" fontId="23" fillId="0" borderId="93" applyAlignment="1" pivotButton="0" quotePrefix="0" xfId="0">
      <alignment horizontal="right" vertical="center"/>
    </xf>
    <xf numFmtId="167" fontId="23" fillId="0" borderId="64" applyAlignment="1" pivotButton="0" quotePrefix="0" xfId="0">
      <alignment vertical="center"/>
    </xf>
    <xf numFmtId="0" fontId="0" fillId="0" borderId="46" pivotButton="0" quotePrefix="0" xfId="0"/>
    <xf numFmtId="0" fontId="0" fillId="0" borderId="48" pivotButton="0" quotePrefix="0" xfId="0"/>
    <xf numFmtId="0" fontId="0" fillId="0" borderId="47" pivotButton="0" quotePrefix="0" xfId="0"/>
    <xf numFmtId="0" fontId="0" fillId="0" borderId="50" pivotButton="0" quotePrefix="0" xfId="0"/>
    <xf numFmtId="0" fontId="0" fillId="0" borderId="16" pivotButton="0" quotePrefix="0" xfId="0"/>
    <xf numFmtId="9" fontId="22" fillId="0" borderId="54" applyAlignment="1" pivotButton="0" quotePrefix="0" xfId="0">
      <alignment horizontal="right" vertical="center"/>
    </xf>
    <xf numFmtId="0" fontId="0" fillId="0" borderId="49" pivotButton="0" quotePrefix="0" xfId="0"/>
    <xf numFmtId="0" fontId="0" fillId="0" borderId="55" pivotButton="0" quotePrefix="0" xfId="0"/>
    <xf numFmtId="164" fontId="22" fillId="0" borderId="51" applyAlignment="1" pivotButton="0" quotePrefix="0" xfId="3">
      <alignment horizontal="center" vertical="center"/>
    </xf>
    <xf numFmtId="164" fontId="4" fillId="0" borderId="52" applyAlignment="1" pivotButton="0" quotePrefix="0" xfId="3">
      <alignment horizontal="center" vertical="center"/>
    </xf>
    <xf numFmtId="164" fontId="22" fillId="0" borderId="53" applyAlignment="1" pivotButton="0" quotePrefix="0" xfId="3">
      <alignment horizontal="center" vertical="center"/>
    </xf>
    <xf numFmtId="164" fontId="4" fillId="0" borderId="15" applyAlignment="1" pivotButton="0" quotePrefix="0" xfId="3">
      <alignment horizontal="center" vertical="center"/>
    </xf>
    <xf numFmtId="164" fontId="4" fillId="0" borderId="55" applyAlignment="1" pivotButton="0" quotePrefix="0" xfId="3">
      <alignment horizontal="center" vertical="center"/>
    </xf>
    <xf numFmtId="164" fontId="14" fillId="0" borderId="51" applyAlignment="1" pivotButton="0" quotePrefix="0" xfId="3">
      <alignment horizontal="right" vertical="center"/>
    </xf>
    <xf numFmtId="164" fontId="14" fillId="0" borderId="52" applyAlignment="1" pivotButton="0" quotePrefix="0" xfId="3">
      <alignment horizontal="right" vertical="center"/>
    </xf>
    <xf numFmtId="164" fontId="14" fillId="0" borderId="53" applyAlignment="1" pivotButton="0" quotePrefix="0" xfId="3">
      <alignment horizontal="right" vertical="center"/>
    </xf>
    <xf numFmtId="164" fontId="14" fillId="0" borderId="15" applyAlignment="1" pivotButton="0" quotePrefix="0" xfId="3">
      <alignment horizontal="right" vertical="center"/>
    </xf>
    <xf numFmtId="164" fontId="14" fillId="0" borderId="54" applyAlignment="1" pivotButton="0" quotePrefix="0" xfId="3">
      <alignment horizontal="right" vertical="center"/>
    </xf>
    <xf numFmtId="164" fontId="14" fillId="0" borderId="55" applyAlignment="1" pivotButton="0" quotePrefix="0" xfId="3">
      <alignment horizontal="right" vertical="center"/>
    </xf>
  </cellXfs>
  <cellStyles count="4">
    <cellStyle name="표준" xfId="0" builtinId="0"/>
    <cellStyle name="백분율" xfId="1" builtinId="5"/>
    <cellStyle name="하이퍼링크" xfId="2" builtinId="8" hidden="1"/>
    <cellStyle name="쉼표 [0]" xfId="3" builtinId="6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4"/>
  <sheetViews>
    <sheetView topLeftCell="A19" workbookViewId="0">
      <selection activeCell="D16" sqref="D16:I16"/>
    </sheetView>
  </sheetViews>
  <sheetFormatPr baseColWidth="8" defaultRowHeight="16.5"/>
  <cols>
    <col width="29.875" customWidth="1" style="462" min="22" max="22"/>
  </cols>
  <sheetData>
    <row r="1" ht="17.25" customHeight="1" s="462" thickBot="1">
      <c r="A1" s="2" t="n"/>
      <c r="B1" s="3" t="inlineStr">
        <is>
          <t>진도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7.25" customHeight="1" s="462" thickBot="1">
      <c r="A2" s="2" t="n"/>
      <c r="B2" s="4" t="n"/>
      <c r="C2" s="4" t="n"/>
      <c r="D2" s="2" t="n"/>
      <c r="E2" s="4" t="n"/>
      <c r="F2" s="4" t="n"/>
      <c r="G2" s="4" t="n"/>
      <c r="H2" s="4" t="n"/>
      <c r="I2" s="4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7.25" customHeight="1" s="462" thickBot="1">
      <c r="A3" s="5" t="n"/>
      <c r="B3" s="6" t="inlineStr">
        <is>
          <t>여자</t>
        </is>
      </c>
      <c r="C3" s="7" t="n">
        <v>0.67</v>
      </c>
      <c r="D3" s="5" t="n"/>
      <c r="E3" s="6" t="inlineStr">
        <is>
          <t>20대</t>
        </is>
      </c>
      <c r="F3" s="6" t="inlineStr">
        <is>
          <t>30대</t>
        </is>
      </c>
      <c r="G3" s="6" t="inlineStr">
        <is>
          <t>40대</t>
        </is>
      </c>
      <c r="H3" s="6" t="inlineStr">
        <is>
          <t>50대</t>
        </is>
      </c>
      <c r="I3" s="6" t="inlineStr">
        <is>
          <t>60대이상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7.25" customHeight="1" s="462" thickBot="1">
      <c r="A4" s="5" t="n"/>
      <c r="B4" s="6" t="inlineStr">
        <is>
          <t>남자</t>
        </is>
      </c>
      <c r="C4" s="7" t="n">
        <v>0.33</v>
      </c>
      <c r="D4" s="5" t="n"/>
      <c r="E4" s="7" t="n">
        <v>0.16</v>
      </c>
      <c r="F4" s="7" t="n">
        <v>0.42</v>
      </c>
      <c r="G4" s="7" t="n">
        <v>0.27</v>
      </c>
      <c r="H4" s="7" t="n">
        <v>0.11</v>
      </c>
      <c r="I4" s="7" t="n">
        <v>0.04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7.25" customHeight="1" s="462" thickBot="1">
      <c r="A5" s="2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2" t="n"/>
      <c r="V5" s="2" t="n"/>
      <c r="W5" s="2" t="n"/>
      <c r="X5" s="2" t="n"/>
      <c r="Y5" s="2" t="n"/>
      <c r="Z5" s="2" t="n"/>
    </row>
    <row r="6" ht="17.25" customHeight="1" s="462" thickBot="1">
      <c r="A6" s="5" t="n"/>
      <c r="B6" s="6" t="inlineStr">
        <is>
          <t>지역별</t>
        </is>
      </c>
      <c r="C6" s="6" t="inlineStr">
        <is>
          <t>강원도</t>
        </is>
      </c>
      <c r="D6" s="6" t="inlineStr">
        <is>
          <t>경기도</t>
        </is>
      </c>
      <c r="E6" s="6" t="inlineStr">
        <is>
          <t>경상남도</t>
        </is>
      </c>
      <c r="F6" s="6" t="inlineStr">
        <is>
          <t>경상북도</t>
        </is>
      </c>
      <c r="G6" s="6" t="inlineStr">
        <is>
          <t>광주</t>
        </is>
      </c>
      <c r="H6" s="6" t="inlineStr">
        <is>
          <t>대구</t>
        </is>
      </c>
      <c r="I6" s="6" t="inlineStr">
        <is>
          <t>대전</t>
        </is>
      </c>
      <c r="J6" s="6" t="inlineStr">
        <is>
          <t>부산</t>
        </is>
      </c>
      <c r="K6" s="6" t="inlineStr">
        <is>
          <t>서울</t>
        </is>
      </c>
      <c r="L6" s="6" t="inlineStr">
        <is>
          <t>세종시</t>
        </is>
      </c>
      <c r="M6" s="6" t="inlineStr">
        <is>
          <t>울산</t>
        </is>
      </c>
      <c r="N6" s="6" t="inlineStr">
        <is>
          <t>인천</t>
        </is>
      </c>
      <c r="O6" s="6" t="inlineStr">
        <is>
          <t>전라남도</t>
        </is>
      </c>
      <c r="P6" s="6" t="inlineStr">
        <is>
          <t>전라북도</t>
        </is>
      </c>
      <c r="Q6" s="6" t="inlineStr">
        <is>
          <t>제주도</t>
        </is>
      </c>
      <c r="R6" s="6" t="inlineStr">
        <is>
          <t>충청남도</t>
        </is>
      </c>
      <c r="S6" s="6" t="inlineStr">
        <is>
          <t>충청북도</t>
        </is>
      </c>
      <c r="T6" s="6" t="inlineStr">
        <is>
          <t>총합계</t>
        </is>
      </c>
      <c r="U6" s="2" t="n"/>
      <c r="V6" s="2" t="n"/>
      <c r="W6" s="2" t="n"/>
      <c r="X6" s="2" t="n"/>
      <c r="Y6" s="2" t="n"/>
      <c r="Z6" s="2" t="n"/>
    </row>
    <row r="7" ht="17.25" customHeight="1" s="462" thickBot="1">
      <c r="A7" s="5" t="n"/>
      <c r="B7" s="6" t="inlineStr">
        <is>
          <t>F</t>
        </is>
      </c>
      <c r="C7" s="7" t="n">
        <v>0.01</v>
      </c>
      <c r="D7" s="7" t="n">
        <v>0.15</v>
      </c>
      <c r="E7" s="7" t="n">
        <v>0.06</v>
      </c>
      <c r="F7" s="7" t="n">
        <v>0.03</v>
      </c>
      <c r="G7" s="7" t="n">
        <v>0.21</v>
      </c>
      <c r="H7" s="7" t="n">
        <v>0.05</v>
      </c>
      <c r="I7" s="7" t="n">
        <v>0.06</v>
      </c>
      <c r="J7" s="7" t="n">
        <v>0.05</v>
      </c>
      <c r="K7" s="7" t="n">
        <v>0.15</v>
      </c>
      <c r="L7" s="7" t="n">
        <v>0.01</v>
      </c>
      <c r="M7" s="7" t="n">
        <v>0.01</v>
      </c>
      <c r="N7" s="7" t="n">
        <v>0.02</v>
      </c>
      <c r="O7" s="7" t="n">
        <v>0.11</v>
      </c>
      <c r="P7" s="7" t="n">
        <v>0.06</v>
      </c>
      <c r="Q7" s="7" t="n">
        <v>0.01</v>
      </c>
      <c r="R7" s="7" t="n">
        <v>0.01</v>
      </c>
      <c r="S7" s="7" t="n">
        <v>0</v>
      </c>
      <c r="T7" s="7" t="n">
        <v>0.67</v>
      </c>
      <c r="U7" s="2" t="n"/>
      <c r="V7" s="2" t="n"/>
      <c r="W7" s="2" t="n"/>
      <c r="X7" s="2" t="n"/>
      <c r="Y7" s="2" t="n"/>
      <c r="Z7" s="2" t="n"/>
    </row>
    <row r="8" ht="17.25" customHeight="1" s="462" thickBot="1">
      <c r="A8" s="5" t="n"/>
      <c r="B8" s="6" t="inlineStr">
        <is>
          <t>M</t>
        </is>
      </c>
      <c r="C8" s="7" t="n">
        <v>0.01</v>
      </c>
      <c r="D8" s="7" t="n">
        <v>0.11</v>
      </c>
      <c r="E8" s="7" t="n">
        <v>0.04</v>
      </c>
      <c r="F8" s="7" t="n">
        <v>0.05</v>
      </c>
      <c r="G8" s="7" t="n">
        <v>0.14</v>
      </c>
      <c r="H8" s="7" t="n">
        <v>0.03</v>
      </c>
      <c r="I8" s="7" t="n">
        <v>0.06</v>
      </c>
      <c r="J8" s="7" t="n">
        <v>0.04</v>
      </c>
      <c r="K8" s="7" t="n">
        <v>0.18</v>
      </c>
      <c r="L8" s="7" t="n">
        <v>0.01</v>
      </c>
      <c r="M8" s="7" t="n">
        <v>0.01</v>
      </c>
      <c r="N8" s="7" t="n">
        <v>0.07000000000000001</v>
      </c>
      <c r="O8" s="7" t="n">
        <v>0.16</v>
      </c>
      <c r="P8" s="7" t="n">
        <v>0.06</v>
      </c>
      <c r="Q8" s="7" t="n">
        <v>0.01</v>
      </c>
      <c r="R8" s="7" t="n">
        <v>0.01</v>
      </c>
      <c r="S8" s="7" t="n">
        <v>0.01</v>
      </c>
      <c r="T8" s="7" t="n">
        <v>0.33</v>
      </c>
      <c r="U8" s="2" t="n"/>
      <c r="V8" s="2" t="n"/>
      <c r="W8" s="2" t="n"/>
      <c r="X8" s="2" t="n"/>
      <c r="Y8" s="2" t="n"/>
      <c r="Z8" s="2" t="n"/>
    </row>
    <row r="9" ht="17.25" customHeight="1" s="462" thickBot="1">
      <c r="A9" s="2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2" t="n"/>
      <c r="V9" s="2" t="n"/>
      <c r="W9" s="2" t="n"/>
      <c r="X9" s="2" t="n"/>
      <c r="Y9" s="2" t="n"/>
      <c r="Z9" s="2" t="n"/>
    </row>
    <row r="10" ht="17.25" customHeight="1" s="462" thickBot="1">
      <c r="A10" s="5" t="n"/>
      <c r="B10" s="6" t="inlineStr">
        <is>
          <t>연령별</t>
        </is>
      </c>
      <c r="C10" s="6" t="inlineStr">
        <is>
          <t>강원도</t>
        </is>
      </c>
      <c r="D10" s="6" t="inlineStr">
        <is>
          <t>경기도</t>
        </is>
      </c>
      <c r="E10" s="6" t="inlineStr">
        <is>
          <t>경상남도</t>
        </is>
      </c>
      <c r="F10" s="6" t="inlineStr">
        <is>
          <t>경상북도</t>
        </is>
      </c>
      <c r="G10" s="6" t="inlineStr">
        <is>
          <t>광주</t>
        </is>
      </c>
      <c r="H10" s="6" t="inlineStr">
        <is>
          <t>대구</t>
        </is>
      </c>
      <c r="I10" s="6" t="inlineStr">
        <is>
          <t>대전</t>
        </is>
      </c>
      <c r="J10" s="6" t="inlineStr">
        <is>
          <t>부산</t>
        </is>
      </c>
      <c r="K10" s="6" t="inlineStr">
        <is>
          <t>서울</t>
        </is>
      </c>
      <c r="L10" s="6" t="inlineStr">
        <is>
          <t>세종시</t>
        </is>
      </c>
      <c r="M10" s="6" t="inlineStr">
        <is>
          <t>울산</t>
        </is>
      </c>
      <c r="N10" s="6" t="inlineStr">
        <is>
          <t>인천</t>
        </is>
      </c>
      <c r="O10" s="6" t="inlineStr">
        <is>
          <t>전라남도</t>
        </is>
      </c>
      <c r="P10" s="6" t="inlineStr">
        <is>
          <t>전라북도</t>
        </is>
      </c>
      <c r="Q10" s="6" t="inlineStr">
        <is>
          <t>제주도</t>
        </is>
      </c>
      <c r="R10" s="6" t="inlineStr">
        <is>
          <t>충청남도</t>
        </is>
      </c>
      <c r="S10" s="6" t="inlineStr">
        <is>
          <t>충청북도</t>
        </is>
      </c>
      <c r="T10" s="6" t="inlineStr">
        <is>
          <t>총합계</t>
        </is>
      </c>
      <c r="U10" s="2" t="n"/>
      <c r="V10" s="2" t="n"/>
      <c r="W10" s="2" t="n"/>
      <c r="X10" s="2" t="n"/>
      <c r="Y10" s="2" t="n"/>
      <c r="Z10" s="2" t="n"/>
    </row>
    <row r="11" ht="17.25" customHeight="1" s="462" thickBot="1">
      <c r="A11" s="5" t="n"/>
      <c r="B11" s="6" t="inlineStr">
        <is>
          <t>F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2" t="n"/>
      <c r="V11" s="2" t="n"/>
      <c r="W11" s="2" t="n"/>
      <c r="X11" s="2" t="n"/>
      <c r="Y11" s="2" t="n"/>
      <c r="Z11" s="2" t="n"/>
    </row>
    <row r="12" ht="17.25" customHeight="1" s="462" thickBot="1">
      <c r="A12" s="5" t="n"/>
      <c r="B12" s="6" t="inlineStr">
        <is>
          <t>20대</t>
        </is>
      </c>
      <c r="C12" s="7" t="n">
        <v>0</v>
      </c>
      <c r="D12" s="7" t="n">
        <v>0.04</v>
      </c>
      <c r="E12" s="7" t="n">
        <v>0.02</v>
      </c>
      <c r="F12" s="7" t="n">
        <v>0</v>
      </c>
      <c r="G12" s="7" t="n">
        <v>0.3</v>
      </c>
      <c r="H12" s="7" t="n">
        <v>0.07000000000000001</v>
      </c>
      <c r="I12" s="7" t="n">
        <v>0.04</v>
      </c>
      <c r="J12" s="7" t="n">
        <v>0.04</v>
      </c>
      <c r="K12" s="7" t="n">
        <v>0.17</v>
      </c>
      <c r="L12" s="7" t="n">
        <v>0</v>
      </c>
      <c r="M12" s="7" t="n">
        <v>0</v>
      </c>
      <c r="N12" s="7" t="n">
        <v>0.04</v>
      </c>
      <c r="O12" s="7" t="n">
        <v>0.17</v>
      </c>
      <c r="P12" s="7" t="n">
        <v>0.07000000000000001</v>
      </c>
      <c r="Q12" s="7" t="n">
        <v>0</v>
      </c>
      <c r="R12" s="7" t="n">
        <v>0.02</v>
      </c>
      <c r="S12" s="7" t="n">
        <v>0</v>
      </c>
      <c r="T12" s="7" t="n">
        <v>0.16</v>
      </c>
      <c r="U12" s="2" t="n"/>
      <c r="V12" s="2" t="n"/>
      <c r="W12" s="2" t="n"/>
      <c r="X12" s="2" t="n"/>
      <c r="Y12" s="2" t="n"/>
      <c r="Z12" s="2" t="n"/>
    </row>
    <row r="13" ht="17.25" customHeight="1" s="462" thickBot="1">
      <c r="A13" s="5" t="n"/>
      <c r="B13" s="6" t="inlineStr">
        <is>
          <t>30대</t>
        </is>
      </c>
      <c r="C13" s="7" t="n">
        <v>0.01</v>
      </c>
      <c r="D13" s="7" t="n">
        <v>0.15</v>
      </c>
      <c r="E13" s="7" t="n">
        <v>0.05</v>
      </c>
      <c r="F13" s="7" t="n">
        <v>0.04</v>
      </c>
      <c r="G13" s="7" t="n">
        <v>0.2</v>
      </c>
      <c r="H13" s="7" t="n">
        <v>0.05</v>
      </c>
      <c r="I13" s="7" t="n">
        <v>0.07000000000000001</v>
      </c>
      <c r="J13" s="7" t="n">
        <v>0.03</v>
      </c>
      <c r="K13" s="7" t="n">
        <v>0.16</v>
      </c>
      <c r="L13" s="7" t="n">
        <v>0</v>
      </c>
      <c r="M13" s="7" t="n">
        <v>0.02</v>
      </c>
      <c r="N13" s="7" t="n">
        <v>0.02</v>
      </c>
      <c r="O13" s="7" t="n">
        <v>0.12</v>
      </c>
      <c r="P13" s="7" t="n">
        <v>0.07000000000000001</v>
      </c>
      <c r="Q13" s="7" t="n">
        <v>0</v>
      </c>
      <c r="R13" s="7" t="n">
        <v>0.01</v>
      </c>
      <c r="S13" s="7" t="n">
        <v>0</v>
      </c>
      <c r="T13" s="7" t="n">
        <v>0.43</v>
      </c>
      <c r="U13" s="2" t="n"/>
      <c r="V13" s="2" t="n"/>
      <c r="W13" s="2" t="n"/>
      <c r="X13" s="2" t="n"/>
      <c r="Y13" s="2" t="n"/>
      <c r="Z13" s="2" t="n"/>
    </row>
    <row r="14" ht="17.25" customHeight="1" s="462" thickBot="1">
      <c r="A14" s="5" t="n"/>
      <c r="B14" s="6" t="inlineStr">
        <is>
          <t>40대</t>
        </is>
      </c>
      <c r="C14" s="7" t="n">
        <v>0.01</v>
      </c>
      <c r="D14" s="7" t="n">
        <v>0.18</v>
      </c>
      <c r="E14" s="7" t="n">
        <v>0.05</v>
      </c>
      <c r="F14" s="7" t="n">
        <v>0.04</v>
      </c>
      <c r="G14" s="7" t="n">
        <v>0.17</v>
      </c>
      <c r="H14" s="7" t="n">
        <v>0.04</v>
      </c>
      <c r="I14" s="7" t="n">
        <v>0.04</v>
      </c>
      <c r="J14" s="7" t="n">
        <v>0.06</v>
      </c>
      <c r="K14" s="7" t="n">
        <v>0.13</v>
      </c>
      <c r="L14" s="7" t="n">
        <v>0.03</v>
      </c>
      <c r="M14" s="7" t="n">
        <v>0</v>
      </c>
      <c r="N14" s="7" t="n">
        <v>0.03</v>
      </c>
      <c r="O14" s="7" t="n">
        <v>0.09</v>
      </c>
      <c r="P14" s="7" t="n">
        <v>0.09</v>
      </c>
      <c r="Q14" s="7" t="n">
        <v>0.01</v>
      </c>
      <c r="R14" s="7" t="n">
        <v>0.03</v>
      </c>
      <c r="S14" s="7" t="n">
        <v>0.01</v>
      </c>
      <c r="T14" s="7" t="n">
        <v>0.27</v>
      </c>
      <c r="U14" s="2" t="n"/>
      <c r="V14" s="2" t="n"/>
      <c r="W14" s="2" t="n"/>
      <c r="X14" s="2" t="n"/>
      <c r="Y14" s="2" t="n"/>
      <c r="Z14" s="2" t="n"/>
    </row>
    <row r="15" ht="17.25" customHeight="1" s="462" thickBot="1">
      <c r="A15" s="5" t="n"/>
      <c r="B15" s="6" t="inlineStr">
        <is>
          <t>50대</t>
        </is>
      </c>
      <c r="C15" s="7" t="n">
        <v>0.06</v>
      </c>
      <c r="D15" s="7" t="n">
        <v>0.18</v>
      </c>
      <c r="E15" s="7" t="n">
        <v>0.15</v>
      </c>
      <c r="F15" s="7" t="n">
        <v>0</v>
      </c>
      <c r="G15" s="7" t="n">
        <v>0.15</v>
      </c>
      <c r="H15" s="7" t="n">
        <v>0.03</v>
      </c>
      <c r="I15" s="7" t="n">
        <v>0.06</v>
      </c>
      <c r="J15" s="7" t="n">
        <v>0.06</v>
      </c>
      <c r="K15" s="7" t="n">
        <v>0.21</v>
      </c>
      <c r="L15" s="7" t="n">
        <v>0.03</v>
      </c>
      <c r="M15" s="7" t="n">
        <v>0</v>
      </c>
      <c r="N15" s="7" t="n">
        <v>0</v>
      </c>
      <c r="O15" s="7" t="n">
        <v>0.06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0.12</v>
      </c>
      <c r="U15" s="2" t="n"/>
      <c r="V15" s="2" t="n"/>
      <c r="W15" s="2" t="n"/>
      <c r="X15" s="2" t="n"/>
      <c r="Y15" s="2" t="n"/>
      <c r="Z15" s="2" t="n"/>
    </row>
    <row r="16" ht="17.25" customHeight="1" s="462" thickBot="1">
      <c r="A16" s="5" t="n"/>
      <c r="B16" s="6" t="inlineStr">
        <is>
          <t>60대 이상</t>
        </is>
      </c>
      <c r="C16" s="7" t="n">
        <v>0</v>
      </c>
      <c r="D16" s="7" t="n">
        <v>0.33</v>
      </c>
      <c r="E16" s="7" t="n">
        <v>0</v>
      </c>
      <c r="F16" s="7" t="n">
        <v>0</v>
      </c>
      <c r="G16" s="7" t="n">
        <v>0.33</v>
      </c>
      <c r="H16" s="7" t="n">
        <v>0.17</v>
      </c>
      <c r="I16" s="7" t="n">
        <v>0</v>
      </c>
      <c r="J16" s="7" t="n">
        <v>0</v>
      </c>
      <c r="K16" s="7" t="n">
        <v>0</v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0.17</v>
      </c>
      <c r="R16" s="7" t="n">
        <v>0</v>
      </c>
      <c r="S16" s="7" t="n">
        <v>0</v>
      </c>
      <c r="T16" s="7" t="n">
        <v>0.02</v>
      </c>
      <c r="U16" s="2" t="n"/>
      <c r="V16" s="2" t="n"/>
      <c r="W16" s="2" t="n"/>
      <c r="X16" s="2" t="n"/>
      <c r="Y16" s="2" t="n"/>
      <c r="Z16" s="2" t="n"/>
    </row>
    <row r="17" ht="17.25" customHeight="1" s="462" thickBot="1">
      <c r="A17" s="5" t="n"/>
      <c r="B17" s="6" t="inlineStr">
        <is>
          <t>M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" t="n"/>
      <c r="V17" s="2" t="n"/>
      <c r="W17" s="2" t="n"/>
      <c r="X17" s="2" t="n"/>
      <c r="Y17" s="2" t="n"/>
      <c r="Z17" s="2" t="n"/>
    </row>
    <row r="18" ht="17.25" customHeight="1" s="462" thickBot="1">
      <c r="A18" s="5" t="n"/>
      <c r="B18" s="6" t="inlineStr">
        <is>
          <t>20대</t>
        </is>
      </c>
      <c r="C18" s="7" t="n">
        <v>0</v>
      </c>
      <c r="D18" s="7" t="n">
        <v>0.04</v>
      </c>
      <c r="E18" s="7" t="n">
        <v>0</v>
      </c>
      <c r="F18" s="7" t="n">
        <v>0.04</v>
      </c>
      <c r="G18" s="7" t="n">
        <v>0.22</v>
      </c>
      <c r="H18" s="7" t="n">
        <v>0</v>
      </c>
      <c r="I18" s="7" t="n">
        <v>0.09</v>
      </c>
      <c r="J18" s="7" t="n">
        <v>0</v>
      </c>
      <c r="K18" s="7" t="n">
        <v>0.13</v>
      </c>
      <c r="L18" s="7" t="n">
        <v>0</v>
      </c>
      <c r="M18" s="7" t="n">
        <v>0</v>
      </c>
      <c r="N18" s="7" t="n">
        <v>0.04</v>
      </c>
      <c r="O18" s="7" t="n">
        <v>0.35</v>
      </c>
      <c r="P18" s="7" t="n">
        <v>0.09</v>
      </c>
      <c r="Q18" s="7" t="n">
        <v>0</v>
      </c>
      <c r="R18" s="7" t="n">
        <v>0</v>
      </c>
      <c r="S18" s="7" t="n">
        <v>0</v>
      </c>
      <c r="T18" s="7" t="n">
        <v>0.17</v>
      </c>
      <c r="U18" s="2" t="n"/>
      <c r="V18" s="2" t="n"/>
      <c r="W18" s="2" t="n"/>
      <c r="X18" s="2" t="n"/>
      <c r="Y18" s="2" t="n"/>
      <c r="Z18" s="2" t="n"/>
    </row>
    <row r="19" ht="17.25" customHeight="1" s="462" thickBot="1">
      <c r="A19" s="5" t="n"/>
      <c r="B19" s="6" t="inlineStr">
        <is>
          <t>30대</t>
        </is>
      </c>
      <c r="C19" s="7" t="n">
        <v>0.02</v>
      </c>
      <c r="D19" s="7" t="n">
        <v>0.09</v>
      </c>
      <c r="E19" s="7" t="n">
        <v>0.04</v>
      </c>
      <c r="F19" s="7" t="n">
        <v>0.07000000000000001</v>
      </c>
      <c r="G19" s="7" t="n">
        <v>0.18</v>
      </c>
      <c r="H19" s="7" t="n">
        <v>0.04</v>
      </c>
      <c r="I19" s="7" t="n">
        <v>0.05</v>
      </c>
      <c r="J19" s="7" t="n">
        <v>0.05</v>
      </c>
      <c r="K19" s="7" t="n">
        <v>0.19</v>
      </c>
      <c r="L19" s="7" t="n">
        <v>0.02</v>
      </c>
      <c r="M19" s="7" t="n">
        <v>0</v>
      </c>
      <c r="N19" s="7" t="n">
        <v>0.07000000000000001</v>
      </c>
      <c r="O19" s="7" t="n">
        <v>0.09</v>
      </c>
      <c r="P19" s="7" t="n">
        <v>0.07000000000000001</v>
      </c>
      <c r="Q19" s="7" t="n">
        <v>0.02</v>
      </c>
      <c r="R19" s="7" t="n">
        <v>0.02</v>
      </c>
      <c r="S19" s="7" t="n">
        <v>0</v>
      </c>
      <c r="T19" s="7" t="n">
        <v>0.41</v>
      </c>
      <c r="U19" s="2" t="n"/>
      <c r="V19" s="2" t="n"/>
      <c r="W19" s="2" t="n"/>
      <c r="X19" s="2" t="n"/>
      <c r="Y19" s="2" t="n"/>
      <c r="Z19" s="2" t="n"/>
    </row>
    <row r="20" ht="17.25" customHeight="1" s="462" thickBot="1">
      <c r="A20" s="5" t="n"/>
      <c r="B20" s="6" t="inlineStr">
        <is>
          <t>40대</t>
        </is>
      </c>
      <c r="C20" s="7" t="n">
        <v>0</v>
      </c>
      <c r="D20" s="7" t="n">
        <v>0.03</v>
      </c>
      <c r="E20" s="7" t="n">
        <v>0.03</v>
      </c>
      <c r="F20" s="7" t="n">
        <v>0.03</v>
      </c>
      <c r="G20" s="7" t="n">
        <v>0.09</v>
      </c>
      <c r="H20" s="7" t="n">
        <v>0.03</v>
      </c>
      <c r="I20" s="7" t="n">
        <v>0.11</v>
      </c>
      <c r="J20" s="7" t="n">
        <v>0.06</v>
      </c>
      <c r="K20" s="7" t="n">
        <v>0.23</v>
      </c>
      <c r="L20" s="7" t="n">
        <v>0.03</v>
      </c>
      <c r="M20" s="7" t="n">
        <v>0</v>
      </c>
      <c r="N20" s="7" t="n">
        <v>0.09</v>
      </c>
      <c r="O20" s="7" t="n">
        <v>0.14</v>
      </c>
      <c r="P20" s="7" t="n">
        <v>0.09</v>
      </c>
      <c r="Q20" s="7" t="n">
        <v>0</v>
      </c>
      <c r="R20" s="7" t="n">
        <v>0.03</v>
      </c>
      <c r="S20" s="7" t="n">
        <v>0.03</v>
      </c>
      <c r="T20" s="7" t="n">
        <v>0.25</v>
      </c>
      <c r="U20" s="2" t="n"/>
      <c r="V20" s="2" t="n"/>
      <c r="W20" s="2" t="n"/>
      <c r="X20" s="2" t="n"/>
      <c r="Y20" s="2" t="n"/>
      <c r="Z20" s="2" t="n"/>
    </row>
    <row r="21" ht="17.25" customHeight="1" s="462" thickBot="1">
      <c r="A21" s="5" t="n"/>
      <c r="B21" s="6" t="inlineStr">
        <is>
          <t>50대</t>
        </is>
      </c>
      <c r="C21" s="7" t="n">
        <v>0</v>
      </c>
      <c r="D21" s="7" t="n">
        <v>0.29</v>
      </c>
      <c r="E21" s="7" t="n">
        <v>0.07000000000000001</v>
      </c>
      <c r="F21" s="7" t="n">
        <v>0.07000000000000001</v>
      </c>
      <c r="G21" s="7" t="n">
        <v>0</v>
      </c>
      <c r="H21" s="7" t="n">
        <v>0.07000000000000001</v>
      </c>
      <c r="I21" s="7" t="n">
        <v>0</v>
      </c>
      <c r="J21" s="7" t="n">
        <v>0</v>
      </c>
      <c r="K21" s="7" t="n">
        <v>0.14</v>
      </c>
      <c r="L21" s="7" t="n">
        <v>0</v>
      </c>
      <c r="M21" s="7" t="n">
        <v>0.07000000000000001</v>
      </c>
      <c r="N21" s="7" t="n">
        <v>0.07000000000000001</v>
      </c>
      <c r="O21" s="7" t="n">
        <v>0.14</v>
      </c>
      <c r="P21" s="7" t="n">
        <v>0</v>
      </c>
      <c r="Q21" s="7" t="n">
        <v>0.07000000000000001</v>
      </c>
      <c r="R21" s="7" t="n">
        <v>0</v>
      </c>
      <c r="S21" s="7" t="n">
        <v>0</v>
      </c>
      <c r="T21" s="7" t="n">
        <v>0.1</v>
      </c>
      <c r="U21" s="2" t="n"/>
      <c r="V21" s="2" t="n"/>
      <c r="W21" s="2" t="n"/>
      <c r="X21" s="2" t="n"/>
      <c r="Y21" s="2" t="n"/>
      <c r="Z21" s="2" t="n"/>
    </row>
    <row r="22" ht="17.25" customHeight="1" s="462" thickBot="1">
      <c r="A22" s="5" t="n"/>
      <c r="B22" s="6" t="inlineStr">
        <is>
          <t>60대 이상</t>
        </is>
      </c>
      <c r="C22" s="7" t="n">
        <v>0</v>
      </c>
      <c r="D22" s="7" t="n">
        <v>0.4</v>
      </c>
      <c r="E22" s="7" t="n">
        <v>0.1</v>
      </c>
      <c r="F22" s="7" t="n">
        <v>0</v>
      </c>
      <c r="G22" s="7" t="n">
        <v>0.1</v>
      </c>
      <c r="H22" s="7" t="n">
        <v>0</v>
      </c>
      <c r="I22" s="7" t="n">
        <v>0</v>
      </c>
      <c r="J22" s="7" t="n">
        <v>0</v>
      </c>
      <c r="K22" s="7" t="n">
        <v>0.1</v>
      </c>
      <c r="L22" s="7" t="n">
        <v>0</v>
      </c>
      <c r="M22" s="7" t="n">
        <v>0</v>
      </c>
      <c r="N22" s="7" t="n">
        <v>0.1</v>
      </c>
      <c r="O22" s="7" t="n">
        <v>0.2</v>
      </c>
      <c r="P22" s="7" t="n">
        <v>0</v>
      </c>
      <c r="Q22" s="7" t="n">
        <v>0</v>
      </c>
      <c r="R22" s="7" t="n">
        <v>0</v>
      </c>
      <c r="S22" s="7" t="n">
        <v>0</v>
      </c>
      <c r="T22" s="7" t="n">
        <v>0.07000000000000001</v>
      </c>
      <c r="U22" s="2" t="n"/>
      <c r="V22" s="2" t="n"/>
      <c r="W22" s="2" t="n"/>
      <c r="X22" s="2" t="n"/>
      <c r="Y22" s="2" t="n"/>
      <c r="Z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7.25" customHeight="1" s="462" thickBot="1">
      <c r="A24" s="2" t="n"/>
      <c r="B24" s="8" t="inlineStr">
        <is>
          <t>여수</t>
        </is>
      </c>
      <c r="C24" s="4" t="n"/>
      <c r="D24" s="2" t="n"/>
      <c r="E24" s="4" t="n"/>
      <c r="F24" s="4" t="n"/>
      <c r="G24" s="4" t="n"/>
      <c r="H24" s="4" t="n"/>
      <c r="I24" s="4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7.25" customHeight="1" s="462" thickBot="1">
      <c r="A25" s="5" t="n"/>
      <c r="B25" s="6" t="inlineStr">
        <is>
          <t>여자</t>
        </is>
      </c>
      <c r="C25" s="9" t="n">
        <v>0.597</v>
      </c>
      <c r="D25" s="5" t="n"/>
      <c r="E25" s="6" t="inlineStr">
        <is>
          <t>20대</t>
        </is>
      </c>
      <c r="F25" s="6" t="inlineStr">
        <is>
          <t>30대</t>
        </is>
      </c>
      <c r="G25" s="6" t="inlineStr">
        <is>
          <t>40대</t>
        </is>
      </c>
      <c r="H25" s="6" t="inlineStr">
        <is>
          <t>50대</t>
        </is>
      </c>
      <c r="I25" s="6" t="inlineStr">
        <is>
          <t>60대이상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7.25" customHeight="1" s="462" thickBot="1">
      <c r="A26" s="5" t="n"/>
      <c r="B26" s="6" t="inlineStr">
        <is>
          <t>남자</t>
        </is>
      </c>
      <c r="C26" s="9" t="n">
        <v>0.403</v>
      </c>
      <c r="D26" s="5" t="n"/>
      <c r="E26" s="9" t="n">
        <v>0.208</v>
      </c>
      <c r="F26" s="9" t="n">
        <v>0.404</v>
      </c>
      <c r="G26" s="9" t="n">
        <v>0.238</v>
      </c>
      <c r="H26" s="9" t="n">
        <v>0.11</v>
      </c>
      <c r="I26" s="9" t="n">
        <v>0.04</v>
      </c>
      <c r="J26" s="10" t="n">
        <v>1</v>
      </c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7.25" customHeight="1" s="462" thickBot="1">
      <c r="A27" s="2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2" t="n"/>
      <c r="V27" s="2" t="n"/>
      <c r="W27" s="2" t="n"/>
      <c r="X27" s="2" t="n"/>
      <c r="Y27" s="2" t="n"/>
      <c r="Z27" s="2" t="n"/>
    </row>
    <row r="28" ht="17.25" customHeight="1" s="462" thickBot="1">
      <c r="A28" s="5" t="n"/>
      <c r="B28" s="6" t="inlineStr">
        <is>
          <t>지역별</t>
        </is>
      </c>
      <c r="C28" s="6" t="inlineStr">
        <is>
          <t>강원도</t>
        </is>
      </c>
      <c r="D28" s="6" t="inlineStr">
        <is>
          <t>경기도</t>
        </is>
      </c>
      <c r="E28" s="6" t="inlineStr">
        <is>
          <t>경상남도</t>
        </is>
      </c>
      <c r="F28" s="6" t="inlineStr">
        <is>
          <t>경상북도</t>
        </is>
      </c>
      <c r="G28" s="6" t="inlineStr">
        <is>
          <t>광주</t>
        </is>
      </c>
      <c r="H28" s="6" t="inlineStr">
        <is>
          <t>대구</t>
        </is>
      </c>
      <c r="I28" s="6" t="inlineStr">
        <is>
          <t>대전</t>
        </is>
      </c>
      <c r="J28" s="6" t="inlineStr">
        <is>
          <t>부산</t>
        </is>
      </c>
      <c r="K28" s="6" t="inlineStr">
        <is>
          <t>서울</t>
        </is>
      </c>
      <c r="L28" s="6" t="inlineStr">
        <is>
          <t>세종시</t>
        </is>
      </c>
      <c r="M28" s="6" t="inlineStr">
        <is>
          <t>울산</t>
        </is>
      </c>
      <c r="N28" s="6" t="inlineStr">
        <is>
          <t>인천</t>
        </is>
      </c>
      <c r="O28" s="6" t="inlineStr">
        <is>
          <t>전라남도</t>
        </is>
      </c>
      <c r="P28" s="6" t="inlineStr">
        <is>
          <t>전라북도</t>
        </is>
      </c>
      <c r="Q28" s="6" t="inlineStr">
        <is>
          <t>제주도</t>
        </is>
      </c>
      <c r="R28" s="6" t="inlineStr">
        <is>
          <t>충청남도</t>
        </is>
      </c>
      <c r="S28" s="6" t="inlineStr">
        <is>
          <t>충청북도</t>
        </is>
      </c>
      <c r="T28" s="6" t="inlineStr">
        <is>
          <t>총합계</t>
        </is>
      </c>
      <c r="U28" s="2" t="n"/>
      <c r="V28" s="2" t="n"/>
      <c r="W28" s="2" t="n"/>
      <c r="X28" s="2" t="n"/>
      <c r="Y28" s="2" t="n"/>
      <c r="Z28" s="2" t="n"/>
    </row>
    <row r="29" ht="17.25" customHeight="1" s="462" thickBot="1">
      <c r="A29" s="5" t="n"/>
      <c r="B29" s="6" t="inlineStr">
        <is>
          <t>F</t>
        </is>
      </c>
      <c r="C29" s="11" t="n">
        <v>0.7</v>
      </c>
      <c r="D29" s="11" t="n">
        <v>10.3</v>
      </c>
      <c r="E29" s="11" t="n">
        <v>3.2</v>
      </c>
      <c r="F29" s="11" t="n">
        <v>1.3</v>
      </c>
      <c r="G29" s="11" t="n">
        <v>4.5</v>
      </c>
      <c r="H29" s="11" t="n">
        <v>2.1</v>
      </c>
      <c r="I29" s="11" t="n">
        <v>3.3</v>
      </c>
      <c r="J29" s="11" t="n">
        <v>4.1</v>
      </c>
      <c r="K29" s="11" t="n">
        <v>13.2</v>
      </c>
      <c r="L29" s="11" t="n">
        <v>0.6</v>
      </c>
      <c r="M29" s="11" t="n">
        <v>1.5</v>
      </c>
      <c r="N29" s="11" t="n">
        <v>2</v>
      </c>
      <c r="O29" s="11" t="n">
        <v>3.6</v>
      </c>
      <c r="P29" s="11" t="n">
        <v>3.6</v>
      </c>
      <c r="Q29" s="11" t="n">
        <v>0.5</v>
      </c>
      <c r="R29" s="11" t="n">
        <v>2.8</v>
      </c>
      <c r="S29" s="11" t="n">
        <v>1.4</v>
      </c>
      <c r="T29" s="9" t="n">
        <v>0.597</v>
      </c>
      <c r="U29" s="2" t="n"/>
      <c r="V29" s="2" t="n"/>
      <c r="W29" s="2" t="n"/>
      <c r="X29" s="2" t="n"/>
      <c r="Y29" s="2" t="n"/>
      <c r="Z29" s="2" t="n"/>
    </row>
    <row r="30" ht="17.25" customHeight="1" s="462" thickBot="1">
      <c r="A30" s="5" t="n"/>
      <c r="B30" s="6" t="inlineStr">
        <is>
          <t>M</t>
        </is>
      </c>
      <c r="C30" s="11" t="n">
        <v>0.4</v>
      </c>
      <c r="D30" s="11" t="n">
        <v>7.6</v>
      </c>
      <c r="E30" s="11" t="n">
        <v>2.2</v>
      </c>
      <c r="F30" s="11" t="n">
        <v>0.9</v>
      </c>
      <c r="G30" s="11" t="n">
        <v>3.6</v>
      </c>
      <c r="H30" s="11" t="n">
        <v>1.6</v>
      </c>
      <c r="I30" s="11" t="n">
        <v>1.8</v>
      </c>
      <c r="J30" s="11" t="n">
        <v>2.4</v>
      </c>
      <c r="K30" s="11" t="n">
        <v>10</v>
      </c>
      <c r="L30" s="11" t="n">
        <v>0.4</v>
      </c>
      <c r="M30" s="11" t="n">
        <v>0.5</v>
      </c>
      <c r="N30" s="11" t="n">
        <v>0.7</v>
      </c>
      <c r="O30" s="11" t="n">
        <v>2.4</v>
      </c>
      <c r="P30" s="11" t="n">
        <v>1.6</v>
      </c>
      <c r="Q30" s="11" t="n">
        <v>0.1</v>
      </c>
      <c r="R30" s="11" t="n">
        <v>1.7</v>
      </c>
      <c r="S30" s="11" t="n">
        <v>1.3</v>
      </c>
      <c r="T30" s="9" t="n">
        <v>0.403</v>
      </c>
      <c r="U30" s="2" t="n"/>
      <c r="V30" s="2" t="n"/>
      <c r="W30" s="2" t="n"/>
      <c r="X30" s="2" t="n"/>
      <c r="Y30" s="2" t="n"/>
      <c r="Z30" s="2" t="n"/>
    </row>
    <row r="31" ht="17.25" customHeight="1" s="462" thickBot="1">
      <c r="A31" s="2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2" t="n"/>
      <c r="V31" s="2" t="n"/>
      <c r="W31" s="2" t="n"/>
      <c r="X31" s="2" t="n"/>
      <c r="Y31" s="2" t="n"/>
      <c r="Z31" s="2" t="n"/>
    </row>
    <row r="32" ht="17.25" customHeight="1" s="462" thickBot="1">
      <c r="A32" s="5" t="n"/>
      <c r="B32" s="6" t="inlineStr">
        <is>
          <t>연령별</t>
        </is>
      </c>
      <c r="C32" s="6" t="inlineStr">
        <is>
          <t>강원도</t>
        </is>
      </c>
      <c r="D32" s="6" t="inlineStr">
        <is>
          <t>경기도</t>
        </is>
      </c>
      <c r="E32" s="6" t="inlineStr">
        <is>
          <t>경상남도</t>
        </is>
      </c>
      <c r="F32" s="6" t="inlineStr">
        <is>
          <t>경상북도</t>
        </is>
      </c>
      <c r="G32" s="6" t="inlineStr">
        <is>
          <t>광주</t>
        </is>
      </c>
      <c r="H32" s="6" t="inlineStr">
        <is>
          <t>대구</t>
        </is>
      </c>
      <c r="I32" s="6" t="inlineStr">
        <is>
          <t>대전</t>
        </is>
      </c>
      <c r="J32" s="6" t="inlineStr">
        <is>
          <t>부산</t>
        </is>
      </c>
      <c r="K32" s="6" t="inlineStr">
        <is>
          <t>서울</t>
        </is>
      </c>
      <c r="L32" s="6" t="inlineStr">
        <is>
          <t>세종시</t>
        </is>
      </c>
      <c r="M32" s="6" t="inlineStr">
        <is>
          <t>울산</t>
        </is>
      </c>
      <c r="N32" s="6" t="inlineStr">
        <is>
          <t>인천</t>
        </is>
      </c>
      <c r="O32" s="6" t="inlineStr">
        <is>
          <t>전라남도</t>
        </is>
      </c>
      <c r="P32" s="6" t="inlineStr">
        <is>
          <t>전라북도</t>
        </is>
      </c>
      <c r="Q32" s="6" t="inlineStr">
        <is>
          <t>제주도</t>
        </is>
      </c>
      <c r="R32" s="6" t="inlineStr">
        <is>
          <t>충청남도</t>
        </is>
      </c>
      <c r="S32" s="6" t="inlineStr">
        <is>
          <t>충청북도</t>
        </is>
      </c>
      <c r="T32" s="6" t="inlineStr">
        <is>
          <t>총합계</t>
        </is>
      </c>
      <c r="U32" s="2" t="n"/>
      <c r="V32" s="2" t="n"/>
      <c r="W32" s="2" t="n"/>
      <c r="X32" s="2" t="n"/>
      <c r="Y32" s="2" t="n"/>
      <c r="Z32" s="2" t="n"/>
    </row>
    <row r="33" ht="17.25" customHeight="1" s="462" thickBot="1">
      <c r="A33" s="5" t="n"/>
      <c r="B33" s="6" t="inlineStr">
        <is>
          <t>F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2" t="n"/>
      <c r="V33" s="2" t="n"/>
      <c r="W33" s="2" t="n"/>
      <c r="X33" s="2" t="n"/>
      <c r="Y33" s="2" t="n"/>
      <c r="Z33" s="2" t="n"/>
    </row>
    <row r="34" ht="17.25" customHeight="1" s="462" thickBot="1">
      <c r="A34" s="5" t="n"/>
      <c r="B34" s="6" t="inlineStr">
        <is>
          <t>20대</t>
        </is>
      </c>
      <c r="C34" s="11" t="n">
        <v>0.2</v>
      </c>
      <c r="D34" s="11" t="n">
        <v>3.7</v>
      </c>
      <c r="E34" s="11" t="n">
        <v>0.8</v>
      </c>
      <c r="F34" s="11" t="n">
        <v>0.7</v>
      </c>
      <c r="G34" s="11" t="n">
        <v>1.7</v>
      </c>
      <c r="H34" s="11" t="n">
        <v>0.8</v>
      </c>
      <c r="I34" s="11" t="n">
        <v>0.8</v>
      </c>
      <c r="J34" s="11" t="n">
        <v>1</v>
      </c>
      <c r="K34" s="11" t="n">
        <v>4.6</v>
      </c>
      <c r="L34" s="11" t="n">
        <v>0.3</v>
      </c>
      <c r="M34" s="11" t="n">
        <v>0.3</v>
      </c>
      <c r="N34" s="11" t="n">
        <v>0.5</v>
      </c>
      <c r="O34" s="11" t="n">
        <v>1.7</v>
      </c>
      <c r="P34" s="11" t="n">
        <v>0.8</v>
      </c>
      <c r="Q34" s="11" t="n">
        <v>0.2</v>
      </c>
      <c r="R34" s="11" t="n">
        <v>1</v>
      </c>
      <c r="S34" s="11" t="n">
        <v>0.3</v>
      </c>
      <c r="T34" s="9" t="n">
        <v>0.198</v>
      </c>
      <c r="U34" s="2" t="n"/>
      <c r="V34" s="2" t="n"/>
      <c r="W34" s="2" t="n"/>
      <c r="X34" s="2" t="n"/>
      <c r="Y34" s="2" t="n"/>
      <c r="Z34" s="2" t="n"/>
    </row>
    <row r="35" ht="17.25" customHeight="1" s="462" thickBot="1">
      <c r="A35" s="5" t="n"/>
      <c r="B35" s="6" t="inlineStr">
        <is>
          <t>30대</t>
        </is>
      </c>
      <c r="C35" s="11" t="n">
        <v>0.7</v>
      </c>
      <c r="D35" s="11" t="n">
        <v>8.1</v>
      </c>
      <c r="E35" s="11" t="n">
        <v>2.5</v>
      </c>
      <c r="F35" s="11" t="n">
        <v>1.7</v>
      </c>
      <c r="G35" s="11" t="n">
        <v>3.7</v>
      </c>
      <c r="H35" s="11" t="n">
        <v>1.9</v>
      </c>
      <c r="I35" s="11" t="n">
        <v>2.2</v>
      </c>
      <c r="J35" s="11" t="n">
        <v>2.8</v>
      </c>
      <c r="K35" s="11" t="n">
        <v>10.9</v>
      </c>
      <c r="L35" s="11" t="n">
        <v>0.7</v>
      </c>
      <c r="M35" s="11" t="n">
        <v>0.5</v>
      </c>
      <c r="N35" s="11" t="n">
        <v>0.7</v>
      </c>
      <c r="O35" s="11" t="n">
        <v>3.5</v>
      </c>
      <c r="P35" s="11" t="n">
        <v>2.3</v>
      </c>
      <c r="Q35" s="11" t="n">
        <v>0.3</v>
      </c>
      <c r="R35" s="11" t="n">
        <v>2.2</v>
      </c>
      <c r="S35" s="11" t="n">
        <v>0.7</v>
      </c>
      <c r="T35" s="9" t="n">
        <v>0.454</v>
      </c>
      <c r="U35" s="2" t="n"/>
      <c r="V35" s="2" t="n"/>
      <c r="W35" s="2" t="n"/>
      <c r="X35" s="2" t="n"/>
      <c r="Y35" s="2" t="n"/>
      <c r="Z35" s="2" t="n"/>
    </row>
    <row r="36" ht="17.25" customHeight="1" s="462" thickBot="1">
      <c r="A36" s="5" t="n"/>
      <c r="B36" s="6" t="inlineStr">
        <is>
          <t>40대</t>
        </is>
      </c>
      <c r="C36" s="11" t="n">
        <v>0.3</v>
      </c>
      <c r="D36" s="11" t="n">
        <v>4.6</v>
      </c>
      <c r="E36" s="11" t="n">
        <v>1.5</v>
      </c>
      <c r="F36" s="11" t="n">
        <v>1.2</v>
      </c>
      <c r="G36" s="11" t="n">
        <v>2.2</v>
      </c>
      <c r="H36" s="11" t="n">
        <v>1.2</v>
      </c>
      <c r="I36" s="11" t="n">
        <v>1.2</v>
      </c>
      <c r="J36" s="11" t="n">
        <v>1.5</v>
      </c>
      <c r="K36" s="11" t="n">
        <v>6.2</v>
      </c>
      <c r="L36" s="11" t="n">
        <v>0.3</v>
      </c>
      <c r="M36" s="11" t="n">
        <v>0.3</v>
      </c>
      <c r="N36" s="11" t="n">
        <v>0.5</v>
      </c>
      <c r="O36" s="11" t="n">
        <v>2.3</v>
      </c>
      <c r="P36" s="11" t="n">
        <v>1.3</v>
      </c>
      <c r="Q36" s="11" t="n">
        <v>0.2</v>
      </c>
      <c r="R36" s="11" t="n">
        <v>1.2</v>
      </c>
      <c r="S36" s="11" t="n">
        <v>0.5</v>
      </c>
      <c r="T36" s="9" t="n">
        <v>0.265</v>
      </c>
      <c r="U36" s="2" t="n"/>
      <c r="V36" s="2" t="n"/>
      <c r="W36" s="2" t="n"/>
      <c r="X36" s="2" t="n"/>
      <c r="Y36" s="2" t="n"/>
      <c r="Z36" s="2" t="n"/>
    </row>
    <row r="37" ht="17.25" customHeight="1" s="462" thickBot="1">
      <c r="A37" s="5" t="n"/>
      <c r="B37" s="6" t="inlineStr">
        <is>
          <t>50대</t>
        </is>
      </c>
      <c r="C37" s="11" t="n">
        <v>0.2</v>
      </c>
      <c r="D37" s="11" t="n">
        <v>1.8</v>
      </c>
      <c r="E37" s="11" t="n">
        <v>0.8</v>
      </c>
      <c r="F37" s="11" t="n">
        <v>0.5</v>
      </c>
      <c r="G37" s="11" t="n">
        <v>0.8</v>
      </c>
      <c r="H37" s="11" t="n">
        <v>0.5</v>
      </c>
      <c r="I37" s="11" t="n">
        <v>0.3</v>
      </c>
      <c r="J37" s="11" t="n">
        <v>0.7</v>
      </c>
      <c r="K37" s="11" t="n">
        <v>2.6</v>
      </c>
      <c r="L37" s="11" t="n">
        <v>0.2</v>
      </c>
      <c r="M37" s="11" t="n">
        <v>0.2</v>
      </c>
      <c r="N37" s="11" t="n">
        <v>0.2</v>
      </c>
      <c r="O37" s="11" t="n">
        <v>1.2</v>
      </c>
      <c r="P37" s="11" t="n">
        <v>0.7</v>
      </c>
      <c r="Q37" s="11" t="n">
        <v>0</v>
      </c>
      <c r="R37" s="11" t="n">
        <v>0.5</v>
      </c>
      <c r="S37" s="11" t="n">
        <v>0.2</v>
      </c>
      <c r="T37" s="9" t="n">
        <v>0.123</v>
      </c>
      <c r="U37" s="2" t="n"/>
      <c r="V37" s="2" t="n"/>
      <c r="W37" s="2" t="n"/>
      <c r="X37" s="2" t="n"/>
      <c r="Y37" s="2" t="n"/>
      <c r="Z37" s="2" t="n"/>
    </row>
    <row r="38" ht="17.25" customHeight="1" s="462" thickBot="1">
      <c r="A38" s="5" t="n"/>
      <c r="B38" s="6" t="inlineStr">
        <is>
          <t>60대 이상</t>
        </is>
      </c>
      <c r="C38" s="11" t="n">
        <v>0</v>
      </c>
      <c r="D38" s="11" t="n">
        <v>0.7</v>
      </c>
      <c r="E38" s="11" t="n">
        <v>0.3</v>
      </c>
      <c r="F38" s="11" t="n">
        <v>0.2</v>
      </c>
      <c r="G38" s="11" t="n">
        <v>0.3</v>
      </c>
      <c r="H38" s="11" t="n">
        <v>0.2</v>
      </c>
      <c r="I38" s="11" t="n">
        <v>0.2</v>
      </c>
      <c r="J38" s="11" t="n">
        <v>0.2</v>
      </c>
      <c r="K38" s="11" t="n">
        <v>1</v>
      </c>
      <c r="L38" s="11" t="n">
        <v>0</v>
      </c>
      <c r="M38" s="11" t="n">
        <v>0</v>
      </c>
      <c r="N38" s="11" t="n">
        <v>0</v>
      </c>
      <c r="O38" s="11" t="n">
        <v>0.5</v>
      </c>
      <c r="P38" s="11" t="n">
        <v>0.3</v>
      </c>
      <c r="Q38" s="11" t="n">
        <v>0</v>
      </c>
      <c r="R38" s="11" t="n">
        <v>0.2</v>
      </c>
      <c r="S38" s="11" t="n">
        <v>0</v>
      </c>
      <c r="T38" s="9" t="n">
        <v>0.041</v>
      </c>
      <c r="U38" s="2" t="n"/>
      <c r="V38" s="2" t="n"/>
      <c r="W38" s="2" t="n"/>
      <c r="X38" s="2" t="n"/>
      <c r="Y38" s="2" t="n"/>
      <c r="Z38" s="2" t="n"/>
    </row>
    <row r="39" ht="17.25" customHeight="1" s="462" thickBot="1">
      <c r="A39" s="5" t="n"/>
      <c r="B39" s="6" t="inlineStr">
        <is>
          <t>M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2" t="n"/>
      <c r="V39" s="2" t="n"/>
      <c r="W39" s="2" t="n"/>
      <c r="X39" s="2" t="n"/>
      <c r="Y39" s="2" t="n"/>
      <c r="Z39" s="2" t="n"/>
    </row>
    <row r="40" ht="17.25" customHeight="1" s="462" thickBot="1">
      <c r="A40" s="5" t="n"/>
      <c r="B40" s="6" t="inlineStr">
        <is>
          <t>20대</t>
        </is>
      </c>
      <c r="C40" s="11" t="n">
        <v>0.2</v>
      </c>
      <c r="D40" s="11" t="n">
        <v>4</v>
      </c>
      <c r="E40" s="11" t="n">
        <v>1</v>
      </c>
      <c r="F40" s="11" t="n">
        <v>0.7</v>
      </c>
      <c r="G40" s="11" t="n">
        <v>1.7</v>
      </c>
      <c r="H40" s="11" t="n">
        <v>1</v>
      </c>
      <c r="I40" s="11" t="n">
        <v>0.7</v>
      </c>
      <c r="J40" s="11" t="n">
        <v>1</v>
      </c>
      <c r="K40" s="11" t="n">
        <v>4.7</v>
      </c>
      <c r="L40" s="11" t="n">
        <v>0.5</v>
      </c>
      <c r="M40" s="11" t="n">
        <v>0.2</v>
      </c>
      <c r="N40" s="11" t="n">
        <v>0.2</v>
      </c>
      <c r="O40" s="11" t="n">
        <v>1.7</v>
      </c>
      <c r="P40" s="11" t="n">
        <v>0.7</v>
      </c>
      <c r="Q40" s="11" t="n">
        <v>0</v>
      </c>
      <c r="R40" s="11" t="n">
        <v>1</v>
      </c>
      <c r="S40" s="11" t="n">
        <v>0.5</v>
      </c>
      <c r="T40" s="9" t="n">
        <v>0.194</v>
      </c>
      <c r="U40" s="2" t="n"/>
      <c r="V40" s="2" t="n"/>
      <c r="W40" s="2" t="n"/>
      <c r="X40" s="2" t="n"/>
      <c r="Y40" s="2" t="n"/>
      <c r="Z40" s="2" t="n"/>
    </row>
    <row r="41" ht="17.25" customHeight="1" s="462" thickBot="1">
      <c r="A41" s="5" t="n"/>
      <c r="B41" s="6" t="inlineStr">
        <is>
          <t>30대</t>
        </is>
      </c>
      <c r="C41" s="11" t="n">
        <v>0.7</v>
      </c>
      <c r="D41" s="11" t="n">
        <v>8.4</v>
      </c>
      <c r="E41" s="11" t="n">
        <v>3</v>
      </c>
      <c r="F41" s="11" t="n">
        <v>2.2</v>
      </c>
      <c r="G41" s="11" t="n">
        <v>3.7</v>
      </c>
      <c r="H41" s="11" t="n">
        <v>2</v>
      </c>
      <c r="I41" s="11" t="n">
        <v>1.7</v>
      </c>
      <c r="J41" s="11" t="n">
        <v>2.5</v>
      </c>
      <c r="K41" s="11" t="n">
        <v>11.4</v>
      </c>
      <c r="L41" s="11" t="n">
        <v>0.7</v>
      </c>
      <c r="M41" s="11" t="n">
        <v>0.5</v>
      </c>
      <c r="N41" s="11" t="n">
        <v>0.5</v>
      </c>
      <c r="O41" s="11" t="n">
        <v>3.2</v>
      </c>
      <c r="P41" s="11" t="n">
        <v>1.7</v>
      </c>
      <c r="Q41" s="11" t="n">
        <v>0.2</v>
      </c>
      <c r="R41" s="11" t="n">
        <v>2</v>
      </c>
      <c r="S41" s="11" t="n">
        <v>0.7</v>
      </c>
      <c r="T41" s="9" t="n">
        <v>0.451</v>
      </c>
      <c r="U41" s="2" t="n"/>
      <c r="V41" s="2" t="n"/>
      <c r="W41" s="2" t="n"/>
      <c r="X41" s="2" t="n"/>
      <c r="Y41" s="2" t="n"/>
      <c r="Z41" s="2" t="n"/>
    </row>
    <row r="42" ht="17.25" customHeight="1" s="462" thickBot="1">
      <c r="A42" s="5" t="n"/>
      <c r="B42" s="6" t="inlineStr">
        <is>
          <t>40대</t>
        </is>
      </c>
      <c r="C42" s="11" t="n">
        <v>0.5</v>
      </c>
      <c r="D42" s="11" t="n">
        <v>5.5</v>
      </c>
      <c r="E42" s="11" t="n">
        <v>2</v>
      </c>
      <c r="F42" s="11" t="n">
        <v>1.5</v>
      </c>
      <c r="G42" s="11" t="n">
        <v>2.5</v>
      </c>
      <c r="H42" s="11" t="n">
        <v>1.2</v>
      </c>
      <c r="I42" s="11" t="n">
        <v>1</v>
      </c>
      <c r="J42" s="11" t="n">
        <v>1.5</v>
      </c>
      <c r="K42" s="11" t="n">
        <v>7.2</v>
      </c>
      <c r="L42" s="11" t="n">
        <v>0.2</v>
      </c>
      <c r="M42" s="11" t="n">
        <v>0.2</v>
      </c>
      <c r="N42" s="11" t="n">
        <v>0.5</v>
      </c>
      <c r="O42" s="11" t="n">
        <v>2.5</v>
      </c>
      <c r="P42" s="11" t="n">
        <v>1.2</v>
      </c>
      <c r="Q42" s="11" t="n">
        <v>0.2</v>
      </c>
      <c r="R42" s="11" t="n">
        <v>1.2</v>
      </c>
      <c r="S42" s="11" t="n">
        <v>0.5</v>
      </c>
      <c r="T42" s="9" t="n">
        <v>0.294</v>
      </c>
      <c r="U42" s="2" t="n"/>
      <c r="V42" s="2" t="n"/>
      <c r="W42" s="2" t="n"/>
      <c r="X42" s="2" t="n"/>
      <c r="Y42" s="2" t="n"/>
      <c r="Z42" s="2" t="n"/>
    </row>
    <row r="43" ht="17.25" customHeight="1" s="462" thickBot="1">
      <c r="A43" s="5" t="n"/>
      <c r="B43" s="6" t="inlineStr">
        <is>
          <t>50대</t>
        </is>
      </c>
      <c r="C43" s="11" t="n">
        <v>0.2</v>
      </c>
      <c r="D43" s="11" t="n">
        <v>2.2</v>
      </c>
      <c r="E43" s="11" t="n">
        <v>1</v>
      </c>
      <c r="F43" s="11" t="n">
        <v>0.7</v>
      </c>
      <c r="G43" s="11" t="n">
        <v>1</v>
      </c>
      <c r="H43" s="11" t="n">
        <v>0.5</v>
      </c>
      <c r="I43" s="11" t="n">
        <v>0.5</v>
      </c>
      <c r="J43" s="11" t="n">
        <v>0.7</v>
      </c>
      <c r="K43" s="11" t="n">
        <v>2.7</v>
      </c>
      <c r="L43" s="11" t="n">
        <v>0.2</v>
      </c>
      <c r="M43" s="11" t="n">
        <v>0</v>
      </c>
      <c r="N43" s="11" t="n">
        <v>0.2</v>
      </c>
      <c r="O43" s="11" t="n">
        <v>1.2</v>
      </c>
      <c r="P43" s="11" t="n">
        <v>0.5</v>
      </c>
      <c r="Q43" s="11" t="n">
        <v>0</v>
      </c>
      <c r="R43" s="11" t="n">
        <v>0.5</v>
      </c>
      <c r="S43" s="11" t="n">
        <v>0.2</v>
      </c>
      <c r="T43" s="9" t="n">
        <v>0.123</v>
      </c>
      <c r="U43" s="2" t="n"/>
      <c r="V43" s="19" t="inlineStr">
        <is>
          <t>경쟁사 대비하여 시장과 소통할것인가,</t>
        </is>
      </c>
      <c r="W43" s="2" t="n"/>
      <c r="X43" s="2" t="n"/>
      <c r="Y43" s="2" t="n"/>
      <c r="Z43" s="2" t="n"/>
    </row>
    <row r="44" ht="17.25" customHeight="1" s="462" thickBot="1">
      <c r="A44" s="5" t="n"/>
      <c r="B44" s="6" t="inlineStr">
        <is>
          <t>60대 이상</t>
        </is>
      </c>
      <c r="C44" s="11" t="n">
        <v>0</v>
      </c>
      <c r="D44" s="11" t="n">
        <v>0.7</v>
      </c>
      <c r="E44" s="11" t="n">
        <v>0.2</v>
      </c>
      <c r="F44" s="11" t="n">
        <v>0.2</v>
      </c>
      <c r="G44" s="11" t="n">
        <v>0.2</v>
      </c>
      <c r="H44" s="11" t="n">
        <v>0</v>
      </c>
      <c r="I44" s="11" t="n">
        <v>0</v>
      </c>
      <c r="J44" s="11" t="n">
        <v>0.2</v>
      </c>
      <c r="K44" s="11" t="n">
        <v>1</v>
      </c>
      <c r="L44" s="11" t="n">
        <v>0</v>
      </c>
      <c r="M44" s="11" t="n">
        <v>0</v>
      </c>
      <c r="N44" s="11" t="n">
        <v>0</v>
      </c>
      <c r="O44" s="11" t="n">
        <v>0.5</v>
      </c>
      <c r="P44" s="11" t="n">
        <v>0.2</v>
      </c>
      <c r="Q44" s="11" t="n">
        <v>0</v>
      </c>
      <c r="R44" s="11" t="n">
        <v>0.2</v>
      </c>
      <c r="S44" s="11" t="n">
        <v>0</v>
      </c>
      <c r="T44" s="9" t="n">
        <v>0.041</v>
      </c>
      <c r="U44" s="2" t="n"/>
      <c r="V44" s="19" t="inlineStr">
        <is>
          <t>현장과 조율필요(서비스/타겟)</t>
        </is>
      </c>
      <c r="W44" s="2" t="n"/>
      <c r="X44" s="2" t="n"/>
      <c r="Y44" s="2" t="n"/>
      <c r="Z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19" t="inlineStr">
        <is>
          <t>여수지역 외국인 비중 확인필요</t>
        </is>
      </c>
      <c r="W45" s="2" t="n"/>
      <c r="X45" s="2" t="n"/>
      <c r="Y45" s="2" t="n"/>
      <c r="Z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inlineStr">
        <is>
          <t xml:space="preserve">3.4인 타켓 </t>
        </is>
      </c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12" t="inlineStr">
        <is>
          <t>진도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18" t="inlineStr">
        <is>
          <t>가족중심타겟 서비스디자인 필요</t>
        </is>
      </c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13" t="inlineStr">
        <is>
          <t>주요지역</t>
        </is>
      </c>
      <c r="C49" s="13" t="inlineStr">
        <is>
          <t>광주</t>
        </is>
      </c>
      <c r="D49" s="13" t="inlineStr">
        <is>
          <t>서울</t>
        </is>
      </c>
      <c r="E49" s="13" t="inlineStr">
        <is>
          <t>경기</t>
        </is>
      </c>
      <c r="F49" s="13" t="inlineStr">
        <is>
          <t>전남</t>
        </is>
      </c>
      <c r="G49" s="13" t="inlineStr">
        <is>
          <t>전북</t>
        </is>
      </c>
      <c r="H49" s="13" t="inlineStr">
        <is>
          <t>기타</t>
        </is>
      </c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2" t="n"/>
      <c r="U49" s="2" t="n"/>
      <c r="V49" s="2" t="inlineStr">
        <is>
          <t>소구포인트 // 사우나 조식</t>
        </is>
      </c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13" t="inlineStr">
        <is>
          <t>비중</t>
        </is>
      </c>
      <c r="C50" s="15" t="n">
        <v>0.18</v>
      </c>
      <c r="D50" s="15" t="n">
        <v>0.16</v>
      </c>
      <c r="E50" s="15" t="n">
        <v>0.13</v>
      </c>
      <c r="F50" s="15" t="n">
        <v>0.13</v>
      </c>
      <c r="G50" s="15" t="n">
        <v>0.06</v>
      </c>
      <c r="H50" s="15" t="n">
        <v>0.33</v>
      </c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2" t="n"/>
      <c r="U50" s="2" t="n"/>
      <c r="V50" s="2" t="inlineStr">
        <is>
          <t>20대 배제 30,40타겟</t>
        </is>
      </c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13" t="inlineStr">
        <is>
          <t>전체지역</t>
        </is>
      </c>
      <c r="C51" s="13" t="inlineStr">
        <is>
          <t>강원도</t>
        </is>
      </c>
      <c r="D51" s="13" t="inlineStr">
        <is>
          <t>경기도</t>
        </is>
      </c>
      <c r="E51" s="13" t="inlineStr">
        <is>
          <t>경상남도</t>
        </is>
      </c>
      <c r="F51" s="13" t="inlineStr">
        <is>
          <t>경상북도</t>
        </is>
      </c>
      <c r="G51" s="13" t="inlineStr">
        <is>
          <t>광주</t>
        </is>
      </c>
      <c r="H51" s="13" t="inlineStr">
        <is>
          <t>대구</t>
        </is>
      </c>
      <c r="I51" s="13" t="inlineStr">
        <is>
          <t>대전</t>
        </is>
      </c>
      <c r="J51" s="13" t="inlineStr">
        <is>
          <t>부산</t>
        </is>
      </c>
      <c r="K51" s="13" t="inlineStr">
        <is>
          <t>서울</t>
        </is>
      </c>
      <c r="L51" s="13" t="inlineStr">
        <is>
          <t>세종시</t>
        </is>
      </c>
      <c r="M51" s="13" t="inlineStr">
        <is>
          <t>울산</t>
        </is>
      </c>
      <c r="N51" s="13" t="inlineStr">
        <is>
          <t>인천</t>
        </is>
      </c>
      <c r="O51" s="13" t="inlineStr">
        <is>
          <t>전라남도</t>
        </is>
      </c>
      <c r="P51" s="13" t="inlineStr">
        <is>
          <t>전라북도</t>
        </is>
      </c>
      <c r="Q51" s="13" t="inlineStr">
        <is>
          <t>제주도</t>
        </is>
      </c>
      <c r="R51" s="13" t="inlineStr">
        <is>
          <t>충청남도</t>
        </is>
      </c>
      <c r="S51" s="13" t="inlineStr">
        <is>
          <t>충청북도</t>
        </is>
      </c>
      <c r="T51" s="2" t="n"/>
      <c r="U51" s="2" t="n"/>
      <c r="V51" s="2" t="inlineStr">
        <is>
          <t xml:space="preserve">인당 판매가 산출필요 </t>
        </is>
      </c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16" t="inlineStr">
        <is>
          <t>비중</t>
        </is>
      </c>
      <c r="C52" s="17" t="n">
        <v>0.01</v>
      </c>
      <c r="D52" s="17" t="n">
        <v>0.13</v>
      </c>
      <c r="E52" s="17" t="n">
        <v>0.05</v>
      </c>
      <c r="F52" s="17" t="n">
        <v>0.04</v>
      </c>
      <c r="G52" s="17" t="n">
        <v>0.18</v>
      </c>
      <c r="H52" s="17" t="n">
        <v>0.04</v>
      </c>
      <c r="I52" s="17" t="n">
        <v>0.06</v>
      </c>
      <c r="J52" s="17" t="n">
        <v>0.04</v>
      </c>
      <c r="K52" s="17" t="n">
        <v>0.16</v>
      </c>
      <c r="L52" s="17" t="n">
        <v>0.01</v>
      </c>
      <c r="M52" s="17" t="n">
        <v>0.01</v>
      </c>
      <c r="N52" s="17" t="n">
        <v>0.04</v>
      </c>
      <c r="O52" s="17" t="n">
        <v>0.13</v>
      </c>
      <c r="P52" s="17" t="n">
        <v>0.06</v>
      </c>
      <c r="Q52" s="17" t="n">
        <v>0.01</v>
      </c>
      <c r="R52" s="17" t="n">
        <v>0.01</v>
      </c>
      <c r="S52" s="17" t="n">
        <v>0</v>
      </c>
      <c r="T52" s="2" t="n"/>
      <c r="U52" s="2" t="n"/>
      <c r="V52" s="18" t="inlineStr">
        <is>
          <t>대형평형타겟</t>
        </is>
      </c>
      <c r="W52" s="2" t="n"/>
      <c r="X52" s="2" t="n"/>
      <c r="Y52" s="2" t="n"/>
      <c r="Z52" s="2" t="n"/>
      <c r="AA52" s="2" t="n"/>
    </row>
    <row r="53" ht="26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inlineStr">
        <is>
          <t>조식:유아/소인/성인 별도의 프로모션 필요</t>
        </is>
      </c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inlineStr">
        <is>
          <t>교통수단 확인(코레일제휴,항공사제휴)</t>
        </is>
      </c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12" t="inlineStr">
        <is>
          <t>여수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inlineStr">
        <is>
          <t>사우나(어필이 가능한 시설이가)</t>
        </is>
      </c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13" t="inlineStr">
        <is>
          <t>주요지역</t>
        </is>
      </c>
      <c r="C56" s="13" t="inlineStr">
        <is>
          <t>서울</t>
        </is>
      </c>
      <c r="D56" s="13" t="inlineStr">
        <is>
          <t>경기</t>
        </is>
      </c>
      <c r="E56" s="13" t="inlineStr">
        <is>
          <t>광주</t>
        </is>
      </c>
      <c r="F56" s="13" t="inlineStr">
        <is>
          <t>부산</t>
        </is>
      </c>
      <c r="G56" s="13" t="inlineStr">
        <is>
          <t>전남</t>
        </is>
      </c>
      <c r="H56" s="13" t="inlineStr">
        <is>
          <t>기타</t>
        </is>
      </c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inlineStr">
        <is>
          <t>조식(5성급에 준하는 수준일까)</t>
        </is>
      </c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13" t="inlineStr">
        <is>
          <t>비중</t>
        </is>
      </c>
      <c r="C57" s="10" t="n">
        <v>0.232</v>
      </c>
      <c r="D57" s="10" t="n">
        <v>0.179</v>
      </c>
      <c r="E57" s="10" t="n">
        <v>0.081</v>
      </c>
      <c r="F57" s="10" t="n">
        <v>0.065</v>
      </c>
      <c r="G57" s="10" t="n">
        <v>0.06</v>
      </c>
      <c r="H57" s="10" t="n">
        <v>0.383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13" t="inlineStr">
        <is>
          <t>전체지역</t>
        </is>
      </c>
      <c r="C58" s="13" t="inlineStr">
        <is>
          <t>강원도</t>
        </is>
      </c>
      <c r="D58" s="13" t="inlineStr">
        <is>
          <t>경기도</t>
        </is>
      </c>
      <c r="E58" s="13" t="inlineStr">
        <is>
          <t>경상남도</t>
        </is>
      </c>
      <c r="F58" s="13" t="inlineStr">
        <is>
          <t>경상북도</t>
        </is>
      </c>
      <c r="G58" s="13" t="inlineStr">
        <is>
          <t>광주</t>
        </is>
      </c>
      <c r="H58" s="13" t="inlineStr">
        <is>
          <t>대구</t>
        </is>
      </c>
      <c r="I58" s="13" t="inlineStr">
        <is>
          <t>대전</t>
        </is>
      </c>
      <c r="J58" s="13" t="inlineStr">
        <is>
          <t>부산</t>
        </is>
      </c>
      <c r="K58" s="13" t="inlineStr">
        <is>
          <t>서울</t>
        </is>
      </c>
      <c r="L58" s="13" t="inlineStr">
        <is>
          <t>세종시</t>
        </is>
      </c>
      <c r="M58" s="13" t="inlineStr">
        <is>
          <t>울산</t>
        </is>
      </c>
      <c r="N58" s="13" t="inlineStr">
        <is>
          <t>인천</t>
        </is>
      </c>
      <c r="O58" s="13" t="inlineStr">
        <is>
          <t>전라남도</t>
        </is>
      </c>
      <c r="P58" s="13" t="inlineStr">
        <is>
          <t>전라북도</t>
        </is>
      </c>
      <c r="Q58" s="13" t="inlineStr">
        <is>
          <t>제주도</t>
        </is>
      </c>
      <c r="R58" s="13" t="inlineStr">
        <is>
          <t>충청남도</t>
        </is>
      </c>
      <c r="S58" s="13" t="inlineStr">
        <is>
          <t>충청북도</t>
        </is>
      </c>
      <c r="T58" s="2" t="n"/>
      <c r="U58" s="2" t="n"/>
      <c r="V58" s="2" t="inlineStr">
        <is>
          <t>홍보/mpr 활동필요</t>
        </is>
      </c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13" t="inlineStr">
        <is>
          <t>비중</t>
        </is>
      </c>
      <c r="C59" s="10" t="n">
        <v>0.011</v>
      </c>
      <c r="D59" s="10" t="n">
        <v>0.179</v>
      </c>
      <c r="E59" s="10" t="n">
        <v>0.054</v>
      </c>
      <c r="F59" s="10" t="n">
        <v>0.022</v>
      </c>
      <c r="G59" s="10" t="n">
        <v>0.081</v>
      </c>
      <c r="H59" s="10" t="n">
        <v>0.037</v>
      </c>
      <c r="I59" s="10" t="n">
        <v>0.051</v>
      </c>
      <c r="J59" s="10" t="n">
        <v>0.065</v>
      </c>
      <c r="K59" s="10" t="n">
        <v>0.232</v>
      </c>
      <c r="L59" s="10" t="n">
        <v>0.02</v>
      </c>
      <c r="M59" s="10" t="n">
        <v>0.032</v>
      </c>
      <c r="N59" s="10" t="n">
        <v>0.027</v>
      </c>
      <c r="O59" s="10" t="n">
        <v>0.06</v>
      </c>
      <c r="P59" s="10" t="n">
        <v>0.052</v>
      </c>
      <c r="Q59" s="10" t="n">
        <v>0.006</v>
      </c>
      <c r="R59" s="10" t="n">
        <v>0.045</v>
      </c>
      <c r="S59" s="10" t="n">
        <v>0.027</v>
      </c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inlineStr">
        <is>
          <t xml:space="preserve">가격고수/ </t>
        </is>
      </c>
      <c r="W60" s="2" t="n"/>
      <c r="X60" s="2" t="n"/>
      <c r="Y60" s="2" t="n"/>
      <c r="Z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0" t="inlineStr">
        <is>
          <t>경쟁사분석</t>
        </is>
      </c>
      <c r="W61" s="2" t="n"/>
      <c r="X61" s="2" t="n"/>
      <c r="Y61" s="2" t="n"/>
      <c r="Z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19" t="inlineStr">
        <is>
          <t>고객이 타사를 찾는 이유</t>
        </is>
      </c>
      <c r="W62" s="2" t="n"/>
      <c r="X62" s="2" t="n"/>
      <c r="Y62" s="2" t="n"/>
      <c r="Z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19" t="inlineStr">
        <is>
          <t>시설/ 가격/ 서비스</t>
        </is>
      </c>
      <c r="W63" s="2" t="n"/>
      <c r="X63" s="2" t="n"/>
      <c r="Y63" s="2" t="n"/>
      <c r="Z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7.25" customHeight="1" s="462" thickBo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7.25" customHeight="1" s="462" thickBo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7.25" customHeight="1" s="462" thickBo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7.25" customHeight="1" s="462" thickBo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7.25" customHeight="1" s="462" thickBo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7.25" customHeight="1" s="462" thickBo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7.25" customHeight="1" s="462" thickBo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7.25" customHeight="1" s="462" thickBo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7.25" customHeight="1" s="462" thickBo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7.25" customHeight="1" s="462" thickBo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7.25" customHeight="1" s="462" thickBo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7.25" customHeight="1" s="462" thickBo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7.25" customHeight="1" s="462" thickBo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7.25" customHeight="1" s="462" thickBo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7.25" customHeight="1" s="462" thickBo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7.25" customHeight="1" s="462" thickBo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7.25" customHeight="1" s="462" thickBo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7.25" customHeight="1" s="462" thickBo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7.25" customHeight="1" s="462" thickBo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7.25" customHeight="1" s="462" thickBo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7.25" customHeight="1" s="462" thickBo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7.25" customHeight="1" s="462" thickBo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7.25" customHeight="1" s="462" thickBo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7.25" customHeight="1" s="462" thickBo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7.25" customHeight="1" s="462" thickBo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7.25" customHeight="1" s="462" thickBo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7.25" customHeight="1" s="462" thickBo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7.25" customHeight="1" s="462" thickBo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7.25" customHeight="1" s="462" thickBo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7.25" customHeight="1" s="462" thickBo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7.25" customHeight="1" s="462" thickBo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7.25" customHeight="1" s="462" thickBo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7.25" customHeight="1" s="462" thickBo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7.25" customHeight="1" s="462" thickBo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7.25" customHeight="1" s="462" thickBo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7.25" customHeight="1" s="462" thickBo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7.25" customHeight="1" s="462" thickBo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7.25" customHeight="1" s="462" thickBo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7.25" customHeight="1" s="462" thickBo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7.25" customHeight="1" s="462" thickBo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7.25" customHeight="1" s="462" thickBo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7.25" customHeight="1" s="462" thickBo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7.25" customHeight="1" s="462" thickBo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7.25" customHeight="1" s="462" thickBo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7.25" customHeight="1" s="462" thickBo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7.25" customHeight="1" s="462" thickBo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7.25" customHeight="1" s="462" thickBo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7.25" customHeight="1" s="462" thickBo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7.25" customHeight="1" s="462" thickBo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7.25" customHeight="1" s="462" thickBo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7.25" customHeight="1" s="462" thickBo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7.25" customHeight="1" s="462" thickBo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7.25" customHeight="1" s="462" thickBo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7.25" customHeight="1" s="462" thickBo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7.25" customHeight="1" s="462" thickBo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7.25" customHeight="1" s="462" thickBo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7.25" customHeight="1" s="462" thickBo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7.25" customHeight="1" s="462" thickBo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7.25" customHeight="1" s="462" thickBo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7.25" customHeight="1" s="462" thickBo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7.25" customHeight="1" s="462" thickBo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7.25" customHeight="1" s="462" thickBo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7.25" customHeight="1" s="462" thickBo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7.25" customHeight="1" s="462" thickBo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7.25" customHeight="1" s="462" thickBo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7.25" customHeight="1" s="462" thickBo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7.25" customHeight="1" s="462" thickBo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7.25" customHeight="1" s="462" thickBo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7.25" customHeight="1" s="462" thickBo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7.25" customHeight="1" s="462" thickBo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7.25" customHeight="1" s="462" thickBo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7.25" customHeight="1" s="462" thickBo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7.25" customHeight="1" s="462" thickBo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7.25" customHeight="1" s="462" thickBo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7.25" customHeight="1" s="462" thickBo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7.25" customHeight="1" s="462" thickBo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7.25" customHeight="1" s="462" thickBo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7.25" customHeight="1" s="462" thickBo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7.25" customHeight="1" s="462" thickBo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7.25" customHeight="1" s="462" thickBo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7.25" customHeight="1" s="462" thickBo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7.25" customHeight="1" s="462" thickBo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7.25" customHeight="1" s="462" thickBo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7.25" customHeight="1" s="462" thickBo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7.25" customHeight="1" s="462" thickBo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7.25" customHeight="1" s="462" thickBo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7.25" customHeight="1" s="462" thickBo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7.25" customHeight="1" s="462" thickBo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7.25" customHeight="1" s="462" thickBo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7.25" customHeight="1" s="462" thickBo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7.25" customHeight="1" s="462" thickBo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7.25" customHeight="1" s="462" thickBo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7.25" customHeight="1" s="462" thickBo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01"/>
  <sheetViews>
    <sheetView showGridLines="0" workbookViewId="0">
      <selection activeCell="D16" sqref="D16:I16"/>
    </sheetView>
  </sheetViews>
  <sheetFormatPr baseColWidth="8" defaultRowHeight="16.5"/>
  <sheetData>
    <row r="1" ht="17.25" customHeight="1" s="462" thickBot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 ht="17.25" customHeight="1" s="462" thickBot="1">
      <c r="A2" s="2" t="n"/>
      <c r="B2" s="12" t="inlineStr">
        <is>
          <t>진도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 ht="17.25" customHeight="1" s="462" thickBot="1">
      <c r="A3" s="2" t="n"/>
      <c r="B3" s="13" t="inlineStr">
        <is>
          <t>주요지역</t>
        </is>
      </c>
      <c r="C3" s="13" t="inlineStr">
        <is>
          <t>광주</t>
        </is>
      </c>
      <c r="D3" s="13" t="inlineStr">
        <is>
          <t>서울</t>
        </is>
      </c>
      <c r="E3" s="13" t="inlineStr">
        <is>
          <t>경기</t>
        </is>
      </c>
      <c r="F3" s="13" t="inlineStr">
        <is>
          <t>전남</t>
        </is>
      </c>
      <c r="G3" s="13" t="inlineStr">
        <is>
          <t>전북</t>
        </is>
      </c>
      <c r="H3" s="13" t="inlineStr">
        <is>
          <t>기타</t>
        </is>
      </c>
      <c r="I3" s="14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2" t="n"/>
      <c r="U3" s="2" t="n"/>
      <c r="V3" s="2" t="n"/>
      <c r="W3" s="2" t="n"/>
      <c r="X3" s="2" t="n"/>
      <c r="Y3" s="2" t="n"/>
      <c r="Z3" s="2" t="n"/>
      <c r="AA3" s="2" t="n"/>
    </row>
    <row r="4" ht="17.25" customHeight="1" s="462" thickBot="1">
      <c r="A4" s="2" t="n"/>
      <c r="B4" s="13" t="inlineStr">
        <is>
          <t>비중</t>
        </is>
      </c>
      <c r="C4" s="15" t="n">
        <v>0.18</v>
      </c>
      <c r="D4" s="15" t="n">
        <v>0.16</v>
      </c>
      <c r="E4" s="15" t="n">
        <v>0.13</v>
      </c>
      <c r="F4" s="15" t="n">
        <v>0.13</v>
      </c>
      <c r="G4" s="15" t="n">
        <v>0.06</v>
      </c>
      <c r="H4" s="15" t="n">
        <v>0.33</v>
      </c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2" t="n"/>
      <c r="U4" s="2" t="n"/>
      <c r="V4" s="2" t="n"/>
      <c r="W4" s="2" t="n"/>
      <c r="X4" s="2" t="n"/>
      <c r="Y4" s="2" t="n"/>
      <c r="Z4" s="2" t="n"/>
      <c r="AA4" s="2" t="n"/>
    </row>
    <row r="5" ht="17.25" customHeight="1" s="462" thickBot="1">
      <c r="A5" s="2" t="n"/>
      <c r="B5" s="13" t="inlineStr">
        <is>
          <t>전체지역</t>
        </is>
      </c>
      <c r="C5" s="13" t="inlineStr">
        <is>
          <t>강원도</t>
        </is>
      </c>
      <c r="D5" s="13" t="inlineStr">
        <is>
          <t>경기도</t>
        </is>
      </c>
      <c r="E5" s="13" t="inlineStr">
        <is>
          <t>경상남도</t>
        </is>
      </c>
      <c r="F5" s="13" t="inlineStr">
        <is>
          <t>경상북도</t>
        </is>
      </c>
      <c r="G5" s="13" t="inlineStr">
        <is>
          <t>광주</t>
        </is>
      </c>
      <c r="H5" s="13" t="inlineStr">
        <is>
          <t>대구</t>
        </is>
      </c>
      <c r="I5" s="13" t="inlineStr">
        <is>
          <t>대전</t>
        </is>
      </c>
      <c r="J5" s="13" t="inlineStr">
        <is>
          <t>부산</t>
        </is>
      </c>
      <c r="K5" s="13" t="inlineStr">
        <is>
          <t>서울</t>
        </is>
      </c>
      <c r="L5" s="13" t="inlineStr">
        <is>
          <t>세종시</t>
        </is>
      </c>
      <c r="M5" s="13" t="inlineStr">
        <is>
          <t>울산</t>
        </is>
      </c>
      <c r="N5" s="13" t="inlineStr">
        <is>
          <t>인천</t>
        </is>
      </c>
      <c r="O5" s="13" t="inlineStr">
        <is>
          <t>전라남도</t>
        </is>
      </c>
      <c r="P5" s="13" t="inlineStr">
        <is>
          <t>전라북도</t>
        </is>
      </c>
      <c r="Q5" s="13" t="inlineStr">
        <is>
          <t>제주도</t>
        </is>
      </c>
      <c r="R5" s="13" t="inlineStr">
        <is>
          <t>충청남도</t>
        </is>
      </c>
      <c r="S5" s="13" t="inlineStr">
        <is>
          <t>충청북도</t>
        </is>
      </c>
      <c r="T5" s="2" t="n"/>
      <c r="U5" s="2" t="n"/>
      <c r="V5" s="2" t="n"/>
      <c r="W5" s="2" t="n"/>
      <c r="X5" s="2" t="n"/>
      <c r="Y5" s="2" t="n"/>
      <c r="Z5" s="2" t="n"/>
      <c r="AA5" s="2" t="n"/>
    </row>
    <row r="6" ht="17.25" customHeight="1" s="462" thickBot="1">
      <c r="A6" s="2" t="n"/>
      <c r="B6" s="16" t="inlineStr">
        <is>
          <t>비중</t>
        </is>
      </c>
      <c r="C6" s="17" t="n">
        <v>0.01</v>
      </c>
      <c r="D6" s="17" t="n">
        <v>0.13</v>
      </c>
      <c r="E6" s="17" t="n">
        <v>0.05</v>
      </c>
      <c r="F6" s="17" t="n">
        <v>0.04</v>
      </c>
      <c r="G6" s="17" t="n">
        <v>0.18</v>
      </c>
      <c r="H6" s="17" t="n">
        <v>0.04</v>
      </c>
      <c r="I6" s="17" t="n">
        <v>0.06</v>
      </c>
      <c r="J6" s="17" t="n">
        <v>0.04</v>
      </c>
      <c r="K6" s="17" t="n">
        <v>0.16</v>
      </c>
      <c r="L6" s="17" t="n">
        <v>0.01</v>
      </c>
      <c r="M6" s="17" t="n">
        <v>0.01</v>
      </c>
      <c r="N6" s="17" t="n">
        <v>0.04</v>
      </c>
      <c r="O6" s="17" t="n">
        <v>0.13</v>
      </c>
      <c r="P6" s="17" t="n">
        <v>0.06</v>
      </c>
      <c r="Q6" s="17" t="n">
        <v>0.01</v>
      </c>
      <c r="R6" s="17" t="n">
        <v>0.01</v>
      </c>
      <c r="S6" s="17" t="n">
        <v>0</v>
      </c>
      <c r="T6" s="2" t="n"/>
      <c r="U6" s="2" t="n"/>
      <c r="V6" s="2" t="n"/>
      <c r="W6" s="2" t="n"/>
      <c r="X6" s="2" t="n"/>
      <c r="Y6" s="2" t="n"/>
      <c r="Z6" s="2" t="n"/>
      <c r="AA6" s="2" t="n"/>
    </row>
    <row r="7" ht="17.25" customHeight="1" s="462" thickBo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 ht="17.25" customHeight="1" s="462" thickBo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</row>
    <row r="9" ht="17.25" customHeight="1" s="462" thickBot="1">
      <c r="A9" s="2" t="n"/>
      <c r="B9" s="12" t="inlineStr">
        <is>
          <t>여수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 ht="17.25" customHeight="1" s="462" thickBot="1">
      <c r="A10" s="2" t="n"/>
      <c r="B10" s="13" t="inlineStr">
        <is>
          <t>주요지역</t>
        </is>
      </c>
      <c r="C10" s="13" t="inlineStr">
        <is>
          <t>서울</t>
        </is>
      </c>
      <c r="D10" s="13" t="inlineStr">
        <is>
          <t>경기</t>
        </is>
      </c>
      <c r="E10" s="13" t="inlineStr">
        <is>
          <t>광주</t>
        </is>
      </c>
      <c r="F10" s="13" t="inlineStr">
        <is>
          <t>부산</t>
        </is>
      </c>
      <c r="G10" s="13" t="inlineStr">
        <is>
          <t>전남</t>
        </is>
      </c>
      <c r="H10" s="13" t="inlineStr">
        <is>
          <t>기타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 ht="17.25" customHeight="1" s="462" thickBot="1">
      <c r="A11" s="2" t="n"/>
      <c r="B11" s="13" t="inlineStr">
        <is>
          <t>비중</t>
        </is>
      </c>
      <c r="C11" s="10" t="n">
        <v>0.232</v>
      </c>
      <c r="D11" s="10" t="n">
        <v>0.179</v>
      </c>
      <c r="E11" s="10" t="n">
        <v>0.081</v>
      </c>
      <c r="F11" s="10" t="n">
        <v>0.065</v>
      </c>
      <c r="G11" s="10" t="n">
        <v>0.06</v>
      </c>
      <c r="H11" s="10" t="n">
        <v>0.383</v>
      </c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 ht="17.25" customHeight="1" s="462" thickBot="1">
      <c r="A12" s="2" t="n"/>
      <c r="B12" s="13" t="inlineStr">
        <is>
          <t>전체지역</t>
        </is>
      </c>
      <c r="C12" s="13" t="inlineStr">
        <is>
          <t>강원도</t>
        </is>
      </c>
      <c r="D12" s="13" t="inlineStr">
        <is>
          <t>경기도</t>
        </is>
      </c>
      <c r="E12" s="13" t="inlineStr">
        <is>
          <t>경상남도</t>
        </is>
      </c>
      <c r="F12" s="13" t="inlineStr">
        <is>
          <t>경상북도</t>
        </is>
      </c>
      <c r="G12" s="13" t="inlineStr">
        <is>
          <t>광주</t>
        </is>
      </c>
      <c r="H12" s="13" t="inlineStr">
        <is>
          <t>대구</t>
        </is>
      </c>
      <c r="I12" s="13" t="inlineStr">
        <is>
          <t>대전</t>
        </is>
      </c>
      <c r="J12" s="13" t="inlineStr">
        <is>
          <t>부산</t>
        </is>
      </c>
      <c r="K12" s="13" t="inlineStr">
        <is>
          <t>서울</t>
        </is>
      </c>
      <c r="L12" s="13" t="inlineStr">
        <is>
          <t>세종시</t>
        </is>
      </c>
      <c r="M12" s="13" t="inlineStr">
        <is>
          <t>울산</t>
        </is>
      </c>
      <c r="N12" s="13" t="inlineStr">
        <is>
          <t>인천</t>
        </is>
      </c>
      <c r="O12" s="13" t="inlineStr">
        <is>
          <t>전라남도</t>
        </is>
      </c>
      <c r="P12" s="13" t="inlineStr">
        <is>
          <t>전라북도</t>
        </is>
      </c>
      <c r="Q12" s="13" t="inlineStr">
        <is>
          <t>제주도</t>
        </is>
      </c>
      <c r="R12" s="13" t="inlineStr">
        <is>
          <t>충청남도</t>
        </is>
      </c>
      <c r="S12" s="13" t="inlineStr">
        <is>
          <t>충청북도</t>
        </is>
      </c>
      <c r="T12" s="2" t="n"/>
      <c r="U12" s="2" t="n"/>
      <c r="V12" s="2" t="n"/>
      <c r="W12" s="2" t="n"/>
      <c r="X12" s="2" t="n"/>
      <c r="Y12" s="2" t="n"/>
      <c r="Z12" s="2" t="n"/>
      <c r="AA12" s="2" t="n"/>
    </row>
    <row r="13" ht="17.25" customHeight="1" s="462" thickBot="1">
      <c r="A13" s="2" t="n"/>
      <c r="B13" s="13" t="inlineStr">
        <is>
          <t>비중</t>
        </is>
      </c>
      <c r="C13" s="10" t="n">
        <v>0.011</v>
      </c>
      <c r="D13" s="10" t="n">
        <v>0.179</v>
      </c>
      <c r="E13" s="10" t="n">
        <v>0.054</v>
      </c>
      <c r="F13" s="10" t="n">
        <v>0.022</v>
      </c>
      <c r="G13" s="10" t="n">
        <v>0.081</v>
      </c>
      <c r="H13" s="10" t="n">
        <v>0.037</v>
      </c>
      <c r="I13" s="10" t="n">
        <v>0.051</v>
      </c>
      <c r="J13" s="10" t="n">
        <v>0.065</v>
      </c>
      <c r="K13" s="10" t="n">
        <v>0.232</v>
      </c>
      <c r="L13" s="10" t="n">
        <v>0.02</v>
      </c>
      <c r="M13" s="10" t="n">
        <v>0.032</v>
      </c>
      <c r="N13" s="10" t="n">
        <v>0.027</v>
      </c>
      <c r="O13" s="10" t="n">
        <v>0.06</v>
      </c>
      <c r="P13" s="10" t="n">
        <v>0.052</v>
      </c>
      <c r="Q13" s="10" t="n">
        <v>0.006</v>
      </c>
      <c r="R13" s="10" t="n">
        <v>0.045</v>
      </c>
      <c r="S13" s="10" t="n">
        <v>0.027</v>
      </c>
      <c r="T13" s="2" t="n"/>
      <c r="U13" s="2" t="n"/>
      <c r="V13" s="2" t="n"/>
      <c r="W13" s="2" t="n"/>
      <c r="X13" s="2" t="n"/>
      <c r="Y13" s="2" t="n"/>
      <c r="Z13" s="2" t="n"/>
      <c r="AA13" s="2" t="n"/>
    </row>
    <row r="14" ht="17.25" customHeight="1" s="462" thickBot="1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</row>
    <row r="15" ht="17.25" customHeight="1" s="462" thickBot="1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 ht="17.25" customHeight="1" s="462" thickBot="1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 ht="17.25" customHeight="1" s="462" thickBo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 ht="17.25" customHeight="1" s="462" thickBot="1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</row>
    <row r="19" ht="17.25" customHeight="1" s="462" thickBo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 ht="17.25" customHeight="1" s="462" thickBot="1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 ht="17.25" customHeight="1" s="462" thickBot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</row>
    <row r="22" ht="17.25" customHeight="1" s="462" thickBot="1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</row>
    <row r="23" ht="17.25" customHeight="1" s="462" thickBot="1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</row>
    <row r="24" ht="17.25" customHeight="1" s="462" thickBot="1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 ht="17.25" customHeight="1" s="462" thickBot="1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 ht="17.25" customHeight="1" s="462" thickBot="1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 ht="17.25" customHeight="1" s="462" thickBot="1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 ht="17.25" customHeight="1" s="462" thickBot="1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 ht="17.25" customHeight="1" s="462" thickBot="1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</row>
    <row r="30" ht="17.25" customHeight="1" s="462" thickBot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</row>
    <row r="31" ht="17.25" customHeight="1" s="462" thickBot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 ht="17.25" customHeight="1" s="462" thickBot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</row>
    <row r="33" ht="17.25" customHeight="1" s="462" thickBot="1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</row>
    <row r="34" ht="17.25" customHeight="1" s="462" thickBot="1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</row>
    <row r="35" ht="17.25" customHeight="1" s="462" thickBot="1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</row>
    <row r="36" ht="17.25" customHeight="1" s="462" thickBot="1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 ht="17.25" customHeight="1" s="462" thickBot="1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</row>
    <row r="38" ht="17.25" customHeight="1" s="462" thickBot="1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</row>
    <row r="39" ht="17.25" customHeight="1" s="462" thickBot="1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</row>
    <row r="40" ht="17.25" customHeight="1" s="462" thickBot="1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  <row r="41" ht="17.25" customHeight="1" s="462" thickBot="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</row>
    <row r="42" ht="17.25" customHeight="1" s="462" thickBot="1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</row>
    <row r="43" ht="17.25" customHeight="1" s="462" thickBot="1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</row>
    <row r="44" ht="17.25" customHeight="1" s="462" thickBot="1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</row>
    <row r="45" ht="17.25" customHeight="1" s="462" thickBot="1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</row>
    <row r="46" ht="17.25" customHeight="1" s="462" thickBot="1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</row>
    <row r="47" ht="17.25" customHeight="1" s="462" thickBot="1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</row>
    <row r="48" ht="17.25" customHeight="1" s="462" thickBot="1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</row>
    <row r="49" ht="17.25" customHeight="1" s="462" thickBot="1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</row>
    <row r="50" ht="17.25" customHeight="1" s="462" thickBo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</row>
    <row r="51" ht="17.25" customHeight="1" s="462" thickBo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</row>
    <row r="52" ht="17.25" customHeight="1" s="462" thickBo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</row>
    <row r="53" ht="17.25" customHeight="1" s="462" thickBo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</row>
    <row r="54" ht="17.25" customHeight="1" s="462" thickBo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</row>
    <row r="55" ht="17.25" customHeight="1" s="462" thickBo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</row>
    <row r="56" ht="17.25" customHeight="1" s="462" thickBo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</row>
    <row r="57" ht="17.25" customHeight="1" s="462" thickBo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</row>
    <row r="58" ht="17.25" customHeight="1" s="462" thickBo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</row>
    <row r="59" ht="17.25" customHeight="1" s="462" thickBo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</row>
    <row r="60" ht="17.25" customHeight="1" s="462" thickBo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</row>
    <row r="61" ht="17.25" customHeight="1" s="462" thickBo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</row>
    <row r="62" ht="17.25" customHeight="1" s="462" thickBo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</row>
    <row r="63" ht="17.25" customHeight="1" s="462" thickBo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</row>
    <row r="64" ht="17.25" customHeight="1" s="462" thickBo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</row>
    <row r="65" ht="17.25" customHeight="1" s="462" thickBo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</row>
    <row r="66" ht="17.25" customHeight="1" s="462" thickBo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</row>
    <row r="67" ht="17.25" customHeight="1" s="462" thickBo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</row>
    <row r="68" ht="17.25" customHeight="1" s="462" thickBo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</row>
    <row r="69" ht="17.25" customHeight="1" s="462" thickBo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</row>
    <row r="70" ht="17.25" customHeight="1" s="462" thickBo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</row>
    <row r="71" ht="17.25" customHeight="1" s="462" thickBo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</row>
    <row r="72" ht="17.25" customHeight="1" s="462" thickBo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</row>
    <row r="73" ht="17.25" customHeight="1" s="462" thickBo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</row>
    <row r="74" ht="17.25" customHeight="1" s="462" thickBo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</row>
    <row r="75" ht="17.25" customHeight="1" s="462" thickBo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</row>
    <row r="76" ht="17.25" customHeight="1" s="462" thickBo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</row>
    <row r="77" ht="17.25" customHeight="1" s="462" thickBo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</row>
    <row r="78" ht="17.25" customHeight="1" s="462" thickBo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</row>
    <row r="79" ht="17.25" customHeight="1" s="462" thickBo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</row>
    <row r="80" ht="17.25" customHeight="1" s="462" thickBo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</row>
    <row r="81" ht="17.25" customHeight="1" s="462" thickBo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</row>
    <row r="82" ht="17.25" customHeight="1" s="462" thickBo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</row>
    <row r="83" ht="17.25" customHeight="1" s="462" thickBo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</row>
    <row r="84" ht="17.25" customHeight="1" s="462" thickBo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</row>
    <row r="85" ht="17.25" customHeight="1" s="462" thickBo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</row>
    <row r="86" ht="17.25" customHeight="1" s="462" thickBo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</row>
    <row r="87" ht="17.25" customHeight="1" s="462" thickBo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</row>
    <row r="88" ht="17.25" customHeight="1" s="462" thickBo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</row>
    <row r="89" ht="17.25" customHeight="1" s="462" thickBo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</row>
    <row r="90" ht="17.25" customHeight="1" s="462" thickBo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</row>
    <row r="91" ht="17.25" customHeight="1" s="462" thickBo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</row>
    <row r="92" ht="17.25" customHeight="1" s="462" thickBo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</row>
    <row r="93" ht="17.25" customHeight="1" s="462" thickBo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</row>
    <row r="94" ht="17.25" customHeight="1" s="462" thickBo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</row>
    <row r="95" ht="17.25" customHeight="1" s="462" thickBo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</row>
    <row r="96" ht="17.25" customHeight="1" s="462" thickBo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</row>
    <row r="97" ht="17.25" customHeight="1" s="462" thickBo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</row>
    <row r="98" ht="17.25" customHeight="1" s="462" thickBo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</row>
    <row r="99" ht="17.25" customHeight="1" s="462" thickBo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</row>
    <row r="100" ht="17.25" customHeight="1" s="462" thickBo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</row>
    <row r="101" ht="17.25" customHeight="1" s="462" thickBo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</row>
    <row r="102" ht="17.25" customHeight="1" s="462" thickBo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</row>
    <row r="103" ht="17.25" customHeight="1" s="462" thickBo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</row>
    <row r="104" ht="17.25" customHeight="1" s="462" thickBo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</row>
    <row r="105" ht="17.25" customHeight="1" s="462" thickBo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</row>
    <row r="106" ht="17.25" customHeight="1" s="462" thickBo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</row>
    <row r="107" ht="17.25" customHeight="1" s="462" thickBo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</row>
    <row r="108" ht="17.25" customHeight="1" s="462" thickBo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</row>
    <row r="109" ht="17.25" customHeight="1" s="462" thickBo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</row>
    <row r="110" ht="17.25" customHeight="1" s="462" thickBo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</row>
    <row r="111" ht="17.25" customHeight="1" s="462" thickBo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</row>
    <row r="112" ht="17.25" customHeight="1" s="462" thickBo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</row>
    <row r="113" ht="17.25" customHeight="1" s="462" thickBo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</row>
    <row r="114" ht="17.25" customHeight="1" s="462" thickBo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</row>
    <row r="115" ht="17.25" customHeight="1" s="462" thickBo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</row>
    <row r="116" ht="17.25" customHeight="1" s="462" thickBo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</row>
    <row r="117" ht="17.25" customHeight="1" s="462" thickBo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</row>
    <row r="118" ht="17.25" customHeight="1" s="462" thickBo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</row>
    <row r="119" ht="17.25" customHeight="1" s="462" thickBo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</row>
    <row r="120" ht="17.25" customHeight="1" s="462" thickBo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</row>
    <row r="121" ht="17.25" customHeight="1" s="462" thickBo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</row>
    <row r="122" ht="17.25" customHeight="1" s="462" thickBo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</row>
    <row r="123" ht="17.25" customHeight="1" s="462" thickBo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</row>
    <row r="124" ht="17.25" customHeight="1" s="462" thickBo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</row>
    <row r="125" ht="17.25" customHeight="1" s="462" thickBo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</row>
    <row r="126" ht="17.25" customHeight="1" s="462" thickBo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</row>
    <row r="127" ht="17.25" customHeight="1" s="462" thickBo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</row>
    <row r="128" ht="17.25" customHeight="1" s="462" thickBo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</row>
    <row r="129" ht="17.25" customHeight="1" s="462" thickBo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</row>
    <row r="130" ht="17.25" customHeight="1" s="462" thickBo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</row>
    <row r="131" ht="17.25" customHeight="1" s="462" thickBo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</row>
    <row r="132" ht="17.25" customHeight="1" s="462" thickBo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</row>
    <row r="133" ht="17.25" customHeight="1" s="462" thickBo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</row>
    <row r="134" ht="17.25" customHeight="1" s="462" thickBo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</row>
    <row r="135" ht="17.25" customHeight="1" s="462" thickBo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</row>
    <row r="136" ht="17.25" customHeight="1" s="462" thickBo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</row>
    <row r="137" ht="17.25" customHeight="1" s="462" thickBo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</row>
    <row r="138" ht="17.25" customHeight="1" s="462" thickBo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</row>
    <row r="139" ht="17.25" customHeight="1" s="462" thickBo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</row>
    <row r="140" ht="17.25" customHeight="1" s="462" thickBo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</row>
    <row r="141" ht="17.25" customHeight="1" s="462" thickBo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</row>
    <row r="142" ht="17.25" customHeight="1" s="462" thickBo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</row>
    <row r="143" ht="17.25" customHeight="1" s="462" thickBo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</row>
    <row r="144" ht="17.25" customHeight="1" s="462" thickBo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</row>
    <row r="145" ht="17.25" customHeight="1" s="462" thickBo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</row>
    <row r="146" ht="17.25" customHeight="1" s="462" thickBo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</row>
    <row r="147" ht="17.25" customHeight="1" s="462" thickBo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</row>
    <row r="148" ht="17.25" customHeight="1" s="462" thickBo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</row>
    <row r="149" ht="17.25" customHeight="1" s="462" thickBo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</row>
    <row r="150" ht="17.25" customHeight="1" s="462" thickBo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</row>
    <row r="151" ht="17.25" customHeight="1" s="462" thickBo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</row>
    <row r="152" ht="17.25" customHeight="1" s="462" thickBo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</row>
    <row r="153" ht="17.25" customHeight="1" s="462" thickBo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</row>
    <row r="154" ht="17.25" customHeight="1" s="462" thickBo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</row>
    <row r="155" ht="17.25" customHeight="1" s="462" thickBo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</row>
    <row r="156" ht="17.25" customHeight="1" s="462" thickBo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</row>
    <row r="157" ht="17.25" customHeight="1" s="462" thickBo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</row>
    <row r="158" ht="17.25" customHeight="1" s="462" thickBo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</row>
    <row r="159" ht="17.25" customHeight="1" s="462" thickBo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</row>
    <row r="160" ht="17.25" customHeight="1" s="462" thickBo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</row>
    <row r="161" ht="17.25" customHeight="1" s="462" thickBo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</row>
    <row r="162" ht="17.25" customHeight="1" s="462" thickBo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</row>
    <row r="163" ht="17.25" customHeight="1" s="462" thickBo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</row>
    <row r="164" ht="17.25" customHeight="1" s="462" thickBo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</row>
    <row r="165" ht="17.25" customHeight="1" s="462" thickBo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</row>
    <row r="166" ht="17.25" customHeight="1" s="462" thickBo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</row>
    <row r="167" ht="17.25" customHeight="1" s="462" thickBo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</row>
    <row r="168" ht="17.25" customHeight="1" s="462" thickBo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</row>
    <row r="169" ht="17.25" customHeight="1" s="462" thickBo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</row>
    <row r="170" ht="17.25" customHeight="1" s="462" thickBo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</row>
    <row r="171" ht="17.25" customHeight="1" s="462" thickBo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</row>
    <row r="172" ht="17.25" customHeight="1" s="462" thickBo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</row>
    <row r="173" ht="17.25" customHeight="1" s="462" thickBo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</row>
    <row r="174" ht="17.25" customHeight="1" s="462" thickBo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</row>
    <row r="175" ht="17.25" customHeight="1" s="462" thickBo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</row>
    <row r="176" ht="17.25" customHeight="1" s="462" thickBo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</row>
    <row r="177" ht="17.25" customHeight="1" s="462" thickBo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</row>
    <row r="178" ht="17.25" customHeight="1" s="462" thickBo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</row>
    <row r="179" ht="17.25" customHeight="1" s="462" thickBo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</row>
    <row r="180" ht="17.25" customHeight="1" s="462" thickBo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</row>
    <row r="181" ht="17.25" customHeight="1" s="462" thickBo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</row>
    <row r="182" ht="17.25" customHeight="1" s="462" thickBo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</row>
    <row r="183" ht="17.25" customHeight="1" s="462" thickBo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</row>
    <row r="184" ht="17.25" customHeight="1" s="462" thickBo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</row>
    <row r="185" ht="17.25" customHeight="1" s="462" thickBo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</row>
    <row r="186" ht="17.25" customHeight="1" s="462" thickBo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</row>
    <row r="187" ht="17.25" customHeight="1" s="462" thickBo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</row>
    <row r="188" ht="17.25" customHeight="1" s="462" thickBo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</row>
    <row r="189" ht="17.25" customHeight="1" s="462" thickBo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</row>
    <row r="190" ht="17.25" customHeight="1" s="462" thickBo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</row>
    <row r="191" ht="17.25" customHeight="1" s="462" thickBo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</row>
    <row r="192" ht="17.25" customHeight="1" s="462" thickBo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</row>
    <row r="193" ht="17.25" customHeight="1" s="462" thickBo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</row>
    <row r="194" ht="17.25" customHeight="1" s="462" thickBo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</row>
    <row r="195" ht="17.25" customHeight="1" s="462" thickBo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</row>
    <row r="196" ht="17.25" customHeight="1" s="462" thickBo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</row>
    <row r="197" ht="17.25" customHeight="1" s="462" thickBo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</row>
    <row r="198" ht="17.25" customHeight="1" s="462" thickBo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</row>
    <row r="199" ht="17.25" customHeight="1" s="462" thickBo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</row>
    <row r="200" ht="17.25" customHeight="1" s="462" thickBo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</row>
    <row r="201" ht="17.25" customHeight="1" s="462" thickBo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</row>
    <row r="202" ht="17.25" customHeight="1" s="462" thickBo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</row>
    <row r="203" ht="17.25" customHeight="1" s="462" thickBo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</row>
    <row r="204" ht="17.25" customHeight="1" s="462" thickBo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</row>
    <row r="205" ht="17.25" customHeight="1" s="462" thickBo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</row>
    <row r="206" ht="17.25" customHeight="1" s="462" thickBo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</row>
    <row r="207" ht="17.25" customHeight="1" s="462" thickBo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</row>
    <row r="208" ht="17.25" customHeight="1" s="462" thickBo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</row>
    <row r="209" ht="17.25" customHeight="1" s="462" thickBo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</row>
    <row r="210" ht="17.25" customHeight="1" s="462" thickBo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</row>
    <row r="211" ht="17.25" customHeight="1" s="462" thickBo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</row>
    <row r="212" ht="17.25" customHeight="1" s="462" thickBo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</row>
    <row r="213" ht="17.25" customHeight="1" s="462" thickBo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</row>
    <row r="214" ht="17.25" customHeight="1" s="462" thickBo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</row>
    <row r="215" ht="17.25" customHeight="1" s="462" thickBo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</row>
    <row r="216" ht="17.25" customHeight="1" s="462" thickBo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</row>
    <row r="217" ht="17.25" customHeight="1" s="462" thickBo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</row>
    <row r="218" ht="17.25" customHeight="1" s="462" thickBo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</row>
    <row r="219" ht="17.25" customHeight="1" s="462" thickBo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</row>
    <row r="220" ht="17.25" customHeight="1" s="462" thickBo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</row>
    <row r="221" ht="17.25" customHeight="1" s="462" thickBo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</row>
    <row r="222" ht="17.25" customHeight="1" s="462" thickBo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</row>
    <row r="223" ht="17.25" customHeight="1" s="462" thickBo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</row>
    <row r="224" ht="17.25" customHeight="1" s="462" thickBo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</row>
    <row r="225" ht="17.25" customHeight="1" s="462" thickBo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</row>
    <row r="226" ht="17.25" customHeight="1" s="462" thickBo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</row>
    <row r="227" ht="17.25" customHeight="1" s="462" thickBo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</row>
    <row r="228" ht="17.25" customHeight="1" s="462" thickBo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</row>
    <row r="229" ht="17.25" customHeight="1" s="462" thickBo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</row>
    <row r="230" ht="17.25" customHeight="1" s="462" thickBo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</row>
    <row r="231" ht="17.25" customHeight="1" s="462" thickBo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</row>
    <row r="232" ht="17.25" customHeight="1" s="462" thickBo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</row>
    <row r="233" ht="17.25" customHeight="1" s="462" thickBo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</row>
    <row r="234" ht="17.25" customHeight="1" s="462" thickBo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</row>
    <row r="235" ht="17.25" customHeight="1" s="462" thickBo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</row>
    <row r="236" ht="17.25" customHeight="1" s="462" thickBo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</row>
    <row r="237" ht="17.25" customHeight="1" s="462" thickBo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</row>
    <row r="238" ht="17.25" customHeight="1" s="462" thickBo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</row>
    <row r="239" ht="17.25" customHeight="1" s="462" thickBo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7.25" customHeight="1" s="462" thickBo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7.25" customHeight="1" s="462" thickBo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7.25" customHeight="1" s="462" thickBo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7.25" customHeight="1" s="462" thickBo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7.25" customHeight="1" s="462" thickBo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7.25" customHeight="1" s="462" thickBo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7.25" customHeight="1" s="462" thickBo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7.25" customHeight="1" s="462" thickBo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7.25" customHeight="1" s="462" thickBo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7.25" customHeight="1" s="462" thickBo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7.25" customHeight="1" s="462" thickBo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7.25" customHeight="1" s="462" thickBo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7.25" customHeight="1" s="462" thickBo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7.25" customHeight="1" s="462" thickBo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7.25" customHeight="1" s="462" thickBo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7.25" customHeight="1" s="462" thickBo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7.25" customHeight="1" s="462" thickBo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7.25" customHeight="1" s="462" thickBo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7.25" customHeight="1" s="462" thickBo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7.25" customHeight="1" s="462" thickBo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7.25" customHeight="1" s="462" thickBo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7.25" customHeight="1" s="462" thickBo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7.25" customHeight="1" s="462" thickBo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7.25" customHeight="1" s="462" thickBo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7.25" customHeight="1" s="462" thickBo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7.25" customHeight="1" s="462" thickBo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7.25" customHeight="1" s="462" thickBo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7.25" customHeight="1" s="462" thickBo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7.25" customHeight="1" s="462" thickBo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7.25" customHeight="1" s="462" thickBo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7.25" customHeight="1" s="462" thickBo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7.25" customHeight="1" s="462" thickBo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7.25" customHeight="1" s="462" thickBo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7.25" customHeight="1" s="462" thickBo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7.25" customHeight="1" s="462" thickBo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7.25" customHeight="1" s="462" thickBo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7.25" customHeight="1" s="462" thickBo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7.25" customHeight="1" s="462" thickBo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7.25" customHeight="1" s="462" thickBo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7.25" customHeight="1" s="462" thickBo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7.25" customHeight="1" s="462" thickBo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7.25" customHeight="1" s="462" thickBo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7.25" customHeight="1" s="462" thickBo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7.25" customHeight="1" s="462" thickBo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7.25" customHeight="1" s="462" thickBo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7.25" customHeight="1" s="462" thickBo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7.25" customHeight="1" s="462" thickBo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7.25" customHeight="1" s="462" thickBo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7.25" customHeight="1" s="462" thickBo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7.25" customHeight="1" s="462" thickBo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7.25" customHeight="1" s="462" thickBo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7.25" customHeight="1" s="462" thickBo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7.25" customHeight="1" s="462" thickBo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7.25" customHeight="1" s="462" thickBo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7.25" customHeight="1" s="462" thickBo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7.25" customHeight="1" s="462" thickBo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7.25" customHeight="1" s="462" thickBo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7.25" customHeight="1" s="462" thickBo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7.25" customHeight="1" s="462" thickBo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7.25" customHeight="1" s="462" thickBo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7.25" customHeight="1" s="462" thickBo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7.25" customHeight="1" s="462" thickBo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7.25" customHeight="1" s="462" thickBo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7.25" customHeight="1" s="462" thickBo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7.25" customHeight="1" s="462" thickBo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7.25" customHeight="1" s="462" thickBo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7.25" customHeight="1" s="462" thickBo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7.25" customHeight="1" s="462" thickBo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7.25" customHeight="1" s="462" thickBo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7.25" customHeight="1" s="462" thickBo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7.25" customHeight="1" s="462" thickBo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7.25" customHeight="1" s="462" thickBo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7.25" customHeight="1" s="462" thickBo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7.25" customHeight="1" s="462" thickBo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7.25" customHeight="1" s="462" thickBo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7.25" customHeight="1" s="462" thickBo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7.25" customHeight="1" s="462" thickBo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7.25" customHeight="1" s="462" thickBo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7.25" customHeight="1" s="462" thickBo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7.25" customHeight="1" s="462" thickBo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7.25" customHeight="1" s="462" thickBo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7.25" customHeight="1" s="462" thickBo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7.25" customHeight="1" s="462" thickBo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7.25" customHeight="1" s="462" thickBo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7.25" customHeight="1" s="462" thickBo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7.25" customHeight="1" s="462" thickBo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7.25" customHeight="1" s="462" thickBo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7.25" customHeight="1" s="462" thickBo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7.25" customHeight="1" s="462" thickBo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7.25" customHeight="1" s="462" thickBo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7.25" customHeight="1" s="462" thickBo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7.25" customHeight="1" s="462" thickBo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7.25" customHeight="1" s="462" thickBo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7.25" customHeight="1" s="462" thickBo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7.25" customHeight="1" s="462" thickBo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7.25" customHeight="1" s="462" thickBo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7.25" customHeight="1" s="462" thickBo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7.25" customHeight="1" s="462" thickBo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7.25" customHeight="1" s="462" thickBo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7.25" customHeight="1" s="462" thickBo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7.25" customHeight="1" s="462" thickBo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7.25" customHeight="1" s="462" thickBo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7.25" customHeight="1" s="462" thickBo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7.25" customHeight="1" s="462" thickBo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7.25" customHeight="1" s="462" thickBo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7.25" customHeight="1" s="462" thickBo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7.25" customHeight="1" s="462" thickBo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7.25" customHeight="1" s="462" thickBo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7.25" customHeight="1" s="462" thickBo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7.25" customHeight="1" s="462" thickBo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7.25" customHeight="1" s="462" thickBo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7.25" customHeight="1" s="462" thickBo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7.25" customHeight="1" s="462" thickBo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7.25" customHeight="1" s="462" thickBo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7.25" customHeight="1" s="462" thickBo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7.25" customHeight="1" s="462" thickBo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7.25" customHeight="1" s="462" thickBo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7.25" customHeight="1" s="462" thickBo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7.25" customHeight="1" s="462" thickBo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7.25" customHeight="1" s="462" thickBo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7.25" customHeight="1" s="462" thickBo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7.25" customHeight="1" s="462" thickBo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7.25" customHeight="1" s="462" thickBo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7.25" customHeight="1" s="462" thickBo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7.25" customHeight="1" s="462" thickBo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7.25" customHeight="1" s="462" thickBo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7.25" customHeight="1" s="462" thickBo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7.25" customHeight="1" s="462" thickBo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7.25" customHeight="1" s="462" thickBo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7.25" customHeight="1" s="462" thickBo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7.25" customHeight="1" s="462" thickBo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7.25" customHeight="1" s="462" thickBo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7.25" customHeight="1" s="462" thickBo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7.25" customHeight="1" s="462" thickBo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7.25" customHeight="1" s="462" thickBo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7.25" customHeight="1" s="462" thickBo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7.25" customHeight="1" s="462" thickBo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7.25" customHeight="1" s="462" thickBo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7.25" customHeight="1" s="462" thickBo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7.25" customHeight="1" s="462" thickBo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7.25" customHeight="1" s="462" thickBo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7.25" customHeight="1" s="462" thickBo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7.25" customHeight="1" s="462" thickBo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7.25" customHeight="1" s="462" thickBo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7.25" customHeight="1" s="462" thickBo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7.25" customHeight="1" s="462" thickBo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7.25" customHeight="1" s="462" thickBo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7.25" customHeight="1" s="462" thickBo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7.25" customHeight="1" s="462" thickBo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7.25" customHeight="1" s="462" thickBo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7.25" customHeight="1" s="462" thickBo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7.25" customHeight="1" s="462" thickBo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7.25" customHeight="1" s="462" thickBo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7.25" customHeight="1" s="462" thickBo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7.25" customHeight="1" s="462" thickBo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7.25" customHeight="1" s="462" thickBo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7.25" customHeight="1" s="462" thickBo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7.25" customHeight="1" s="462" thickBo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7.25" customHeight="1" s="462" thickBo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7.25" customHeight="1" s="462" thickBo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7.25" customHeight="1" s="462" thickBo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7.25" customHeight="1" s="462" thickBo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7.25" customHeight="1" s="462" thickBo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7.25" customHeight="1" s="462" thickBo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7.25" customHeight="1" s="462" thickBo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7.25" customHeight="1" s="462" thickBo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7.25" customHeight="1" s="462" thickBo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7.25" customHeight="1" s="462" thickBo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7.25" customHeight="1" s="462" thickBo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7.25" customHeight="1" s="462" thickBo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7.25" customHeight="1" s="462" thickBo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7.25" customHeight="1" s="462" thickBo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7.25" customHeight="1" s="462" thickBo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7.25" customHeight="1" s="462" thickBo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7.25" customHeight="1" s="462" thickBo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7.25" customHeight="1" s="462" thickBo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7.25" customHeight="1" s="462" thickBo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7.25" customHeight="1" s="462" thickBo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7.25" customHeight="1" s="462" thickBo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7.25" customHeight="1" s="462" thickBo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7.25" customHeight="1" s="462" thickBo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7.25" customHeight="1" s="462" thickBo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7.25" customHeight="1" s="462" thickBo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7.25" customHeight="1" s="462" thickBo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7.25" customHeight="1" s="462" thickBo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7.25" customHeight="1" s="462" thickBo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7.25" customHeight="1" s="462" thickBo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7.25" customHeight="1" s="462" thickBo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7.25" customHeight="1" s="462" thickBo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7.25" customHeight="1" s="462" thickBo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7.25" customHeight="1" s="462" thickBo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7.25" customHeight="1" s="462" thickBo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7.25" customHeight="1" s="462" thickBo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7.25" customHeight="1" s="462" thickBo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7.25" customHeight="1" s="462" thickBo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7.25" customHeight="1" s="462" thickBo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7.25" customHeight="1" s="462" thickBo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7.25" customHeight="1" s="462" thickBo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7.25" customHeight="1" s="462" thickBo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7.25" customHeight="1" s="462" thickBo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7.25" customHeight="1" s="462" thickBo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7.25" customHeight="1" s="462" thickBo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7.25" customHeight="1" s="462" thickBo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7.25" customHeight="1" s="462" thickBo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7.25" customHeight="1" s="462" thickBo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7.25" customHeight="1" s="462" thickBo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7.25" customHeight="1" s="462" thickBo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7.25" customHeight="1" s="462" thickBo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7.25" customHeight="1" s="462" thickBo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7.25" customHeight="1" s="462" thickBo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7.25" customHeight="1" s="462" thickBo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7.25" customHeight="1" s="462" thickBo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7.25" customHeight="1" s="462" thickBo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7.25" customHeight="1" s="462" thickBo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7.25" customHeight="1" s="462" thickBo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7.25" customHeight="1" s="462" thickBo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7.25" customHeight="1" s="462" thickBo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7.25" customHeight="1" s="462" thickBo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7.25" customHeight="1" s="462" thickBo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7.25" customHeight="1" s="462" thickBo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7.25" customHeight="1" s="462" thickBo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7.25" customHeight="1" s="462" thickBo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7.25" customHeight="1" s="462" thickBo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7.25" customHeight="1" s="462" thickBo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7.25" customHeight="1" s="462" thickBo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7.25" customHeight="1" s="462" thickBo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7.25" customHeight="1" s="462" thickBo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7.25" customHeight="1" s="462" thickBo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7.25" customHeight="1" s="462" thickBo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7.25" customHeight="1" s="462" thickBo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7.25" customHeight="1" s="462" thickBo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7.25" customHeight="1" s="462" thickBo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7.25" customHeight="1" s="462" thickBo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7.25" customHeight="1" s="462" thickBo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7.25" customHeight="1" s="462" thickBo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7.25" customHeight="1" s="462" thickBo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7.25" customHeight="1" s="462" thickBo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7.25" customHeight="1" s="462" thickBo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7.25" customHeight="1" s="462" thickBo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7.25" customHeight="1" s="462" thickBo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7.25" customHeight="1" s="462" thickBo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7.25" customHeight="1" s="462" thickBo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7.25" customHeight="1" s="462" thickBo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7.25" customHeight="1" s="462" thickBo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7.25" customHeight="1" s="462" thickBo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7.25" customHeight="1" s="462" thickBo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7.25" customHeight="1" s="462" thickBo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7.25" customHeight="1" s="462" thickBo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7.25" customHeight="1" s="462" thickBo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7.25" customHeight="1" s="462" thickBo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7.25" customHeight="1" s="462" thickBo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7.25" customHeight="1" s="462" thickBo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7.25" customHeight="1" s="462" thickBo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7.25" customHeight="1" s="462" thickBo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7.25" customHeight="1" s="462" thickBo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7.25" customHeight="1" s="462" thickBo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7.25" customHeight="1" s="462" thickBo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7.25" customHeight="1" s="462" thickBo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7.25" customHeight="1" s="462" thickBo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7.25" customHeight="1" s="462" thickBo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7.25" customHeight="1" s="462" thickBo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7.25" customHeight="1" s="462" thickBo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7.25" customHeight="1" s="462" thickBo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7.25" customHeight="1" s="462" thickBo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7.25" customHeight="1" s="462" thickBo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7.25" customHeight="1" s="462" thickBo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7.25" customHeight="1" s="462" thickBo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7.25" customHeight="1" s="462" thickBo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7.25" customHeight="1" s="462" thickBo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7.25" customHeight="1" s="462" thickBo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7.25" customHeight="1" s="462" thickBo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7.25" customHeight="1" s="462" thickBo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7.25" customHeight="1" s="462" thickBo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7.25" customHeight="1" s="462" thickBo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7.25" customHeight="1" s="462" thickBo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7.25" customHeight="1" s="462" thickBo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7.25" customHeight="1" s="462" thickBo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7.25" customHeight="1" s="462" thickBo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7.25" customHeight="1" s="462" thickBo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7.25" customHeight="1" s="462" thickBo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7.25" customHeight="1" s="462" thickBo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7.25" customHeight="1" s="462" thickBo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7.25" customHeight="1" s="462" thickBo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7.25" customHeight="1" s="462" thickBo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7.25" customHeight="1" s="462" thickBo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7.25" customHeight="1" s="462" thickBo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7.25" customHeight="1" s="462" thickBo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7.25" customHeight="1" s="462" thickBo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7.25" customHeight="1" s="462" thickBo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7.25" customHeight="1" s="462" thickBo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7.25" customHeight="1" s="462" thickBo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7.25" customHeight="1" s="462" thickBo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7.25" customHeight="1" s="462" thickBo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7.25" customHeight="1" s="462" thickBo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7.25" customHeight="1" s="462" thickBo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7.25" customHeight="1" s="462" thickBo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7.25" customHeight="1" s="462" thickBo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7.25" customHeight="1" s="462" thickBo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7.25" customHeight="1" s="462" thickBo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7.25" customHeight="1" s="462" thickBo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7.25" customHeight="1" s="462" thickBo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7.25" customHeight="1" s="462" thickBo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7.25" customHeight="1" s="462" thickBo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7.25" customHeight="1" s="462" thickBo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7.25" customHeight="1" s="462" thickBo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7.25" customHeight="1" s="462" thickBo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7.25" customHeight="1" s="462" thickBo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7.25" customHeight="1" s="462" thickBo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7.25" customHeight="1" s="462" thickBo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7.25" customHeight="1" s="462" thickBo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7.25" customHeight="1" s="462" thickBo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7.25" customHeight="1" s="462" thickBo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7.25" customHeight="1" s="462" thickBo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7.25" customHeight="1" s="462" thickBo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7.25" customHeight="1" s="462" thickBo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7.25" customHeight="1" s="462" thickBo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7.25" customHeight="1" s="462" thickBo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7.25" customHeight="1" s="462" thickBo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7.25" customHeight="1" s="462" thickBo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7.25" customHeight="1" s="462" thickBo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7.25" customHeight="1" s="462" thickBo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7.25" customHeight="1" s="462" thickBo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7.25" customHeight="1" s="462" thickBo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7.25" customHeight="1" s="462" thickBo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7.25" customHeight="1" s="462" thickBo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7.25" customHeight="1" s="462" thickBo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7.25" customHeight="1" s="462" thickBo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7.25" customHeight="1" s="462" thickBo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7.25" customHeight="1" s="462" thickBo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7.25" customHeight="1" s="462" thickBo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7.25" customHeight="1" s="462" thickBo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7.25" customHeight="1" s="462" thickBo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7.25" customHeight="1" s="462" thickBo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7.25" customHeight="1" s="462" thickBo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7.25" customHeight="1" s="462" thickBo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7.25" customHeight="1" s="462" thickBo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7.25" customHeight="1" s="462" thickBo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7.25" customHeight="1" s="462" thickBo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7.25" customHeight="1" s="462" thickBo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7.25" customHeight="1" s="462" thickBo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7.25" customHeight="1" s="462" thickBo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7.25" customHeight="1" s="462" thickBo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7.25" customHeight="1" s="462" thickBo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7.25" customHeight="1" s="462" thickBo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7.25" customHeight="1" s="462" thickBo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7.25" customHeight="1" s="462" thickBo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7.25" customHeight="1" s="462" thickBo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7.25" customHeight="1" s="462" thickBo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7.25" customHeight="1" s="462" thickBo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7.25" customHeight="1" s="462" thickBo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7.25" customHeight="1" s="462" thickBo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7.25" customHeight="1" s="462" thickBo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7.25" customHeight="1" s="462" thickBo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7.25" customHeight="1" s="462" thickBo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7.25" customHeight="1" s="462" thickBo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7.25" customHeight="1" s="462" thickBo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7.25" customHeight="1" s="462" thickBo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7.25" customHeight="1" s="462" thickBo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7.25" customHeight="1" s="462" thickBo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7.25" customHeight="1" s="462" thickBo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7.25" customHeight="1" s="462" thickBo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7.25" customHeight="1" s="462" thickBo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7.25" customHeight="1" s="462" thickBo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7.25" customHeight="1" s="462" thickBo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7.25" customHeight="1" s="462" thickBo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7.25" customHeight="1" s="462" thickBo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7.25" customHeight="1" s="462" thickBo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7.25" customHeight="1" s="462" thickBo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7.25" customHeight="1" s="462" thickBo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7.25" customHeight="1" s="462" thickBo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7.25" customHeight="1" s="462" thickBo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7.25" customHeight="1" s="462" thickBo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7.25" customHeight="1" s="462" thickBo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7.25" customHeight="1" s="462" thickBo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7.25" customHeight="1" s="462" thickBo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7.25" customHeight="1" s="462" thickBo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7.25" customHeight="1" s="462" thickBo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7.25" customHeight="1" s="462" thickBo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7.25" customHeight="1" s="462" thickBo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7.25" customHeight="1" s="462" thickBo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7.25" customHeight="1" s="462" thickBo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7.25" customHeight="1" s="462" thickBo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7.25" customHeight="1" s="462" thickBo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7.25" customHeight="1" s="462" thickBo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7.25" customHeight="1" s="462" thickBo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7.25" customHeight="1" s="462" thickBo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7.25" customHeight="1" s="462" thickBo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7.25" customHeight="1" s="462" thickBo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7.25" customHeight="1" s="462" thickBo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7.25" customHeight="1" s="462" thickBo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7.25" customHeight="1" s="462" thickBo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7.25" customHeight="1" s="462" thickBo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7.25" customHeight="1" s="462" thickBo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7.25" customHeight="1" s="462" thickBo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7.25" customHeight="1" s="462" thickBo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7.25" customHeight="1" s="462" thickBo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7.25" customHeight="1" s="462" thickBo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7.25" customHeight="1" s="462" thickBo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7.25" customHeight="1" s="462" thickBo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7.25" customHeight="1" s="462" thickBo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7.25" customHeight="1" s="462" thickBo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7.25" customHeight="1" s="462" thickBo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7.25" customHeight="1" s="462" thickBo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7.25" customHeight="1" s="462" thickBo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7.25" customHeight="1" s="462" thickBo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7.25" customHeight="1" s="462" thickBo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7.25" customHeight="1" s="462" thickBo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7.25" customHeight="1" s="462" thickBo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7.25" customHeight="1" s="462" thickBo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7.25" customHeight="1" s="462" thickBo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7.25" customHeight="1" s="462" thickBo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7.25" customHeight="1" s="462" thickBo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7.25" customHeight="1" s="462" thickBo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7.25" customHeight="1" s="462" thickBo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7.25" customHeight="1" s="462" thickBo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7.25" customHeight="1" s="462" thickBo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7.25" customHeight="1" s="462" thickBo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7.25" customHeight="1" s="462" thickBo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7.25" customHeight="1" s="462" thickBo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7.25" customHeight="1" s="462" thickBo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7.25" customHeight="1" s="462" thickBo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7.25" customHeight="1" s="462" thickBo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7.25" customHeight="1" s="462" thickBo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7.25" customHeight="1" s="462" thickBo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7.25" customHeight="1" s="462" thickBo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7.25" customHeight="1" s="462" thickBo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7.25" customHeight="1" s="462" thickBo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7.25" customHeight="1" s="462" thickBo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7.25" customHeight="1" s="462" thickBo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7.25" customHeight="1" s="462" thickBo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7.25" customHeight="1" s="462" thickBo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7.25" customHeight="1" s="462" thickBo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7.25" customHeight="1" s="462" thickBo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7.25" customHeight="1" s="462" thickBo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7.25" customHeight="1" s="462" thickBo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7.25" customHeight="1" s="462" thickBo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7.25" customHeight="1" s="462" thickBo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7.25" customHeight="1" s="462" thickBo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7.25" customHeight="1" s="462" thickBo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7.25" customHeight="1" s="462" thickBo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7.25" customHeight="1" s="462" thickBo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7.25" customHeight="1" s="462" thickBo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7.25" customHeight="1" s="462" thickBo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7.25" customHeight="1" s="462" thickBo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7.25" customHeight="1" s="462" thickBo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7.25" customHeight="1" s="462" thickBo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7.25" customHeight="1" s="462" thickBo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7.25" customHeight="1" s="462" thickBo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7.25" customHeight="1" s="462" thickBo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7.25" customHeight="1" s="462" thickBo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7.25" customHeight="1" s="462" thickBo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7.25" customHeight="1" s="462" thickBo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7.25" customHeight="1" s="462" thickBo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7.25" customHeight="1" s="462" thickBo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7.25" customHeight="1" s="462" thickBo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7.25" customHeight="1" s="462" thickBo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7.25" customHeight="1" s="462" thickBo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7.25" customHeight="1" s="462" thickBo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7.25" customHeight="1" s="462" thickBo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7.25" customHeight="1" s="462" thickBo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7.25" customHeight="1" s="462" thickBo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7.25" customHeight="1" s="462" thickBo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7.25" customHeight="1" s="462" thickBo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7.25" customHeight="1" s="462" thickBo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7.25" customHeight="1" s="462" thickBo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7.25" customHeight="1" s="462" thickBo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7.25" customHeight="1" s="462" thickBo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7.25" customHeight="1" s="462" thickBo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7.25" customHeight="1" s="462" thickBo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7.25" customHeight="1" s="462" thickBo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7.25" customHeight="1" s="462" thickBo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7.25" customHeight="1" s="462" thickBo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7.25" customHeight="1" s="462" thickBo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7.25" customHeight="1" s="462" thickBo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7.25" customHeight="1" s="462" thickBo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7.25" customHeight="1" s="462" thickBo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7.25" customHeight="1" s="462" thickBo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7.25" customHeight="1" s="462" thickBo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7.25" customHeight="1" s="462" thickBo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7.25" customHeight="1" s="462" thickBo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7.25" customHeight="1" s="462" thickBo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7.25" customHeight="1" s="462" thickBo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7.25" customHeight="1" s="462" thickBo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7.25" customHeight="1" s="462" thickBo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7.25" customHeight="1" s="462" thickBo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7.25" customHeight="1" s="462" thickBo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7.25" customHeight="1" s="462" thickBo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7.25" customHeight="1" s="462" thickBo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7.25" customHeight="1" s="462" thickBo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7.25" customHeight="1" s="462" thickBo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7.25" customHeight="1" s="462" thickBo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7.25" customHeight="1" s="462" thickBo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7.25" customHeight="1" s="462" thickBo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7.25" customHeight="1" s="462" thickBo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7.25" customHeight="1" s="462" thickBo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7.25" customHeight="1" s="462" thickBo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7.25" customHeight="1" s="462" thickBo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7.25" customHeight="1" s="462" thickBo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7.25" customHeight="1" s="462" thickBo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7.25" customHeight="1" s="462" thickBo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7.25" customHeight="1" s="462" thickBo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7.25" customHeight="1" s="462" thickBo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7.25" customHeight="1" s="462" thickBo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7.25" customHeight="1" s="462" thickBo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7.25" customHeight="1" s="462" thickBo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7.25" customHeight="1" s="462" thickBo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7.25" customHeight="1" s="462" thickBo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7.25" customHeight="1" s="462" thickBo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7.25" customHeight="1" s="462" thickBo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7.25" customHeight="1" s="462" thickBo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7.25" customHeight="1" s="462" thickBo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7.25" customHeight="1" s="462" thickBo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7.25" customHeight="1" s="462" thickBo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7.25" customHeight="1" s="462" thickBo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7.25" customHeight="1" s="462" thickBo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7.25" customHeight="1" s="462" thickBo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7.25" customHeight="1" s="462" thickBo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7.25" customHeight="1" s="462" thickBo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7.25" customHeight="1" s="462" thickBo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7.25" customHeight="1" s="462" thickBo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7.25" customHeight="1" s="462" thickBo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7.25" customHeight="1" s="462" thickBo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7.25" customHeight="1" s="462" thickBo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7.25" customHeight="1" s="462" thickBo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7.25" customHeight="1" s="462" thickBo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7.25" customHeight="1" s="462" thickBo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7.25" customHeight="1" s="462" thickBo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7.25" customHeight="1" s="462" thickBo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7.25" customHeight="1" s="462" thickBo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7.25" customHeight="1" s="462" thickBo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7.25" customHeight="1" s="462" thickBo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7.25" customHeight="1" s="462" thickBo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7.25" customHeight="1" s="462" thickBo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7.25" customHeight="1" s="462" thickBo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7.25" customHeight="1" s="462" thickBo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7.25" customHeight="1" s="462" thickBo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7.25" customHeight="1" s="462" thickBo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7.25" customHeight="1" s="462" thickBo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7.25" customHeight="1" s="462" thickBo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7.25" customHeight="1" s="462" thickBo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7.25" customHeight="1" s="462" thickBo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7.25" customHeight="1" s="462" thickBo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7.25" customHeight="1" s="462" thickBo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7.25" customHeight="1" s="462" thickBo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7.25" customHeight="1" s="462" thickBo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7.25" customHeight="1" s="462" thickBo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7.25" customHeight="1" s="462" thickBo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7.25" customHeight="1" s="462" thickBo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7.25" customHeight="1" s="462" thickBo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7.25" customHeight="1" s="462" thickBo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7.25" customHeight="1" s="462" thickBo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7.25" customHeight="1" s="462" thickBo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7.25" customHeight="1" s="462" thickBo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7.25" customHeight="1" s="462" thickBo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7.25" customHeight="1" s="462" thickBo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7.25" customHeight="1" s="462" thickBo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7.25" customHeight="1" s="462" thickBo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7.25" customHeight="1" s="462" thickBo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7.25" customHeight="1" s="462" thickBo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7.25" customHeight="1" s="462" thickBo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7.25" customHeight="1" s="462" thickBo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7.25" customHeight="1" s="462" thickBo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7.25" customHeight="1" s="462" thickBo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7.25" customHeight="1" s="462" thickBo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7.25" customHeight="1" s="462" thickBo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7.25" customHeight="1" s="462" thickBo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7.25" customHeight="1" s="462" thickBo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7.25" customHeight="1" s="462" thickBo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7.25" customHeight="1" s="462" thickBo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7.25" customHeight="1" s="462" thickBo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7.25" customHeight="1" s="462" thickBo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7.25" customHeight="1" s="462" thickBo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7.25" customHeight="1" s="462" thickBo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7.25" customHeight="1" s="462" thickBo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7.25" customHeight="1" s="462" thickBo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7.25" customHeight="1" s="462" thickBo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7.25" customHeight="1" s="462" thickBo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7.25" customHeight="1" s="462" thickBo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7.25" customHeight="1" s="462" thickBo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7.25" customHeight="1" s="462" thickBo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7.25" customHeight="1" s="462" thickBo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7.25" customHeight="1" s="462" thickBo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7.25" customHeight="1" s="462" thickBo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7.25" customHeight="1" s="462" thickBo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7.25" customHeight="1" s="462" thickBo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7.25" customHeight="1" s="462" thickBo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7.25" customHeight="1" s="462" thickBo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7.25" customHeight="1" s="462" thickBo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7.25" customHeight="1" s="462" thickBo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7.25" customHeight="1" s="462" thickBo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7.25" customHeight="1" s="462" thickBo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7.25" customHeight="1" s="462" thickBo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7.25" customHeight="1" s="462" thickBo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7.25" customHeight="1" s="462" thickBo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7.25" customHeight="1" s="462" thickBo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7.25" customHeight="1" s="462" thickBo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7.25" customHeight="1" s="462" thickBo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7.25" customHeight="1" s="462" thickBo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7.25" customHeight="1" s="462" thickBo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7.25" customHeight="1" s="462" thickBo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7.25" customHeight="1" s="462" thickBo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7.25" customHeight="1" s="462" thickBo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7.25" customHeight="1" s="462" thickBo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7.25" customHeight="1" s="462" thickBo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7.25" customHeight="1" s="462" thickBo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7.25" customHeight="1" s="462" thickBo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7.25" customHeight="1" s="462" thickBo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7.25" customHeight="1" s="462" thickBo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7.25" customHeight="1" s="462" thickBo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7.25" customHeight="1" s="462" thickBo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7.25" customHeight="1" s="462" thickBo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7.25" customHeight="1" s="462" thickBo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7.25" customHeight="1" s="462" thickBo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7.25" customHeight="1" s="462" thickBo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7.25" customHeight="1" s="462" thickBo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7.25" customHeight="1" s="462" thickBo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7.25" customHeight="1" s="462" thickBo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7.25" customHeight="1" s="462" thickBo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7.25" customHeight="1" s="462" thickBo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7.25" customHeight="1" s="462" thickBo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7.25" customHeight="1" s="462" thickBo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7.25" customHeight="1" s="462" thickBo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7.25" customHeight="1" s="462" thickBo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7.25" customHeight="1" s="462" thickBo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7.25" customHeight="1" s="462" thickBo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7.25" customHeight="1" s="462" thickBo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7.25" customHeight="1" s="462" thickBo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7.25" customHeight="1" s="462" thickBo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7.25" customHeight="1" s="462" thickBo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7.25" customHeight="1" s="462" thickBo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7.25" customHeight="1" s="462" thickBo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7.25" customHeight="1" s="462" thickBo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7.25" customHeight="1" s="462" thickBo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7.25" customHeight="1" s="462" thickBo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7.25" customHeight="1" s="462" thickBo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7.25" customHeight="1" s="462" thickBo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7.25" customHeight="1" s="462" thickBo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7.25" customHeight="1" s="462" thickBo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7.25" customHeight="1" s="462" thickBo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7.25" customHeight="1" s="462" thickBo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7.25" customHeight="1" s="462" thickBo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7.25" customHeight="1" s="462" thickBo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7.25" customHeight="1" s="462" thickBo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7.25" customHeight="1" s="462" thickBo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7.25" customHeight="1" s="462" thickBo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7.25" customHeight="1" s="462" thickBo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7.25" customHeight="1" s="462" thickBo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7.25" customHeight="1" s="462" thickBo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7.25" customHeight="1" s="462" thickBo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7.25" customHeight="1" s="462" thickBo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7.25" customHeight="1" s="462" thickBo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7.25" customHeight="1" s="462" thickBo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7.25" customHeight="1" s="462" thickBo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7.25" customHeight="1" s="462" thickBo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7.25" customHeight="1" s="462" thickBo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7.25" customHeight="1" s="462" thickBo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7.25" customHeight="1" s="462" thickBo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7.25" customHeight="1" s="462" thickBo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7.25" customHeight="1" s="462" thickBo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7.25" customHeight="1" s="462" thickBo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7.25" customHeight="1" s="462" thickBo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7.25" customHeight="1" s="462" thickBo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58"/>
  <sheetViews>
    <sheetView showGridLines="0" topLeftCell="A25" zoomScale="202" zoomScaleNormal="202" workbookViewId="0">
      <selection activeCell="F43" sqref="F43:H43"/>
    </sheetView>
  </sheetViews>
  <sheetFormatPr baseColWidth="8" defaultColWidth="9" defaultRowHeight="15.95" customHeight="1"/>
  <cols>
    <col width="2.625" customWidth="1" style="49" min="1" max="1"/>
    <col width="6.625" customWidth="1" style="49" min="2" max="20"/>
    <col width="8.625" customWidth="1" style="49" min="21" max="22"/>
    <col width="9" customWidth="1" style="49" min="23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  <c r="I7" s="52" t="n"/>
      <c r="J7" s="52" t="n"/>
      <c r="K7" s="52" t="n"/>
    </row>
    <row r="8" ht="15.95" customFormat="1" customHeight="1" s="51">
      <c r="A8" s="203" t="n"/>
      <c r="J8" s="203" t="n"/>
    </row>
    <row r="9" ht="15.95" customFormat="1" customHeight="1" s="51">
      <c r="A9" s="203" t="inlineStr">
        <is>
          <t xml:space="preserve">2. Forecast </t>
        </is>
      </c>
      <c r="L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3" t="n"/>
      <c r="I10" s="463" t="n"/>
      <c r="J10" s="463" t="n"/>
      <c r="K10" s="464" t="n"/>
      <c r="L10" s="195" t="inlineStr">
        <is>
          <t>GS</t>
        </is>
      </c>
      <c r="M10" s="463" t="n"/>
      <c r="N10" s="463" t="n"/>
      <c r="O10" s="463" t="n"/>
      <c r="P10" s="463" t="n"/>
      <c r="Q10" s="463" t="n"/>
      <c r="R10" s="463" t="n"/>
      <c r="S10" s="463" t="n"/>
      <c r="T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199" t="n"/>
      <c r="E11" s="227" t="inlineStr">
        <is>
          <t>OTB</t>
        </is>
      </c>
      <c r="F11" s="229" t="inlineStr">
        <is>
          <t>진행률</t>
        </is>
      </c>
      <c r="G11" s="229" t="n"/>
      <c r="H11" s="229" t="inlineStr">
        <is>
          <t>FCST</t>
        </is>
      </c>
      <c r="I11" s="229" t="inlineStr">
        <is>
          <t>증감</t>
        </is>
      </c>
      <c r="J11" s="229" t="n"/>
      <c r="K11" s="229" t="inlineStr">
        <is>
          <t>달성률</t>
        </is>
      </c>
      <c r="L11" s="229" t="inlineStr">
        <is>
          <t>목표</t>
        </is>
      </c>
      <c r="M11" s="229" t="n"/>
      <c r="N11" s="227" t="inlineStr">
        <is>
          <t>OTB</t>
        </is>
      </c>
      <c r="O11" s="229" t="inlineStr">
        <is>
          <t>진행률</t>
        </is>
      </c>
      <c r="P11" s="229" t="n"/>
      <c r="Q11" s="229" t="inlineStr">
        <is>
          <t>FCST</t>
        </is>
      </c>
      <c r="R11" s="229" t="inlineStr">
        <is>
          <t>증감</t>
        </is>
      </c>
      <c r="S11" s="229" t="n"/>
      <c r="T11" s="229" t="inlineStr">
        <is>
          <t>달성률</t>
        </is>
      </c>
      <c r="W11" s="54" t="n"/>
    </row>
    <row r="12" ht="15.95" customHeight="1" s="462" thickTop="1">
      <c r="B12" s="26" t="inlineStr">
        <is>
          <t>OCC</t>
        </is>
      </c>
      <c r="C12" s="27" t="n">
        <v>0.404</v>
      </c>
      <c r="D12" s="27" t="n"/>
      <c r="E12" s="28" t="n">
        <v>0.31</v>
      </c>
      <c r="F12" s="28" t="n">
        <v>0.77</v>
      </c>
      <c r="G12" s="28" t="n"/>
      <c r="H12" s="28" t="n">
        <v>0.38</v>
      </c>
      <c r="I12" s="29" t="n">
        <v>-0.02</v>
      </c>
      <c r="J12" s="29" t="n"/>
      <c r="K12" s="29" t="n">
        <v>0.95</v>
      </c>
      <c r="L12" s="28" t="n">
        <v>0.12</v>
      </c>
      <c r="M12" s="28" t="n"/>
      <c r="N12" s="28" t="n">
        <v>0.08</v>
      </c>
      <c r="O12" s="28" t="n">
        <v>0.65</v>
      </c>
      <c r="P12" s="28" t="n"/>
      <c r="Q12" s="28" t="n">
        <v>0.1</v>
      </c>
      <c r="R12" s="29" t="n">
        <v>-0.02</v>
      </c>
      <c r="S12" s="29" t="n"/>
      <c r="T12" s="29" t="n">
        <v>0.78</v>
      </c>
      <c r="V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6" t="n"/>
      <c r="E13" s="467" t="n">
        <v>25870</v>
      </c>
      <c r="F13" s="33" t="n">
        <v>0.78</v>
      </c>
      <c r="G13" s="33" t="n"/>
      <c r="H13" s="467" t="n">
        <v>31239</v>
      </c>
      <c r="I13" s="468" t="n">
        <v>-1625</v>
      </c>
      <c r="J13" s="468" t="n"/>
      <c r="K13" s="35" t="n">
        <v>0.95</v>
      </c>
      <c r="L13" s="467" t="n">
        <v>10419</v>
      </c>
      <c r="M13" s="467" t="n"/>
      <c r="N13" s="467" t="n">
        <v>6825</v>
      </c>
      <c r="O13" s="33" t="n">
        <v>0.65</v>
      </c>
      <c r="P13" s="33" t="n"/>
      <c r="Q13" s="467" t="n">
        <v>8173</v>
      </c>
      <c r="R13" s="468" t="n">
        <v>-2246</v>
      </c>
      <c r="S13" s="468" t="n"/>
      <c r="T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6" t="n"/>
      <c r="E14" s="467" t="n">
        <v>208</v>
      </c>
      <c r="F14" s="33" t="n">
        <v>1</v>
      </c>
      <c r="G14" s="33" t="n"/>
      <c r="H14" s="467" t="n">
        <v>216</v>
      </c>
      <c r="I14" s="469" t="n">
        <v>8</v>
      </c>
      <c r="J14" s="469" t="n"/>
      <c r="K14" s="33" t="n">
        <v>1.03</v>
      </c>
      <c r="L14" s="467" t="n">
        <v>227</v>
      </c>
      <c r="M14" s="467" t="n"/>
      <c r="N14" s="467" t="n">
        <v>277</v>
      </c>
      <c r="O14" s="33" t="n">
        <v>1.22</v>
      </c>
      <c r="P14" s="33" t="n"/>
      <c r="Q14" s="467" t="n">
        <v>244</v>
      </c>
      <c r="R14" s="469" t="n">
        <v>17</v>
      </c>
      <c r="S14" s="469" t="n"/>
      <c r="T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0" t="n"/>
      <c r="E15" s="471" t="n">
        <v>5381</v>
      </c>
      <c r="F15" s="40" t="n">
        <v>0.78</v>
      </c>
      <c r="G15" s="40" t="n"/>
      <c r="H15" s="471" t="n">
        <v>6734</v>
      </c>
      <c r="I15" s="472" t="n">
        <v>-88</v>
      </c>
      <c r="J15" s="472" t="n"/>
      <c r="K15" s="42" t="n">
        <v>0.98</v>
      </c>
      <c r="L15" s="471" t="n">
        <v>2365</v>
      </c>
      <c r="M15" s="471" t="n"/>
      <c r="N15" s="471" t="n">
        <v>1888</v>
      </c>
      <c r="O15" s="40" t="n">
        <v>0.8</v>
      </c>
      <c r="P15" s="40" t="n"/>
      <c r="Q15" s="471" t="n">
        <v>1994</v>
      </c>
      <c r="R15" s="472" t="n">
        <v>-371</v>
      </c>
      <c r="S15" s="472" t="n"/>
      <c r="T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3" t="n"/>
      <c r="I16" s="463" t="n"/>
      <c r="J16" s="463" t="n"/>
      <c r="K16" s="464" t="n"/>
      <c r="L16" s="195" t="inlineStr">
        <is>
          <t>GS</t>
        </is>
      </c>
      <c r="M16" s="463" t="n"/>
      <c r="N16" s="463" t="n"/>
      <c r="O16" s="463" t="n"/>
      <c r="P16" s="463" t="n"/>
      <c r="Q16" s="463" t="n"/>
      <c r="R16" s="463" t="n"/>
      <c r="S16" s="463" t="n"/>
      <c r="T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199" t="n"/>
      <c r="E17" s="227" t="inlineStr">
        <is>
          <t>OTB</t>
        </is>
      </c>
      <c r="F17" s="229" t="inlineStr">
        <is>
          <t>진행률</t>
        </is>
      </c>
      <c r="G17" s="229" t="n"/>
      <c r="H17" s="229" t="inlineStr">
        <is>
          <t>FCST</t>
        </is>
      </c>
      <c r="I17" s="229" t="inlineStr">
        <is>
          <t>증감</t>
        </is>
      </c>
      <c r="J17" s="229" t="n"/>
      <c r="K17" s="229" t="inlineStr">
        <is>
          <t>달성률</t>
        </is>
      </c>
      <c r="L17" s="229" t="inlineStr">
        <is>
          <t>목표</t>
        </is>
      </c>
      <c r="M17" s="229" t="n"/>
      <c r="N17" s="227" t="inlineStr">
        <is>
          <t>OTB</t>
        </is>
      </c>
      <c r="O17" s="229" t="inlineStr">
        <is>
          <t>진행률</t>
        </is>
      </c>
      <c r="P17" s="229" t="n"/>
      <c r="Q17" s="229" t="inlineStr">
        <is>
          <t>FCST</t>
        </is>
      </c>
      <c r="R17" s="229" t="inlineStr">
        <is>
          <t>증감</t>
        </is>
      </c>
      <c r="S17" s="229" t="n"/>
      <c r="T17" s="229" t="inlineStr">
        <is>
          <t>달성률</t>
        </is>
      </c>
      <c r="W17" s="54" t="n"/>
    </row>
    <row r="18" ht="15.95" customHeight="1" s="462" thickTop="1">
      <c r="B18" s="26" t="inlineStr">
        <is>
          <t>OCC</t>
        </is>
      </c>
      <c r="C18" s="27" t="n">
        <v>0.4</v>
      </c>
      <c r="D18" s="27" t="n"/>
      <c r="E18" s="28" t="n">
        <v>0.11</v>
      </c>
      <c r="F18" s="28" t="n">
        <v>0.28</v>
      </c>
      <c r="G18" s="28" t="n"/>
      <c r="H18" s="28" t="n">
        <v>0.35</v>
      </c>
      <c r="I18" s="29" t="n">
        <v>-0.04</v>
      </c>
      <c r="J18" s="29" t="n"/>
      <c r="K18" s="29" t="n">
        <v>0.88</v>
      </c>
      <c r="L18" s="28" t="n">
        <v>0.15</v>
      </c>
      <c r="M18" s="28" t="n"/>
      <c r="N18" s="28" t="n">
        <v>0.04</v>
      </c>
      <c r="O18" s="28" t="n">
        <v>0.24</v>
      </c>
      <c r="P18" s="28" t="n"/>
      <c r="Q18" s="28" t="n">
        <v>0.15</v>
      </c>
      <c r="R18" s="473" t="n">
        <v>-0.003</v>
      </c>
      <c r="S18" s="473" t="n"/>
      <c r="T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6" t="n"/>
      <c r="E19" s="467" t="n">
        <v>9599</v>
      </c>
      <c r="F19" s="33" t="n">
        <v>0.28</v>
      </c>
      <c r="G19" s="33" t="n"/>
      <c r="H19" s="467" t="n">
        <v>30043</v>
      </c>
      <c r="I19" s="468" t="n">
        <v>-3986</v>
      </c>
      <c r="J19" s="468" t="n"/>
      <c r="K19" s="35" t="n">
        <v>0.88</v>
      </c>
      <c r="L19" s="467" t="n">
        <v>13443</v>
      </c>
      <c r="M19" s="467" t="n"/>
      <c r="N19" s="467" t="n">
        <v>3353</v>
      </c>
      <c r="O19" s="33" t="n">
        <v>0.25</v>
      </c>
      <c r="P19" s="33" t="n"/>
      <c r="Q19" s="467" t="n">
        <v>13181</v>
      </c>
      <c r="R19" s="468" t="n">
        <v>-262</v>
      </c>
      <c r="S19" s="468" t="n"/>
      <c r="T19" s="35" t="n">
        <v>0.98</v>
      </c>
      <c r="W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6" t="n"/>
      <c r="E20" s="467" t="n">
        <v>190</v>
      </c>
      <c r="F20" s="33" t="n">
        <v>1</v>
      </c>
      <c r="G20" s="33" t="n"/>
      <c r="H20" s="467" t="n">
        <v>197</v>
      </c>
      <c r="I20" s="469" t="n">
        <v>7</v>
      </c>
      <c r="J20" s="469" t="n"/>
      <c r="K20" s="33" t="n">
        <v>1.03</v>
      </c>
      <c r="L20" s="467" t="n">
        <v>193</v>
      </c>
      <c r="M20" s="467" t="n"/>
      <c r="N20" s="467" t="n">
        <v>211</v>
      </c>
      <c r="O20" s="33" t="n">
        <v>1.09</v>
      </c>
      <c r="P20" s="33" t="n"/>
      <c r="Q20" s="467" t="n">
        <v>205</v>
      </c>
      <c r="R20" s="474" t="n">
        <v>12</v>
      </c>
      <c r="S20" s="474" t="n"/>
      <c r="T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0" t="n"/>
      <c r="E21" s="471" t="n">
        <v>1824</v>
      </c>
      <c r="F21" s="40" t="n">
        <v>0.28</v>
      </c>
      <c r="G21" s="40" t="n"/>
      <c r="H21" s="471" t="n">
        <v>5919</v>
      </c>
      <c r="I21" s="475" t="n">
        <v>-535</v>
      </c>
      <c r="J21" s="475" t="n"/>
      <c r="K21" s="42" t="n">
        <v>0.91</v>
      </c>
      <c r="L21" s="471" t="n">
        <v>2594</v>
      </c>
      <c r="M21" s="471" t="n"/>
      <c r="N21" s="471" t="n">
        <v>707</v>
      </c>
      <c r="O21" s="40" t="n">
        <v>0.27</v>
      </c>
      <c r="P21" s="40" t="n"/>
      <c r="Q21" s="471" t="n">
        <v>2702</v>
      </c>
      <c r="R21" s="476" t="n">
        <v>108</v>
      </c>
      <c r="S21" s="476" t="n"/>
      <c r="T21" s="48" t="n">
        <v>1.04</v>
      </c>
    </row>
    <row r="23" ht="15.95" customHeight="1" s="462">
      <c r="A23" s="203" t="inlineStr">
        <is>
          <t>3. 내  용</t>
        </is>
      </c>
      <c r="H23" s="196" t="n"/>
      <c r="I23" s="477" t="n"/>
      <c r="J23" s="477" t="n"/>
      <c r="K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4" t="n"/>
      <c r="O31" s="484" t="n"/>
      <c r="P31" s="484" t="n"/>
      <c r="Q31" s="484" t="n"/>
      <c r="R31" s="484" t="n"/>
      <c r="S31" s="484" t="n"/>
      <c r="T31" s="485" t="n"/>
    </row>
    <row r="32" ht="15.95" customHeight="1" s="462">
      <c r="B32" s="183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477" t="n"/>
      <c r="N32" s="477" t="n"/>
      <c r="O32" s="477" t="n"/>
      <c r="P32" s="477" t="n"/>
      <c r="Q32" s="477" t="n"/>
      <c r="R32" s="187" t="n"/>
      <c r="S32" s="187" t="n"/>
      <c r="T32" s="59" t="inlineStr">
        <is>
          <t>[단위 : 천원, %]</t>
        </is>
      </c>
    </row>
    <row r="33" ht="15.95" customHeight="1" s="462">
      <c r="B33" s="486" t="inlineStr">
        <is>
          <t>객실</t>
        </is>
      </c>
      <c r="C33" s="228" t="inlineStr">
        <is>
          <t>기명</t>
        </is>
      </c>
      <c r="D33" s="463" t="n"/>
      <c r="E33" s="463" t="n"/>
      <c r="F33" s="463" t="n"/>
      <c r="G33" s="463" t="n"/>
      <c r="H33" s="464" t="n"/>
      <c r="I33" s="195" t="inlineStr">
        <is>
          <t>무기명</t>
        </is>
      </c>
      <c r="J33" s="463" t="n"/>
      <c r="K33" s="463" t="n"/>
      <c r="L33" s="463" t="n"/>
      <c r="M33" s="463" t="n"/>
      <c r="N33" s="464" t="n"/>
      <c r="O33" s="195" t="inlineStr">
        <is>
          <t>D멤버스 / FIT</t>
        </is>
      </c>
      <c r="P33" s="463" t="n"/>
      <c r="Q33" s="463" t="n"/>
      <c r="R33" s="463" t="n"/>
      <c r="S33" s="463" t="n"/>
      <c r="T33" s="464" t="n"/>
      <c r="V33" s="49" t="inlineStr">
        <is>
          <t xml:space="preserve">요일별 할인율 </t>
        </is>
      </c>
    </row>
    <row r="34" ht="15.95" customHeight="1" s="462">
      <c r="B34" s="487" t="n"/>
      <c r="C34" s="159" t="inlineStr">
        <is>
          <t>주중</t>
        </is>
      </c>
      <c r="D34" s="160" t="inlineStr">
        <is>
          <t>금</t>
        </is>
      </c>
      <c r="E34" s="160" t="inlineStr">
        <is>
          <t>토</t>
        </is>
      </c>
      <c r="F34" s="160" t="inlineStr">
        <is>
          <t>주중</t>
        </is>
      </c>
      <c r="G34" s="160" t="inlineStr">
        <is>
          <t>금</t>
        </is>
      </c>
      <c r="H34" s="161" t="inlineStr">
        <is>
          <t>토</t>
        </is>
      </c>
      <c r="I34" s="173" t="n"/>
      <c r="J34" s="160" t="n"/>
      <c r="K34" s="160" t="n"/>
      <c r="L34" s="160" t="n"/>
      <c r="M34" s="160" t="n"/>
      <c r="N34" s="161" t="n"/>
      <c r="O34" s="173" t="n"/>
      <c r="P34" s="160" t="n"/>
      <c r="Q34" s="160" t="n"/>
      <c r="R34" s="160" t="n"/>
      <c r="S34" s="160" t="n"/>
      <c r="T34" s="161" t="n"/>
    </row>
    <row r="35" ht="15.95" customHeight="1" s="462">
      <c r="B35" s="487" t="n"/>
      <c r="C35" s="174" t="inlineStr">
        <is>
          <t>최소</t>
        </is>
      </c>
      <c r="D35" s="463" t="n"/>
      <c r="E35" s="488" t="n"/>
      <c r="F35" s="176" t="inlineStr">
        <is>
          <t>최대</t>
        </is>
      </c>
      <c r="G35" s="463" t="n"/>
      <c r="H35" s="488" t="n"/>
      <c r="I35" s="179" t="inlineStr">
        <is>
          <t>최소</t>
        </is>
      </c>
      <c r="J35" s="463" t="n"/>
      <c r="K35" s="488" t="n"/>
      <c r="L35" s="176" t="inlineStr">
        <is>
          <t>최대</t>
        </is>
      </c>
      <c r="M35" s="463" t="n"/>
      <c r="N35" s="488" t="n"/>
      <c r="O35" s="179" t="inlineStr">
        <is>
          <t>최소</t>
        </is>
      </c>
      <c r="P35" s="463" t="n"/>
      <c r="Q35" s="488" t="n"/>
      <c r="R35" s="176" t="inlineStr">
        <is>
          <t>최대</t>
        </is>
      </c>
      <c r="S35" s="463" t="n"/>
      <c r="T35" s="488" t="n"/>
      <c r="V35" s="49" t="inlineStr">
        <is>
          <t xml:space="preserve"> - 줃주중 / 금 / 토 </t>
        </is>
      </c>
    </row>
    <row r="36" ht="15.95" customHeight="1" s="462">
      <c r="B36" s="487" t="n"/>
      <c r="C36" s="489" t="n">
        <v>61</v>
      </c>
      <c r="D36" s="489" t="n">
        <v>61</v>
      </c>
      <c r="E36" s="489" t="n">
        <v>61</v>
      </c>
      <c r="F36" s="490" t="n">
        <v>899</v>
      </c>
      <c r="G36" s="491" t="n"/>
      <c r="H36" s="492" t="n"/>
      <c r="I36" s="493" t="n">
        <v>71</v>
      </c>
      <c r="J36" s="463" t="n"/>
      <c r="K36" s="488" t="n"/>
      <c r="L36" s="494" t="n">
        <v>962</v>
      </c>
      <c r="M36" s="463" t="n"/>
      <c r="N36" s="488" t="n"/>
      <c r="O36" s="493" t="n">
        <v>96</v>
      </c>
      <c r="P36" s="463" t="n"/>
      <c r="Q36" s="488" t="n"/>
      <c r="R36" s="494" t="n">
        <v>1450</v>
      </c>
      <c r="S36" s="463" t="n"/>
      <c r="T36" s="488" t="n"/>
    </row>
    <row r="37" ht="15.95" customHeight="1" s="462">
      <c r="B37" s="465" t="n"/>
      <c r="C37" s="85" t="n">
        <v>0</v>
      </c>
      <c r="D37" s="85" t="n">
        <v>0</v>
      </c>
      <c r="E37" s="85" t="n">
        <v>0</v>
      </c>
      <c r="F37" s="86" t="n">
        <v>0.27</v>
      </c>
      <c r="G37" s="87" t="n"/>
      <c r="H37" s="88" t="n"/>
      <c r="I37" s="170" t="n">
        <v>0</v>
      </c>
      <c r="J37" s="463" t="n"/>
      <c r="K37" s="488" t="n"/>
      <c r="L37" s="167" t="n">
        <v>0.3</v>
      </c>
      <c r="M37" s="463" t="n"/>
      <c r="N37" s="488" t="n"/>
      <c r="O37" s="170" t="n">
        <v>0</v>
      </c>
      <c r="P37" s="463" t="n"/>
      <c r="Q37" s="488" t="n"/>
      <c r="R37" s="167" t="n">
        <v>0.39</v>
      </c>
      <c r="S37" s="463" t="n"/>
      <c r="T37" s="488" t="n"/>
    </row>
    <row r="38" ht="15.95" customHeight="1" s="462">
      <c r="B38" s="495" t="inlineStr">
        <is>
          <t>부대업장</t>
        </is>
      </c>
      <c r="C38" s="228" t="inlineStr">
        <is>
          <t>워터파크 2인</t>
        </is>
      </c>
      <c r="D38" s="463" t="n"/>
      <c r="E38" s="463" t="n"/>
      <c r="F38" s="463" t="n"/>
      <c r="G38" s="463" t="n"/>
      <c r="H38" s="464" t="n"/>
      <c r="I38" s="195" t="inlineStr">
        <is>
          <t>사우나 2인</t>
        </is>
      </c>
      <c r="J38" s="463" t="n"/>
      <c r="K38" s="463" t="n"/>
      <c r="L38" s="463" t="n"/>
      <c r="M38" s="463" t="n"/>
      <c r="N38" s="464" t="n"/>
      <c r="O38" s="195" t="inlineStr">
        <is>
          <t>조식 2인</t>
        </is>
      </c>
      <c r="P38" s="463" t="n"/>
      <c r="Q38" s="463" t="n"/>
      <c r="R38" s="463" t="n"/>
      <c r="S38" s="463" t="n"/>
      <c r="T38" s="464" t="n"/>
      <c r="V38" s="54" t="inlineStr">
        <is>
          <t xml:space="preserve">* 부대업장 표기는 예시 작성 </t>
        </is>
      </c>
    </row>
    <row r="39" ht="15.95" customHeight="1" s="462">
      <c r="B39" s="496" t="n"/>
      <c r="C39" s="174" t="inlineStr">
        <is>
          <t>최소</t>
        </is>
      </c>
      <c r="D39" s="463" t="n"/>
      <c r="E39" s="488" t="n"/>
      <c r="F39" s="176" t="inlineStr">
        <is>
          <t>최대</t>
        </is>
      </c>
      <c r="G39" s="463" t="n"/>
      <c r="H39" s="488" t="n"/>
      <c r="I39" s="179" t="inlineStr">
        <is>
          <t>최소</t>
        </is>
      </c>
      <c r="J39" s="463" t="n"/>
      <c r="K39" s="488" t="n"/>
      <c r="L39" s="176" t="inlineStr">
        <is>
          <t>최대</t>
        </is>
      </c>
      <c r="M39" s="463" t="n"/>
      <c r="N39" s="488" t="n"/>
      <c r="O39" s="179" t="inlineStr">
        <is>
          <t>최소</t>
        </is>
      </c>
      <c r="P39" s="463" t="n"/>
      <c r="Q39" s="488" t="n"/>
      <c r="R39" s="176" t="inlineStr">
        <is>
          <t>최대</t>
        </is>
      </c>
      <c r="S39" s="463" t="n"/>
      <c r="T39" s="488" t="n"/>
    </row>
    <row r="40" ht="15.95" customHeight="1" s="462">
      <c r="B40" s="496" t="n"/>
      <c r="C40" s="497" t="n">
        <v>40</v>
      </c>
      <c r="D40" s="463" t="n"/>
      <c r="E40" s="488" t="n"/>
      <c r="F40" s="494" t="n">
        <v>70</v>
      </c>
      <c r="G40" s="463" t="n"/>
      <c r="H40" s="488" t="n"/>
      <c r="I40" s="493" t="n">
        <v>16</v>
      </c>
      <c r="J40" s="463" t="n"/>
      <c r="K40" s="488" t="n"/>
      <c r="L40" s="494" t="n">
        <v>100</v>
      </c>
      <c r="M40" s="463" t="n"/>
      <c r="N40" s="488" t="n"/>
      <c r="O40" s="493" t="n">
        <v>30</v>
      </c>
      <c r="P40" s="463" t="n"/>
      <c r="Q40" s="488" t="n"/>
      <c r="R40" s="494" t="n">
        <v>48</v>
      </c>
      <c r="S40" s="463" t="n"/>
      <c r="T40" s="488" t="n"/>
      <c r="U40" s="74" t="n"/>
    </row>
    <row r="41" ht="15.95" customHeight="1" s="462">
      <c r="B41" s="498" t="n"/>
      <c r="C41" s="165" t="n">
        <v>0.42</v>
      </c>
      <c r="D41" s="463" t="n"/>
      <c r="E41" s="488" t="n"/>
      <c r="F41" s="167" t="n">
        <v>0.6</v>
      </c>
      <c r="G41" s="463" t="n"/>
      <c r="H41" s="488" t="n"/>
      <c r="I41" s="170" t="n">
        <v>0</v>
      </c>
      <c r="J41" s="463" t="n"/>
      <c r="K41" s="488" t="n"/>
      <c r="L41" s="167" t="n">
        <v>0.66</v>
      </c>
      <c r="M41" s="463" t="n"/>
      <c r="N41" s="488" t="n"/>
      <c r="O41" s="170" t="n">
        <v>0.17</v>
      </c>
      <c r="P41" s="463" t="n"/>
      <c r="Q41" s="488" t="n"/>
      <c r="R41" s="167" t="n">
        <v>0.5600000000000001</v>
      </c>
      <c r="S41" s="463" t="n"/>
      <c r="T41" s="488" t="n"/>
      <c r="U41" s="74" t="n"/>
    </row>
    <row r="42" ht="15.95" customHeight="1" s="462">
      <c r="B42" s="171" t="inlineStr">
        <is>
          <t>판매가</t>
        </is>
      </c>
      <c r="C42" s="228" t="inlineStr">
        <is>
          <t>기명</t>
        </is>
      </c>
      <c r="D42" s="463" t="n"/>
      <c r="E42" s="463" t="n"/>
      <c r="F42" s="463" t="n"/>
      <c r="G42" s="463" t="n"/>
      <c r="H42" s="464" t="n"/>
      <c r="I42" s="195" t="inlineStr">
        <is>
          <t>무기명</t>
        </is>
      </c>
      <c r="J42" s="463" t="n"/>
      <c r="K42" s="463" t="n"/>
      <c r="L42" s="463" t="n"/>
      <c r="M42" s="463" t="n"/>
      <c r="N42" s="464" t="n"/>
      <c r="O42" s="195" t="inlineStr">
        <is>
          <t>D멤버스 / FIT</t>
        </is>
      </c>
      <c r="P42" s="463" t="n"/>
      <c r="Q42" s="463" t="n"/>
      <c r="R42" s="463" t="n"/>
      <c r="S42" s="463" t="n"/>
      <c r="T42" s="464" t="n"/>
    </row>
    <row r="43" ht="15.95" customHeight="1" s="462">
      <c r="B43" s="487" t="n"/>
      <c r="C43" s="174" t="inlineStr">
        <is>
          <t>최소</t>
        </is>
      </c>
      <c r="D43" s="463" t="n"/>
      <c r="E43" s="488" t="n"/>
      <c r="F43" s="176" t="inlineStr">
        <is>
          <t>최대</t>
        </is>
      </c>
      <c r="G43" s="463" t="n"/>
      <c r="H43" s="488" t="n"/>
      <c r="I43" s="179" t="inlineStr">
        <is>
          <t>최소</t>
        </is>
      </c>
      <c r="J43" s="463" t="n"/>
      <c r="K43" s="488" t="n"/>
      <c r="L43" s="176" t="inlineStr">
        <is>
          <t>최대</t>
        </is>
      </c>
      <c r="M43" s="463" t="n"/>
      <c r="N43" s="488" t="n"/>
      <c r="O43" s="179" t="inlineStr">
        <is>
          <t>최소</t>
        </is>
      </c>
      <c r="P43" s="463" t="n"/>
      <c r="Q43" s="488" t="n"/>
      <c r="R43" s="176" t="inlineStr">
        <is>
          <t>최대</t>
        </is>
      </c>
      <c r="S43" s="463" t="n"/>
      <c r="T43" s="488" t="n"/>
    </row>
    <row r="44" ht="15.95" customHeight="1" s="462">
      <c r="B44" s="487" t="n"/>
      <c r="C44" s="497" t="n">
        <v>107</v>
      </c>
      <c r="D44" s="463" t="n"/>
      <c r="E44" s="488" t="n"/>
      <c r="F44" s="494" t="n">
        <v>945</v>
      </c>
      <c r="G44" s="463" t="n"/>
      <c r="H44" s="488" t="n"/>
      <c r="I44" s="493" t="n">
        <v>117</v>
      </c>
      <c r="J44" s="463" t="n"/>
      <c r="K44" s="488" t="n"/>
      <c r="L44" s="494" t="n">
        <v>1008</v>
      </c>
      <c r="M44" s="463" t="n"/>
      <c r="N44" s="488" t="n"/>
      <c r="O44" s="493" t="n">
        <v>142</v>
      </c>
      <c r="P44" s="463" t="n"/>
      <c r="Q44" s="488" t="n"/>
      <c r="R44" s="494" t="n">
        <v>1512</v>
      </c>
      <c r="S44" s="463" t="n"/>
      <c r="T44" s="488" t="n"/>
    </row>
    <row r="45" ht="15.95" customHeight="1" s="462">
      <c r="B45" s="487" t="n"/>
      <c r="C45" s="165" t="n">
        <v>0</v>
      </c>
      <c r="D45" s="463" t="n"/>
      <c r="E45" s="488" t="n"/>
      <c r="F45" s="167" t="n">
        <v>0.44</v>
      </c>
      <c r="G45" s="463" t="n"/>
      <c r="H45" s="488" t="n"/>
      <c r="I45" s="170" t="n">
        <v>0</v>
      </c>
      <c r="J45" s="463" t="n"/>
      <c r="K45" s="488" t="n"/>
      <c r="L45" s="167" t="n">
        <v>0.42</v>
      </c>
      <c r="M45" s="463" t="n"/>
      <c r="N45" s="488" t="n"/>
      <c r="O45" s="170" t="n">
        <v>0</v>
      </c>
      <c r="P45" s="463" t="n"/>
      <c r="Q45" s="488" t="n"/>
      <c r="R45" s="167" t="n">
        <v>0.43</v>
      </c>
      <c r="S45" s="463" t="n"/>
      <c r="T45" s="488" t="n"/>
    </row>
    <row r="46" ht="15.95" customHeight="1" s="462">
      <c r="B46" s="363" t="inlineStr">
        <is>
          <t>수수료</t>
        </is>
      </c>
      <c r="C46" s="499" t="inlineStr">
        <is>
          <t xml:space="preserve"> · 11~13%</t>
        </is>
      </c>
      <c r="D46" s="463" t="n"/>
      <c r="E46" s="463" t="n"/>
      <c r="F46" s="463" t="n"/>
      <c r="G46" s="463" t="n"/>
      <c r="H46" s="463" t="n"/>
      <c r="I46" s="463" t="n"/>
      <c r="J46" s="463" t="n"/>
      <c r="K46" s="463" t="n"/>
      <c r="L46" s="463" t="n"/>
      <c r="M46" s="463" t="n"/>
      <c r="N46" s="463" t="n"/>
      <c r="O46" s="463" t="n"/>
      <c r="P46" s="463" t="n"/>
      <c r="Q46" s="463" t="n"/>
      <c r="R46" s="463" t="n"/>
      <c r="S46" s="463" t="n"/>
      <c r="T46" s="464" t="n"/>
    </row>
    <row r="47" ht="15.95" customHeight="1" s="462">
      <c r="B47" s="363" t="inlineStr">
        <is>
          <t>KPI</t>
        </is>
      </c>
      <c r="C47" s="154" t="inlineStr">
        <is>
          <t xml:space="preserve"> · 800RNs </t>
        </is>
      </c>
      <c r="D47" s="463" t="n"/>
      <c r="E47" s="463" t="n"/>
      <c r="F47" s="463" t="n"/>
      <c r="G47" s="463" t="n"/>
      <c r="H47" s="463" t="n"/>
      <c r="I47" s="463" t="n"/>
      <c r="J47" s="463" t="n"/>
      <c r="K47" s="463" t="n"/>
      <c r="L47" s="463" t="n"/>
      <c r="M47" s="463" t="n"/>
      <c r="N47" s="463" t="n"/>
      <c r="O47" s="158" t="inlineStr">
        <is>
          <t xml:space="preserve">(상세 KPI 첨부파일 참고) </t>
        </is>
      </c>
      <c r="P47" s="463" t="n"/>
      <c r="Q47" s="463" t="n"/>
      <c r="R47" s="463" t="n"/>
      <c r="S47" s="463" t="n"/>
      <c r="T47" s="464" t="n"/>
    </row>
    <row r="49" ht="15.95" customHeight="1" s="462">
      <c r="A49" s="203" t="inlineStr">
        <is>
          <t xml:space="preserve">4. 판매 &amp; 홍보 일정 </t>
        </is>
      </c>
      <c r="B49" s="51" t="n"/>
      <c r="C49" s="51" t="n"/>
      <c r="D49" s="51" t="n"/>
      <c r="E49" s="51" t="n"/>
      <c r="F49" s="51" t="n"/>
      <c r="G49" s="51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1" t="n"/>
      <c r="R49" s="51" t="n"/>
      <c r="S49" s="51" t="n"/>
      <c r="T49" s="51" t="n"/>
    </row>
    <row r="50" ht="15.95" customHeight="1" s="462">
      <c r="A50" s="51" t="n"/>
      <c r="B50" s="363" t="inlineStr">
        <is>
          <t>구 분</t>
        </is>
      </c>
      <c r="C50" s="228" t="inlineStr">
        <is>
          <t>내 용</t>
        </is>
      </c>
      <c r="D50" s="463" t="n"/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4" t="n"/>
    </row>
    <row r="51" ht="15.95" customHeight="1" s="462">
      <c r="A51" s="51" t="n"/>
      <c r="B51" s="68" t="inlineStr">
        <is>
          <t>판매일정</t>
        </is>
      </c>
      <c r="C51" s="500" t="inlineStr">
        <is>
          <t xml:space="preserve"> · 채널별 판매일정 (자유표기) </t>
        </is>
      </c>
      <c r="D51" s="463" t="n"/>
      <c r="E51" s="463" t="n"/>
      <c r="F51" s="463" t="n"/>
      <c r="G51" s="463" t="n"/>
      <c r="H51" s="463" t="n"/>
      <c r="I51" s="463" t="n"/>
      <c r="J51" s="463" t="n"/>
      <c r="K51" s="463" t="n"/>
      <c r="L51" s="463" t="n"/>
      <c r="M51" s="463" t="n"/>
      <c r="N51" s="463" t="n"/>
      <c r="O51" s="463" t="n"/>
      <c r="P51" s="463" t="n"/>
      <c r="Q51" s="463" t="n"/>
      <c r="R51" s="463" t="n"/>
      <c r="S51" s="463" t="n"/>
      <c r="T51" s="464" t="n"/>
    </row>
    <row r="52" ht="15.95" customHeight="1" s="462">
      <c r="A52" s="51" t="n"/>
      <c r="B52" s="68" t="inlineStr">
        <is>
          <t>홍보일정</t>
        </is>
      </c>
      <c r="C52" s="500" t="inlineStr">
        <is>
          <t xml:space="preserve"> · 홍보일정 (자유표기) </t>
        </is>
      </c>
      <c r="D52" s="463" t="n"/>
      <c r="E52" s="463" t="n"/>
      <c r="F52" s="463" t="n"/>
      <c r="G52" s="463" t="n"/>
      <c r="H52" s="463" t="n"/>
      <c r="I52" s="463" t="n"/>
      <c r="J52" s="463" t="n"/>
      <c r="K52" s="463" t="n"/>
      <c r="L52" s="463" t="n"/>
      <c r="M52" s="463" t="n"/>
      <c r="N52" s="463" t="n"/>
      <c r="O52" s="463" t="n"/>
      <c r="P52" s="463" t="n"/>
      <c r="Q52" s="463" t="n"/>
      <c r="R52" s="463" t="n"/>
      <c r="S52" s="463" t="n"/>
      <c r="T52" s="464" t="n"/>
    </row>
    <row r="53" ht="15.95" customHeight="1" s="462">
      <c r="A53" s="51" t="n"/>
      <c r="B53" s="68" t="inlineStr">
        <is>
          <t>지원사항</t>
        </is>
      </c>
      <c r="C53" s="500" t="inlineStr">
        <is>
          <t xml:space="preserve">  (자유표기)</t>
        </is>
      </c>
      <c r="D53" s="463" t="n"/>
      <c r="E53" s="463" t="n"/>
      <c r="F53" s="463" t="n"/>
      <c r="G53" s="463" t="n"/>
      <c r="H53" s="463" t="n"/>
      <c r="I53" s="463" t="n"/>
      <c r="J53" s="463" t="n"/>
      <c r="K53" s="463" t="n"/>
      <c r="L53" s="463" t="n"/>
      <c r="M53" s="463" t="n"/>
      <c r="N53" s="463" t="n"/>
      <c r="O53" s="463" t="n"/>
      <c r="P53" s="463" t="n"/>
      <c r="Q53" s="463" t="n"/>
      <c r="R53" s="463" t="n"/>
      <c r="S53" s="463" t="n"/>
      <c r="T53" s="464" t="n"/>
    </row>
    <row r="54" ht="15.95" customHeight="1" s="462">
      <c r="A54" s="51" t="n"/>
      <c r="F54" s="54" t="n"/>
      <c r="G54" s="54" t="n"/>
      <c r="H54" s="54" t="n"/>
      <c r="I54" s="54" t="n"/>
      <c r="J54" s="54" t="n"/>
      <c r="K54" s="54" t="n"/>
      <c r="L54" s="54" t="n"/>
      <c r="M54" s="54" t="n"/>
      <c r="N54" s="54" t="n"/>
      <c r="O54" s="54" t="n"/>
      <c r="P54" s="54" t="n"/>
      <c r="Q54" s="54" t="n"/>
      <c r="R54" s="54" t="n"/>
      <c r="S54" s="54" t="n"/>
      <c r="T54" s="54" t="n"/>
    </row>
    <row r="55" ht="15.95" customHeight="1" s="462">
      <c r="A55" s="203" t="inlineStr">
        <is>
          <t>5. 기 타</t>
        </is>
      </c>
      <c r="B55" s="51" t="n"/>
      <c r="C55" s="51" t="n"/>
      <c r="D55" s="51" t="n"/>
      <c r="E55" s="51" t="n"/>
      <c r="F55" s="51" t="n"/>
      <c r="G55" s="51" t="n"/>
      <c r="H55" s="51" t="n"/>
      <c r="I55" s="51" t="n"/>
      <c r="J55" s="51" t="n"/>
      <c r="K55" s="51" t="n"/>
      <c r="L55" s="51" t="n"/>
      <c r="M55" s="51" t="n"/>
      <c r="N55" s="51" t="n"/>
      <c r="O55" s="51" t="n"/>
      <c r="P55" s="51" t="n"/>
      <c r="Q55" s="51" t="n"/>
      <c r="R55" s="51" t="n"/>
      <c r="S55" s="51" t="n"/>
      <c r="T55" s="51" t="n"/>
    </row>
    <row r="56" ht="15.95" customHeight="1" s="462">
      <c r="A56" s="51" t="n"/>
      <c r="B56" s="52" t="inlineStr">
        <is>
          <t xml:space="preserve"> - 영업기획: 패키지번호 세팅 및 회신 (첨부파일 內 시트참조)</t>
        </is>
      </c>
      <c r="C56" s="52" t="n"/>
      <c r="D56" s="52" t="n"/>
      <c r="E56" s="52" t="n"/>
      <c r="F56" s="52" t="n"/>
      <c r="G56" s="52" t="n"/>
      <c r="H56" s="51" t="n"/>
      <c r="I56" s="51" t="n"/>
      <c r="J56" s="51" t="n"/>
      <c r="K56" s="51" t="n"/>
      <c r="L56" s="51" t="n"/>
      <c r="M56" s="51" t="n"/>
      <c r="N56" s="51" t="n"/>
      <c r="O56" s="51" t="n"/>
      <c r="P56" s="51" t="n"/>
      <c r="Q56" s="51" t="n"/>
      <c r="R56" s="51" t="n"/>
      <c r="S56" s="51" t="n"/>
      <c r="T56" s="51" t="n"/>
    </row>
    <row r="57" ht="15.95" customHeight="1" s="462">
      <c r="A57" s="51" t="n"/>
      <c r="B57" s="52" t="inlineStr">
        <is>
          <t xml:space="preserve"> - 판매 추이에 따라 추가 판매 여부 검토(PRM 협의) </t>
        </is>
      </c>
      <c r="C57" s="52" t="n"/>
      <c r="D57" s="52" t="n"/>
      <c r="E57" s="52" t="n"/>
      <c r="F57" s="52" t="n"/>
      <c r="G57" s="52" t="n"/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1" t="n"/>
      <c r="R57" s="51" t="n"/>
      <c r="S57" s="51" t="n"/>
      <c r="T57" s="51" t="n"/>
    </row>
    <row r="58" ht="15.95" customHeight="1" s="462">
      <c r="A58" s="51" t="n"/>
      <c r="B58" s="51" t="n"/>
      <c r="C58" s="51" t="n"/>
      <c r="D58" s="51" t="n"/>
      <c r="E58" s="51" t="n"/>
      <c r="F58" s="51" t="n"/>
      <c r="G58" s="51" t="n"/>
      <c r="H58" s="51" t="n"/>
      <c r="I58" s="51" t="n"/>
      <c r="J58" s="51" t="n"/>
      <c r="K58" s="63" t="n"/>
      <c r="L58" s="51" t="n"/>
      <c r="M58" s="51" t="n"/>
      <c r="N58" s="51" t="n"/>
      <c r="O58" s="51" t="n"/>
      <c r="P58" s="51" t="n"/>
      <c r="Q58" s="51" t="n"/>
      <c r="R58" s="51" t="n"/>
      <c r="S58" s="51" t="n"/>
      <c r="T58" s="63" t="inlineStr">
        <is>
          <t>이상/끝.</t>
        </is>
      </c>
    </row>
  </sheetData>
  <mergeCells count="89">
    <mergeCell ref="C26:T26"/>
    <mergeCell ref="C47:N47"/>
    <mergeCell ref="C44:E44"/>
    <mergeCell ref="C10:K10"/>
    <mergeCell ref="F45:H45"/>
    <mergeCell ref="O44:Q44"/>
    <mergeCell ref="R36:T36"/>
    <mergeCell ref="C40:E40"/>
    <mergeCell ref="C50:T50"/>
    <mergeCell ref="R45:T45"/>
    <mergeCell ref="L35:N35"/>
    <mergeCell ref="C27:T27"/>
    <mergeCell ref="B38:B41"/>
    <mergeCell ref="F39:H39"/>
    <mergeCell ref="I38:N38"/>
    <mergeCell ref="C38:H38"/>
    <mergeCell ref="C32:Q32"/>
    <mergeCell ref="C28:T28"/>
    <mergeCell ref="A2:T2"/>
    <mergeCell ref="L16:T16"/>
    <mergeCell ref="C30:T30"/>
    <mergeCell ref="I36:K36"/>
    <mergeCell ref="I45:K45"/>
    <mergeCell ref="O39:Q39"/>
    <mergeCell ref="R40:T40"/>
    <mergeCell ref="F41:H41"/>
    <mergeCell ref="I37:K37"/>
    <mergeCell ref="F35:H35"/>
    <mergeCell ref="R35:T35"/>
    <mergeCell ref="B42:B45"/>
    <mergeCell ref="H23:K23"/>
    <mergeCell ref="L41:N41"/>
    <mergeCell ref="B33:B37"/>
    <mergeCell ref="C39:E39"/>
    <mergeCell ref="O42:T42"/>
    <mergeCell ref="A8:I8"/>
    <mergeCell ref="L36:N36"/>
    <mergeCell ref="R39:T39"/>
    <mergeCell ref="C53:T53"/>
    <mergeCell ref="L37:N37"/>
    <mergeCell ref="F40:H40"/>
    <mergeCell ref="B16:B17"/>
    <mergeCell ref="C35:E35"/>
    <mergeCell ref="C29:T29"/>
    <mergeCell ref="O41:Q41"/>
    <mergeCell ref="R37:T37"/>
    <mergeCell ref="O35:Q35"/>
    <mergeCell ref="C31:T31"/>
    <mergeCell ref="O43:Q43"/>
    <mergeCell ref="I33:N33"/>
    <mergeCell ref="L10:T10"/>
    <mergeCell ref="R41:T41"/>
    <mergeCell ref="I42:N42"/>
    <mergeCell ref="C51:T51"/>
    <mergeCell ref="I39:K39"/>
    <mergeCell ref="L40:N40"/>
    <mergeCell ref="F43:H43"/>
    <mergeCell ref="L9:T9"/>
    <mergeCell ref="R43:T43"/>
    <mergeCell ref="O37:Q37"/>
    <mergeCell ref="I40:K40"/>
    <mergeCell ref="F44:H44"/>
    <mergeCell ref="R44:T44"/>
    <mergeCell ref="A4:T4"/>
    <mergeCell ref="I41:K41"/>
    <mergeCell ref="C16:K16"/>
    <mergeCell ref="C41:E41"/>
    <mergeCell ref="C25:T25"/>
    <mergeCell ref="L39:N39"/>
    <mergeCell ref="L45:N45"/>
    <mergeCell ref="I43:K43"/>
    <mergeCell ref="C43:E43"/>
    <mergeCell ref="O40:Q40"/>
    <mergeCell ref="C46:T46"/>
    <mergeCell ref="L44:N44"/>
    <mergeCell ref="O47:T47"/>
    <mergeCell ref="I35:K35"/>
    <mergeCell ref="C52:T52"/>
    <mergeCell ref="B10:B11"/>
    <mergeCell ref="I44:K44"/>
    <mergeCell ref="O38:T38"/>
    <mergeCell ref="C33:H33"/>
    <mergeCell ref="C42:H42"/>
    <mergeCell ref="O33:T33"/>
    <mergeCell ref="C45:E45"/>
    <mergeCell ref="C24:T24"/>
    <mergeCell ref="O36:Q36"/>
    <mergeCell ref="O45:Q45"/>
    <mergeCell ref="L43:N43"/>
  </mergeCells>
  <pageMargins left="0.1181102362204725" right="0.1181102362204725" top="0.1968503937007874" bottom="0.1968503937007874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79"/>
  <sheetViews>
    <sheetView showGridLines="0" tabSelected="1" topLeftCell="A16" zoomScale="86" zoomScaleNormal="86" workbookViewId="0">
      <selection activeCell="AN23" sqref="AN23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1" ht="15.95" customHeight="1" s="462">
      <c r="A1" s="49" t="inlineStr">
        <is>
          <t xml:space="preserve"> </t>
        </is>
      </c>
    </row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8" customFormat="1" customHeight="1" s="51">
      <c r="A6" s="203" t="inlineStr">
        <is>
          <t>1. 목  적</t>
        </is>
      </c>
    </row>
    <row r="7" ht="18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8" customFormat="1" customHeight="1" s="51">
      <c r="A8" s="203" t="n"/>
      <c r="AB8" s="203" t="n"/>
      <c r="AC8" s="203" t="n"/>
    </row>
    <row r="9" ht="18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8" customHeight="1" s="462">
      <c r="B10" s="194" t="inlineStr">
        <is>
          <t>(당월)</t>
        </is>
      </c>
      <c r="C10" s="501" t="n"/>
      <c r="D10" s="228" t="inlineStr">
        <is>
          <t>전체</t>
        </is>
      </c>
      <c r="E10" s="463" t="n"/>
      <c r="F10" s="463" t="n"/>
      <c r="G10" s="463" t="n"/>
      <c r="H10" s="463" t="n"/>
      <c r="I10" s="463" t="n"/>
      <c r="J10" s="463" t="n"/>
      <c r="K10" s="463" t="n"/>
      <c r="L10" s="463" t="n"/>
      <c r="M10" s="463" t="n"/>
      <c r="N10" s="463" t="n"/>
      <c r="O10" s="463" t="n"/>
      <c r="P10" s="463" t="n"/>
      <c r="Q10" s="463" t="n"/>
      <c r="R10" s="463" t="n"/>
      <c r="S10" s="463" t="n"/>
      <c r="T10" s="463" t="n"/>
      <c r="U10" s="464" t="n"/>
      <c r="V10" s="161" t="inlineStr">
        <is>
          <t>GS</t>
        </is>
      </c>
      <c r="W10" s="463" t="n"/>
      <c r="X10" s="463" t="n"/>
      <c r="Y10" s="463" t="n"/>
      <c r="Z10" s="463" t="n"/>
      <c r="AA10" s="463" t="n"/>
      <c r="AB10" s="463" t="n"/>
      <c r="AC10" s="463" t="n"/>
      <c r="AD10" s="463" t="n"/>
      <c r="AE10" s="463" t="n"/>
      <c r="AF10" s="463" t="n"/>
      <c r="AG10" s="463" t="n"/>
      <c r="AH10" s="463" t="n"/>
      <c r="AI10" s="463" t="n"/>
      <c r="AJ10" s="463" t="n"/>
      <c r="AK10" s="463" t="n"/>
      <c r="AL10" s="463" t="n"/>
      <c r="AM10" s="464" t="n"/>
      <c r="AQ10" s="51" t="n"/>
      <c r="AR10" s="51" t="n"/>
      <c r="AS10" s="51" t="n"/>
      <c r="AT10" s="51" t="n"/>
      <c r="AU10" s="51" t="n"/>
      <c r="AV10" s="51" t="n"/>
      <c r="AW10" s="51" t="n"/>
      <c r="AX10" s="51" t="n"/>
      <c r="AY10" s="51" t="n"/>
      <c r="AZ10" s="51" t="n"/>
      <c r="BA10" s="51" t="n"/>
      <c r="BB10" s="51" t="n"/>
      <c r="BC10" s="51" t="n"/>
      <c r="BD10" s="51" t="n"/>
      <c r="BE10" s="51" t="n"/>
      <c r="BF10" s="51" t="n"/>
    </row>
    <row r="11" ht="18" customHeight="1" s="462" thickBot="1">
      <c r="A11" s="53" t="n"/>
      <c r="B11" s="502" t="n"/>
      <c r="C11" s="503" t="n"/>
      <c r="D11" s="504" t="inlineStr">
        <is>
          <t>목표</t>
        </is>
      </c>
      <c r="E11" s="505" t="n"/>
      <c r="F11" s="506" t="n"/>
      <c r="G11" s="305" t="inlineStr">
        <is>
          <t>OTB</t>
        </is>
      </c>
      <c r="H11" s="505" t="n"/>
      <c r="I11" s="506" t="n"/>
      <c r="J11" s="507" t="inlineStr">
        <is>
          <t>진행률</t>
        </is>
      </c>
      <c r="K11" s="505" t="n"/>
      <c r="L11" s="506" t="n"/>
      <c r="M11" s="507" t="inlineStr">
        <is>
          <t>FCST</t>
        </is>
      </c>
      <c r="N11" s="505" t="n"/>
      <c r="O11" s="506" t="n"/>
      <c r="P11" s="507" t="inlineStr">
        <is>
          <t>증감</t>
        </is>
      </c>
      <c r="Q11" s="505" t="n"/>
      <c r="R11" s="506" t="n"/>
      <c r="S11" s="507" t="inlineStr">
        <is>
          <t>달성률</t>
        </is>
      </c>
      <c r="T11" s="505" t="n"/>
      <c r="U11" s="506" t="n"/>
      <c r="V11" s="303" t="inlineStr">
        <is>
          <t>목표</t>
        </is>
      </c>
      <c r="W11" s="505" t="n"/>
      <c r="X11" s="506" t="n"/>
      <c r="Y11" s="305" t="inlineStr">
        <is>
          <t>OTB</t>
        </is>
      </c>
      <c r="Z11" s="505" t="n"/>
      <c r="AA11" s="506" t="n"/>
      <c r="AB11" s="507" t="inlineStr">
        <is>
          <t>진행률</t>
        </is>
      </c>
      <c r="AC11" s="505" t="n"/>
      <c r="AD11" s="506" t="n"/>
      <c r="AE11" s="507" t="inlineStr">
        <is>
          <t>FCST</t>
        </is>
      </c>
      <c r="AF11" s="505" t="n"/>
      <c r="AG11" s="506" t="n"/>
      <c r="AH11" s="507" t="inlineStr">
        <is>
          <t>증감</t>
        </is>
      </c>
      <c r="AI11" s="505" t="n"/>
      <c r="AJ11" s="506" t="n"/>
      <c r="AK11" s="507" t="inlineStr">
        <is>
          <t>달성률</t>
        </is>
      </c>
      <c r="AL11" s="505" t="n"/>
      <c r="AM11" s="506" t="n"/>
      <c r="AP11" s="54" t="n"/>
      <c r="AQ11" s="51" t="n"/>
      <c r="AR11" s="51" t="n"/>
      <c r="AS11" s="51" t="n"/>
      <c r="AT11" s="51" t="n"/>
      <c r="AU11" s="51" t="n"/>
      <c r="AV11" s="51" t="n"/>
      <c r="AW11" s="51" t="n"/>
      <c r="AX11" s="51" t="n"/>
      <c r="AY11" s="51" t="n"/>
      <c r="AZ11" s="51" t="n"/>
      <c r="BA11" s="51" t="n"/>
      <c r="BB11" s="51" t="n"/>
      <c r="BC11" s="51" t="n"/>
      <c r="BD11" s="51" t="n"/>
      <c r="BE11" s="51" t="n"/>
      <c r="BF11" s="51" t="n"/>
    </row>
    <row r="12" ht="18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11">
        <f>M12/D12</f>
        <v/>
      </c>
      <c r="T12" s="481" t="n"/>
      <c r="U12" s="482" t="n"/>
      <c r="V12" s="296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11">
        <f>AE12/V12</f>
        <v/>
      </c>
      <c r="AL12" s="481" t="n"/>
      <c r="AM12" s="482" t="n"/>
      <c r="AN12" s="54" t="inlineStr">
        <is>
          <t>* 해당 숫자는 예시 작성</t>
        </is>
      </c>
      <c r="AQ12" s="51" t="n"/>
      <c r="AR12" s="51" t="n"/>
      <c r="AS12" s="51" t="n"/>
      <c r="AT12" s="51" t="n"/>
      <c r="AU12" s="51" t="n"/>
      <c r="AV12" s="51" t="n"/>
      <c r="AW12" s="51" t="n"/>
      <c r="AX12" s="51" t="n"/>
      <c r="AY12" s="51" t="n"/>
      <c r="AZ12" s="51" t="n"/>
      <c r="BA12" s="51" t="n"/>
      <c r="BB12" s="51" t="n"/>
      <c r="BC12" s="51" t="n"/>
      <c r="BD12" s="51" t="n"/>
      <c r="BE12" s="51" t="n"/>
      <c r="BF12" s="51" t="n"/>
    </row>
    <row r="13" ht="18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16">
        <f>M13/D13</f>
        <v/>
      </c>
      <c r="T13" s="484" t="n"/>
      <c r="U13" s="485" t="n"/>
      <c r="V13" s="518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16">
        <f>AE13/V13</f>
        <v/>
      </c>
      <c r="AL13" s="484" t="n"/>
      <c r="AM13" s="485" t="n"/>
      <c r="AQ13" s="51" t="n"/>
      <c r="AR13" s="51" t="n"/>
      <c r="AS13" s="51" t="n"/>
      <c r="AT13" s="51" t="n"/>
      <c r="AU13" s="51" t="n"/>
      <c r="AV13" s="51" t="n"/>
      <c r="AW13" s="51" t="n"/>
      <c r="AX13" s="51" t="n"/>
      <c r="AY13" s="51" t="n"/>
      <c r="AZ13" s="51" t="n"/>
      <c r="BA13" s="51" t="n"/>
      <c r="BB13" s="51" t="n"/>
      <c r="BC13" s="51" t="n"/>
      <c r="BD13" s="51" t="n"/>
      <c r="BE13" s="51" t="n"/>
      <c r="BF13" s="51" t="n"/>
    </row>
    <row r="14" ht="18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16">
        <f>M14/D14</f>
        <v/>
      </c>
      <c r="T14" s="484" t="n"/>
      <c r="U14" s="485" t="n"/>
      <c r="V14" s="518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16">
        <f>AE14/V14</f>
        <v/>
      </c>
      <c r="AL14" s="484" t="n"/>
      <c r="AM14" s="485" t="n"/>
      <c r="AQ14" s="51" t="n"/>
      <c r="AR14" s="51" t="n"/>
      <c r="AS14" s="51" t="n"/>
      <c r="AT14" s="51" t="n"/>
      <c r="AU14" s="51" t="n"/>
      <c r="AV14" s="51" t="n"/>
      <c r="AW14" s="51" t="n"/>
      <c r="AX14" s="51" t="n"/>
      <c r="AY14" s="51" t="n"/>
      <c r="AZ14" s="51" t="n"/>
      <c r="BA14" s="51" t="n"/>
      <c r="BB14" s="51" t="n"/>
      <c r="BC14" s="51" t="n"/>
      <c r="BD14" s="51" t="n"/>
      <c r="BE14" s="51" t="n"/>
      <c r="BF14" s="51" t="n"/>
    </row>
    <row r="15" ht="18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25">
        <f>M15/D15</f>
        <v/>
      </c>
      <c r="T15" s="522" t="n"/>
      <c r="U15" s="523" t="n"/>
      <c r="V15" s="527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25">
        <f>AE15/V15</f>
        <v/>
      </c>
      <c r="AL15" s="522" t="n"/>
      <c r="AM15" s="523" t="n"/>
      <c r="AQ15" s="51" t="n"/>
      <c r="AR15" s="51" t="n"/>
      <c r="AS15" s="51" t="n"/>
      <c r="AT15" s="51" t="n"/>
      <c r="AU15" s="51" t="n"/>
      <c r="AV15" s="51" t="n"/>
      <c r="AW15" s="51" t="n"/>
      <c r="AX15" s="51" t="n"/>
      <c r="AY15" s="51" t="n"/>
      <c r="AZ15" s="51" t="n"/>
      <c r="BA15" s="51" t="n"/>
      <c r="BB15" s="51" t="n"/>
      <c r="BC15" s="51" t="n"/>
      <c r="BD15" s="51" t="n"/>
      <c r="BE15" s="51" t="n"/>
      <c r="BF15" s="51" t="n"/>
    </row>
    <row r="16" ht="18" customHeight="1" s="462">
      <c r="B16" s="528" t="inlineStr">
        <is>
          <t>(당월)</t>
        </is>
      </c>
      <c r="C16" s="529" t="n"/>
      <c r="D16" s="228" t="inlineStr">
        <is>
          <t>전체</t>
        </is>
      </c>
      <c r="E16" s="463" t="n"/>
      <c r="F16" s="463" t="n"/>
      <c r="G16" s="463" t="n"/>
      <c r="H16" s="463" t="n"/>
      <c r="I16" s="463" t="n"/>
      <c r="J16" s="463" t="n"/>
      <c r="K16" s="463" t="n"/>
      <c r="L16" s="463" t="n"/>
      <c r="M16" s="463" t="n"/>
      <c r="N16" s="463" t="n"/>
      <c r="O16" s="463" t="n"/>
      <c r="P16" s="463" t="n"/>
      <c r="Q16" s="463" t="n"/>
      <c r="R16" s="463" t="n"/>
      <c r="S16" s="463" t="n"/>
      <c r="T16" s="463" t="n"/>
      <c r="U16" s="464" t="n"/>
      <c r="V16" s="161" t="inlineStr">
        <is>
          <t>GS</t>
        </is>
      </c>
      <c r="W16" s="463" t="n"/>
      <c r="X16" s="463" t="n"/>
      <c r="Y16" s="463" t="n"/>
      <c r="Z16" s="463" t="n"/>
      <c r="AA16" s="463" t="n"/>
      <c r="AB16" s="463" t="n"/>
      <c r="AC16" s="463" t="n"/>
      <c r="AD16" s="463" t="n"/>
      <c r="AE16" s="463" t="n"/>
      <c r="AF16" s="463" t="n"/>
      <c r="AG16" s="463" t="n"/>
      <c r="AH16" s="463" t="n"/>
      <c r="AI16" s="463" t="n"/>
      <c r="AJ16" s="463" t="n"/>
      <c r="AK16" s="463" t="n"/>
      <c r="AL16" s="463" t="n"/>
      <c r="AM16" s="464" t="n"/>
      <c r="AQ16" s="51" t="n"/>
      <c r="AR16" s="51" t="n"/>
      <c r="AS16" s="51" t="n"/>
      <c r="AT16" s="51" t="n"/>
      <c r="AU16" s="51" t="n"/>
      <c r="AV16" s="51" t="n"/>
      <c r="AW16" s="51" t="n"/>
      <c r="AX16" s="51" t="n"/>
      <c r="AY16" s="51" t="n"/>
      <c r="AZ16" s="51" t="n"/>
      <c r="BA16" s="51" t="n"/>
      <c r="BB16" s="51" t="n"/>
      <c r="BC16" s="51" t="n"/>
      <c r="BD16" s="51" t="n"/>
      <c r="BE16" s="51" t="n"/>
      <c r="BF16" s="51" t="n"/>
    </row>
    <row r="17" ht="18" customHeight="1" s="462" thickBot="1">
      <c r="A17" s="53" t="n"/>
      <c r="B17" s="502" t="n"/>
      <c r="C17" s="503" t="n"/>
      <c r="D17" s="504" t="inlineStr">
        <is>
          <t>목표</t>
        </is>
      </c>
      <c r="E17" s="505" t="n"/>
      <c r="F17" s="506" t="n"/>
      <c r="G17" s="305" t="inlineStr">
        <is>
          <t>OTB</t>
        </is>
      </c>
      <c r="H17" s="505" t="n"/>
      <c r="I17" s="506" t="n"/>
      <c r="J17" s="507" t="inlineStr">
        <is>
          <t>진행률</t>
        </is>
      </c>
      <c r="K17" s="505" t="n"/>
      <c r="L17" s="506" t="n"/>
      <c r="M17" s="507" t="inlineStr">
        <is>
          <t>FCST</t>
        </is>
      </c>
      <c r="N17" s="505" t="n"/>
      <c r="O17" s="506" t="n"/>
      <c r="P17" s="507" t="inlineStr">
        <is>
          <t>증감</t>
        </is>
      </c>
      <c r="Q17" s="505" t="n"/>
      <c r="R17" s="506" t="n"/>
      <c r="S17" s="507" t="inlineStr">
        <is>
          <t>달성률</t>
        </is>
      </c>
      <c r="T17" s="505" t="n"/>
      <c r="U17" s="506" t="n"/>
      <c r="V17" s="303" t="inlineStr">
        <is>
          <t>목표</t>
        </is>
      </c>
      <c r="W17" s="505" t="n"/>
      <c r="X17" s="506" t="n"/>
      <c r="Y17" s="305" t="inlineStr">
        <is>
          <t>OTB</t>
        </is>
      </c>
      <c r="Z17" s="505" t="n"/>
      <c r="AA17" s="506" t="n"/>
      <c r="AB17" s="507" t="inlineStr">
        <is>
          <t>진행률</t>
        </is>
      </c>
      <c r="AC17" s="505" t="n"/>
      <c r="AD17" s="506" t="n"/>
      <c r="AE17" s="507" t="inlineStr">
        <is>
          <t>FCST</t>
        </is>
      </c>
      <c r="AF17" s="505" t="n"/>
      <c r="AG17" s="506" t="n"/>
      <c r="AH17" s="507" t="inlineStr">
        <is>
          <t>증감</t>
        </is>
      </c>
      <c r="AI17" s="505" t="n"/>
      <c r="AJ17" s="506" t="n"/>
      <c r="AK17" s="507" t="inlineStr">
        <is>
          <t>달성률</t>
        </is>
      </c>
      <c r="AL17" s="505" t="n"/>
      <c r="AM17" s="506" t="n"/>
      <c r="AP17" s="54" t="n"/>
      <c r="AQ17" s="51" t="n"/>
      <c r="AR17" s="51" t="n"/>
      <c r="AS17" s="51" t="n"/>
      <c r="AT17" s="51" t="n"/>
      <c r="AU17" s="51" t="n"/>
      <c r="AV17" s="51" t="n"/>
      <c r="AW17" s="51" t="n"/>
      <c r="AX17" s="51" t="n"/>
      <c r="AY17" s="51" t="n"/>
      <c r="AZ17" s="51" t="n"/>
      <c r="BA17" s="51" t="n"/>
      <c r="BB17" s="51" t="n"/>
      <c r="BC17" s="51" t="n"/>
      <c r="BD17" s="51" t="n"/>
      <c r="BE17" s="51" t="n"/>
      <c r="BF17" s="51" t="n"/>
    </row>
    <row r="18" ht="18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11">
        <f>M18/D18</f>
        <v/>
      </c>
      <c r="T18" s="481" t="n"/>
      <c r="U18" s="482" t="n"/>
      <c r="V18" s="296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11">
        <f>AE18/V18</f>
        <v/>
      </c>
      <c r="AL18" s="481" t="n"/>
      <c r="AM18" s="482" t="n"/>
      <c r="AQ18" s="51" t="n"/>
      <c r="AR18" s="51" t="n"/>
      <c r="AS18" s="51" t="n"/>
      <c r="AT18" s="51" t="n"/>
      <c r="AU18" s="51" t="n"/>
      <c r="AV18" s="51" t="n"/>
      <c r="AW18" s="51" t="n"/>
      <c r="AX18" s="51" t="n"/>
      <c r="AY18" s="51" t="n"/>
      <c r="AZ18" s="51" t="n"/>
      <c r="BA18" s="51" t="n"/>
      <c r="BB18" s="51" t="n"/>
      <c r="BC18" s="51" t="n"/>
      <c r="BD18" s="51" t="n"/>
      <c r="BE18" s="51" t="n"/>
      <c r="BF18" s="51" t="n"/>
    </row>
    <row r="19" ht="18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16">
        <f>M19/D19</f>
        <v/>
      </c>
      <c r="T19" s="484" t="n"/>
      <c r="U19" s="485" t="n"/>
      <c r="V19" s="518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16">
        <f>AE19/V19</f>
        <v/>
      </c>
      <c r="AL19" s="484" t="n"/>
      <c r="AM19" s="485" t="n"/>
      <c r="AP19" s="55" t="n"/>
      <c r="AQ19" s="51" t="n"/>
      <c r="AR19" s="51" t="n"/>
      <c r="AS19" s="51" t="n"/>
      <c r="AT19" s="51" t="n"/>
      <c r="AU19" s="51" t="n"/>
      <c r="AV19" s="51" t="n"/>
      <c r="AW19" s="51" t="n"/>
      <c r="AX19" s="51" t="n"/>
      <c r="AY19" s="51" t="n"/>
      <c r="AZ19" s="51" t="n"/>
      <c r="BA19" s="51" t="n"/>
      <c r="BB19" s="51" t="n"/>
      <c r="BC19" s="51" t="n"/>
      <c r="BD19" s="51" t="n"/>
      <c r="BE19" s="51" t="n"/>
      <c r="BF19" s="51" t="n"/>
    </row>
    <row r="20" ht="18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16">
        <f>M20/D20</f>
        <v/>
      </c>
      <c r="T20" s="484" t="n"/>
      <c r="U20" s="485" t="n"/>
      <c r="V20" s="518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16">
        <f>AE20/V20</f>
        <v/>
      </c>
      <c r="AL20" s="484" t="n"/>
      <c r="AM20" s="485" t="n"/>
      <c r="AQ20" s="51" t="n"/>
      <c r="AR20" s="51" t="n"/>
      <c r="AS20" s="51" t="n"/>
      <c r="AT20" s="51" t="n"/>
      <c r="AU20" s="51" t="n"/>
      <c r="AV20" s="51" t="n"/>
      <c r="AW20" s="51" t="n"/>
      <c r="AX20" s="51" t="n"/>
      <c r="AY20" s="51" t="n"/>
      <c r="AZ20" s="51" t="n"/>
      <c r="BA20" s="51" t="n"/>
      <c r="BB20" s="51" t="n"/>
      <c r="BC20" s="51" t="n"/>
      <c r="BD20" s="51" t="n"/>
      <c r="BE20" s="51" t="n"/>
      <c r="BF20" s="51" t="n"/>
    </row>
    <row r="21" ht="18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25">
        <f>M21/D21</f>
        <v/>
      </c>
      <c r="T21" s="522" t="n"/>
      <c r="U21" s="523" t="n"/>
      <c r="V21" s="527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25">
        <f>AE21/V21</f>
        <v/>
      </c>
      <c r="AL21" s="522" t="n"/>
      <c r="AM21" s="523" t="n"/>
      <c r="AQ21" s="51" t="n"/>
      <c r="AR21" s="51" t="n"/>
      <c r="AS21" s="51" t="n"/>
      <c r="AT21" s="51" t="n"/>
      <c r="AU21" s="51" t="n"/>
      <c r="AV21" s="51" t="n"/>
      <c r="AW21" s="51" t="n"/>
      <c r="AX21" s="51" t="n"/>
      <c r="AY21" s="51" t="n"/>
      <c r="AZ21" s="51" t="n"/>
      <c r="BA21" s="51" t="n"/>
      <c r="BB21" s="51" t="n"/>
      <c r="BC21" s="51" t="n"/>
      <c r="BD21" s="51" t="n"/>
      <c r="BE21" s="51" t="n"/>
      <c r="BF21" s="51" t="n"/>
    </row>
    <row r="22" ht="18" customHeight="1" s="462">
      <c r="AQ22" s="51" t="n"/>
      <c r="AR22" s="51" t="n"/>
      <c r="AS22" s="51" t="n"/>
      <c r="AT22" s="51" t="n"/>
      <c r="AU22" s="51" t="n"/>
      <c r="AV22" s="51" t="n"/>
      <c r="AW22" s="51" t="n"/>
      <c r="AX22" s="51" t="n"/>
      <c r="AY22" s="51" t="n"/>
      <c r="AZ22" s="51" t="n"/>
      <c r="BA22" s="51" t="n"/>
      <c r="BB22" s="51" t="n"/>
      <c r="BC22" s="51" t="n"/>
      <c r="BD22" s="51" t="n"/>
      <c r="BE22" s="51" t="n"/>
      <c r="BF22" s="51" t="n"/>
    </row>
    <row r="23" ht="18" customHeight="1" s="462">
      <c r="A23" s="203" t="inlineStr">
        <is>
          <t>3. 상품 운영(안)</t>
        </is>
      </c>
      <c r="X23" s="316" t="n"/>
      <c r="AE23" s="316" t="n"/>
      <c r="AQ23" s="51" t="n"/>
      <c r="AR23" s="51" t="n"/>
      <c r="AS23" s="51" t="n"/>
      <c r="AT23" s="51" t="n"/>
      <c r="AU23" s="51" t="n"/>
      <c r="AV23" s="51" t="n"/>
      <c r="AW23" s="51" t="n"/>
      <c r="AX23" s="51" t="n"/>
      <c r="AY23" s="51" t="n"/>
      <c r="AZ23" s="51" t="n"/>
      <c r="BA23" s="51" t="n"/>
      <c r="BB23" s="51" t="n"/>
      <c r="BC23" s="51" t="n"/>
      <c r="BD23" s="51" t="n"/>
      <c r="BE23" s="51" t="n"/>
      <c r="BF23" s="51" t="n"/>
    </row>
    <row r="24" ht="18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8" customHeight="1" s="462" thickTop="1">
      <c r="B25" s="322" t="inlineStr">
        <is>
          <t>상품명</t>
        </is>
      </c>
      <c r="C25" s="531" t="n"/>
      <c r="D25" s="532" t="inlineStr">
        <is>
          <t xml:space="preserve"> · 소노벨 천안 인플루언서 프로모션 (2상품 요약)</t>
        </is>
      </c>
      <c r="E25" s="533" t="n"/>
      <c r="F25" s="533" t="n"/>
      <c r="G25" s="533" t="n"/>
      <c r="H25" s="533" t="n"/>
      <c r="I25" s="533" t="n"/>
      <c r="J25" s="533" t="n"/>
      <c r="K25" s="533" t="n"/>
      <c r="L25" s="533" t="n"/>
      <c r="M25" s="533" t="n"/>
      <c r="N25" s="533" t="n"/>
      <c r="O25" s="533" t="n"/>
      <c r="P25" s="533" t="n"/>
      <c r="Q25" s="533" t="n"/>
      <c r="R25" s="533" t="n"/>
      <c r="S25" s="533" t="n"/>
      <c r="T25" s="533" t="n"/>
      <c r="U25" s="533" t="n"/>
      <c r="V25" s="533" t="n"/>
      <c r="W25" s="533" t="n"/>
      <c r="X25" s="533" t="n"/>
      <c r="Y25" s="533" t="n"/>
      <c r="Z25" s="533" t="n"/>
      <c r="AA25" s="533" t="n"/>
      <c r="AB25" s="533" t="n"/>
      <c r="AC25" s="533" t="n"/>
      <c r="AD25" s="533" t="n"/>
      <c r="AE25" s="533" t="n"/>
      <c r="AF25" s="533" t="n"/>
      <c r="AG25" s="533" t="n"/>
      <c r="AH25" s="533" t="n"/>
      <c r="AI25" s="533" t="n"/>
      <c r="AJ25" s="533" t="n"/>
      <c r="AK25" s="533" t="n"/>
      <c r="AL25" s="533" t="n"/>
      <c r="AM25" s="534" t="n"/>
    </row>
    <row r="26" ht="18" customHeight="1" s="462">
      <c r="B26" s="179" t="inlineStr">
        <is>
          <t>사업장</t>
        </is>
      </c>
      <c r="C26" s="488" t="n"/>
      <c r="D26" s="535" t="inlineStr">
        <is>
          <t xml:space="preserve"> · 소노벨 천안</t>
        </is>
      </c>
      <c r="E26" s="463" t="n"/>
      <c r="F26" s="463" t="n"/>
      <c r="G26" s="463" t="n"/>
      <c r="H26" s="463" t="n"/>
      <c r="I26" s="463" t="n"/>
      <c r="J26" s="463" t="n"/>
      <c r="K26" s="463" t="n"/>
      <c r="L26" s="463" t="n"/>
      <c r="M26" s="463" t="n"/>
      <c r="N26" s="463" t="n"/>
      <c r="O26" s="463" t="n"/>
      <c r="P26" s="463" t="n"/>
      <c r="Q26" s="463" t="n"/>
      <c r="R26" s="463" t="n"/>
      <c r="S26" s="463" t="n"/>
      <c r="T26" s="463" t="n"/>
      <c r="U26" s="463" t="n"/>
      <c r="V26" s="463" t="n"/>
      <c r="W26" s="463" t="n"/>
      <c r="X26" s="463" t="n"/>
      <c r="Y26" s="463" t="n"/>
      <c r="Z26" s="463" t="n"/>
      <c r="AA26" s="463" t="n"/>
      <c r="AB26" s="463" t="n"/>
      <c r="AC26" s="463" t="n"/>
      <c r="AD26" s="463" t="n"/>
      <c r="AE26" s="463" t="n"/>
      <c r="AF26" s="463" t="n"/>
      <c r="AG26" s="463" t="n"/>
      <c r="AH26" s="463" t="n"/>
      <c r="AI26" s="463" t="n"/>
      <c r="AJ26" s="463" t="n"/>
      <c r="AK26" s="463" t="n"/>
      <c r="AL26" s="463" t="n"/>
      <c r="AM26" s="464" t="n"/>
    </row>
    <row r="27" ht="18" customHeight="1" s="462">
      <c r="B27" s="179" t="inlineStr">
        <is>
          <t>판매채널</t>
        </is>
      </c>
      <c r="C27" s="488" t="n"/>
      <c r="D27" s="535" t="inlineStr">
        <is>
          <t xml:space="preserve"> · 인플루언서 (FIT) · 회원 병행</t>
        </is>
      </c>
      <c r="E27" s="463" t="n"/>
      <c r="F27" s="463" t="n"/>
      <c r="G27" s="463" t="n"/>
      <c r="H27" s="463" t="n"/>
      <c r="I27" s="463" t="n"/>
      <c r="J27" s="463" t="n"/>
      <c r="K27" s="463" t="n"/>
      <c r="L27" s="463" t="n"/>
      <c r="M27" s="463" t="n"/>
      <c r="N27" s="463" t="n"/>
      <c r="O27" s="463" t="n"/>
      <c r="P27" s="463" t="n"/>
      <c r="Q27" s="463" t="n"/>
      <c r="R27" s="463" t="n"/>
      <c r="S27" s="463" t="n"/>
      <c r="T27" s="463" t="n"/>
      <c r="U27" s="463" t="n"/>
      <c r="V27" s="463" t="n"/>
      <c r="W27" s="463" t="n"/>
      <c r="X27" s="463" t="n"/>
      <c r="Y27" s="463" t="n"/>
      <c r="Z27" s="463" t="n"/>
      <c r="AA27" s="463" t="n"/>
      <c r="AB27" s="463" t="n"/>
      <c r="AC27" s="463" t="n"/>
      <c r="AD27" s="463" t="n"/>
      <c r="AE27" s="463" t="n"/>
      <c r="AF27" s="463" t="n"/>
      <c r="AG27" s="463" t="n"/>
      <c r="AH27" s="463" t="n"/>
      <c r="AI27" s="463" t="n"/>
      <c r="AJ27" s="463" t="n"/>
      <c r="AK27" s="463" t="n"/>
      <c r="AL27" s="463" t="n"/>
      <c r="AM27" s="464" t="n"/>
    </row>
    <row r="28" ht="18" customHeight="1" s="462">
      <c r="B28" s="254" t="inlineStr">
        <is>
          <t>기간</t>
        </is>
      </c>
      <c r="C28" s="150" t="inlineStr">
        <is>
          <t>판매</t>
        </is>
      </c>
      <c r="D28" s="536" t="n"/>
      <c r="E28" s="537" t="n"/>
      <c r="F28" s="537" t="n"/>
      <c r="G28" s="537" t="n"/>
      <c r="H28" s="537" t="n"/>
      <c r="I28" s="537" t="n"/>
      <c r="J28" s="537" t="n"/>
      <c r="K28" s="537" t="n"/>
      <c r="L28" s="537" t="n"/>
      <c r="M28" s="537" t="n"/>
      <c r="N28" s="537" t="n"/>
      <c r="O28" s="537" t="n"/>
      <c r="P28" s="537" t="n"/>
      <c r="Q28" s="537" t="n"/>
      <c r="R28" s="537" t="n"/>
      <c r="S28" s="537" t="n"/>
      <c r="T28" s="537" t="n"/>
      <c r="U28" s="537" t="n"/>
      <c r="V28" s="537" t="n"/>
      <c r="W28" s="537" t="n"/>
      <c r="X28" s="537" t="n"/>
      <c r="Y28" s="537" t="n"/>
      <c r="Z28" s="537" t="n"/>
      <c r="AA28" s="537" t="n"/>
      <c r="AB28" s="537" t="n"/>
      <c r="AC28" s="537" t="n"/>
      <c r="AD28" s="537" t="n"/>
      <c r="AE28" s="537" t="n"/>
      <c r="AF28" s="537" t="n"/>
      <c r="AG28" s="537" t="n"/>
      <c r="AH28" s="537" t="n"/>
      <c r="AI28" s="537" t="n"/>
      <c r="AJ28" s="537" t="n"/>
      <c r="AK28" s="537" t="n"/>
      <c r="AL28" s="537" t="n"/>
      <c r="AM28" s="538" t="n"/>
    </row>
    <row r="29" ht="18" customHeight="1" s="462">
      <c r="B29" s="539" t="n"/>
      <c r="C29" s="101" t="inlineStr">
        <is>
          <t>투숙</t>
        </is>
      </c>
      <c r="D29" s="540" t="n"/>
      <c r="E29" s="522" t="n"/>
      <c r="F29" s="522" t="n"/>
      <c r="G29" s="522" t="n"/>
      <c r="H29" s="522" t="n"/>
      <c r="I29" s="522" t="n"/>
      <c r="J29" s="522" t="n"/>
      <c r="K29" s="522" t="n"/>
      <c r="L29" s="522" t="n"/>
      <c r="M29" s="522" t="n"/>
      <c r="N29" s="522" t="n"/>
      <c r="O29" s="522" t="n"/>
      <c r="P29" s="522" t="n"/>
      <c r="Q29" s="522" t="n"/>
      <c r="R29" s="522" t="n"/>
      <c r="S29" s="522" t="n"/>
      <c r="T29" s="522" t="n"/>
      <c r="U29" s="522" t="n"/>
      <c r="V29" s="522" t="n"/>
      <c r="W29" s="522" t="n"/>
      <c r="X29" s="522" t="n"/>
      <c r="Y29" s="522" t="n"/>
      <c r="Z29" s="522" t="n"/>
      <c r="AA29" s="522" t="n"/>
      <c r="AB29" s="522" t="n"/>
      <c r="AC29" s="522" t="n"/>
      <c r="AD29" s="522" t="n"/>
      <c r="AE29" s="522" t="n"/>
      <c r="AF29" s="522" t="n"/>
      <c r="AG29" s="522" t="n"/>
      <c r="AH29" s="522" t="n"/>
      <c r="AI29" s="522" t="n"/>
      <c r="AJ29" s="522" t="n"/>
      <c r="AK29" s="522" t="n"/>
      <c r="AL29" s="522" t="n"/>
      <c r="AM29" s="523" t="n"/>
    </row>
    <row r="30" ht="18" customHeight="1" s="462">
      <c r="B30" s="342" t="inlineStr">
        <is>
          <t>상품구성</t>
        </is>
      </c>
      <c r="C30" s="149" t="inlineStr">
        <is>
          <t>기본구성</t>
        </is>
      </c>
      <c r="D30" s="541" t="inlineStr">
        <is>
          <t xml:space="preserve"> · ①객실+조식+오션어드벤처+레전드/키즈 ②객실+오션/조식+레전드/키즈 (3/4인)</t>
        </is>
      </c>
      <c r="E30" s="542" t="n"/>
      <c r="F30" s="542" t="n"/>
      <c r="G30" s="542" t="n"/>
      <c r="H30" s="542" t="n"/>
      <c r="I30" s="542" t="n"/>
      <c r="J30" s="542" t="n"/>
      <c r="K30" s="542" t="n"/>
      <c r="L30" s="542" t="n"/>
      <c r="M30" s="542" t="n"/>
      <c r="N30" s="542" t="n"/>
      <c r="O30" s="542" t="n"/>
      <c r="P30" s="542" t="n"/>
      <c r="Q30" s="542" t="n"/>
      <c r="R30" s="542" t="n"/>
      <c r="S30" s="542" t="n"/>
      <c r="T30" s="542" t="n"/>
      <c r="U30" s="542" t="n"/>
      <c r="V30" s="542" t="n"/>
      <c r="W30" s="542" t="n"/>
      <c r="X30" s="542" t="n"/>
      <c r="Y30" s="542" t="n"/>
      <c r="Z30" s="542" t="n"/>
      <c r="AA30" s="542" t="n"/>
      <c r="AB30" s="542" t="n"/>
      <c r="AC30" s="542" t="n"/>
      <c r="AD30" s="542" t="n"/>
      <c r="AE30" s="542" t="n"/>
      <c r="AF30" s="542" t="n"/>
      <c r="AG30" s="542" t="n"/>
      <c r="AH30" s="542" t="n"/>
      <c r="AI30" s="542" t="n"/>
      <c r="AJ30" s="542" t="n"/>
      <c r="AK30" s="542" t="n"/>
      <c r="AL30" s="542" t="n"/>
      <c r="AM30" s="543" t="n"/>
    </row>
    <row r="31" ht="18" customHeight="1" s="462">
      <c r="B31" s="539" t="n"/>
      <c r="C31" s="101" t="inlineStr">
        <is>
          <t>제공혜택</t>
        </is>
      </c>
      <c r="D31" s="540" t="inlineStr">
        <is>
          <t xml:space="preserve"> · 2상품×3/4인 통합 MIN~MAX · 부대정상=정상항목+인원추가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2" ht="18" customHeight="1" s="462"/>
    <row r="33" ht="18" customHeight="1" s="462">
      <c r="A33" s="203" t="inlineStr">
        <is>
          <t>4. 배분가</t>
        </is>
      </c>
      <c r="AE33" s="49" t="inlineStr">
        <is>
          <t xml:space="preserve"> </t>
        </is>
      </c>
    </row>
    <row r="34" ht="18" customHeight="1" s="462">
      <c r="B34" s="227" t="inlineStr">
        <is>
          <t>시즌</t>
        </is>
      </c>
      <c r="C34" s="544" t="inlineStr">
        <is>
          <t>구분</t>
        </is>
      </c>
      <c r="D34" s="250" t="inlineStr">
        <is>
          <t>객실</t>
        </is>
      </c>
      <c r="E34" s="545" t="n"/>
      <c r="F34" s="545" t="n"/>
      <c r="G34" s="545" t="n"/>
      <c r="H34" s="545" t="n"/>
      <c r="I34" s="545" t="n"/>
      <c r="J34" s="545" t="n"/>
      <c r="K34" s="545" t="n"/>
      <c r="L34" s="545" t="n"/>
      <c r="M34" s="545" t="n"/>
      <c r="N34" s="545" t="n"/>
      <c r="O34" s="546" t="n"/>
      <c r="P34" s="253" t="inlineStr">
        <is>
          <t>부대</t>
        </is>
      </c>
      <c r="Q34" s="537" t="n"/>
      <c r="R34" s="537" t="n"/>
      <c r="S34" s="537" t="n"/>
      <c r="T34" s="537" t="n"/>
      <c r="U34" s="537" t="n"/>
      <c r="V34" s="537" t="n"/>
      <c r="W34" s="537" t="n"/>
      <c r="X34" s="537" t="n"/>
      <c r="Y34" s="537" t="n"/>
      <c r="Z34" s="537" t="n"/>
      <c r="AA34" s="538" t="n"/>
      <c r="AB34" s="253" t="inlineStr">
        <is>
          <t>판매가</t>
        </is>
      </c>
      <c r="AC34" s="537" t="n"/>
      <c r="AD34" s="537" t="n"/>
      <c r="AE34" s="537" t="n"/>
      <c r="AF34" s="537" t="n"/>
      <c r="AG34" s="537" t="n"/>
      <c r="AH34" s="537" t="n"/>
      <c r="AI34" s="537" t="n"/>
      <c r="AJ34" s="537" t="n"/>
      <c r="AK34" s="537" t="n"/>
      <c r="AL34" s="537" t="n"/>
      <c r="AM34" s="538" t="n"/>
    </row>
    <row r="35" ht="18" customHeight="1" s="462" thickBot="1">
      <c r="B35" s="547" t="n"/>
      <c r="C35" s="503" t="n"/>
      <c r="D35" s="242" t="inlineStr">
        <is>
          <t>회원</t>
        </is>
      </c>
      <c r="E35" s="478" t="n"/>
      <c r="F35" s="478" t="n"/>
      <c r="G35" s="479" t="n"/>
      <c r="H35" s="229" t="inlineStr">
        <is>
          <t>FIT</t>
        </is>
      </c>
      <c r="I35" s="478" t="n"/>
      <c r="J35" s="478" t="n"/>
      <c r="K35" s="479" t="n"/>
      <c r="L35" s="229" t="inlineStr">
        <is>
          <t>GAP</t>
        </is>
      </c>
      <c r="M35" s="478" t="n"/>
      <c r="N35" s="478" t="n"/>
      <c r="O35" s="479" t="n"/>
      <c r="P35" s="199" t="inlineStr">
        <is>
          <t>회원</t>
        </is>
      </c>
      <c r="Q35" s="478" t="n"/>
      <c r="R35" s="478" t="n"/>
      <c r="S35" s="479" t="n"/>
      <c r="T35" s="229" t="inlineStr">
        <is>
          <t>FIT</t>
        </is>
      </c>
      <c r="U35" s="478" t="n"/>
      <c r="V35" s="478" t="n"/>
      <c r="W35" s="479" t="n"/>
      <c r="X35" s="229" t="inlineStr">
        <is>
          <t>GAP</t>
        </is>
      </c>
      <c r="Y35" s="478" t="n"/>
      <c r="Z35" s="478" t="n"/>
      <c r="AA35" s="479" t="n"/>
      <c r="AB35" s="199" t="inlineStr">
        <is>
          <t>회원</t>
        </is>
      </c>
      <c r="AC35" s="478" t="n"/>
      <c r="AD35" s="478" t="n"/>
      <c r="AE35" s="479" t="n"/>
      <c r="AF35" s="229" t="inlineStr">
        <is>
          <t>FIT</t>
        </is>
      </c>
      <c r="AG35" s="478" t="n"/>
      <c r="AH35" s="478" t="n"/>
      <c r="AI35" s="479" t="n"/>
      <c r="AJ35" s="229" t="inlineStr">
        <is>
          <t>GAP</t>
        </is>
      </c>
      <c r="AK35" s="478" t="n"/>
      <c r="AL35" s="478" t="n"/>
      <c r="AM35" s="479" t="n"/>
    </row>
    <row r="36" ht="18" customHeight="1" s="462" thickTop="1">
      <c r="B36" s="335" t="inlineStr">
        <is>
          <t>주중</t>
        </is>
      </c>
      <c r="C36" s="144" t="inlineStr">
        <is>
          <t>정상가</t>
        </is>
      </c>
      <c r="D36" s="240" t="inlineStr">
        <is>
          <t>121~162</t>
        </is>
      </c>
      <c r="E36" s="481" t="n"/>
      <c r="F36" s="481" t="n"/>
      <c r="G36" s="482" t="n"/>
      <c r="H36" s="241" t="inlineStr">
        <is>
          <t>154~212</t>
        </is>
      </c>
      <c r="I36" s="481" t="n"/>
      <c r="J36" s="481" t="n"/>
      <c r="K36" s="482" t="n"/>
      <c r="L36" s="241" t="inlineStr">
        <is>
          <t>33~50</t>
        </is>
      </c>
      <c r="M36" s="481" t="n"/>
      <c r="N36" s="481" t="n"/>
      <c r="O36" s="482" t="n"/>
      <c r="P36" s="447" t="inlineStr">
        <is>
          <t>128~323</t>
        </is>
      </c>
      <c r="Q36" s="481" t="n"/>
      <c r="R36" s="481" t="n"/>
      <c r="S36" s="482" t="n"/>
      <c r="T36" s="241" t="inlineStr">
        <is>
          <t>128~323</t>
        </is>
      </c>
      <c r="U36" s="481" t="n"/>
      <c r="V36" s="481" t="n"/>
      <c r="W36" s="482" t="n"/>
      <c r="X36" s="241" t="inlineStr">
        <is>
          <t>-</t>
        </is>
      </c>
      <c r="Y36" s="481" t="n"/>
      <c r="Z36" s="481" t="n"/>
      <c r="AA36" s="482" t="n"/>
      <c r="AB36" s="447" t="inlineStr">
        <is>
          <t>249~485</t>
        </is>
      </c>
      <c r="AC36" s="481" t="n"/>
      <c r="AD36" s="481" t="n"/>
      <c r="AE36" s="482" t="n"/>
      <c r="AF36" s="241" t="inlineStr">
        <is>
          <t>282~535</t>
        </is>
      </c>
      <c r="AG36" s="481" t="n"/>
      <c r="AH36" s="481" t="n"/>
      <c r="AI36" s="482" t="n"/>
      <c r="AJ36" s="241" t="inlineStr">
        <is>
          <t>-</t>
        </is>
      </c>
      <c r="AK36" s="481" t="n"/>
      <c r="AL36" s="481" t="n"/>
      <c r="AM36" s="482" t="n"/>
      <c r="AN36" s="54" t="inlineStr">
        <is>
          <t xml:space="preserve">* 퐅폰트 크기 9 이상 </t>
        </is>
      </c>
    </row>
    <row r="37" ht="18" customHeight="1" s="462">
      <c r="B37" s="548" t="n"/>
      <c r="C37" s="145" t="inlineStr">
        <is>
          <t>배분가</t>
        </is>
      </c>
      <c r="D37" s="448" t="inlineStr">
        <is>
          <t>111~152</t>
        </is>
      </c>
      <c r="E37" s="484" t="n"/>
      <c r="F37" s="484" t="n"/>
      <c r="G37" s="485" t="n"/>
      <c r="H37" s="449" t="inlineStr">
        <is>
          <t>141~182</t>
        </is>
      </c>
      <c r="I37" s="484" t="n"/>
      <c r="J37" s="484" t="n"/>
      <c r="K37" s="485" t="n"/>
      <c r="L37" s="449" t="inlineStr">
        <is>
          <t>30</t>
        </is>
      </c>
      <c r="M37" s="484" t="n"/>
      <c r="N37" s="484" t="n"/>
      <c r="O37" s="485" t="n"/>
      <c r="P37" s="451" t="inlineStr">
        <is>
          <t>46~140</t>
        </is>
      </c>
      <c r="Q37" s="484" t="n"/>
      <c r="R37" s="484" t="n"/>
      <c r="S37" s="485" t="n"/>
      <c r="T37" s="449" t="inlineStr">
        <is>
          <t>46~140</t>
        </is>
      </c>
      <c r="U37" s="484" t="n"/>
      <c r="V37" s="484" t="n"/>
      <c r="W37" s="485" t="n"/>
      <c r="X37" s="449" t="n">
        <v>0</v>
      </c>
      <c r="Y37" s="484" t="n"/>
      <c r="Z37" s="484" t="n"/>
      <c r="AA37" s="485" t="n"/>
      <c r="AB37" s="451" t="inlineStr">
        <is>
          <t>157~292</t>
        </is>
      </c>
      <c r="AC37" s="484" t="n"/>
      <c r="AD37" s="484" t="n"/>
      <c r="AE37" s="485" t="n"/>
      <c r="AF37" s="449" t="inlineStr">
        <is>
          <t>187~322</t>
        </is>
      </c>
      <c r="AG37" s="484" t="n"/>
      <c r="AH37" s="484" t="n"/>
      <c r="AI37" s="485" t="n"/>
      <c r="AJ37" s="449" t="inlineStr">
        <is>
          <t>30</t>
        </is>
      </c>
      <c r="AK37" s="484" t="n"/>
      <c r="AL37" s="484" t="n"/>
      <c r="AM37" s="485" t="n"/>
    </row>
    <row r="38" ht="18" customHeight="1" s="462">
      <c r="B38" s="539" t="n"/>
      <c r="C38" s="146" t="inlineStr">
        <is>
          <t>할인율</t>
        </is>
      </c>
      <c r="D38" s="452" t="inlineStr">
        <is>
          <t>6%~8%</t>
        </is>
      </c>
      <c r="E38" s="522" t="n"/>
      <c r="F38" s="522" t="n"/>
      <c r="G38" s="523" t="n"/>
      <c r="H38" s="453" t="inlineStr">
        <is>
          <t>7%~14%</t>
        </is>
      </c>
      <c r="I38" s="522" t="n"/>
      <c r="J38" s="522" t="n"/>
      <c r="K38" s="523" t="n"/>
      <c r="L38" s="453" t="inlineStr">
        <is>
          <t>-</t>
        </is>
      </c>
      <c r="M38" s="522" t="n"/>
      <c r="N38" s="522" t="n"/>
      <c r="O38" s="523" t="n"/>
      <c r="P38" s="455" t="inlineStr">
        <is>
          <t>57%~64%</t>
        </is>
      </c>
      <c r="Q38" s="522" t="n"/>
      <c r="R38" s="522" t="n"/>
      <c r="S38" s="523" t="n"/>
      <c r="T38" s="453" t="inlineStr">
        <is>
          <t>57%~64%</t>
        </is>
      </c>
      <c r="U38" s="522" t="n"/>
      <c r="V38" s="522" t="n"/>
      <c r="W38" s="523" t="n"/>
      <c r="X38" s="453" t="inlineStr">
        <is>
          <t>-</t>
        </is>
      </c>
      <c r="Y38" s="522" t="n"/>
      <c r="Z38" s="522" t="n"/>
      <c r="AA38" s="523" t="n"/>
      <c r="AB38" s="455" t="inlineStr">
        <is>
          <t>32%~46%</t>
        </is>
      </c>
      <c r="AC38" s="522" t="n"/>
      <c r="AD38" s="522" t="n"/>
      <c r="AE38" s="523" t="n"/>
      <c r="AF38" s="453" t="inlineStr">
        <is>
          <t>31%~43%</t>
        </is>
      </c>
      <c r="AG38" s="522" t="n"/>
      <c r="AH38" s="522" t="n"/>
      <c r="AI38" s="523" t="n"/>
      <c r="AJ38" s="453" t="inlineStr">
        <is>
          <t>-</t>
        </is>
      </c>
      <c r="AK38" s="522" t="n"/>
      <c r="AL38" s="522" t="n"/>
      <c r="AM38" s="523" t="n"/>
    </row>
    <row r="39" ht="18" customHeight="1" s="462">
      <c r="B39" s="254" t="inlineStr">
        <is>
          <t>금요일</t>
        </is>
      </c>
      <c r="C39" s="147" t="inlineStr">
        <is>
          <t>정상가</t>
        </is>
      </c>
      <c r="D39" s="456" t="inlineStr">
        <is>
          <t>134~191</t>
        </is>
      </c>
      <c r="E39" s="542" t="n"/>
      <c r="F39" s="542" t="n"/>
      <c r="G39" s="543" t="n"/>
      <c r="H39" s="457" t="inlineStr">
        <is>
          <t>177~251</t>
        </is>
      </c>
      <c r="I39" s="542" t="n"/>
      <c r="J39" s="542" t="n"/>
      <c r="K39" s="543" t="n"/>
      <c r="L39" s="457" t="inlineStr">
        <is>
          <t>43~60</t>
        </is>
      </c>
      <c r="M39" s="542" t="n"/>
      <c r="N39" s="542" t="n"/>
      <c r="O39" s="543" t="n"/>
      <c r="P39" s="459" t="inlineStr">
        <is>
          <t>128~323</t>
        </is>
      </c>
      <c r="Q39" s="542" t="n"/>
      <c r="R39" s="542" t="n"/>
      <c r="S39" s="543" t="n"/>
      <c r="T39" s="457" t="inlineStr">
        <is>
          <t>128~323</t>
        </is>
      </c>
      <c r="U39" s="542" t="n"/>
      <c r="V39" s="542" t="n"/>
      <c r="W39" s="543" t="n"/>
      <c r="X39" s="457" t="inlineStr">
        <is>
          <t>-</t>
        </is>
      </c>
      <c r="Y39" s="542" t="n"/>
      <c r="Z39" s="542" t="n"/>
      <c r="AA39" s="543" t="n"/>
      <c r="AB39" s="459" t="inlineStr">
        <is>
          <t>262~514</t>
        </is>
      </c>
      <c r="AC39" s="542" t="n"/>
      <c r="AD39" s="542" t="n"/>
      <c r="AE39" s="543" t="n"/>
      <c r="AF39" s="457" t="inlineStr">
        <is>
          <t>305~574</t>
        </is>
      </c>
      <c r="AG39" s="542" t="n"/>
      <c r="AH39" s="542" t="n"/>
      <c r="AI39" s="543" t="n"/>
      <c r="AJ39" s="457" t="inlineStr">
        <is>
          <t>-</t>
        </is>
      </c>
      <c r="AK39" s="542" t="n"/>
      <c r="AL39" s="542" t="n"/>
      <c r="AM39" s="543" t="n"/>
    </row>
    <row r="40" ht="18" customHeight="1" s="462">
      <c r="B40" s="548" t="n"/>
      <c r="C40" s="145" t="inlineStr">
        <is>
          <t>배분가</t>
        </is>
      </c>
      <c r="D40" s="448" t="inlineStr">
        <is>
          <t>124~181</t>
        </is>
      </c>
      <c r="E40" s="484" t="n"/>
      <c r="F40" s="484" t="n"/>
      <c r="G40" s="485" t="n"/>
      <c r="H40" s="449" t="inlineStr">
        <is>
          <t>154~216</t>
        </is>
      </c>
      <c r="I40" s="484" t="n"/>
      <c r="J40" s="484" t="n"/>
      <c r="K40" s="485" t="n"/>
      <c r="L40" s="449" t="inlineStr">
        <is>
          <t>30~35</t>
        </is>
      </c>
      <c r="M40" s="484" t="n"/>
      <c r="N40" s="484" t="n"/>
      <c r="O40" s="485" t="n"/>
      <c r="P40" s="451" t="inlineStr">
        <is>
          <t>46~140</t>
        </is>
      </c>
      <c r="Q40" s="484" t="n"/>
      <c r="R40" s="484" t="n"/>
      <c r="S40" s="485" t="n"/>
      <c r="T40" s="449" t="inlineStr">
        <is>
          <t>46~140</t>
        </is>
      </c>
      <c r="U40" s="484" t="n"/>
      <c r="V40" s="484" t="n"/>
      <c r="W40" s="485" t="n"/>
      <c r="X40" s="449" t="n">
        <v>0</v>
      </c>
      <c r="Y40" s="484" t="n"/>
      <c r="Z40" s="484" t="n"/>
      <c r="AA40" s="485" t="n"/>
      <c r="AB40" s="451" t="inlineStr">
        <is>
          <t>170~321</t>
        </is>
      </c>
      <c r="AC40" s="484" t="n"/>
      <c r="AD40" s="484" t="n"/>
      <c r="AE40" s="485" t="n"/>
      <c r="AF40" s="449" t="inlineStr">
        <is>
          <t>200~356</t>
        </is>
      </c>
      <c r="AG40" s="484" t="n"/>
      <c r="AH40" s="484" t="n"/>
      <c r="AI40" s="485" t="n"/>
      <c r="AJ40" s="449" t="inlineStr">
        <is>
          <t>30~35</t>
        </is>
      </c>
      <c r="AK40" s="484" t="n"/>
      <c r="AL40" s="484" t="n"/>
      <c r="AM40" s="485" t="n"/>
    </row>
    <row r="41" ht="18" customHeight="1" s="462">
      <c r="B41" s="539" t="n"/>
      <c r="C41" s="146" t="inlineStr">
        <is>
          <t>할인율</t>
        </is>
      </c>
      <c r="D41" s="452" t="inlineStr">
        <is>
          <t>5%~7%</t>
        </is>
      </c>
      <c r="E41" s="522" t="n"/>
      <c r="F41" s="522" t="n"/>
      <c r="G41" s="523" t="n"/>
      <c r="H41" s="453" t="inlineStr">
        <is>
          <t>9%~16%</t>
        </is>
      </c>
      <c r="I41" s="522" t="n"/>
      <c r="J41" s="522" t="n"/>
      <c r="K41" s="523" t="n"/>
      <c r="L41" s="453" t="inlineStr">
        <is>
          <t>-</t>
        </is>
      </c>
      <c r="M41" s="522" t="n"/>
      <c r="N41" s="522" t="n"/>
      <c r="O41" s="523" t="n"/>
      <c r="P41" s="455" t="inlineStr">
        <is>
          <t>57%~64%</t>
        </is>
      </c>
      <c r="Q41" s="522" t="n"/>
      <c r="R41" s="522" t="n"/>
      <c r="S41" s="523" t="n"/>
      <c r="T41" s="453" t="inlineStr">
        <is>
          <t>57%~64%</t>
        </is>
      </c>
      <c r="U41" s="522" t="n"/>
      <c r="V41" s="522" t="n"/>
      <c r="W41" s="523" t="n"/>
      <c r="X41" s="453" t="inlineStr">
        <is>
          <t>-</t>
        </is>
      </c>
      <c r="Y41" s="522" t="n"/>
      <c r="Z41" s="522" t="n"/>
      <c r="AA41" s="523" t="n"/>
      <c r="AB41" s="455" t="inlineStr">
        <is>
          <t>29%~45%</t>
        </is>
      </c>
      <c r="AC41" s="522" t="n"/>
      <c r="AD41" s="522" t="n"/>
      <c r="AE41" s="523" t="n"/>
      <c r="AF41" s="453" t="inlineStr">
        <is>
          <t>30%~43%</t>
        </is>
      </c>
      <c r="AG41" s="522" t="n"/>
      <c r="AH41" s="522" t="n"/>
      <c r="AI41" s="523" t="n"/>
      <c r="AJ41" s="453" t="inlineStr">
        <is>
          <t>-</t>
        </is>
      </c>
      <c r="AK41" s="522" t="n"/>
      <c r="AL41" s="522" t="n"/>
      <c r="AM41" s="523" t="n"/>
    </row>
    <row r="42" ht="18" customHeight="1" s="462">
      <c r="B42" s="254" t="inlineStr">
        <is>
          <t>토요일</t>
        </is>
      </c>
      <c r="C42" s="147" t="inlineStr">
        <is>
          <t>정상가</t>
        </is>
      </c>
      <c r="D42" s="456" t="inlineStr">
        <is>
          <t>176~228</t>
        </is>
      </c>
      <c r="E42" s="542" t="n"/>
      <c r="F42" s="542" t="n"/>
      <c r="G42" s="543" t="n"/>
      <c r="H42" s="457" t="inlineStr">
        <is>
          <t>229~298</t>
        </is>
      </c>
      <c r="I42" s="542" t="n"/>
      <c r="J42" s="542" t="n"/>
      <c r="K42" s="543" t="n"/>
      <c r="L42" s="457" t="inlineStr">
        <is>
          <t>53~70</t>
        </is>
      </c>
      <c r="M42" s="542" t="n"/>
      <c r="N42" s="542" t="n"/>
      <c r="O42" s="543" t="n"/>
      <c r="P42" s="459" t="inlineStr">
        <is>
          <t>128~323</t>
        </is>
      </c>
      <c r="Q42" s="542" t="n"/>
      <c r="R42" s="542" t="n"/>
      <c r="S42" s="543" t="n"/>
      <c r="T42" s="457" t="inlineStr">
        <is>
          <t>128~323</t>
        </is>
      </c>
      <c r="U42" s="542" t="n"/>
      <c r="V42" s="542" t="n"/>
      <c r="W42" s="543" t="n"/>
      <c r="X42" s="457" t="inlineStr">
        <is>
          <t>-</t>
        </is>
      </c>
      <c r="Y42" s="542" t="n"/>
      <c r="Z42" s="542" t="n"/>
      <c r="AA42" s="543" t="n"/>
      <c r="AB42" s="459" t="inlineStr">
        <is>
          <t>304~551</t>
        </is>
      </c>
      <c r="AC42" s="542" t="n"/>
      <c r="AD42" s="542" t="n"/>
      <c r="AE42" s="543" t="n"/>
      <c r="AF42" s="457" t="inlineStr">
        <is>
          <t>357~621</t>
        </is>
      </c>
      <c r="AG42" s="542" t="n"/>
      <c r="AH42" s="542" t="n"/>
      <c r="AI42" s="543" t="n"/>
      <c r="AJ42" s="457" t="inlineStr">
        <is>
          <t>-</t>
        </is>
      </c>
      <c r="AK42" s="542" t="n"/>
      <c r="AL42" s="542" t="n"/>
      <c r="AM42" s="543" t="n"/>
    </row>
    <row r="43" ht="18" customHeight="1" s="462">
      <c r="B43" s="548" t="n"/>
      <c r="C43" s="145" t="inlineStr">
        <is>
          <t>배분가</t>
        </is>
      </c>
      <c r="D43" s="448" t="inlineStr">
        <is>
          <t>176~228</t>
        </is>
      </c>
      <c r="E43" s="484" t="n"/>
      <c r="F43" s="484" t="n"/>
      <c r="G43" s="485" t="n"/>
      <c r="H43" s="449" t="inlineStr">
        <is>
          <t>239~308</t>
        </is>
      </c>
      <c r="I43" s="484" t="n"/>
      <c r="J43" s="484" t="n"/>
      <c r="K43" s="485" t="n"/>
      <c r="L43" s="449" t="inlineStr">
        <is>
          <t>63~80</t>
        </is>
      </c>
      <c r="M43" s="484" t="n"/>
      <c r="N43" s="484" t="n"/>
      <c r="O43" s="485" t="n"/>
      <c r="P43" s="451" t="inlineStr">
        <is>
          <t>46~140</t>
        </is>
      </c>
      <c r="Q43" s="484" t="n"/>
      <c r="R43" s="484" t="n"/>
      <c r="S43" s="485" t="n"/>
      <c r="T43" s="449" t="inlineStr">
        <is>
          <t>46~140</t>
        </is>
      </c>
      <c r="U43" s="484" t="n"/>
      <c r="V43" s="484" t="n"/>
      <c r="W43" s="485" t="n"/>
      <c r="X43" s="449" t="n">
        <v>0</v>
      </c>
      <c r="Y43" s="484" t="n"/>
      <c r="Z43" s="484" t="n"/>
      <c r="AA43" s="485" t="n"/>
      <c r="AB43" s="451" t="inlineStr">
        <is>
          <t>222~368</t>
        </is>
      </c>
      <c r="AC43" s="484" t="n"/>
      <c r="AD43" s="484" t="n"/>
      <c r="AE43" s="485" t="n"/>
      <c r="AF43" s="449" t="inlineStr">
        <is>
          <t>285~448</t>
        </is>
      </c>
      <c r="AG43" s="484" t="n"/>
      <c r="AH43" s="484" t="n"/>
      <c r="AI43" s="485" t="n"/>
      <c r="AJ43" s="449" t="inlineStr">
        <is>
          <t>63~80</t>
        </is>
      </c>
      <c r="AK43" s="484" t="n"/>
      <c r="AL43" s="484" t="n"/>
      <c r="AM43" s="485" t="n"/>
    </row>
    <row r="44" ht="18" customHeight="1" s="462">
      <c r="B44" s="539" t="n"/>
      <c r="C44" s="146" t="inlineStr">
        <is>
          <t>할인율</t>
        </is>
      </c>
      <c r="D44" s="461" t="inlineStr">
        <is>
          <t>0%</t>
        </is>
      </c>
      <c r="E44" s="522" t="n"/>
      <c r="F44" s="522" t="n"/>
      <c r="G44" s="523" t="n"/>
      <c r="H44" s="453" t="inlineStr">
        <is>
          <t>-8%~-3%</t>
        </is>
      </c>
      <c r="I44" s="522" t="n"/>
      <c r="J44" s="522" t="n"/>
      <c r="K44" s="523" t="n"/>
      <c r="L44" s="453" t="inlineStr">
        <is>
          <t>-</t>
        </is>
      </c>
      <c r="M44" s="522" t="n"/>
      <c r="N44" s="522" t="n"/>
      <c r="O44" s="523" t="n"/>
      <c r="P44" s="455" t="inlineStr">
        <is>
          <t>57%~64%</t>
        </is>
      </c>
      <c r="Q44" s="522" t="n"/>
      <c r="R44" s="522" t="n"/>
      <c r="S44" s="523" t="n"/>
      <c r="T44" s="453" t="inlineStr">
        <is>
          <t>57%~64%</t>
        </is>
      </c>
      <c r="U44" s="522" t="n"/>
      <c r="V44" s="522" t="n"/>
      <c r="W44" s="523" t="n"/>
      <c r="X44" s="453" t="inlineStr">
        <is>
          <t>-</t>
        </is>
      </c>
      <c r="Y44" s="522" t="n"/>
      <c r="Z44" s="522" t="n"/>
      <c r="AA44" s="523" t="n"/>
      <c r="AB44" s="455" t="inlineStr">
        <is>
          <t>23%~39%</t>
        </is>
      </c>
      <c r="AC44" s="522" t="n"/>
      <c r="AD44" s="522" t="n"/>
      <c r="AE44" s="523" t="n"/>
      <c r="AF44" s="453" t="inlineStr">
        <is>
          <t>16%~33%</t>
        </is>
      </c>
      <c r="AG44" s="522" t="n"/>
      <c r="AH44" s="522" t="n"/>
      <c r="AI44" s="523" t="n"/>
      <c r="AJ44" s="453" t="inlineStr">
        <is>
          <t>-</t>
        </is>
      </c>
      <c r="AK44" s="522" t="n"/>
      <c r="AL44" s="522" t="n"/>
      <c r="AM44" s="523" t="n"/>
    </row>
    <row r="45" ht="18" customHeight="1" s="462">
      <c r="B45" s="549" t="inlineStr"/>
      <c r="C45" s="147" t="inlineStr">
        <is>
          <t>정상가</t>
        </is>
      </c>
      <c r="D45" s="456" t="inlineStr"/>
      <c r="E45" s="542" t="n"/>
      <c r="F45" s="542" t="n"/>
      <c r="G45" s="543" t="n"/>
      <c r="H45" s="457" t="inlineStr"/>
      <c r="I45" s="542" t="n"/>
      <c r="J45" s="542" t="n"/>
      <c r="K45" s="543" t="n"/>
      <c r="L45" s="457" t="inlineStr"/>
      <c r="M45" s="542" t="n"/>
      <c r="N45" s="542" t="n"/>
      <c r="O45" s="543" t="n"/>
      <c r="P45" s="459" t="inlineStr"/>
      <c r="Q45" s="542" t="n"/>
      <c r="R45" s="542" t="n"/>
      <c r="S45" s="543" t="n"/>
      <c r="T45" s="457" t="inlineStr"/>
      <c r="U45" s="542" t="n"/>
      <c r="V45" s="542" t="n"/>
      <c r="W45" s="543" t="n"/>
      <c r="X45" s="457" t="inlineStr"/>
      <c r="Y45" s="542" t="n"/>
      <c r="Z45" s="542" t="n"/>
      <c r="AA45" s="543" t="n"/>
      <c r="AB45" s="459" t="inlineStr"/>
      <c r="AC45" s="542" t="n"/>
      <c r="AD45" s="542" t="n"/>
      <c r="AE45" s="543" t="n"/>
      <c r="AF45" s="457" t="inlineStr"/>
      <c r="AG45" s="542" t="n"/>
      <c r="AH45" s="542" t="n"/>
      <c r="AI45" s="543" t="n"/>
      <c r="AJ45" s="457" t="inlineStr"/>
      <c r="AK45" s="542" t="n"/>
      <c r="AL45" s="542" t="n"/>
      <c r="AM45" s="543" t="n"/>
    </row>
    <row r="46" ht="18" customHeight="1" s="462">
      <c r="B46" s="548" t="n"/>
      <c r="C46" s="145" t="inlineStr">
        <is>
          <t>배분가</t>
        </is>
      </c>
      <c r="D46" s="448" t="inlineStr"/>
      <c r="E46" s="484" t="n"/>
      <c r="F46" s="484" t="n"/>
      <c r="G46" s="485" t="n"/>
      <c r="H46" s="449" t="inlineStr"/>
      <c r="I46" s="484" t="n"/>
      <c r="J46" s="484" t="n"/>
      <c r="K46" s="485" t="n"/>
      <c r="L46" s="449" t="inlineStr"/>
      <c r="M46" s="484" t="n"/>
      <c r="N46" s="484" t="n"/>
      <c r="O46" s="485" t="n"/>
      <c r="P46" s="451" t="inlineStr"/>
      <c r="Q46" s="484" t="n"/>
      <c r="R46" s="484" t="n"/>
      <c r="S46" s="485" t="n"/>
      <c r="T46" s="449" t="inlineStr"/>
      <c r="U46" s="484" t="n"/>
      <c r="V46" s="484" t="n"/>
      <c r="W46" s="485" t="n"/>
      <c r="X46" s="449" t="inlineStr"/>
      <c r="Y46" s="484" t="n"/>
      <c r="Z46" s="484" t="n"/>
      <c r="AA46" s="485" t="n"/>
      <c r="AB46" s="451" t="inlineStr"/>
      <c r="AC46" s="484" t="n"/>
      <c r="AD46" s="484" t="n"/>
      <c r="AE46" s="485" t="n"/>
      <c r="AF46" s="449" t="inlineStr"/>
      <c r="AG46" s="484" t="n"/>
      <c r="AH46" s="484" t="n"/>
      <c r="AI46" s="485" t="n"/>
      <c r="AJ46" s="449" t="inlineStr"/>
      <c r="AK46" s="484" t="n"/>
      <c r="AL46" s="484" t="n"/>
      <c r="AM46" s="485" t="n"/>
    </row>
    <row r="47" ht="18" customHeight="1" s="462">
      <c r="B47" s="539" t="n"/>
      <c r="C47" s="146" t="inlineStr">
        <is>
          <t>할인율</t>
        </is>
      </c>
      <c r="D47" s="452" t="inlineStr"/>
      <c r="E47" s="522" t="n"/>
      <c r="F47" s="522" t="n"/>
      <c r="G47" s="523" t="n"/>
      <c r="H47" s="453" t="inlineStr"/>
      <c r="I47" s="522" t="n"/>
      <c r="J47" s="522" t="n"/>
      <c r="K47" s="523" t="n"/>
      <c r="L47" s="453" t="inlineStr"/>
      <c r="M47" s="522" t="n"/>
      <c r="N47" s="522" t="n"/>
      <c r="O47" s="523" t="n"/>
      <c r="P47" s="455" t="inlineStr"/>
      <c r="Q47" s="522" t="n"/>
      <c r="R47" s="522" t="n"/>
      <c r="S47" s="523" t="n"/>
      <c r="T47" s="453" t="inlineStr"/>
      <c r="U47" s="522" t="n"/>
      <c r="V47" s="522" t="n"/>
      <c r="W47" s="523" t="n"/>
      <c r="X47" s="453" t="inlineStr"/>
      <c r="Y47" s="522" t="n"/>
      <c r="Z47" s="522" t="n"/>
      <c r="AA47" s="523" t="n"/>
      <c r="AB47" s="455" t="inlineStr"/>
      <c r="AC47" s="522" t="n"/>
      <c r="AD47" s="522" t="n"/>
      <c r="AE47" s="523" t="n"/>
      <c r="AF47" s="453" t="inlineStr"/>
      <c r="AG47" s="522" t="n"/>
      <c r="AH47" s="522" t="n"/>
      <c r="AI47" s="523" t="n"/>
      <c r="AJ47" s="453" t="inlineStr"/>
      <c r="AK47" s="522" t="n"/>
      <c r="AL47" s="522" t="n"/>
      <c r="AM47" s="523" t="n"/>
    </row>
    <row r="48" ht="18" customHeight="1" s="462">
      <c r="B48" s="254" t="inlineStr"/>
      <c r="C48" s="147" t="inlineStr">
        <is>
          <t>정상가</t>
        </is>
      </c>
      <c r="D48" s="456" t="inlineStr"/>
      <c r="E48" s="542" t="n"/>
      <c r="F48" s="542" t="n"/>
      <c r="G48" s="543" t="n"/>
      <c r="H48" s="457" t="inlineStr"/>
      <c r="I48" s="542" t="n"/>
      <c r="J48" s="542" t="n"/>
      <c r="K48" s="543" t="n"/>
      <c r="L48" s="457" t="inlineStr"/>
      <c r="M48" s="542" t="n"/>
      <c r="N48" s="542" t="n"/>
      <c r="O48" s="543" t="n"/>
      <c r="P48" s="459" t="inlineStr"/>
      <c r="Q48" s="542" t="n"/>
      <c r="R48" s="542" t="n"/>
      <c r="S48" s="543" t="n"/>
      <c r="T48" s="457" t="inlineStr"/>
      <c r="U48" s="542" t="n"/>
      <c r="V48" s="542" t="n"/>
      <c r="W48" s="543" t="n"/>
      <c r="X48" s="457" t="inlineStr"/>
      <c r="Y48" s="542" t="n"/>
      <c r="Z48" s="542" t="n"/>
      <c r="AA48" s="543" t="n"/>
      <c r="AB48" s="459" t="inlineStr"/>
      <c r="AC48" s="542" t="n"/>
      <c r="AD48" s="542" t="n"/>
      <c r="AE48" s="543" t="n"/>
      <c r="AF48" s="457" t="inlineStr"/>
      <c r="AG48" s="542" t="n"/>
      <c r="AH48" s="542" t="n"/>
      <c r="AI48" s="543" t="n"/>
      <c r="AJ48" s="457" t="inlineStr"/>
      <c r="AK48" s="542" t="n"/>
      <c r="AL48" s="542" t="n"/>
      <c r="AM48" s="543" t="n"/>
    </row>
    <row r="49" ht="18" customHeight="1" s="462">
      <c r="B49" s="548" t="n"/>
      <c r="C49" s="145" t="inlineStr">
        <is>
          <t>배분가</t>
        </is>
      </c>
      <c r="D49" s="448" t="inlineStr"/>
      <c r="E49" s="484" t="n"/>
      <c r="F49" s="484" t="n"/>
      <c r="G49" s="485" t="n"/>
      <c r="H49" s="449" t="inlineStr"/>
      <c r="I49" s="484" t="n"/>
      <c r="J49" s="484" t="n"/>
      <c r="K49" s="485" t="n"/>
      <c r="L49" s="449" t="inlineStr"/>
      <c r="M49" s="484" t="n"/>
      <c r="N49" s="484" t="n"/>
      <c r="O49" s="485" t="n"/>
      <c r="P49" s="451" t="inlineStr"/>
      <c r="Q49" s="484" t="n"/>
      <c r="R49" s="484" t="n"/>
      <c r="S49" s="485" t="n"/>
      <c r="T49" s="449" t="inlineStr"/>
      <c r="U49" s="484" t="n"/>
      <c r="V49" s="484" t="n"/>
      <c r="W49" s="485" t="n"/>
      <c r="X49" s="449" t="inlineStr"/>
      <c r="Y49" s="484" t="n"/>
      <c r="Z49" s="484" t="n"/>
      <c r="AA49" s="485" t="n"/>
      <c r="AB49" s="451" t="inlineStr"/>
      <c r="AC49" s="484" t="n"/>
      <c r="AD49" s="484" t="n"/>
      <c r="AE49" s="485" t="n"/>
      <c r="AF49" s="449" t="inlineStr"/>
      <c r="AG49" s="484" t="n"/>
      <c r="AH49" s="484" t="n"/>
      <c r="AI49" s="485" t="n"/>
      <c r="AJ49" s="449" t="inlineStr"/>
      <c r="AK49" s="484" t="n"/>
      <c r="AL49" s="484" t="n"/>
      <c r="AM49" s="485" t="n"/>
    </row>
    <row r="50" ht="18" customHeight="1" s="462">
      <c r="B50" s="539" t="n"/>
      <c r="C50" s="146" t="inlineStr">
        <is>
          <t>할인율</t>
        </is>
      </c>
      <c r="D50" s="452" t="inlineStr"/>
      <c r="E50" s="522" t="n"/>
      <c r="F50" s="522" t="n"/>
      <c r="G50" s="523" t="n"/>
      <c r="H50" s="453" t="inlineStr"/>
      <c r="I50" s="522" t="n"/>
      <c r="J50" s="522" t="n"/>
      <c r="K50" s="523" t="n"/>
      <c r="L50" s="453" t="inlineStr"/>
      <c r="M50" s="522" t="n"/>
      <c r="N50" s="522" t="n"/>
      <c r="O50" s="523" t="n"/>
      <c r="P50" s="455" t="inlineStr"/>
      <c r="Q50" s="522" t="n"/>
      <c r="R50" s="522" t="n"/>
      <c r="S50" s="523" t="n"/>
      <c r="T50" s="453" t="inlineStr"/>
      <c r="U50" s="522" t="n"/>
      <c r="V50" s="522" t="n"/>
      <c r="W50" s="523" t="n"/>
      <c r="X50" s="453" t="inlineStr"/>
      <c r="Y50" s="522" t="n"/>
      <c r="Z50" s="522" t="n"/>
      <c r="AA50" s="523" t="n"/>
      <c r="AB50" s="455" t="inlineStr"/>
      <c r="AC50" s="522" t="n"/>
      <c r="AD50" s="522" t="n"/>
      <c r="AE50" s="523" t="n"/>
      <c r="AF50" s="453" t="inlineStr"/>
      <c r="AG50" s="522" t="n"/>
      <c r="AH50" s="522" t="n"/>
      <c r="AI50" s="523" t="n"/>
      <c r="AJ50" s="453" t="inlineStr"/>
      <c r="AK50" s="522" t="n"/>
      <c r="AL50" s="522" t="n"/>
      <c r="AM50" s="523" t="n"/>
    </row>
    <row r="51" ht="18" customHeight="1" s="462">
      <c r="B51" s="254" t="inlineStr">
        <is>
          <t>골드</t>
        </is>
      </c>
      <c r="C51" s="147" t="inlineStr">
        <is>
          <t>정상가</t>
        </is>
      </c>
      <c r="D51" s="456" t="inlineStr">
        <is>
          <t>207~267</t>
        </is>
      </c>
      <c r="E51" s="542" t="n"/>
      <c r="F51" s="542" t="n"/>
      <c r="G51" s="543" t="n"/>
      <c r="H51" s="457" t="inlineStr">
        <is>
          <t>270~357</t>
        </is>
      </c>
      <c r="I51" s="542" t="n"/>
      <c r="J51" s="542" t="n"/>
      <c r="K51" s="543" t="n"/>
      <c r="L51" s="457" t="inlineStr">
        <is>
          <t>63~90</t>
        </is>
      </c>
      <c r="M51" s="542" t="n"/>
      <c r="N51" s="542" t="n"/>
      <c r="O51" s="543" t="n"/>
      <c r="P51" s="459" t="inlineStr">
        <is>
          <t>128~323</t>
        </is>
      </c>
      <c r="Q51" s="542" t="n"/>
      <c r="R51" s="542" t="n"/>
      <c r="S51" s="543" t="n"/>
      <c r="T51" s="457" t="inlineStr">
        <is>
          <t>128~323</t>
        </is>
      </c>
      <c r="U51" s="542" t="n"/>
      <c r="V51" s="542" t="n"/>
      <c r="W51" s="543" t="n"/>
      <c r="X51" s="457" t="inlineStr">
        <is>
          <t>-</t>
        </is>
      </c>
      <c r="Y51" s="542" t="n"/>
      <c r="Z51" s="542" t="n"/>
      <c r="AA51" s="543" t="n"/>
      <c r="AB51" s="459" t="inlineStr">
        <is>
          <t>335~590</t>
        </is>
      </c>
      <c r="AC51" s="542" t="n"/>
      <c r="AD51" s="542" t="n"/>
      <c r="AE51" s="543" t="n"/>
      <c r="AF51" s="457" t="inlineStr">
        <is>
          <t>398~680</t>
        </is>
      </c>
      <c r="AG51" s="542" t="n"/>
      <c r="AH51" s="542" t="n"/>
      <c r="AI51" s="543" t="n"/>
      <c r="AJ51" s="457" t="inlineStr">
        <is>
          <t>-</t>
        </is>
      </c>
      <c r="AK51" s="542" t="n"/>
      <c r="AL51" s="542" t="n"/>
      <c r="AM51" s="543" t="n"/>
    </row>
    <row r="52" ht="18" customHeight="1" s="462">
      <c r="B52" s="548" t="n"/>
      <c r="C52" s="145" t="inlineStr">
        <is>
          <t>배분가</t>
        </is>
      </c>
      <c r="D52" s="448" t="inlineStr">
        <is>
          <t>187~267</t>
        </is>
      </c>
      <c r="E52" s="484" t="n"/>
      <c r="F52" s="484" t="n"/>
      <c r="G52" s="485" t="n"/>
      <c r="H52" s="449" t="inlineStr">
        <is>
          <t>250~401</t>
        </is>
      </c>
      <c r="I52" s="484" t="n"/>
      <c r="J52" s="484" t="n"/>
      <c r="K52" s="485" t="n"/>
      <c r="L52" s="449" t="inlineStr">
        <is>
          <t>63~134</t>
        </is>
      </c>
      <c r="M52" s="484" t="n"/>
      <c r="N52" s="484" t="n"/>
      <c r="O52" s="485" t="n"/>
      <c r="P52" s="451" t="inlineStr">
        <is>
          <t>46~140</t>
        </is>
      </c>
      <c r="Q52" s="484" t="n"/>
      <c r="R52" s="484" t="n"/>
      <c r="S52" s="485" t="n"/>
      <c r="T52" s="449" t="inlineStr">
        <is>
          <t>46~140</t>
        </is>
      </c>
      <c r="U52" s="484" t="n"/>
      <c r="V52" s="484" t="n"/>
      <c r="W52" s="485" t="n"/>
      <c r="X52" s="449" t="n">
        <v>0</v>
      </c>
      <c r="Y52" s="484" t="n"/>
      <c r="Z52" s="484" t="n"/>
      <c r="AA52" s="485" t="n"/>
      <c r="AB52" s="451" t="inlineStr">
        <is>
          <t>233~407</t>
        </is>
      </c>
      <c r="AC52" s="484" t="n"/>
      <c r="AD52" s="484" t="n"/>
      <c r="AE52" s="485" t="n"/>
      <c r="AF52" s="449" t="inlineStr">
        <is>
          <t>296~541</t>
        </is>
      </c>
      <c r="AG52" s="484" t="n"/>
      <c r="AH52" s="484" t="n"/>
      <c r="AI52" s="485" t="n"/>
      <c r="AJ52" s="449" t="inlineStr">
        <is>
          <t>63~134</t>
        </is>
      </c>
      <c r="AK52" s="484" t="n"/>
      <c r="AL52" s="484" t="n"/>
      <c r="AM52" s="485" t="n"/>
    </row>
    <row r="53" ht="18" customHeight="1" s="462">
      <c r="B53" s="539" t="n"/>
      <c r="C53" s="146" t="inlineStr">
        <is>
          <t>할인율</t>
        </is>
      </c>
      <c r="D53" s="461" t="inlineStr">
        <is>
          <t>0%~10%</t>
        </is>
      </c>
      <c r="E53" s="522" t="n"/>
      <c r="F53" s="522" t="n"/>
      <c r="G53" s="523" t="n"/>
      <c r="H53" s="453" t="inlineStr">
        <is>
          <t>-16%~8%</t>
        </is>
      </c>
      <c r="I53" s="522" t="n"/>
      <c r="J53" s="522" t="n"/>
      <c r="K53" s="523" t="n"/>
      <c r="L53" s="453" t="inlineStr">
        <is>
          <t>-</t>
        </is>
      </c>
      <c r="M53" s="522" t="n"/>
      <c r="N53" s="522" t="n"/>
      <c r="O53" s="523" t="n"/>
      <c r="P53" s="455" t="inlineStr">
        <is>
          <t>57%~64%</t>
        </is>
      </c>
      <c r="Q53" s="522" t="n"/>
      <c r="R53" s="522" t="n"/>
      <c r="S53" s="523" t="n"/>
      <c r="T53" s="453" t="inlineStr">
        <is>
          <t>57%~64%</t>
        </is>
      </c>
      <c r="U53" s="522" t="n"/>
      <c r="V53" s="522" t="n"/>
      <c r="W53" s="523" t="n"/>
      <c r="X53" s="453" t="inlineStr">
        <is>
          <t>-</t>
        </is>
      </c>
      <c r="Y53" s="522" t="n"/>
      <c r="Z53" s="522" t="n"/>
      <c r="AA53" s="523" t="n"/>
      <c r="AB53" s="455" t="inlineStr">
        <is>
          <t>21%~40%</t>
        </is>
      </c>
      <c r="AC53" s="522" t="n"/>
      <c r="AD53" s="522" t="n"/>
      <c r="AE53" s="523" t="n"/>
      <c r="AF53" s="453" t="inlineStr">
        <is>
          <t>7%~36%</t>
        </is>
      </c>
      <c r="AG53" s="522" t="n"/>
      <c r="AH53" s="522" t="n"/>
      <c r="AI53" s="523" t="n"/>
      <c r="AJ53" s="453" t="inlineStr">
        <is>
          <t>-</t>
        </is>
      </c>
      <c r="AK53" s="522" t="n"/>
      <c r="AL53" s="522" t="n"/>
      <c r="AM53" s="523" t="n"/>
    </row>
    <row r="54" ht="18" customHeight="1" s="462">
      <c r="B54" s="195" t="inlineStr"/>
      <c r="C54" s="148" t="inlineStr">
        <is>
          <t>정상가</t>
        </is>
      </c>
      <c r="D54" s="456" t="inlineStr"/>
      <c r="E54" s="542" t="n"/>
      <c r="F54" s="542" t="n"/>
      <c r="G54" s="543" t="n"/>
      <c r="H54" s="457" t="inlineStr"/>
      <c r="I54" s="542" t="n"/>
      <c r="J54" s="542" t="n"/>
      <c r="K54" s="543" t="n"/>
      <c r="L54" s="457" t="inlineStr"/>
      <c r="M54" s="542" t="n"/>
      <c r="N54" s="542" t="n"/>
      <c r="O54" s="543" t="n"/>
      <c r="P54" s="459" t="inlineStr"/>
      <c r="Q54" s="542" t="n"/>
      <c r="R54" s="542" t="n"/>
      <c r="S54" s="543" t="n"/>
      <c r="T54" s="457" t="inlineStr"/>
      <c r="U54" s="542" t="n"/>
      <c r="V54" s="542" t="n"/>
      <c r="W54" s="543" t="n"/>
      <c r="X54" s="457" t="inlineStr"/>
      <c r="Y54" s="542" t="n"/>
      <c r="Z54" s="542" t="n"/>
      <c r="AA54" s="543" t="n"/>
      <c r="AB54" s="459" t="inlineStr"/>
      <c r="AC54" s="542" t="n"/>
      <c r="AD54" s="542" t="n"/>
      <c r="AE54" s="543" t="n"/>
      <c r="AF54" s="457" t="inlineStr"/>
      <c r="AG54" s="542" t="n"/>
      <c r="AH54" s="542" t="n"/>
      <c r="AI54" s="543" t="n"/>
      <c r="AJ54" s="457" t="inlineStr"/>
      <c r="AK54" s="542" t="n"/>
      <c r="AL54" s="542" t="n"/>
      <c r="AM54" s="543" t="n"/>
    </row>
    <row r="55" ht="18" customHeight="1" s="462">
      <c r="B55" s="548" t="n"/>
      <c r="C55" s="145" t="inlineStr">
        <is>
          <t>배분가</t>
        </is>
      </c>
      <c r="D55" s="448" t="inlineStr"/>
      <c r="E55" s="484" t="n"/>
      <c r="F55" s="484" t="n"/>
      <c r="G55" s="485" t="n"/>
      <c r="H55" s="449" t="inlineStr"/>
      <c r="I55" s="484" t="n"/>
      <c r="J55" s="484" t="n"/>
      <c r="K55" s="485" t="n"/>
      <c r="L55" s="449" t="inlineStr"/>
      <c r="M55" s="484" t="n"/>
      <c r="N55" s="484" t="n"/>
      <c r="O55" s="485" t="n"/>
      <c r="P55" s="451" t="inlineStr"/>
      <c r="Q55" s="484" t="n"/>
      <c r="R55" s="484" t="n"/>
      <c r="S55" s="485" t="n"/>
      <c r="T55" s="449" t="inlineStr"/>
      <c r="U55" s="484" t="n"/>
      <c r="V55" s="484" t="n"/>
      <c r="W55" s="485" t="n"/>
      <c r="X55" s="449" t="inlineStr"/>
      <c r="Y55" s="484" t="n"/>
      <c r="Z55" s="484" t="n"/>
      <c r="AA55" s="485" t="n"/>
      <c r="AB55" s="451" t="inlineStr"/>
      <c r="AC55" s="484" t="n"/>
      <c r="AD55" s="484" t="n"/>
      <c r="AE55" s="485" t="n"/>
      <c r="AF55" s="449" t="inlineStr"/>
      <c r="AG55" s="484" t="n"/>
      <c r="AH55" s="484" t="n"/>
      <c r="AI55" s="485" t="n"/>
      <c r="AJ55" s="449" t="inlineStr"/>
      <c r="AK55" s="484" t="n"/>
      <c r="AL55" s="484" t="n"/>
      <c r="AM55" s="485" t="n"/>
    </row>
    <row r="56" ht="18" customHeight="1" s="462">
      <c r="B56" s="550" t="n"/>
      <c r="C56" s="146" t="inlineStr">
        <is>
          <t>할인율</t>
        </is>
      </c>
      <c r="D56" s="448" t="inlineStr"/>
      <c r="E56" s="484" t="n"/>
      <c r="F56" s="484" t="n"/>
      <c r="G56" s="485" t="n"/>
      <c r="H56" s="449" t="inlineStr"/>
      <c r="I56" s="484" t="n"/>
      <c r="J56" s="484" t="n"/>
      <c r="K56" s="485" t="n"/>
      <c r="L56" s="449" t="inlineStr"/>
      <c r="M56" s="484" t="n"/>
      <c r="N56" s="484" t="n"/>
      <c r="O56" s="485" t="n"/>
      <c r="P56" s="451" t="inlineStr"/>
      <c r="Q56" s="484" t="n"/>
      <c r="R56" s="484" t="n"/>
      <c r="S56" s="485" t="n"/>
      <c r="T56" s="449" t="inlineStr"/>
      <c r="U56" s="484" t="n"/>
      <c r="V56" s="484" t="n"/>
      <c r="W56" s="485" t="n"/>
      <c r="X56" s="449" t="inlineStr"/>
      <c r="Y56" s="484" t="n"/>
      <c r="Z56" s="484" t="n"/>
      <c r="AA56" s="485" t="n"/>
      <c r="AB56" s="451" t="inlineStr"/>
      <c r="AC56" s="484" t="n"/>
      <c r="AD56" s="484" t="n"/>
      <c r="AE56" s="485" t="n"/>
      <c r="AF56" s="449" t="inlineStr"/>
      <c r="AG56" s="484" t="n"/>
      <c r="AH56" s="484" t="n"/>
      <c r="AI56" s="485" t="n"/>
      <c r="AJ56" s="449" t="inlineStr"/>
      <c r="AK56" s="484" t="n"/>
      <c r="AL56" s="484" t="n"/>
      <c r="AM56" s="485" t="n"/>
    </row>
    <row r="57" ht="18" customHeight="1" s="462">
      <c r="B57" s="363" t="inlineStr">
        <is>
          <t>수수료</t>
        </is>
      </c>
      <c r="C57" s="551" t="n"/>
      <c r="D57" s="499" t="inlineStr">
        <is>
          <t xml:space="preserve"> · 13%</t>
        </is>
      </c>
      <c r="E57" s="463" t="n"/>
      <c r="F57" s="463" t="n"/>
      <c r="G57" s="463" t="n"/>
      <c r="H57" s="463" t="n"/>
      <c r="I57" s="463" t="n"/>
      <c r="J57" s="463" t="n"/>
      <c r="K57" s="463" t="n"/>
      <c r="L57" s="463" t="n"/>
      <c r="M57" s="463" t="n"/>
      <c r="N57" s="463" t="n"/>
      <c r="O57" s="463" t="n"/>
      <c r="P57" s="463" t="n"/>
      <c r="Q57" s="463" t="n"/>
      <c r="R57" s="463" t="n"/>
      <c r="S57" s="463" t="n"/>
      <c r="T57" s="463" t="n"/>
      <c r="U57" s="463" t="n"/>
      <c r="V57" s="463" t="n"/>
      <c r="W57" s="463" t="n"/>
      <c r="X57" s="463" t="n"/>
      <c r="Y57" s="463" t="n"/>
      <c r="Z57" s="463" t="n"/>
      <c r="AA57" s="463" t="n"/>
      <c r="AB57" s="463" t="n"/>
      <c r="AC57" s="463" t="n"/>
      <c r="AD57" s="463" t="n"/>
      <c r="AE57" s="463" t="n"/>
      <c r="AF57" s="463" t="n"/>
      <c r="AG57" s="463" t="n"/>
      <c r="AH57" s="463" t="n"/>
      <c r="AI57" s="463" t="n"/>
      <c r="AJ57" s="463" t="n"/>
      <c r="AK57" s="463" t="n"/>
      <c r="AL57" s="463" t="n"/>
      <c r="AM57" s="464" t="n"/>
    </row>
    <row r="58" ht="18" customHeight="1" s="462">
      <c r="B58" s="363" t="inlineStr">
        <is>
          <t>KPI</t>
        </is>
      </c>
      <c r="C58" s="551" t="n"/>
      <c r="D58" s="499" t="inlineStr">
        <is>
          <t xml:space="preserve"> · 800RNs </t>
        </is>
      </c>
      <c r="E58" s="463" t="n"/>
      <c r="F58" s="463" t="n"/>
      <c r="G58" s="463" t="n"/>
      <c r="H58" s="463" t="n"/>
      <c r="I58" s="463" t="n"/>
      <c r="J58" s="463" t="n"/>
      <c r="K58" s="463" t="n"/>
      <c r="L58" s="463" t="n"/>
      <c r="M58" s="463" t="n"/>
      <c r="N58" s="463" t="n"/>
      <c r="O58" s="463" t="n"/>
      <c r="P58" s="463" t="n"/>
      <c r="Q58" s="463" t="n"/>
      <c r="R58" s="463" t="n"/>
      <c r="S58" s="463" t="n"/>
      <c r="T58" s="463" t="n"/>
      <c r="U58" s="463" t="n"/>
      <c r="V58" s="463" t="n"/>
      <c r="W58" s="463" t="n"/>
      <c r="X58" s="463" t="n"/>
      <c r="Y58" s="463" t="n"/>
      <c r="Z58" s="463" t="n"/>
      <c r="AA58" s="463" t="n"/>
      <c r="AB58" s="463" t="n"/>
      <c r="AC58" s="463" t="n"/>
      <c r="AD58" s="463" t="n"/>
      <c r="AE58" s="463" t="n"/>
      <c r="AF58" s="463" t="n"/>
      <c r="AG58" s="463" t="n"/>
      <c r="AH58" s="463" t="n"/>
      <c r="AI58" s="463" t="n"/>
      <c r="AJ58" s="463" t="n"/>
      <c r="AK58" s="463" t="n"/>
      <c r="AL58" s="463" t="n"/>
      <c r="AM58" s="464" t="n"/>
    </row>
    <row r="59" ht="18" customHeight="1" s="462">
      <c r="AA59" s="54" t="n"/>
      <c r="AB59" s="54" t="n"/>
      <c r="AC59" s="54" t="n"/>
      <c r="AD59" s="54" t="n"/>
      <c r="AE59" s="54" t="n"/>
      <c r="AF59" s="54" t="n"/>
      <c r="AG59" s="54" t="n"/>
      <c r="AH59" s="54" t="n"/>
      <c r="AI59" s="316" t="n"/>
      <c r="AJ59" s="316" t="n"/>
      <c r="AK59" s="316" t="n"/>
      <c r="AL59" s="316" t="n"/>
      <c r="AM59" s="316" t="n"/>
    </row>
    <row r="60" ht="18" customHeight="1" s="462">
      <c r="A60" s="203" t="inlineStr">
        <is>
          <t xml:space="preserve">5. 부대시설 상세내용 </t>
        </is>
      </c>
      <c r="I60" s="54" t="n"/>
      <c r="J60" s="54" t="n"/>
      <c r="K60" s="54" t="n"/>
      <c r="L60" s="54" t="n"/>
      <c r="M60" s="54" t="n"/>
      <c r="N60" s="54" t="n"/>
      <c r="O60" s="54" t="n"/>
      <c r="P60" s="54" t="n"/>
      <c r="Q60" s="54" t="n"/>
      <c r="R60" s="54" t="n"/>
      <c r="S60" s="54" t="n"/>
      <c r="T60" s="54" t="n"/>
      <c r="U60" s="54" t="n"/>
      <c r="V60" s="54" t="n"/>
      <c r="W60" s="54" t="n"/>
      <c r="X60" s="54" t="n"/>
      <c r="Y60" s="54" t="n"/>
      <c r="Z60" s="54" t="n"/>
      <c r="AA60" s="54" t="n"/>
      <c r="AB60" s="54" t="n"/>
      <c r="AC60" s="54" t="n"/>
      <c r="AD60" s="54" t="n"/>
      <c r="AE60" s="54" t="n"/>
      <c r="AF60" s="54" t="n"/>
      <c r="AG60" s="54" t="n"/>
      <c r="AH60" s="54" t="n"/>
      <c r="AI60" s="316" t="n"/>
      <c r="AJ60" s="316" t="n"/>
      <c r="AK60" s="316" t="n"/>
      <c r="AL60" s="316" t="n"/>
      <c r="AM60" s="316" t="n"/>
    </row>
    <row r="61" ht="18" customHeight="1" s="462">
      <c r="B61" s="227" t="inlineStr">
        <is>
          <t>시즌</t>
        </is>
      </c>
      <c r="C61" s="544" t="inlineStr">
        <is>
          <t>구분</t>
        </is>
      </c>
      <c r="D61" s="228" t="inlineStr">
        <is>
          <t>오션월드 2인</t>
        </is>
      </c>
      <c r="E61" s="463" t="n"/>
      <c r="F61" s="463" t="n"/>
      <c r="G61" s="463" t="n"/>
      <c r="H61" s="463" t="n"/>
      <c r="I61" s="463" t="n"/>
      <c r="J61" s="463" t="n"/>
      <c r="K61" s="463" t="n"/>
      <c r="L61" s="464" t="n"/>
      <c r="M61" s="195" t="inlineStr">
        <is>
          <t>조식 2인</t>
        </is>
      </c>
      <c r="N61" s="463" t="n"/>
      <c r="O61" s="463" t="n"/>
      <c r="P61" s="463" t="n"/>
      <c r="Q61" s="463" t="n"/>
      <c r="R61" s="463" t="n"/>
      <c r="S61" s="463" t="n"/>
      <c r="T61" s="463" t="n"/>
      <c r="U61" s="464" t="n"/>
      <c r="V61" s="161" t="inlineStr">
        <is>
          <t>부대1 0인</t>
        </is>
      </c>
      <c r="W61" s="463" t="n"/>
      <c r="X61" s="463" t="n"/>
      <c r="Y61" s="463" t="n"/>
      <c r="Z61" s="463" t="n"/>
      <c r="AA61" s="463" t="n"/>
      <c r="AB61" s="463" t="n"/>
      <c r="AC61" s="463" t="n"/>
      <c r="AD61" s="464" t="n"/>
      <c r="AE61" s="195" t="inlineStr">
        <is>
          <t>부대2 0인</t>
        </is>
      </c>
      <c r="AF61" s="463" t="n"/>
      <c r="AG61" s="463" t="n"/>
      <c r="AH61" s="463" t="n"/>
      <c r="AI61" s="463" t="n"/>
      <c r="AJ61" s="463" t="n"/>
      <c r="AK61" s="463" t="n"/>
      <c r="AL61" s="463" t="n"/>
      <c r="AM61" s="464" t="n"/>
    </row>
    <row r="62" ht="18" customHeight="1" s="462" thickBot="1">
      <c r="B62" s="547" t="n"/>
      <c r="C62" s="503" t="n"/>
      <c r="D62" s="226" t="inlineStr">
        <is>
          <t>회원</t>
        </is>
      </c>
      <c r="E62" s="478" t="n"/>
      <c r="F62" s="479" t="n"/>
      <c r="G62" s="229" t="inlineStr">
        <is>
          <t>FIT</t>
        </is>
      </c>
      <c r="H62" s="478" t="n"/>
      <c r="I62" s="479" t="n"/>
      <c r="J62" s="229" t="inlineStr">
        <is>
          <t>GAP</t>
        </is>
      </c>
      <c r="K62" s="478" t="n"/>
      <c r="L62" s="479" t="n"/>
      <c r="M62" s="227" t="inlineStr">
        <is>
          <t>회원</t>
        </is>
      </c>
      <c r="N62" s="478" t="n"/>
      <c r="O62" s="479" t="n"/>
      <c r="P62" s="229" t="inlineStr">
        <is>
          <t>FIT</t>
        </is>
      </c>
      <c r="Q62" s="478" t="n"/>
      <c r="R62" s="479" t="n"/>
      <c r="S62" s="229" t="inlineStr">
        <is>
          <t>GAP</t>
        </is>
      </c>
      <c r="T62" s="478" t="n"/>
      <c r="U62" s="479" t="n"/>
      <c r="V62" s="230" t="inlineStr">
        <is>
          <t>회원</t>
        </is>
      </c>
      <c r="W62" s="478" t="n"/>
      <c r="X62" s="479" t="n"/>
      <c r="Y62" s="229" t="inlineStr">
        <is>
          <t>FIT</t>
        </is>
      </c>
      <c r="Z62" s="478" t="n"/>
      <c r="AA62" s="479" t="n"/>
      <c r="AB62" s="229" t="inlineStr">
        <is>
          <t>GAP</t>
        </is>
      </c>
      <c r="AC62" s="478" t="n"/>
      <c r="AD62" s="479" t="n"/>
      <c r="AE62" s="227" t="inlineStr">
        <is>
          <t>회원</t>
        </is>
      </c>
      <c r="AF62" s="478" t="n"/>
      <c r="AG62" s="479" t="n"/>
      <c r="AH62" s="229" t="inlineStr">
        <is>
          <t>FIT</t>
        </is>
      </c>
      <c r="AI62" s="478" t="n"/>
      <c r="AJ62" s="479" t="n"/>
      <c r="AK62" s="229" t="inlineStr">
        <is>
          <t>GAP</t>
        </is>
      </c>
      <c r="AL62" s="478" t="n"/>
      <c r="AM62" s="479" t="n"/>
    </row>
    <row r="63" ht="18" customHeight="1" s="462" thickTop="1">
      <c r="B63" s="335" t="inlineStr">
        <is>
          <t>주중</t>
        </is>
      </c>
      <c r="C63" s="144" t="inlineStr">
        <is>
          <t>정상가</t>
        </is>
      </c>
      <c r="D63" s="225" t="n"/>
      <c r="E63" s="481" t="n"/>
      <c r="F63" s="482" t="n"/>
      <c r="G63" s="221" t="n"/>
      <c r="H63" s="481" t="n"/>
      <c r="I63" s="482" t="n"/>
      <c r="J63" s="221" t="n"/>
      <c r="K63" s="481" t="n"/>
      <c r="L63" s="482" t="n"/>
      <c r="M63" s="223" t="n"/>
      <c r="N63" s="481" t="n"/>
      <c r="O63" s="482" t="n"/>
      <c r="P63" s="221" t="n"/>
      <c r="Q63" s="481" t="n"/>
      <c r="R63" s="482" t="n"/>
      <c r="S63" s="221" t="n"/>
      <c r="T63" s="481" t="n"/>
      <c r="U63" s="482" t="n"/>
      <c r="V63" s="222" t="n"/>
      <c r="W63" s="481" t="n"/>
      <c r="X63" s="482" t="n"/>
      <c r="Y63" s="221" t="n"/>
      <c r="Z63" s="481" t="n"/>
      <c r="AA63" s="482" t="n"/>
      <c r="AB63" s="221" t="n"/>
      <c r="AC63" s="481" t="n"/>
      <c r="AD63" s="482" t="n"/>
      <c r="AE63" s="223" t="n"/>
      <c r="AF63" s="481" t="n"/>
      <c r="AG63" s="482" t="n"/>
      <c r="AH63" s="221" t="n"/>
      <c r="AI63" s="481" t="n"/>
      <c r="AJ63" s="482" t="n"/>
      <c r="AK63" s="221" t="n"/>
      <c r="AL63" s="481" t="n"/>
      <c r="AM63" s="482" t="n"/>
    </row>
    <row r="64" ht="18" customHeight="1" s="462">
      <c r="B64" s="548" t="n"/>
      <c r="C64" s="145" t="inlineStr">
        <is>
          <t>배분가</t>
        </is>
      </c>
      <c r="D64" s="215" t="n"/>
      <c r="E64" s="484" t="n"/>
      <c r="F64" s="485" t="n"/>
      <c r="G64" s="206" t="n"/>
      <c r="H64" s="484" t="n"/>
      <c r="I64" s="485" t="n"/>
      <c r="J64" s="206" t="n"/>
      <c r="K64" s="484" t="n"/>
      <c r="L64" s="485" t="n"/>
      <c r="M64" s="213" t="n"/>
      <c r="N64" s="484" t="n"/>
      <c r="O64" s="485" t="n"/>
      <c r="P64" s="206" t="n"/>
      <c r="Q64" s="484" t="n"/>
      <c r="R64" s="485" t="n"/>
      <c r="S64" s="206" t="n"/>
      <c r="T64" s="484" t="n"/>
      <c r="U64" s="485" t="n"/>
      <c r="V64" s="212" t="n"/>
      <c r="W64" s="484" t="n"/>
      <c r="X64" s="485" t="n"/>
      <c r="Y64" s="206" t="n"/>
      <c r="Z64" s="484" t="n"/>
      <c r="AA64" s="485" t="n"/>
      <c r="AB64" s="206" t="n"/>
      <c r="AC64" s="484" t="n"/>
      <c r="AD64" s="485" t="n"/>
      <c r="AE64" s="213" t="n"/>
      <c r="AF64" s="484" t="n"/>
      <c r="AG64" s="485" t="n"/>
      <c r="AH64" s="206" t="n"/>
      <c r="AI64" s="484" t="n"/>
      <c r="AJ64" s="485" t="n"/>
      <c r="AK64" s="206" t="n"/>
      <c r="AL64" s="484" t="n"/>
      <c r="AM64" s="485" t="n"/>
    </row>
    <row r="65" ht="18" customHeight="1" s="462">
      <c r="B65" s="539" t="n"/>
      <c r="C65" s="146" t="inlineStr">
        <is>
          <t>할인율</t>
        </is>
      </c>
      <c r="D65" s="207" t="n"/>
      <c r="E65" s="522" t="n"/>
      <c r="F65" s="523" t="n"/>
      <c r="G65" s="209" t="n"/>
      <c r="H65" s="522" t="n"/>
      <c r="I65" s="523" t="n"/>
      <c r="J65" s="209" t="n"/>
      <c r="K65" s="522" t="n"/>
      <c r="L65" s="523" t="n"/>
      <c r="M65" s="208" t="n"/>
      <c r="N65" s="522" t="n"/>
      <c r="O65" s="523" t="n"/>
      <c r="P65" s="209" t="n"/>
      <c r="Q65" s="522" t="n"/>
      <c r="R65" s="523" t="n"/>
      <c r="S65" s="209" t="n"/>
      <c r="T65" s="522" t="n"/>
      <c r="U65" s="523" t="n"/>
      <c r="V65" s="211" t="n"/>
      <c r="W65" s="522" t="n"/>
      <c r="X65" s="523" t="n"/>
      <c r="Y65" s="209" t="n"/>
      <c r="Z65" s="522" t="n"/>
      <c r="AA65" s="523" t="n"/>
      <c r="AB65" s="209" t="n"/>
      <c r="AC65" s="522" t="n"/>
      <c r="AD65" s="523" t="n"/>
      <c r="AE65" s="208" t="n"/>
      <c r="AF65" s="522" t="n"/>
      <c r="AG65" s="523" t="n"/>
      <c r="AH65" s="209" t="n"/>
      <c r="AI65" s="522" t="n"/>
      <c r="AJ65" s="523" t="n"/>
      <c r="AK65" s="209" t="n"/>
      <c r="AL65" s="522" t="n"/>
      <c r="AM65" s="523" t="n"/>
    </row>
    <row r="66" ht="18" customHeight="1" s="462">
      <c r="B66" s="254" t="inlineStr">
        <is>
          <t>주말</t>
        </is>
      </c>
      <c r="C66" s="147" t="inlineStr">
        <is>
          <t>정상가</t>
        </is>
      </c>
      <c r="D66" s="220" t="n"/>
      <c r="E66" s="537" t="n"/>
      <c r="F66" s="538" t="n"/>
      <c r="G66" s="216" t="n"/>
      <c r="H66" s="537" t="n"/>
      <c r="I66" s="538" t="n"/>
      <c r="J66" s="216" t="n"/>
      <c r="K66" s="537" t="n"/>
      <c r="L66" s="538" t="n"/>
      <c r="M66" s="218" t="n"/>
      <c r="N66" s="537" t="n"/>
      <c r="O66" s="538" t="n"/>
      <c r="P66" s="216" t="n"/>
      <c r="Q66" s="537" t="n"/>
      <c r="R66" s="538" t="n"/>
      <c r="S66" s="216" t="n"/>
      <c r="T66" s="537" t="n"/>
      <c r="U66" s="538" t="n"/>
      <c r="V66" s="219" t="n"/>
      <c r="W66" s="537" t="n"/>
      <c r="X66" s="538" t="n"/>
      <c r="Y66" s="216" t="n"/>
      <c r="Z66" s="537" t="n"/>
      <c r="AA66" s="538" t="n"/>
      <c r="AB66" s="216" t="n"/>
      <c r="AC66" s="537" t="n"/>
      <c r="AD66" s="538" t="n"/>
      <c r="AE66" s="218" t="n"/>
      <c r="AF66" s="537" t="n"/>
      <c r="AG66" s="538" t="n"/>
      <c r="AH66" s="216" t="n"/>
      <c r="AI66" s="537" t="n"/>
      <c r="AJ66" s="538" t="n"/>
      <c r="AK66" s="216" t="n"/>
      <c r="AL66" s="537" t="n"/>
      <c r="AM66" s="538" t="n"/>
      <c r="AN66" s="74" t="n"/>
    </row>
    <row r="67" ht="18" customHeight="1" s="462">
      <c r="B67" s="548" t="n"/>
      <c r="C67" s="145" t="inlineStr">
        <is>
          <t>배분가</t>
        </is>
      </c>
      <c r="D67" s="215" t="n"/>
      <c r="E67" s="484" t="n"/>
      <c r="F67" s="485" t="n"/>
      <c r="G67" s="206" t="n"/>
      <c r="H67" s="484" t="n"/>
      <c r="I67" s="485" t="n"/>
      <c r="J67" s="206" t="n"/>
      <c r="K67" s="484" t="n"/>
      <c r="L67" s="485" t="n"/>
      <c r="M67" s="213" t="n"/>
      <c r="N67" s="484" t="n"/>
      <c r="O67" s="485" t="n"/>
      <c r="P67" s="206" t="n"/>
      <c r="Q67" s="484" t="n"/>
      <c r="R67" s="485" t="n"/>
      <c r="S67" s="206" t="n"/>
      <c r="T67" s="484" t="n"/>
      <c r="U67" s="485" t="n"/>
      <c r="V67" s="212" t="n"/>
      <c r="W67" s="484" t="n"/>
      <c r="X67" s="485" t="n"/>
      <c r="Y67" s="206" t="n"/>
      <c r="Z67" s="484" t="n"/>
      <c r="AA67" s="485" t="n"/>
      <c r="AB67" s="206" t="n"/>
      <c r="AC67" s="484" t="n"/>
      <c r="AD67" s="485" t="n"/>
      <c r="AE67" s="213" t="n"/>
      <c r="AF67" s="484" t="n"/>
      <c r="AG67" s="485" t="n"/>
      <c r="AH67" s="206" t="n"/>
      <c r="AI67" s="484" t="n"/>
      <c r="AJ67" s="485" t="n"/>
      <c r="AK67" s="206" t="n"/>
      <c r="AL67" s="484" t="n"/>
      <c r="AM67" s="485" t="n"/>
      <c r="AN67" s="74" t="n"/>
    </row>
    <row r="68" ht="18" customHeight="1" s="462">
      <c r="B68" s="539" t="n"/>
      <c r="C68" s="146" t="inlineStr">
        <is>
          <t>할인율</t>
        </is>
      </c>
      <c r="D68" s="207" t="n"/>
      <c r="E68" s="522" t="n"/>
      <c r="F68" s="523" t="n"/>
      <c r="G68" s="209" t="n"/>
      <c r="H68" s="522" t="n"/>
      <c r="I68" s="523" t="n"/>
      <c r="J68" s="209" t="n"/>
      <c r="K68" s="522" t="n"/>
      <c r="L68" s="523" t="n"/>
      <c r="M68" s="208" t="n"/>
      <c r="N68" s="522" t="n"/>
      <c r="O68" s="523" t="n"/>
      <c r="P68" s="209" t="n"/>
      <c r="Q68" s="522" t="n"/>
      <c r="R68" s="523" t="n"/>
      <c r="S68" s="209" t="n"/>
      <c r="T68" s="522" t="n"/>
      <c r="U68" s="523" t="n"/>
      <c r="V68" s="211" t="n"/>
      <c r="W68" s="522" t="n"/>
      <c r="X68" s="523" t="n"/>
      <c r="Y68" s="209" t="n"/>
      <c r="Z68" s="522" t="n"/>
      <c r="AA68" s="523" t="n"/>
      <c r="AB68" s="209" t="n"/>
      <c r="AC68" s="522" t="n"/>
      <c r="AD68" s="523" t="n"/>
      <c r="AE68" s="208" t="n"/>
      <c r="AF68" s="522" t="n"/>
      <c r="AG68" s="523" t="n"/>
      <c r="AH68" s="209" t="n"/>
      <c r="AI68" s="522" t="n"/>
      <c r="AJ68" s="523" t="n"/>
      <c r="AK68" s="209" t="n"/>
      <c r="AL68" s="522" t="n"/>
      <c r="AM68" s="523" t="n"/>
      <c r="AN68" s="74" t="n"/>
    </row>
    <row r="69" ht="18" customHeight="1" s="462"/>
    <row r="70" ht="18" customHeight="1" s="462">
      <c r="A70" s="203" t="inlineStr">
        <is>
          <t xml:space="preserve">6. 판매 &amp; 홍보 일정 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1" t="n"/>
      <c r="R70" s="51" t="n"/>
      <c r="S70" s="51" t="n"/>
      <c r="T70" s="51" t="n"/>
      <c r="U70" s="51" t="n"/>
      <c r="V70" s="51" t="n"/>
      <c r="W70" s="51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8" customHeight="1" s="462">
      <c r="A71" s="51" t="n"/>
      <c r="B71" s="363" t="inlineStr">
        <is>
          <t>구 분</t>
        </is>
      </c>
      <c r="C71" s="551" t="n"/>
      <c r="D71" s="228" t="inlineStr">
        <is>
          <t>내 용</t>
        </is>
      </c>
      <c r="E71" s="463" t="n"/>
      <c r="F71" s="463" t="n"/>
      <c r="G71" s="463" t="n"/>
      <c r="H71" s="463" t="n"/>
      <c r="I71" s="463" t="n"/>
      <c r="J71" s="463" t="n"/>
      <c r="K71" s="463" t="n"/>
      <c r="L71" s="463" t="n"/>
      <c r="M71" s="463" t="n"/>
      <c r="N71" s="463" t="n"/>
      <c r="O71" s="463" t="n"/>
      <c r="P71" s="463" t="n"/>
      <c r="Q71" s="463" t="n"/>
      <c r="R71" s="463" t="n"/>
      <c r="S71" s="463" t="n"/>
      <c r="T71" s="463" t="n"/>
      <c r="U71" s="463" t="n"/>
      <c r="V71" s="463" t="n"/>
      <c r="W71" s="463" t="n"/>
      <c r="X71" s="463" t="n"/>
      <c r="Y71" s="463" t="n"/>
      <c r="Z71" s="463" t="n"/>
      <c r="AA71" s="463" t="n"/>
      <c r="AB71" s="463" t="n"/>
      <c r="AC71" s="463" t="n"/>
      <c r="AD71" s="463" t="n"/>
      <c r="AE71" s="463" t="n"/>
      <c r="AF71" s="463" t="n"/>
      <c r="AG71" s="463" t="n"/>
      <c r="AH71" s="463" t="n"/>
      <c r="AI71" s="463" t="n"/>
      <c r="AJ71" s="463" t="n"/>
      <c r="AK71" s="463" t="n"/>
      <c r="AL71" s="463" t="n"/>
      <c r="AM71" s="464" t="n"/>
    </row>
    <row r="72" ht="18" customHeight="1" s="462">
      <c r="A72" s="51" t="n"/>
      <c r="B72" s="68" t="inlineStr">
        <is>
          <t>판매일정</t>
        </is>
      </c>
      <c r="C72" s="551" t="n"/>
      <c r="D72" s="500" t="inlineStr">
        <is>
          <t xml:space="preserve"> · 채널별 판매일정 (자유표기) </t>
        </is>
      </c>
      <c r="E72" s="463" t="n"/>
      <c r="F72" s="463" t="n"/>
      <c r="G72" s="463" t="n"/>
      <c r="H72" s="463" t="n"/>
      <c r="I72" s="463" t="n"/>
      <c r="J72" s="463" t="n"/>
      <c r="K72" s="463" t="n"/>
      <c r="L72" s="463" t="n"/>
      <c r="M72" s="463" t="n"/>
      <c r="N72" s="463" t="n"/>
      <c r="O72" s="463" t="n"/>
      <c r="P72" s="463" t="n"/>
      <c r="Q72" s="463" t="n"/>
      <c r="R72" s="463" t="n"/>
      <c r="S72" s="463" t="n"/>
      <c r="T72" s="463" t="n"/>
      <c r="U72" s="463" t="n"/>
      <c r="V72" s="463" t="n"/>
      <c r="W72" s="463" t="n"/>
      <c r="X72" s="463" t="n"/>
      <c r="Y72" s="463" t="n"/>
      <c r="Z72" s="463" t="n"/>
      <c r="AA72" s="463" t="n"/>
      <c r="AB72" s="463" t="n"/>
      <c r="AC72" s="463" t="n"/>
      <c r="AD72" s="463" t="n"/>
      <c r="AE72" s="463" t="n"/>
      <c r="AF72" s="463" t="n"/>
      <c r="AG72" s="463" t="n"/>
      <c r="AH72" s="463" t="n"/>
      <c r="AI72" s="463" t="n"/>
      <c r="AJ72" s="463" t="n"/>
      <c r="AK72" s="463" t="n"/>
      <c r="AL72" s="463" t="n"/>
      <c r="AM72" s="464" t="n"/>
    </row>
    <row r="73" ht="18" customHeight="1" s="462">
      <c r="A73" s="51" t="n"/>
      <c r="B73" s="68" t="inlineStr">
        <is>
          <t>홍보일정</t>
        </is>
      </c>
      <c r="C73" s="551" t="n"/>
      <c r="D73" s="500" t="inlineStr">
        <is>
          <t xml:space="preserve"> · 홍보일정 (자유표기) </t>
        </is>
      </c>
      <c r="E73" s="463" t="n"/>
      <c r="F73" s="463" t="n"/>
      <c r="G73" s="463" t="n"/>
      <c r="H73" s="463" t="n"/>
      <c r="I73" s="463" t="n"/>
      <c r="J73" s="463" t="n"/>
      <c r="K73" s="463" t="n"/>
      <c r="L73" s="463" t="n"/>
      <c r="M73" s="463" t="n"/>
      <c r="N73" s="463" t="n"/>
      <c r="O73" s="463" t="n"/>
      <c r="P73" s="463" t="n"/>
      <c r="Q73" s="463" t="n"/>
      <c r="R73" s="463" t="n"/>
      <c r="S73" s="463" t="n"/>
      <c r="T73" s="463" t="n"/>
      <c r="U73" s="463" t="n"/>
      <c r="V73" s="463" t="n"/>
      <c r="W73" s="463" t="n"/>
      <c r="X73" s="463" t="n"/>
      <c r="Y73" s="463" t="n"/>
      <c r="Z73" s="463" t="n"/>
      <c r="AA73" s="463" t="n"/>
      <c r="AB73" s="463" t="n"/>
      <c r="AC73" s="463" t="n"/>
      <c r="AD73" s="463" t="n"/>
      <c r="AE73" s="463" t="n"/>
      <c r="AF73" s="463" t="n"/>
      <c r="AG73" s="463" t="n"/>
      <c r="AH73" s="463" t="n"/>
      <c r="AI73" s="463" t="n"/>
      <c r="AJ73" s="463" t="n"/>
      <c r="AK73" s="463" t="n"/>
      <c r="AL73" s="463" t="n"/>
      <c r="AM73" s="464" t="n"/>
    </row>
    <row r="74" ht="18" customHeight="1" s="462">
      <c r="A74" s="51" t="n"/>
      <c r="B74" s="68" t="inlineStr">
        <is>
          <t>지원사항</t>
        </is>
      </c>
      <c r="C74" s="551" t="n"/>
      <c r="D74" s="500" t="inlineStr">
        <is>
          <t xml:space="preserve">  (자유표기)</t>
        </is>
      </c>
      <c r="E74" s="463" t="n"/>
      <c r="F74" s="463" t="n"/>
      <c r="G74" s="463" t="n"/>
      <c r="H74" s="463" t="n"/>
      <c r="I74" s="463" t="n"/>
      <c r="J74" s="463" t="n"/>
      <c r="K74" s="463" t="n"/>
      <c r="L74" s="463" t="n"/>
      <c r="M74" s="463" t="n"/>
      <c r="N74" s="463" t="n"/>
      <c r="O74" s="463" t="n"/>
      <c r="P74" s="463" t="n"/>
      <c r="Q74" s="463" t="n"/>
      <c r="R74" s="463" t="n"/>
      <c r="S74" s="463" t="n"/>
      <c r="T74" s="463" t="n"/>
      <c r="U74" s="463" t="n"/>
      <c r="V74" s="463" t="n"/>
      <c r="W74" s="463" t="n"/>
      <c r="X74" s="463" t="n"/>
      <c r="Y74" s="463" t="n"/>
      <c r="Z74" s="463" t="n"/>
      <c r="AA74" s="463" t="n"/>
      <c r="AB74" s="463" t="n"/>
      <c r="AC74" s="463" t="n"/>
      <c r="AD74" s="463" t="n"/>
      <c r="AE74" s="463" t="n"/>
      <c r="AF74" s="463" t="n"/>
      <c r="AG74" s="463" t="n"/>
      <c r="AH74" s="463" t="n"/>
      <c r="AI74" s="463" t="n"/>
      <c r="AJ74" s="463" t="n"/>
      <c r="AK74" s="463" t="n"/>
      <c r="AL74" s="463" t="n"/>
      <c r="AM74" s="464" t="n"/>
    </row>
    <row r="75" ht="18" customHeight="1" s="462">
      <c r="A75" s="51" t="n"/>
      <c r="U75" s="54" t="n"/>
      <c r="V75" s="54" t="n"/>
      <c r="W75" s="54" t="n"/>
      <c r="X75" s="54" t="n"/>
      <c r="Y75" s="54" t="n"/>
      <c r="Z75" s="54" t="n"/>
      <c r="AA75" s="54" t="n"/>
      <c r="AB75" s="54" t="n"/>
      <c r="AC75" s="54" t="n"/>
      <c r="AD75" s="54" t="n"/>
      <c r="AE75" s="54" t="n"/>
      <c r="AF75" s="54" t="n"/>
      <c r="AG75" s="54" t="n"/>
      <c r="AH75" s="54" t="n"/>
      <c r="AI75" s="54" t="n"/>
      <c r="AJ75" s="54" t="n"/>
      <c r="AK75" s="54" t="n"/>
      <c r="AL75" s="54" t="n"/>
      <c r="AM75" s="54" t="n"/>
    </row>
    <row r="76" ht="18" customHeight="1" s="462">
      <c r="A76" s="203" t="inlineStr">
        <is>
          <t>7. 기 타</t>
        </is>
      </c>
      <c r="B76" s="51" t="n"/>
      <c r="C76" s="51" t="n"/>
      <c r="D76" s="51" t="n"/>
      <c r="E76" s="51" t="n"/>
      <c r="F76" s="51" t="n"/>
      <c r="G76" s="51" t="n"/>
      <c r="H76" s="51" t="n"/>
      <c r="I76" s="51" t="n"/>
      <c r="J76" s="51" t="n"/>
      <c r="K76" s="51" t="n"/>
      <c r="L76" s="51" t="n"/>
      <c r="M76" s="51" t="n"/>
      <c r="N76" s="51" t="n"/>
      <c r="O76" s="51" t="n"/>
      <c r="P76" s="51" t="n"/>
      <c r="Q76" s="51" t="n"/>
      <c r="R76" s="51" t="n"/>
      <c r="S76" s="51" t="n"/>
      <c r="T76" s="51" t="n"/>
      <c r="U76" s="51" t="n"/>
      <c r="V76" s="51" t="n"/>
      <c r="W76" s="51" t="n"/>
      <c r="X76" s="51" t="n"/>
      <c r="Y76" s="51" t="n"/>
      <c r="Z76" s="51" t="n"/>
      <c r="AA76" s="51" t="n"/>
      <c r="AB76" s="51" t="n"/>
      <c r="AC76" s="51" t="n"/>
      <c r="AD76" s="51" t="n"/>
      <c r="AE76" s="51" t="n"/>
      <c r="AF76" s="51" t="n"/>
      <c r="AG76" s="51" t="n"/>
      <c r="AH76" s="51" t="n"/>
      <c r="AI76" s="51" t="n"/>
      <c r="AJ76" s="51" t="n"/>
      <c r="AK76" s="51" t="n"/>
      <c r="AL76" s="51" t="n"/>
      <c r="AM76" s="51" t="n"/>
    </row>
    <row r="77" ht="18" customHeight="1" s="462">
      <c r="A77" s="51" t="n"/>
      <c r="B77" s="52" t="inlineStr">
        <is>
          <t xml:space="preserve"> - 영업기획: 패키지번호 세팅 및 회신 (첨부파일 內 시트참조)</t>
        </is>
      </c>
      <c r="C77" s="52" t="n"/>
      <c r="D77" s="52" t="n"/>
      <c r="E77" s="52" t="n"/>
      <c r="F77" s="52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1" t="n"/>
      <c r="Y77" s="51" t="n"/>
      <c r="Z77" s="51" t="n"/>
      <c r="AA77" s="51" t="n"/>
      <c r="AB77" s="51" t="n"/>
      <c r="AC77" s="51" t="n"/>
      <c r="AD77" s="51" t="n"/>
      <c r="AE77" s="51" t="n"/>
      <c r="AF77" s="51" t="n"/>
      <c r="AG77" s="51" t="n"/>
      <c r="AH77" s="51" t="n"/>
      <c r="AI77" s="51" t="n"/>
      <c r="AJ77" s="51" t="n"/>
      <c r="AK77" s="51" t="n"/>
      <c r="AL77" s="51" t="n"/>
      <c r="AM77" s="51" t="n"/>
    </row>
    <row r="78" ht="18" customHeight="1" s="462">
      <c r="A78" s="51" t="n"/>
      <c r="B78" s="52" t="inlineStr">
        <is>
          <t xml:space="preserve"> - 판매 추이에 따라 추가 판매 여부 검토(PRM 협의) </t>
        </is>
      </c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1" t="n"/>
      <c r="Y78" s="51" t="n"/>
      <c r="Z78" s="51" t="n"/>
      <c r="AA78" s="51" t="n"/>
      <c r="AB78" s="51" t="n"/>
      <c r="AC78" s="51" t="n"/>
      <c r="AD78" s="51" t="n"/>
      <c r="AE78" s="51" t="n"/>
      <c r="AF78" s="51" t="n"/>
      <c r="AG78" s="51" t="n"/>
      <c r="AH78" s="51" t="n"/>
      <c r="AI78" s="51" t="n"/>
      <c r="AJ78" s="51" t="n"/>
      <c r="AK78" s="51" t="n"/>
      <c r="AL78" s="51" t="n"/>
      <c r="AM78" s="51" t="n"/>
    </row>
    <row r="79" ht="18" customHeight="1" s="462">
      <c r="A79" s="51" t="n"/>
      <c r="B79" s="51" t="n"/>
      <c r="C79" s="51" t="n"/>
      <c r="D79" s="51" t="n"/>
      <c r="E79" s="51" t="n"/>
      <c r="F79" s="51" t="n"/>
      <c r="G79" s="51" t="n"/>
      <c r="H79" s="51" t="n"/>
      <c r="I79" s="51" t="n"/>
      <c r="J79" s="51" t="n"/>
      <c r="K79" s="51" t="n"/>
      <c r="L79" s="51" t="n"/>
      <c r="M79" s="51" t="n"/>
      <c r="N79" s="51" t="n"/>
      <c r="O79" s="51" t="n"/>
      <c r="P79" s="51" t="n"/>
      <c r="Q79" s="51" t="n"/>
      <c r="R79" s="51" t="n"/>
      <c r="S79" s="51" t="n"/>
      <c r="T79" s="51" t="n"/>
      <c r="U79" s="51" t="n"/>
      <c r="V79" s="51" t="n"/>
      <c r="W79" s="51" t="n"/>
      <c r="X79" s="51" t="n"/>
      <c r="Y79" s="51" t="n"/>
      <c r="Z79" s="51" t="n"/>
      <c r="AA79" s="51" t="n"/>
      <c r="AB79" s="51" t="n"/>
      <c r="AC79" s="51" t="n"/>
      <c r="AD79" s="63" t="n"/>
      <c r="AE79" s="63" t="n"/>
      <c r="AF79" s="51" t="n"/>
      <c r="AG79" s="51" t="n"/>
      <c r="AH79" s="51" t="n"/>
      <c r="AI79" s="51" t="n"/>
      <c r="AJ79" s="51" t="n"/>
      <c r="AK79" s="51" t="n"/>
      <c r="AL79" s="51" t="n"/>
      <c r="AM79" s="63" t="inlineStr">
        <is>
          <t>이상/끝.</t>
        </is>
      </c>
    </row>
  </sheetData>
  <mergeCells count="467">
    <mergeCell ref="Y11:AA11"/>
    <mergeCell ref="L50:O50"/>
    <mergeCell ref="S14:U14"/>
    <mergeCell ref="AH63:AJ63"/>
    <mergeCell ref="D61:L61"/>
    <mergeCell ref="G62:I62"/>
    <mergeCell ref="S13:U13"/>
    <mergeCell ref="D66:F66"/>
    <mergeCell ref="T52:W52"/>
    <mergeCell ref="P17:R17"/>
    <mergeCell ref="D55:G55"/>
    <mergeCell ref="L52:O52"/>
    <mergeCell ref="AK64:AM64"/>
    <mergeCell ref="J11:L11"/>
    <mergeCell ref="B36:B38"/>
    <mergeCell ref="B12:C12"/>
    <mergeCell ref="AB42:AE42"/>
    <mergeCell ref="S15:U15"/>
    <mergeCell ref="P19:R19"/>
    <mergeCell ref="AB67:AD67"/>
    <mergeCell ref="B14:C14"/>
    <mergeCell ref="AK65:AM65"/>
    <mergeCell ref="P12:R12"/>
    <mergeCell ref="T49:W49"/>
    <mergeCell ref="B13:C13"/>
    <mergeCell ref="T42:W42"/>
    <mergeCell ref="P14:R14"/>
    <mergeCell ref="Y66:AA66"/>
    <mergeCell ref="AK17:AM17"/>
    <mergeCell ref="V21:X21"/>
    <mergeCell ref="AB44:AE44"/>
    <mergeCell ref="T50:W50"/>
    <mergeCell ref="T44:W44"/>
    <mergeCell ref="L45:O45"/>
    <mergeCell ref="D48:G48"/>
    <mergeCell ref="Y68:AA68"/>
    <mergeCell ref="AK19:AM19"/>
    <mergeCell ref="L55:O55"/>
    <mergeCell ref="AB39:AE39"/>
    <mergeCell ref="L38:O38"/>
    <mergeCell ref="AK12:AM12"/>
    <mergeCell ref="D56:G56"/>
    <mergeCell ref="L40:O40"/>
    <mergeCell ref="B25:C25"/>
    <mergeCell ref="P65:R65"/>
    <mergeCell ref="J65:L65"/>
    <mergeCell ref="AK14:AM14"/>
    <mergeCell ref="D51:G51"/>
    <mergeCell ref="AJ54:AM54"/>
    <mergeCell ref="J63:L63"/>
    <mergeCell ref="AJ41:AM41"/>
    <mergeCell ref="AJ56:AM56"/>
    <mergeCell ref="P35:S35"/>
    <mergeCell ref="Y12:AA12"/>
    <mergeCell ref="G64:I64"/>
    <mergeCell ref="AJ43:AM43"/>
    <mergeCell ref="D72:AM72"/>
    <mergeCell ref="D68:F68"/>
    <mergeCell ref="X23:AD23"/>
    <mergeCell ref="D67:F67"/>
    <mergeCell ref="AB50:AE50"/>
    <mergeCell ref="T53:W53"/>
    <mergeCell ref="A4:AM4"/>
    <mergeCell ref="AH66:AJ66"/>
    <mergeCell ref="V17:X17"/>
    <mergeCell ref="T55:W55"/>
    <mergeCell ref="P20:R20"/>
    <mergeCell ref="AE63:AG63"/>
    <mergeCell ref="B39:B41"/>
    <mergeCell ref="B15:C15"/>
    <mergeCell ref="J14:L14"/>
    <mergeCell ref="D26:AM26"/>
    <mergeCell ref="AF45:AI45"/>
    <mergeCell ref="G17:I17"/>
    <mergeCell ref="D21:F21"/>
    <mergeCell ref="AJ36:AM36"/>
    <mergeCell ref="Y67:AA67"/>
    <mergeCell ref="G19:I19"/>
    <mergeCell ref="D39:G39"/>
    <mergeCell ref="AE61:AM61"/>
    <mergeCell ref="L46:O46"/>
    <mergeCell ref="T37:W37"/>
    <mergeCell ref="AK20:AM20"/>
    <mergeCell ref="AJ44:AM44"/>
    <mergeCell ref="L48:O48"/>
    <mergeCell ref="D18:F18"/>
    <mergeCell ref="AB55:AE55"/>
    <mergeCell ref="B63:B65"/>
    <mergeCell ref="T38:W38"/>
    <mergeCell ref="P41:S41"/>
    <mergeCell ref="AF9:AM9"/>
    <mergeCell ref="L43:O43"/>
    <mergeCell ref="P56:S56"/>
    <mergeCell ref="AB65:AD65"/>
    <mergeCell ref="G12:I12"/>
    <mergeCell ref="P49:S49"/>
    <mergeCell ref="P36:S36"/>
    <mergeCell ref="Y62:AA62"/>
    <mergeCell ref="S62:U62"/>
    <mergeCell ref="T40:W40"/>
    <mergeCell ref="Y64:AA64"/>
    <mergeCell ref="J68:L68"/>
    <mergeCell ref="V19:X19"/>
    <mergeCell ref="AH67:AJ67"/>
    <mergeCell ref="AB53:AE53"/>
    <mergeCell ref="AF47:AI47"/>
    <mergeCell ref="AB12:AD12"/>
    <mergeCell ref="D27:AM27"/>
    <mergeCell ref="AF46:AI46"/>
    <mergeCell ref="AH11:AJ11"/>
    <mergeCell ref="P54:S54"/>
    <mergeCell ref="M18:O18"/>
    <mergeCell ref="AJ50:AM50"/>
    <mergeCell ref="M61:U61"/>
    <mergeCell ref="A2:AM2"/>
    <mergeCell ref="AB13:AD13"/>
    <mergeCell ref="AF48:AI48"/>
    <mergeCell ref="J21:L21"/>
    <mergeCell ref="T45:W45"/>
    <mergeCell ref="AE68:AG68"/>
    <mergeCell ref="H44:K44"/>
    <mergeCell ref="C61:C62"/>
    <mergeCell ref="AJ52:AM52"/>
    <mergeCell ref="AJ39:AM39"/>
    <mergeCell ref="D19:F19"/>
    <mergeCell ref="AH62:AJ62"/>
    <mergeCell ref="D65:F65"/>
    <mergeCell ref="AH18:AJ18"/>
    <mergeCell ref="L51:O51"/>
    <mergeCell ref="P34:AA34"/>
    <mergeCell ref="AE21:AG21"/>
    <mergeCell ref="V63:X63"/>
    <mergeCell ref="AF41:AI41"/>
    <mergeCell ref="X41:AA41"/>
    <mergeCell ref="G13:I13"/>
    <mergeCell ref="AE67:AG67"/>
    <mergeCell ref="X35:AA35"/>
    <mergeCell ref="B61:B62"/>
    <mergeCell ref="M12:O12"/>
    <mergeCell ref="P42:S42"/>
    <mergeCell ref="G15:I15"/>
    <mergeCell ref="H42:K42"/>
    <mergeCell ref="AF36:AI36"/>
    <mergeCell ref="H53:K53"/>
    <mergeCell ref="Y65:AA65"/>
    <mergeCell ref="D12:F12"/>
    <mergeCell ref="V66:X66"/>
    <mergeCell ref="H55:K55"/>
    <mergeCell ref="D14:F14"/>
    <mergeCell ref="P62:R62"/>
    <mergeCell ref="S63:U63"/>
    <mergeCell ref="M66:O66"/>
    <mergeCell ref="AH12:AJ12"/>
    <mergeCell ref="AB15:AD15"/>
    <mergeCell ref="M68:O68"/>
    <mergeCell ref="B24:C24"/>
    <mergeCell ref="H52:K52"/>
    <mergeCell ref="P39:S39"/>
    <mergeCell ref="M67:O67"/>
    <mergeCell ref="AH14:AJ14"/>
    <mergeCell ref="X42:AA42"/>
    <mergeCell ref="AE18:AG18"/>
    <mergeCell ref="H45:K45"/>
    <mergeCell ref="B26:C26"/>
    <mergeCell ref="AJ53:AM53"/>
    <mergeCell ref="H37:K37"/>
    <mergeCell ref="Y20:AA20"/>
    <mergeCell ref="Y14:AA14"/>
    <mergeCell ref="P47:S47"/>
    <mergeCell ref="H47:K47"/>
    <mergeCell ref="AJ55:AM55"/>
    <mergeCell ref="P67:R67"/>
    <mergeCell ref="X54:AA54"/>
    <mergeCell ref="B27:C27"/>
    <mergeCell ref="AF38:AI38"/>
    <mergeCell ref="AH68:AJ68"/>
    <mergeCell ref="X56:AA56"/>
    <mergeCell ref="D35:G35"/>
    <mergeCell ref="X43:AA43"/>
    <mergeCell ref="P50:S50"/>
    <mergeCell ref="M14:O14"/>
    <mergeCell ref="H50:K50"/>
    <mergeCell ref="AB34:AM34"/>
    <mergeCell ref="D36:G36"/>
    <mergeCell ref="P52:S52"/>
    <mergeCell ref="V68:X68"/>
    <mergeCell ref="V67:X67"/>
    <mergeCell ref="AH20:AJ20"/>
    <mergeCell ref="S66:U66"/>
    <mergeCell ref="AE17:AG17"/>
    <mergeCell ref="Y17:AA17"/>
    <mergeCell ref="B71:C71"/>
    <mergeCell ref="B58:C58"/>
    <mergeCell ref="AH15:AJ15"/>
    <mergeCell ref="AH64:AJ64"/>
    <mergeCell ref="S68:U68"/>
    <mergeCell ref="AE19:AG19"/>
    <mergeCell ref="B51:B53"/>
    <mergeCell ref="P55:S55"/>
    <mergeCell ref="AB49:AE49"/>
    <mergeCell ref="X39:AA39"/>
    <mergeCell ref="H38:K38"/>
    <mergeCell ref="M62:O62"/>
    <mergeCell ref="H40:K40"/>
    <mergeCell ref="V62:X62"/>
    <mergeCell ref="AB18:AD18"/>
    <mergeCell ref="V18:X18"/>
    <mergeCell ref="D49:G49"/>
    <mergeCell ref="B42:B44"/>
    <mergeCell ref="AF54:AI54"/>
    <mergeCell ref="D34:O34"/>
    <mergeCell ref="S21:U21"/>
    <mergeCell ref="L35:O35"/>
    <mergeCell ref="AJ49:AM49"/>
    <mergeCell ref="X50:AA50"/>
    <mergeCell ref="AB52:AE52"/>
    <mergeCell ref="P53:S53"/>
    <mergeCell ref="M65:O65"/>
    <mergeCell ref="D57:AM57"/>
    <mergeCell ref="J20:L20"/>
    <mergeCell ref="T46:W46"/>
    <mergeCell ref="AB37:AE37"/>
    <mergeCell ref="V11:X11"/>
    <mergeCell ref="D54:G54"/>
    <mergeCell ref="D62:F62"/>
    <mergeCell ref="T48:W48"/>
    <mergeCell ref="P13:R13"/>
    <mergeCell ref="B73:C73"/>
    <mergeCell ref="D64:F64"/>
    <mergeCell ref="P15:R15"/>
    <mergeCell ref="AB40:AE40"/>
    <mergeCell ref="H46:K46"/>
    <mergeCell ref="AK66:AM66"/>
    <mergeCell ref="AH65:AJ65"/>
    <mergeCell ref="AE20:AG20"/>
    <mergeCell ref="X53:AA53"/>
    <mergeCell ref="AF44:AI44"/>
    <mergeCell ref="X47:AA47"/>
    <mergeCell ref="B74:C74"/>
    <mergeCell ref="AB63:AD63"/>
    <mergeCell ref="X55:AA55"/>
    <mergeCell ref="AK13:AM13"/>
    <mergeCell ref="AJ37:AM37"/>
    <mergeCell ref="L54:O54"/>
    <mergeCell ref="L41:O41"/>
    <mergeCell ref="D11:F11"/>
    <mergeCell ref="AK15:AM15"/>
    <mergeCell ref="L56:O56"/>
    <mergeCell ref="L49:O49"/>
    <mergeCell ref="T36:W36"/>
    <mergeCell ref="B45:B47"/>
    <mergeCell ref="B21:C21"/>
    <mergeCell ref="L36:O36"/>
    <mergeCell ref="Y13:AA13"/>
    <mergeCell ref="J66:L66"/>
    <mergeCell ref="G65:I65"/>
    <mergeCell ref="S64:U64"/>
    <mergeCell ref="B28:B29"/>
    <mergeCell ref="G63:I63"/>
    <mergeCell ref="AJ42:AM42"/>
    <mergeCell ref="AB45:AE45"/>
    <mergeCell ref="D71:AM71"/>
    <mergeCell ref="P44:S44"/>
    <mergeCell ref="D45:G45"/>
    <mergeCell ref="D58:AM58"/>
    <mergeCell ref="V12:X12"/>
    <mergeCell ref="AB47:AE47"/>
    <mergeCell ref="D73:AM73"/>
    <mergeCell ref="AB46:AE46"/>
    <mergeCell ref="V14:X14"/>
    <mergeCell ref="AE66:AG66"/>
    <mergeCell ref="V13:X13"/>
    <mergeCell ref="AB48:AE48"/>
    <mergeCell ref="S17:U17"/>
    <mergeCell ref="T51:W51"/>
    <mergeCell ref="S11:U11"/>
    <mergeCell ref="M20:O20"/>
    <mergeCell ref="M11:O11"/>
    <mergeCell ref="AF35:AI35"/>
    <mergeCell ref="D17:F17"/>
    <mergeCell ref="B18:C18"/>
    <mergeCell ref="M15:O15"/>
    <mergeCell ref="AJ47:AM47"/>
    <mergeCell ref="P18:R18"/>
    <mergeCell ref="AB66:AD66"/>
    <mergeCell ref="AJ40:AM40"/>
    <mergeCell ref="T35:W35"/>
    <mergeCell ref="AB68:AD68"/>
    <mergeCell ref="L42:O42"/>
    <mergeCell ref="B30:B31"/>
    <mergeCell ref="J67:L67"/>
    <mergeCell ref="AB36:AE36"/>
    <mergeCell ref="B48:B50"/>
    <mergeCell ref="L39:O39"/>
    <mergeCell ref="C34:C35"/>
    <mergeCell ref="D10:U10"/>
    <mergeCell ref="D47:G47"/>
    <mergeCell ref="D53:G53"/>
    <mergeCell ref="AK18:AM18"/>
    <mergeCell ref="V20:X20"/>
    <mergeCell ref="P37:S37"/>
    <mergeCell ref="G66:I66"/>
    <mergeCell ref="B72:C72"/>
    <mergeCell ref="AJ45:AM45"/>
    <mergeCell ref="H48:K48"/>
    <mergeCell ref="V15:X15"/>
    <mergeCell ref="G68:I68"/>
    <mergeCell ref="AF56:AI56"/>
    <mergeCell ref="B66:B68"/>
    <mergeCell ref="AF43:AI43"/>
    <mergeCell ref="B34:B35"/>
    <mergeCell ref="H43:K43"/>
    <mergeCell ref="AJ51:AM51"/>
    <mergeCell ref="D28:AM28"/>
    <mergeCell ref="AB51:AE51"/>
    <mergeCell ref="S20:U20"/>
    <mergeCell ref="L47:O47"/>
    <mergeCell ref="AE11:AG11"/>
    <mergeCell ref="J18:L18"/>
    <mergeCell ref="B19:C19"/>
    <mergeCell ref="D30:AM30"/>
    <mergeCell ref="T54:W54"/>
    <mergeCell ref="J17:L17"/>
    <mergeCell ref="G21:I21"/>
    <mergeCell ref="D20:F20"/>
    <mergeCell ref="D29:AM29"/>
    <mergeCell ref="AJ48:AM48"/>
    <mergeCell ref="Y15:AA15"/>
    <mergeCell ref="B20:C20"/>
    <mergeCell ref="J19:L19"/>
    <mergeCell ref="AE62:AG62"/>
    <mergeCell ref="D13:F13"/>
    <mergeCell ref="I24:AM24"/>
    <mergeCell ref="AJ35:AM35"/>
    <mergeCell ref="M13:O13"/>
    <mergeCell ref="G18:I18"/>
    <mergeCell ref="AE64:AG64"/>
    <mergeCell ref="AB21:AD21"/>
    <mergeCell ref="B54:B56"/>
    <mergeCell ref="X44:AA44"/>
    <mergeCell ref="D16:U16"/>
    <mergeCell ref="P45:S45"/>
    <mergeCell ref="AF39:AI39"/>
    <mergeCell ref="P38:S38"/>
    <mergeCell ref="AE65:AG65"/>
    <mergeCell ref="J12:L12"/>
    <mergeCell ref="D15:F15"/>
    <mergeCell ref="AJ46:AM46"/>
    <mergeCell ref="P40:S40"/>
    <mergeCell ref="AB62:AD62"/>
    <mergeCell ref="V65:X65"/>
    <mergeCell ref="D25:AM25"/>
    <mergeCell ref="AH13:AJ13"/>
    <mergeCell ref="H51:K51"/>
    <mergeCell ref="AB64:AD64"/>
    <mergeCell ref="G11:I11"/>
    <mergeCell ref="P63:R63"/>
    <mergeCell ref="X49:AA49"/>
    <mergeCell ref="AE12:AG12"/>
    <mergeCell ref="M64:O64"/>
    <mergeCell ref="D31:AM31"/>
    <mergeCell ref="AF50:AI50"/>
    <mergeCell ref="AE14:AG14"/>
    <mergeCell ref="AK21:AM21"/>
    <mergeCell ref="AF52:AI52"/>
    <mergeCell ref="M21:O21"/>
    <mergeCell ref="AB11:AD11"/>
    <mergeCell ref="AK63:AM63"/>
    <mergeCell ref="H35:K35"/>
    <mergeCell ref="AF49:AI49"/>
    <mergeCell ref="X52:AA52"/>
    <mergeCell ref="L53:O53"/>
    <mergeCell ref="H39:K39"/>
    <mergeCell ref="P46:S46"/>
    <mergeCell ref="X37:AA37"/>
    <mergeCell ref="AH21:AJ21"/>
    <mergeCell ref="Y63:AA63"/>
    <mergeCell ref="J13:L13"/>
    <mergeCell ref="P48:S48"/>
    <mergeCell ref="AF55:AI55"/>
    <mergeCell ref="V64:X64"/>
    <mergeCell ref="X38:AA38"/>
    <mergeCell ref="J15:L15"/>
    <mergeCell ref="T41:W41"/>
    <mergeCell ref="AB38:AE38"/>
    <mergeCell ref="S67:U67"/>
    <mergeCell ref="AF40:AI40"/>
    <mergeCell ref="P43:S43"/>
    <mergeCell ref="T56:W56"/>
    <mergeCell ref="T43:W43"/>
    <mergeCell ref="D42:G42"/>
    <mergeCell ref="AK11:AM11"/>
    <mergeCell ref="G14:I14"/>
    <mergeCell ref="D50:G50"/>
    <mergeCell ref="D44:G44"/>
    <mergeCell ref="AE13:AG13"/>
    <mergeCell ref="P66:R66"/>
    <mergeCell ref="AB17:AD17"/>
    <mergeCell ref="X40:AA40"/>
    <mergeCell ref="AF37:AI37"/>
    <mergeCell ref="H54:K54"/>
    <mergeCell ref="H41:K41"/>
    <mergeCell ref="A8:AA8"/>
    <mergeCell ref="AE15:AG15"/>
    <mergeCell ref="P68:R68"/>
    <mergeCell ref="AB19:AD19"/>
    <mergeCell ref="H56:K56"/>
    <mergeCell ref="AF53:AI53"/>
    <mergeCell ref="V61:AD61"/>
    <mergeCell ref="H49:K49"/>
    <mergeCell ref="H36:K36"/>
    <mergeCell ref="AB20:AD20"/>
    <mergeCell ref="AB14:AD14"/>
    <mergeCell ref="S18:U18"/>
    <mergeCell ref="D37:G37"/>
    <mergeCell ref="X45:AA45"/>
    <mergeCell ref="AF42:AI42"/>
    <mergeCell ref="P21:R21"/>
    <mergeCell ref="AK68:AM68"/>
    <mergeCell ref="L44:O44"/>
    <mergeCell ref="Y19:AA19"/>
    <mergeCell ref="V10:AM10"/>
    <mergeCell ref="B10:C11"/>
    <mergeCell ref="D38:G38"/>
    <mergeCell ref="X46:AA46"/>
    <mergeCell ref="M17:O17"/>
    <mergeCell ref="X48:AA48"/>
    <mergeCell ref="G20:I20"/>
    <mergeCell ref="P51:S51"/>
    <mergeCell ref="B57:C57"/>
    <mergeCell ref="AB54:AE54"/>
    <mergeCell ref="M19:O19"/>
    <mergeCell ref="AB41:AE41"/>
    <mergeCell ref="AB35:AE35"/>
    <mergeCell ref="AK67:AM67"/>
    <mergeCell ref="D52:G52"/>
    <mergeCell ref="S12:U12"/>
    <mergeCell ref="AK62:AM62"/>
    <mergeCell ref="AH17:AJ17"/>
    <mergeCell ref="Y21:AA21"/>
    <mergeCell ref="P11:R11"/>
    <mergeCell ref="AH19:AJ19"/>
    <mergeCell ref="X51:AA51"/>
    <mergeCell ref="S19:U19"/>
    <mergeCell ref="X36:AA36"/>
    <mergeCell ref="T39:W39"/>
    <mergeCell ref="S65:U65"/>
    <mergeCell ref="Y18:AA18"/>
    <mergeCell ref="D46:G46"/>
    <mergeCell ref="D40:G40"/>
    <mergeCell ref="L37:O37"/>
    <mergeCell ref="V16:AM16"/>
    <mergeCell ref="B16:C17"/>
    <mergeCell ref="J62:L62"/>
    <mergeCell ref="T47:W47"/>
    <mergeCell ref="M63:O63"/>
    <mergeCell ref="D74:AM74"/>
    <mergeCell ref="P64:R64"/>
    <mergeCell ref="J64:L64"/>
    <mergeCell ref="AJ38:AM38"/>
    <mergeCell ref="D63:F63"/>
    <mergeCell ref="D41:G41"/>
    <mergeCell ref="AB56:AE56"/>
    <mergeCell ref="G67:I67"/>
    <mergeCell ref="AB43:AE43"/>
    <mergeCell ref="D43:G43"/>
    <mergeCell ref="AF51:AI51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F71"/>
  <sheetViews>
    <sheetView showGridLines="0" topLeftCell="A16" zoomScale="86" zoomScaleNormal="86" workbookViewId="0">
      <selection activeCell="T46" sqref="T46:W46"/>
    </sheetView>
  </sheetViews>
  <sheetFormatPr baseColWidth="8" defaultColWidth="9" defaultRowHeight="15.95" customHeight="1"/>
  <cols>
    <col width="2.625" customWidth="1" style="49" min="1" max="1"/>
    <col width="6.625" customWidth="1" style="49" min="2" max="3"/>
    <col width="2.625" customWidth="1" style="49" min="4" max="39"/>
    <col width="32.75" bestFit="1" customWidth="1" style="49" min="40" max="40"/>
    <col width="6.625" customWidth="1" style="49" min="41" max="54"/>
    <col width="9" customWidth="1" style="49" min="55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1" t="n"/>
      <c r="E7" s="1" t="n"/>
      <c r="F7" s="1" t="n"/>
      <c r="G7" s="1" t="n"/>
      <c r="H7" s="1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</row>
    <row r="8" ht="15.95" customFormat="1" customHeight="1" s="51">
      <c r="A8" s="203" t="n"/>
      <c r="AB8" s="203" t="n"/>
      <c r="AC8" s="203" t="n"/>
    </row>
    <row r="9" ht="15.95" customFormat="1" customHeight="1" s="51">
      <c r="A9" s="203" t="inlineStr">
        <is>
          <t xml:space="preserve">2. Forecast </t>
        </is>
      </c>
      <c r="AF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552" t="inlineStr">
        <is>
          <t>전체</t>
        </is>
      </c>
      <c r="E10" s="537" t="n"/>
      <c r="F10" s="537" t="n"/>
      <c r="G10" s="537" t="n"/>
      <c r="H10" s="537" t="n"/>
      <c r="I10" s="537" t="n"/>
      <c r="J10" s="537" t="n"/>
      <c r="K10" s="537" t="n"/>
      <c r="L10" s="537" t="n"/>
      <c r="M10" s="537" t="n"/>
      <c r="N10" s="537" t="n"/>
      <c r="O10" s="537" t="n"/>
      <c r="P10" s="537" t="n"/>
      <c r="Q10" s="537" t="n"/>
      <c r="R10" s="537" t="n"/>
      <c r="S10" s="537" t="n"/>
      <c r="T10" s="537" t="n"/>
      <c r="U10" s="538" t="n"/>
      <c r="V10" s="552" t="inlineStr">
        <is>
          <t>GS</t>
        </is>
      </c>
      <c r="W10" s="537" t="n"/>
      <c r="X10" s="537" t="n"/>
      <c r="Y10" s="537" t="n"/>
      <c r="Z10" s="537" t="n"/>
      <c r="AA10" s="537" t="n"/>
      <c r="AB10" s="537" t="n"/>
      <c r="AC10" s="537" t="n"/>
      <c r="AD10" s="537" t="n"/>
      <c r="AE10" s="537" t="n"/>
      <c r="AF10" s="537" t="n"/>
      <c r="AG10" s="537" t="n"/>
      <c r="AH10" s="537" t="n"/>
      <c r="AI10" s="537" t="n"/>
      <c r="AJ10" s="537" t="n"/>
      <c r="AK10" s="537" t="n"/>
      <c r="AL10" s="537" t="n"/>
      <c r="AM10" s="538" t="n"/>
      <c r="AS10" s="194" t="inlineStr">
        <is>
          <t>(당월)</t>
        </is>
      </c>
      <c r="AT10" s="501" t="n"/>
      <c r="AU10" s="161" t="inlineStr">
        <is>
          <t>전체</t>
        </is>
      </c>
      <c r="AV10" s="463" t="n"/>
      <c r="AW10" s="463" t="n"/>
      <c r="AX10" s="463" t="n"/>
      <c r="AY10" s="463" t="n"/>
      <c r="AZ10" s="464" t="n"/>
      <c r="BA10" s="195" t="inlineStr">
        <is>
          <t>GS</t>
        </is>
      </c>
      <c r="BB10" s="463" t="n"/>
      <c r="BC10" s="463" t="n"/>
      <c r="BD10" s="463" t="n"/>
      <c r="BE10" s="463" t="n"/>
      <c r="BF10" s="464" t="n"/>
    </row>
    <row r="11" ht="15.95" customHeight="1" s="462" thickBot="1">
      <c r="A11" s="53" t="n"/>
      <c r="B11" s="502" t="n"/>
      <c r="C11" s="503" t="n"/>
      <c r="D11" s="553" t="inlineStr">
        <is>
          <t>목표</t>
        </is>
      </c>
      <c r="E11" s="554" t="n"/>
      <c r="F11" s="555" t="n"/>
      <c r="G11" s="382" t="inlineStr">
        <is>
          <t>OTB</t>
        </is>
      </c>
      <c r="H11" s="554" t="n"/>
      <c r="I11" s="555" t="n"/>
      <c r="J11" s="556" t="inlineStr">
        <is>
          <t>진행률</t>
        </is>
      </c>
      <c r="K11" s="554" t="n"/>
      <c r="L11" s="555" t="n"/>
      <c r="M11" s="556" t="inlineStr">
        <is>
          <t>FCST</t>
        </is>
      </c>
      <c r="N11" s="554" t="n"/>
      <c r="O11" s="555" t="n"/>
      <c r="P11" s="556" t="inlineStr">
        <is>
          <t>증감</t>
        </is>
      </c>
      <c r="Q11" s="554" t="n"/>
      <c r="R11" s="555" t="n"/>
      <c r="S11" s="557" t="inlineStr">
        <is>
          <t>달성률</t>
        </is>
      </c>
      <c r="T11" s="554" t="n"/>
      <c r="U11" s="558" t="n"/>
      <c r="V11" s="553" t="inlineStr">
        <is>
          <t>목표</t>
        </is>
      </c>
      <c r="W11" s="554" t="n"/>
      <c r="X11" s="555" t="n"/>
      <c r="Y11" s="382" t="inlineStr">
        <is>
          <t>OTB</t>
        </is>
      </c>
      <c r="Z11" s="554" t="n"/>
      <c r="AA11" s="555" t="n"/>
      <c r="AB11" s="556" t="inlineStr">
        <is>
          <t>진행률</t>
        </is>
      </c>
      <c r="AC11" s="554" t="n"/>
      <c r="AD11" s="555" t="n"/>
      <c r="AE11" s="556" t="inlineStr">
        <is>
          <t>FCST</t>
        </is>
      </c>
      <c r="AF11" s="554" t="n"/>
      <c r="AG11" s="555" t="n"/>
      <c r="AH11" s="556" t="inlineStr">
        <is>
          <t>증감</t>
        </is>
      </c>
      <c r="AI11" s="554" t="n"/>
      <c r="AJ11" s="555" t="n"/>
      <c r="AK11" s="556" t="inlineStr">
        <is>
          <t>달성률</t>
        </is>
      </c>
      <c r="AL11" s="554" t="n"/>
      <c r="AM11" s="555" t="n"/>
      <c r="AP11" s="54" t="n"/>
      <c r="AS11" s="502" t="n"/>
      <c r="AT11" s="503" t="n"/>
      <c r="AU11" s="199" t="inlineStr">
        <is>
          <t>목표</t>
        </is>
      </c>
      <c r="AV11" s="227" t="inlineStr">
        <is>
          <t>OTB</t>
        </is>
      </c>
      <c r="AW11" s="229" t="inlineStr">
        <is>
          <t>진행률</t>
        </is>
      </c>
      <c r="AX11" s="229" t="inlineStr">
        <is>
          <t>FCST</t>
        </is>
      </c>
      <c r="AY11" s="229" t="inlineStr">
        <is>
          <t>증감</t>
        </is>
      </c>
      <c r="AZ11" s="229" t="inlineStr">
        <is>
          <t>달성률</t>
        </is>
      </c>
      <c r="BA11" s="229" t="inlineStr">
        <is>
          <t>목표</t>
        </is>
      </c>
      <c r="BB11" s="227" t="inlineStr">
        <is>
          <t>OTB</t>
        </is>
      </c>
      <c r="BC11" s="229" t="inlineStr">
        <is>
          <t>진행률</t>
        </is>
      </c>
      <c r="BD11" s="229" t="inlineStr">
        <is>
          <t>FCST</t>
        </is>
      </c>
      <c r="BE11" s="229" t="inlineStr">
        <is>
          <t>증감</t>
        </is>
      </c>
      <c r="BF11" s="229" t="inlineStr">
        <is>
          <t>달성률</t>
        </is>
      </c>
    </row>
    <row r="12" ht="15.95" customHeight="1" s="462" thickTop="1">
      <c r="B12" s="508" t="inlineStr">
        <is>
          <t>OCC</t>
        </is>
      </c>
      <c r="C12" s="509" t="n"/>
      <c r="D12" s="510" t="n">
        <v>0.4</v>
      </c>
      <c r="E12" s="481" t="n"/>
      <c r="F12" s="482" t="n"/>
      <c r="G12" s="511" t="n">
        <v>0.31</v>
      </c>
      <c r="H12" s="481" t="n"/>
      <c r="I12" s="482" t="n"/>
      <c r="J12" s="511">
        <f>G12/D12</f>
        <v/>
      </c>
      <c r="K12" s="481" t="n"/>
      <c r="L12" s="482" t="n"/>
      <c r="M12" s="511" t="n">
        <v>0.38</v>
      </c>
      <c r="N12" s="481" t="n"/>
      <c r="O12" s="482" t="n"/>
      <c r="P12" s="512">
        <f>M12-D12</f>
        <v/>
      </c>
      <c r="Q12" s="481" t="n"/>
      <c r="R12" s="482" t="n"/>
      <c r="S12" s="559">
        <f>M12/D12</f>
        <v/>
      </c>
      <c r="T12" s="481" t="n"/>
      <c r="U12" s="509" t="n"/>
      <c r="V12" s="510" t="n">
        <v>0.4</v>
      </c>
      <c r="W12" s="481" t="n"/>
      <c r="X12" s="482" t="n"/>
      <c r="Y12" s="511" t="n">
        <v>0.31</v>
      </c>
      <c r="Z12" s="481" t="n"/>
      <c r="AA12" s="482" t="n"/>
      <c r="AB12" s="511">
        <f>Y12/V12</f>
        <v/>
      </c>
      <c r="AC12" s="481" t="n"/>
      <c r="AD12" s="482" t="n"/>
      <c r="AE12" s="511" t="n">
        <v>0.38</v>
      </c>
      <c r="AF12" s="481" t="n"/>
      <c r="AG12" s="482" t="n"/>
      <c r="AH12" s="512">
        <f>AE12-V12</f>
        <v/>
      </c>
      <c r="AI12" s="481" t="n"/>
      <c r="AJ12" s="482" t="n"/>
      <c r="AK12" s="559">
        <f>AE12/V12</f>
        <v/>
      </c>
      <c r="AL12" s="481" t="n"/>
      <c r="AM12" s="509" t="n"/>
      <c r="AO12" s="54" t="inlineStr">
        <is>
          <t>* 해당 숫자는 예시 작성</t>
        </is>
      </c>
      <c r="AS12" s="508" t="inlineStr">
        <is>
          <t>OCC</t>
        </is>
      </c>
      <c r="AT12" s="509" t="n"/>
      <c r="AU12" s="27" t="n">
        <v>0.404</v>
      </c>
      <c r="AV12" s="28" t="n">
        <v>0.31</v>
      </c>
      <c r="AW12" s="28" t="n">
        <v>0.77</v>
      </c>
      <c r="AX12" s="28" t="n">
        <v>0.38</v>
      </c>
      <c r="AY12" s="29" t="n">
        <v>-0.02</v>
      </c>
      <c r="AZ12" s="29" t="n">
        <v>0.95</v>
      </c>
      <c r="BA12" s="28" t="n">
        <v>0.12</v>
      </c>
      <c r="BB12" s="28" t="n">
        <v>0.08</v>
      </c>
      <c r="BC12" s="28" t="n">
        <v>0.65</v>
      </c>
      <c r="BD12" s="28" t="n">
        <v>0.1</v>
      </c>
      <c r="BE12" s="29" t="n">
        <v>-0.02</v>
      </c>
      <c r="BF12" s="29" t="n">
        <v>0.78</v>
      </c>
    </row>
    <row r="13" ht="15.95" customHeight="1" s="462">
      <c r="A13" s="54" t="n"/>
      <c r="B13" s="30" t="inlineStr">
        <is>
          <t>RNs</t>
        </is>
      </c>
      <c r="C13" s="513" t="n"/>
      <c r="D13" s="514" t="n">
        <v>32864</v>
      </c>
      <c r="E13" s="484" t="n"/>
      <c r="F13" s="485" t="n"/>
      <c r="G13" s="515" t="n">
        <v>25870</v>
      </c>
      <c r="H13" s="484" t="n"/>
      <c r="I13" s="485" t="n"/>
      <c r="J13" s="516">
        <f>G13/D13</f>
        <v/>
      </c>
      <c r="K13" s="484" t="n"/>
      <c r="L13" s="485" t="n"/>
      <c r="M13" s="515" t="n">
        <v>31239</v>
      </c>
      <c r="N13" s="484" t="n"/>
      <c r="O13" s="485" t="n"/>
      <c r="P13" s="517">
        <f>M13-D13</f>
        <v/>
      </c>
      <c r="Q13" s="484" t="n"/>
      <c r="R13" s="485" t="n"/>
      <c r="S13" s="560">
        <f>M13/D13</f>
        <v/>
      </c>
      <c r="T13" s="484" t="n"/>
      <c r="U13" s="513" t="n"/>
      <c r="V13" s="514" t="n">
        <v>32864</v>
      </c>
      <c r="W13" s="484" t="n"/>
      <c r="X13" s="485" t="n"/>
      <c r="Y13" s="515" t="n">
        <v>25870</v>
      </c>
      <c r="Z13" s="484" t="n"/>
      <c r="AA13" s="485" t="n"/>
      <c r="AB13" s="516">
        <f>Y13/V13</f>
        <v/>
      </c>
      <c r="AC13" s="484" t="n"/>
      <c r="AD13" s="485" t="n"/>
      <c r="AE13" s="515" t="n">
        <v>31239</v>
      </c>
      <c r="AF13" s="484" t="n"/>
      <c r="AG13" s="485" t="n"/>
      <c r="AH13" s="517">
        <f>AE13-V13</f>
        <v/>
      </c>
      <c r="AI13" s="484" t="n"/>
      <c r="AJ13" s="485" t="n"/>
      <c r="AK13" s="560">
        <f>AE13/V13</f>
        <v/>
      </c>
      <c r="AL13" s="484" t="n"/>
      <c r="AM13" s="513" t="n"/>
      <c r="AS13" s="30" t="inlineStr">
        <is>
          <t>RNs</t>
        </is>
      </c>
      <c r="AT13" s="513" t="n"/>
      <c r="AU13" s="466" t="n">
        <v>32864</v>
      </c>
      <c r="AV13" s="467" t="n">
        <v>25870</v>
      </c>
      <c r="AW13" s="33" t="n">
        <v>0.78</v>
      </c>
      <c r="AX13" s="467" t="n">
        <v>31239</v>
      </c>
      <c r="AY13" s="468" t="n">
        <v>-1625</v>
      </c>
      <c r="AZ13" s="35" t="n">
        <v>0.95</v>
      </c>
      <c r="BA13" s="467" t="n">
        <v>10419</v>
      </c>
      <c r="BB13" s="467" t="n">
        <v>6825</v>
      </c>
      <c r="BC13" s="33" t="n">
        <v>0.65</v>
      </c>
      <c r="BD13" s="467" t="n">
        <v>8173</v>
      </c>
      <c r="BE13" s="468" t="n">
        <v>-2246</v>
      </c>
      <c r="BF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514" t="n">
        <v>208</v>
      </c>
      <c r="E14" s="484" t="n"/>
      <c r="F14" s="485" t="n"/>
      <c r="G14" s="515" t="n">
        <v>208</v>
      </c>
      <c r="H14" s="484" t="n"/>
      <c r="I14" s="485" t="n"/>
      <c r="J14" s="516">
        <f>G14/D14</f>
        <v/>
      </c>
      <c r="K14" s="484" t="n"/>
      <c r="L14" s="485" t="n"/>
      <c r="M14" s="515" t="n">
        <v>216</v>
      </c>
      <c r="N14" s="484" t="n"/>
      <c r="O14" s="485" t="n"/>
      <c r="P14" s="519">
        <f>M14-D14</f>
        <v/>
      </c>
      <c r="Q14" s="484" t="n"/>
      <c r="R14" s="485" t="n"/>
      <c r="S14" s="560">
        <f>M14/D14</f>
        <v/>
      </c>
      <c r="T14" s="484" t="n"/>
      <c r="U14" s="513" t="n"/>
      <c r="V14" s="514" t="n">
        <v>208</v>
      </c>
      <c r="W14" s="484" t="n"/>
      <c r="X14" s="485" t="n"/>
      <c r="Y14" s="515" t="n">
        <v>208</v>
      </c>
      <c r="Z14" s="484" t="n"/>
      <c r="AA14" s="485" t="n"/>
      <c r="AB14" s="516">
        <f>Y14/V14</f>
        <v/>
      </c>
      <c r="AC14" s="484" t="n"/>
      <c r="AD14" s="485" t="n"/>
      <c r="AE14" s="515" t="n">
        <v>216</v>
      </c>
      <c r="AF14" s="484" t="n"/>
      <c r="AG14" s="485" t="n"/>
      <c r="AH14" s="519">
        <f>AE14-V14</f>
        <v/>
      </c>
      <c r="AI14" s="484" t="n"/>
      <c r="AJ14" s="485" t="n"/>
      <c r="AK14" s="560">
        <f>AE14/V14</f>
        <v/>
      </c>
      <c r="AL14" s="484" t="n"/>
      <c r="AM14" s="513" t="n"/>
      <c r="AS14" s="30" t="inlineStr">
        <is>
          <t>ADR</t>
        </is>
      </c>
      <c r="AT14" s="513" t="n"/>
      <c r="AU14" s="466" t="n">
        <v>208</v>
      </c>
      <c r="AV14" s="467" t="n">
        <v>208</v>
      </c>
      <c r="AW14" s="33" t="n">
        <v>1</v>
      </c>
      <c r="AX14" s="467" t="n">
        <v>216</v>
      </c>
      <c r="AY14" s="469" t="n">
        <v>8</v>
      </c>
      <c r="AZ14" s="33" t="n">
        <v>1.03</v>
      </c>
      <c r="BA14" s="467" t="n">
        <v>227</v>
      </c>
      <c r="BB14" s="467" t="n">
        <v>277</v>
      </c>
      <c r="BC14" s="33" t="n">
        <v>1.22</v>
      </c>
      <c r="BD14" s="467" t="n">
        <v>244</v>
      </c>
      <c r="BE14" s="469" t="n">
        <v>17</v>
      </c>
      <c r="BF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521" t="n">
        <v>6822</v>
      </c>
      <c r="E15" s="522" t="n"/>
      <c r="F15" s="523" t="n"/>
      <c r="G15" s="524" t="n">
        <v>5381</v>
      </c>
      <c r="H15" s="522" t="n"/>
      <c r="I15" s="523" t="n"/>
      <c r="J15" s="525">
        <f>G15/D15</f>
        <v/>
      </c>
      <c r="K15" s="522" t="n"/>
      <c r="L15" s="523" t="n"/>
      <c r="M15" s="524" t="n">
        <v>6734</v>
      </c>
      <c r="N15" s="522" t="n"/>
      <c r="O15" s="523" t="n"/>
      <c r="P15" s="526">
        <f>M15-D15</f>
        <v/>
      </c>
      <c r="Q15" s="522" t="n"/>
      <c r="R15" s="523" t="n"/>
      <c r="S15" s="561">
        <f>M15/D15</f>
        <v/>
      </c>
      <c r="T15" s="522" t="n"/>
      <c r="U15" s="520" t="n"/>
      <c r="V15" s="521" t="n">
        <v>6822</v>
      </c>
      <c r="W15" s="522" t="n"/>
      <c r="X15" s="523" t="n"/>
      <c r="Y15" s="524" t="n">
        <v>5381</v>
      </c>
      <c r="Z15" s="522" t="n"/>
      <c r="AA15" s="523" t="n"/>
      <c r="AB15" s="525">
        <f>Y15/V15</f>
        <v/>
      </c>
      <c r="AC15" s="522" t="n"/>
      <c r="AD15" s="523" t="n"/>
      <c r="AE15" s="524" t="n">
        <v>6734</v>
      </c>
      <c r="AF15" s="522" t="n"/>
      <c r="AG15" s="523" t="n"/>
      <c r="AH15" s="526">
        <f>AE15-V15</f>
        <v/>
      </c>
      <c r="AI15" s="522" t="n"/>
      <c r="AJ15" s="523" t="n"/>
      <c r="AK15" s="561">
        <f>AE15/V15</f>
        <v/>
      </c>
      <c r="AL15" s="522" t="n"/>
      <c r="AM15" s="520" t="n"/>
      <c r="AS15" s="37" t="inlineStr">
        <is>
          <t>REV</t>
        </is>
      </c>
      <c r="AT15" s="520" t="n"/>
      <c r="AU15" s="470" t="n">
        <v>6822</v>
      </c>
      <c r="AV15" s="471" t="n">
        <v>5381</v>
      </c>
      <c r="AW15" s="40" t="n">
        <v>0.78</v>
      </c>
      <c r="AX15" s="471" t="n">
        <v>6734</v>
      </c>
      <c r="AY15" s="472" t="n">
        <v>-88</v>
      </c>
      <c r="AZ15" s="42" t="n">
        <v>0.98</v>
      </c>
      <c r="BA15" s="471" t="n">
        <v>2365</v>
      </c>
      <c r="BB15" s="471" t="n">
        <v>1888</v>
      </c>
      <c r="BC15" s="40" t="n">
        <v>0.8</v>
      </c>
      <c r="BD15" s="471" t="n">
        <v>1994</v>
      </c>
      <c r="BE15" s="472" t="n">
        <v>-371</v>
      </c>
      <c r="BF15" s="42" t="n">
        <v>0.84</v>
      </c>
    </row>
    <row r="16" ht="15.95" customHeight="1" s="462">
      <c r="B16" s="528" t="inlineStr">
        <is>
          <t>(당월)</t>
        </is>
      </c>
      <c r="C16" s="529" t="n"/>
      <c r="D16" s="562" t="inlineStr">
        <is>
          <t>전체</t>
        </is>
      </c>
      <c r="E16" s="542" t="n"/>
      <c r="F16" s="542" t="n"/>
      <c r="G16" s="542" t="n"/>
      <c r="H16" s="542" t="n"/>
      <c r="I16" s="542" t="n"/>
      <c r="J16" s="542" t="n"/>
      <c r="K16" s="542" t="n"/>
      <c r="L16" s="542" t="n"/>
      <c r="M16" s="542" t="n"/>
      <c r="N16" s="542" t="n"/>
      <c r="O16" s="542" t="n"/>
      <c r="P16" s="542" t="n"/>
      <c r="Q16" s="542" t="n"/>
      <c r="R16" s="542" t="n"/>
      <c r="S16" s="542" t="n"/>
      <c r="T16" s="542" t="n"/>
      <c r="U16" s="543" t="n"/>
      <c r="V16" s="562" t="inlineStr">
        <is>
          <t>GS</t>
        </is>
      </c>
      <c r="W16" s="542" t="n"/>
      <c r="X16" s="542" t="n"/>
      <c r="Y16" s="542" t="n"/>
      <c r="Z16" s="542" t="n"/>
      <c r="AA16" s="542" t="n"/>
      <c r="AB16" s="542" t="n"/>
      <c r="AC16" s="542" t="n"/>
      <c r="AD16" s="542" t="n"/>
      <c r="AE16" s="542" t="n"/>
      <c r="AF16" s="542" t="n"/>
      <c r="AG16" s="542" t="n"/>
      <c r="AH16" s="542" t="n"/>
      <c r="AI16" s="542" t="n"/>
      <c r="AJ16" s="542" t="n"/>
      <c r="AK16" s="542" t="n"/>
      <c r="AL16" s="542" t="n"/>
      <c r="AM16" s="543" t="n"/>
      <c r="AS16" s="194" t="inlineStr">
        <is>
          <t>(익월)</t>
        </is>
      </c>
      <c r="AT16" s="501" t="n"/>
      <c r="AU16" s="161" t="inlineStr">
        <is>
          <t>전체</t>
        </is>
      </c>
      <c r="AV16" s="463" t="n"/>
      <c r="AW16" s="463" t="n"/>
      <c r="AX16" s="463" t="n"/>
      <c r="AY16" s="463" t="n"/>
      <c r="AZ16" s="464" t="n"/>
      <c r="BA16" s="195" t="inlineStr">
        <is>
          <t>GS</t>
        </is>
      </c>
      <c r="BB16" s="463" t="n"/>
      <c r="BC16" s="463" t="n"/>
      <c r="BD16" s="463" t="n"/>
      <c r="BE16" s="463" t="n"/>
      <c r="BF16" s="464" t="n"/>
    </row>
    <row r="17" ht="15.95" customHeight="1" s="462" thickBot="1">
      <c r="A17" s="53" t="n"/>
      <c r="B17" s="502" t="n"/>
      <c r="C17" s="503" t="n"/>
      <c r="D17" s="553" t="inlineStr">
        <is>
          <t>목표</t>
        </is>
      </c>
      <c r="E17" s="554" t="n"/>
      <c r="F17" s="555" t="n"/>
      <c r="G17" s="382" t="inlineStr">
        <is>
          <t>OTB</t>
        </is>
      </c>
      <c r="H17" s="554" t="n"/>
      <c r="I17" s="555" t="n"/>
      <c r="J17" s="556" t="inlineStr">
        <is>
          <t>진행률</t>
        </is>
      </c>
      <c r="K17" s="554" t="n"/>
      <c r="L17" s="555" t="n"/>
      <c r="M17" s="556" t="inlineStr">
        <is>
          <t>FCST</t>
        </is>
      </c>
      <c r="N17" s="554" t="n"/>
      <c r="O17" s="555" t="n"/>
      <c r="P17" s="556" t="inlineStr">
        <is>
          <t>증감</t>
        </is>
      </c>
      <c r="Q17" s="554" t="n"/>
      <c r="R17" s="555" t="n"/>
      <c r="S17" s="557" t="inlineStr">
        <is>
          <t>달성률</t>
        </is>
      </c>
      <c r="T17" s="554" t="n"/>
      <c r="U17" s="558" t="n"/>
      <c r="V17" s="553" t="inlineStr">
        <is>
          <t>목표</t>
        </is>
      </c>
      <c r="W17" s="554" t="n"/>
      <c r="X17" s="555" t="n"/>
      <c r="Y17" s="382" t="inlineStr">
        <is>
          <t>OTB</t>
        </is>
      </c>
      <c r="Z17" s="554" t="n"/>
      <c r="AA17" s="555" t="n"/>
      <c r="AB17" s="556" t="inlineStr">
        <is>
          <t>진행률</t>
        </is>
      </c>
      <c r="AC17" s="554" t="n"/>
      <c r="AD17" s="555" t="n"/>
      <c r="AE17" s="556" t="inlineStr">
        <is>
          <t>FCST</t>
        </is>
      </c>
      <c r="AF17" s="554" t="n"/>
      <c r="AG17" s="555" t="n"/>
      <c r="AH17" s="556" t="inlineStr">
        <is>
          <t>증감</t>
        </is>
      </c>
      <c r="AI17" s="554" t="n"/>
      <c r="AJ17" s="555" t="n"/>
      <c r="AK17" s="556" t="inlineStr">
        <is>
          <t>달성률</t>
        </is>
      </c>
      <c r="AL17" s="554" t="n"/>
      <c r="AM17" s="555" t="n"/>
      <c r="AP17" s="54" t="n"/>
      <c r="AS17" s="502" t="n"/>
      <c r="AT17" s="503" t="n"/>
      <c r="AU17" s="199" t="inlineStr">
        <is>
          <t>목표</t>
        </is>
      </c>
      <c r="AV17" s="227" t="inlineStr">
        <is>
          <t>OTB</t>
        </is>
      </c>
      <c r="AW17" s="229" t="inlineStr">
        <is>
          <t>진행률</t>
        </is>
      </c>
      <c r="AX17" s="229" t="inlineStr">
        <is>
          <t>FCST</t>
        </is>
      </c>
      <c r="AY17" s="229" t="inlineStr">
        <is>
          <t>증감</t>
        </is>
      </c>
      <c r="AZ17" s="229" t="inlineStr">
        <is>
          <t>달성률</t>
        </is>
      </c>
      <c r="BA17" s="229" t="inlineStr">
        <is>
          <t>목표</t>
        </is>
      </c>
      <c r="BB17" s="227" t="inlineStr">
        <is>
          <t>OTB</t>
        </is>
      </c>
      <c r="BC17" s="229" t="inlineStr">
        <is>
          <t>진행률</t>
        </is>
      </c>
      <c r="BD17" s="229" t="inlineStr">
        <is>
          <t>FCST</t>
        </is>
      </c>
      <c r="BE17" s="229" t="inlineStr">
        <is>
          <t>증감</t>
        </is>
      </c>
      <c r="BF17" s="229" t="inlineStr">
        <is>
          <t>달성률</t>
        </is>
      </c>
    </row>
    <row r="18" ht="15.95" customHeight="1" s="462" thickTop="1">
      <c r="B18" s="508" t="inlineStr">
        <is>
          <t>OCC</t>
        </is>
      </c>
      <c r="C18" s="509" t="n"/>
      <c r="D18" s="510" t="n">
        <v>0.4</v>
      </c>
      <c r="E18" s="481" t="n"/>
      <c r="F18" s="482" t="n"/>
      <c r="G18" s="511" t="n">
        <v>0.31</v>
      </c>
      <c r="H18" s="481" t="n"/>
      <c r="I18" s="482" t="n"/>
      <c r="J18" s="511">
        <f>G18/D18</f>
        <v/>
      </c>
      <c r="K18" s="481" t="n"/>
      <c r="L18" s="482" t="n"/>
      <c r="M18" s="511" t="n">
        <v>0.38</v>
      </c>
      <c r="N18" s="481" t="n"/>
      <c r="O18" s="482" t="n"/>
      <c r="P18" s="512">
        <f>M18-D18</f>
        <v/>
      </c>
      <c r="Q18" s="481" t="n"/>
      <c r="R18" s="482" t="n"/>
      <c r="S18" s="559">
        <f>M18/D18</f>
        <v/>
      </c>
      <c r="T18" s="481" t="n"/>
      <c r="U18" s="509" t="n"/>
      <c r="V18" s="510" t="n">
        <v>0.4</v>
      </c>
      <c r="W18" s="481" t="n"/>
      <c r="X18" s="482" t="n"/>
      <c r="Y18" s="511" t="n">
        <v>0.31</v>
      </c>
      <c r="Z18" s="481" t="n"/>
      <c r="AA18" s="482" t="n"/>
      <c r="AB18" s="511">
        <f>Y18/V18</f>
        <v/>
      </c>
      <c r="AC18" s="481" t="n"/>
      <c r="AD18" s="482" t="n"/>
      <c r="AE18" s="511" t="n">
        <v>0.38</v>
      </c>
      <c r="AF18" s="481" t="n"/>
      <c r="AG18" s="482" t="n"/>
      <c r="AH18" s="512">
        <f>AE18-V18</f>
        <v/>
      </c>
      <c r="AI18" s="481" t="n"/>
      <c r="AJ18" s="482" t="n"/>
      <c r="AK18" s="559">
        <f>AE18/V18</f>
        <v/>
      </c>
      <c r="AL18" s="481" t="n"/>
      <c r="AM18" s="509" t="n"/>
      <c r="AS18" s="508" t="inlineStr">
        <is>
          <t>OCC</t>
        </is>
      </c>
      <c r="AT18" s="509" t="n"/>
      <c r="AU18" s="27" t="n">
        <v>0.4</v>
      </c>
      <c r="AV18" s="28" t="n">
        <v>0.11</v>
      </c>
      <c r="AW18" s="28" t="n">
        <v>0.28</v>
      </c>
      <c r="AX18" s="28" t="n">
        <v>0.35</v>
      </c>
      <c r="AY18" s="29" t="n">
        <v>-0.04</v>
      </c>
      <c r="AZ18" s="29" t="n">
        <v>0.88</v>
      </c>
      <c r="BA18" s="28" t="n">
        <v>0.15</v>
      </c>
      <c r="BB18" s="28" t="n">
        <v>0.04</v>
      </c>
      <c r="BC18" s="28" t="n">
        <v>0.24</v>
      </c>
      <c r="BD18" s="28" t="n">
        <v>0.15</v>
      </c>
      <c r="BE18" s="473" t="n">
        <v>-0.003</v>
      </c>
      <c r="BF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514" t="n">
        <v>32864</v>
      </c>
      <c r="E19" s="484" t="n"/>
      <c r="F19" s="485" t="n"/>
      <c r="G19" s="515" t="n">
        <v>25870</v>
      </c>
      <c r="H19" s="484" t="n"/>
      <c r="I19" s="485" t="n"/>
      <c r="J19" s="516">
        <f>G19/D19</f>
        <v/>
      </c>
      <c r="K19" s="484" t="n"/>
      <c r="L19" s="485" t="n"/>
      <c r="M19" s="515" t="n">
        <v>31239</v>
      </c>
      <c r="N19" s="484" t="n"/>
      <c r="O19" s="485" t="n"/>
      <c r="P19" s="517">
        <f>M19-D19</f>
        <v/>
      </c>
      <c r="Q19" s="484" t="n"/>
      <c r="R19" s="485" t="n"/>
      <c r="S19" s="560">
        <f>M19/D19</f>
        <v/>
      </c>
      <c r="T19" s="484" t="n"/>
      <c r="U19" s="513" t="n"/>
      <c r="V19" s="514" t="n">
        <v>32864</v>
      </c>
      <c r="W19" s="484" t="n"/>
      <c r="X19" s="485" t="n"/>
      <c r="Y19" s="515" t="n">
        <v>25870</v>
      </c>
      <c r="Z19" s="484" t="n"/>
      <c r="AA19" s="485" t="n"/>
      <c r="AB19" s="516">
        <f>Y19/V19</f>
        <v/>
      </c>
      <c r="AC19" s="484" t="n"/>
      <c r="AD19" s="485" t="n"/>
      <c r="AE19" s="515" t="n">
        <v>31239</v>
      </c>
      <c r="AF19" s="484" t="n"/>
      <c r="AG19" s="485" t="n"/>
      <c r="AH19" s="517">
        <f>AE19-V19</f>
        <v/>
      </c>
      <c r="AI19" s="484" t="n"/>
      <c r="AJ19" s="485" t="n"/>
      <c r="AK19" s="560">
        <f>AE19/V19</f>
        <v/>
      </c>
      <c r="AL19" s="484" t="n"/>
      <c r="AM19" s="513" t="n"/>
      <c r="AP19" s="55" t="n"/>
      <c r="AS19" s="30" t="inlineStr">
        <is>
          <t>RNs</t>
        </is>
      </c>
      <c r="AT19" s="513" t="n"/>
      <c r="AU19" s="466" t="n">
        <v>34029</v>
      </c>
      <c r="AV19" s="467" t="n">
        <v>9599</v>
      </c>
      <c r="AW19" s="33" t="n">
        <v>0.28</v>
      </c>
      <c r="AX19" s="467" t="n">
        <v>30043</v>
      </c>
      <c r="AY19" s="468" t="n">
        <v>-3986</v>
      </c>
      <c r="AZ19" s="35" t="n">
        <v>0.88</v>
      </c>
      <c r="BA19" s="467" t="n">
        <v>13443</v>
      </c>
      <c r="BB19" s="467" t="n">
        <v>3353</v>
      </c>
      <c r="BC19" s="33" t="n">
        <v>0.25</v>
      </c>
      <c r="BD19" s="467" t="n">
        <v>13181</v>
      </c>
      <c r="BE19" s="468" t="n">
        <v>-262</v>
      </c>
      <c r="BF19" s="35" t="n">
        <v>0.98</v>
      </c>
    </row>
    <row r="20" ht="15.95" customHeight="1" s="462">
      <c r="A20" s="53" t="n"/>
      <c r="B20" s="30" t="inlineStr">
        <is>
          <t>ADR</t>
        </is>
      </c>
      <c r="C20" s="513" t="n"/>
      <c r="D20" s="514" t="n">
        <v>208</v>
      </c>
      <c r="E20" s="484" t="n"/>
      <c r="F20" s="485" t="n"/>
      <c r="G20" s="515" t="n">
        <v>208</v>
      </c>
      <c r="H20" s="484" t="n"/>
      <c r="I20" s="485" t="n"/>
      <c r="J20" s="516">
        <f>G20/D20</f>
        <v/>
      </c>
      <c r="K20" s="484" t="n"/>
      <c r="L20" s="485" t="n"/>
      <c r="M20" s="515" t="n">
        <v>216</v>
      </c>
      <c r="N20" s="484" t="n"/>
      <c r="O20" s="485" t="n"/>
      <c r="P20" s="519">
        <f>M20-D20</f>
        <v/>
      </c>
      <c r="Q20" s="484" t="n"/>
      <c r="R20" s="485" t="n"/>
      <c r="S20" s="560">
        <f>M20/D20</f>
        <v/>
      </c>
      <c r="T20" s="484" t="n"/>
      <c r="U20" s="513" t="n"/>
      <c r="V20" s="514" t="n">
        <v>208</v>
      </c>
      <c r="W20" s="484" t="n"/>
      <c r="X20" s="485" t="n"/>
      <c r="Y20" s="515" t="n">
        <v>208</v>
      </c>
      <c r="Z20" s="484" t="n"/>
      <c r="AA20" s="485" t="n"/>
      <c r="AB20" s="516">
        <f>Y20/V20</f>
        <v/>
      </c>
      <c r="AC20" s="484" t="n"/>
      <c r="AD20" s="485" t="n"/>
      <c r="AE20" s="515" t="n">
        <v>216</v>
      </c>
      <c r="AF20" s="484" t="n"/>
      <c r="AG20" s="485" t="n"/>
      <c r="AH20" s="519">
        <f>AE20-V20</f>
        <v/>
      </c>
      <c r="AI20" s="484" t="n"/>
      <c r="AJ20" s="485" t="n"/>
      <c r="AK20" s="560">
        <f>AE20/V20</f>
        <v/>
      </c>
      <c r="AL20" s="484" t="n"/>
      <c r="AM20" s="513" t="n"/>
      <c r="AS20" s="30" t="inlineStr">
        <is>
          <t>ADR</t>
        </is>
      </c>
      <c r="AT20" s="513" t="n"/>
      <c r="AU20" s="466" t="n">
        <v>190</v>
      </c>
      <c r="AV20" s="467" t="n">
        <v>190</v>
      </c>
      <c r="AW20" s="33" t="n">
        <v>1</v>
      </c>
      <c r="AX20" s="467" t="n">
        <v>197</v>
      </c>
      <c r="AY20" s="469" t="n">
        <v>7</v>
      </c>
      <c r="AZ20" s="33" t="n">
        <v>1.03</v>
      </c>
      <c r="BA20" s="467" t="n">
        <v>193</v>
      </c>
      <c r="BB20" s="467" t="n">
        <v>211</v>
      </c>
      <c r="BC20" s="33" t="n">
        <v>1.09</v>
      </c>
      <c r="BD20" s="467" t="n">
        <v>205</v>
      </c>
      <c r="BE20" s="474" t="n">
        <v>12</v>
      </c>
      <c r="BF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521" t="n">
        <v>6822</v>
      </c>
      <c r="E21" s="522" t="n"/>
      <c r="F21" s="523" t="n"/>
      <c r="G21" s="524" t="n">
        <v>5381</v>
      </c>
      <c r="H21" s="522" t="n"/>
      <c r="I21" s="523" t="n"/>
      <c r="J21" s="525">
        <f>G21/D21</f>
        <v/>
      </c>
      <c r="K21" s="522" t="n"/>
      <c r="L21" s="523" t="n"/>
      <c r="M21" s="524" t="n">
        <v>6734</v>
      </c>
      <c r="N21" s="522" t="n"/>
      <c r="O21" s="523" t="n"/>
      <c r="P21" s="526">
        <f>M21-D21</f>
        <v/>
      </c>
      <c r="Q21" s="522" t="n"/>
      <c r="R21" s="523" t="n"/>
      <c r="S21" s="561">
        <f>M21/D21</f>
        <v/>
      </c>
      <c r="T21" s="522" t="n"/>
      <c r="U21" s="520" t="n"/>
      <c r="V21" s="521" t="n">
        <v>6822</v>
      </c>
      <c r="W21" s="522" t="n"/>
      <c r="X21" s="523" t="n"/>
      <c r="Y21" s="524" t="n">
        <v>5381</v>
      </c>
      <c r="Z21" s="522" t="n"/>
      <c r="AA21" s="523" t="n"/>
      <c r="AB21" s="525">
        <f>Y21/V21</f>
        <v/>
      </c>
      <c r="AC21" s="522" t="n"/>
      <c r="AD21" s="523" t="n"/>
      <c r="AE21" s="524" t="n">
        <v>6734</v>
      </c>
      <c r="AF21" s="522" t="n"/>
      <c r="AG21" s="523" t="n"/>
      <c r="AH21" s="526">
        <f>AE21-V21</f>
        <v/>
      </c>
      <c r="AI21" s="522" t="n"/>
      <c r="AJ21" s="523" t="n"/>
      <c r="AK21" s="561">
        <f>AE21/V21</f>
        <v/>
      </c>
      <c r="AL21" s="522" t="n"/>
      <c r="AM21" s="520" t="n"/>
      <c r="AS21" s="37" t="inlineStr">
        <is>
          <t>REV</t>
        </is>
      </c>
      <c r="AT21" s="520" t="n"/>
      <c r="AU21" s="470" t="n">
        <v>6454</v>
      </c>
      <c r="AV21" s="471" t="n">
        <v>1824</v>
      </c>
      <c r="AW21" s="40" t="n">
        <v>0.28</v>
      </c>
      <c r="AX21" s="471" t="n">
        <v>5919</v>
      </c>
      <c r="AY21" s="475" t="n">
        <v>-535</v>
      </c>
      <c r="AZ21" s="42" t="n">
        <v>0.91</v>
      </c>
      <c r="BA21" s="471" t="n">
        <v>2594</v>
      </c>
      <c r="BB21" s="471" t="n">
        <v>707</v>
      </c>
      <c r="BC21" s="40" t="n">
        <v>0.27</v>
      </c>
      <c r="BD21" s="471" t="n">
        <v>2702</v>
      </c>
      <c r="BE21" s="476" t="n">
        <v>108</v>
      </c>
      <c r="BF21" s="48" t="n">
        <v>1.04</v>
      </c>
    </row>
    <row r="23" ht="15.95" customHeight="1" s="462">
      <c r="A23" s="203" t="inlineStr">
        <is>
          <t>3. 상품 운영(안)</t>
        </is>
      </c>
      <c r="X23" s="316" t="n"/>
      <c r="AE23" s="316" t="n"/>
    </row>
    <row r="24" ht="15.95" customHeight="1" s="462" thickBot="1">
      <c r="B24" s="317" t="inlineStr">
        <is>
          <t>구 분</t>
        </is>
      </c>
      <c r="C24" s="530" t="n"/>
      <c r="D24" s="198" t="n"/>
      <c r="E24" s="198" t="n"/>
      <c r="F24" s="198" t="n"/>
      <c r="G24" s="198" t="n"/>
      <c r="H24" s="198" t="n"/>
      <c r="I24" s="312" t="inlineStr">
        <is>
          <t>내 용</t>
        </is>
      </c>
      <c r="J24" s="478" t="n"/>
      <c r="K24" s="478" t="n"/>
      <c r="L24" s="478" t="n"/>
      <c r="M24" s="478" t="n"/>
      <c r="N24" s="478" t="n"/>
      <c r="O24" s="478" t="n"/>
      <c r="P24" s="478" t="n"/>
      <c r="Q24" s="478" t="n"/>
      <c r="R24" s="478" t="n"/>
      <c r="S24" s="478" t="n"/>
      <c r="T24" s="478" t="n"/>
      <c r="U24" s="478" t="n"/>
      <c r="V24" s="478" t="n"/>
      <c r="W24" s="478" t="n"/>
      <c r="X24" s="478" t="n"/>
      <c r="Y24" s="478" t="n"/>
      <c r="Z24" s="478" t="n"/>
      <c r="AA24" s="478" t="n"/>
      <c r="AB24" s="478" t="n"/>
      <c r="AC24" s="478" t="n"/>
      <c r="AD24" s="478" t="n"/>
      <c r="AE24" s="478" t="n"/>
      <c r="AF24" s="478" t="n"/>
      <c r="AG24" s="478" t="n"/>
      <c r="AH24" s="478" t="n"/>
      <c r="AI24" s="478" t="n"/>
      <c r="AJ24" s="478" t="n"/>
      <c r="AK24" s="478" t="n"/>
      <c r="AL24" s="478" t="n"/>
      <c r="AM24" s="530" t="n"/>
    </row>
    <row r="25" ht="15.95" customHeight="1" s="462" thickTop="1">
      <c r="B25" s="370" t="inlineStr">
        <is>
          <t>상품명</t>
        </is>
      </c>
      <c r="C25" s="563" t="n"/>
      <c r="D25" s="564" t="inlineStr">
        <is>
          <t xml:space="preserve"> · [핫딜] SONO WINNERS FESTA</t>
        </is>
      </c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1" t="n"/>
      <c r="V25" s="481" t="n"/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1" t="n"/>
      <c r="AF25" s="481" t="n"/>
      <c r="AG25" s="481" t="n"/>
      <c r="AH25" s="481" t="n"/>
      <c r="AI25" s="481" t="n"/>
      <c r="AJ25" s="481" t="n"/>
      <c r="AK25" s="481" t="n"/>
      <c r="AL25" s="481" t="n"/>
      <c r="AM25" s="482" t="n"/>
    </row>
    <row r="26" ht="15.95" customHeight="1" s="462">
      <c r="B26" s="365" t="inlineStr">
        <is>
          <t>사업장</t>
        </is>
      </c>
      <c r="C26" s="565" t="n"/>
      <c r="D26" s="566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484" t="n"/>
      <c r="P26" s="484" t="n"/>
      <c r="Q26" s="484" t="n"/>
      <c r="R26" s="484" t="n"/>
      <c r="S26" s="484" t="n"/>
      <c r="T26" s="484" t="n"/>
      <c r="U26" s="484" t="n"/>
      <c r="V26" s="484" t="n"/>
      <c r="W26" s="484" t="n"/>
      <c r="X26" s="484" t="n"/>
      <c r="Y26" s="484" t="n"/>
      <c r="Z26" s="484" t="n"/>
      <c r="AA26" s="484" t="n"/>
      <c r="AB26" s="484" t="n"/>
      <c r="AC26" s="484" t="n"/>
      <c r="AD26" s="484" t="n"/>
      <c r="AE26" s="484" t="n"/>
      <c r="AF26" s="484" t="n"/>
      <c r="AG26" s="484" t="n"/>
      <c r="AH26" s="484" t="n"/>
      <c r="AI26" s="484" t="n"/>
      <c r="AJ26" s="484" t="n"/>
      <c r="AK26" s="484" t="n"/>
      <c r="AL26" s="484" t="n"/>
      <c r="AM26" s="485" t="n"/>
    </row>
    <row r="27" ht="15.95" customHeight="1" s="462">
      <c r="B27" s="365" t="inlineStr">
        <is>
          <t>판매채널</t>
        </is>
      </c>
      <c r="C27" s="565" t="n"/>
      <c r="D27" s="566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484" t="n"/>
      <c r="P27" s="484" t="n"/>
      <c r="Q27" s="484" t="n"/>
      <c r="R27" s="484" t="n"/>
      <c r="S27" s="484" t="n"/>
      <c r="T27" s="484" t="n"/>
      <c r="U27" s="484" t="n"/>
      <c r="V27" s="484" t="n"/>
      <c r="W27" s="484" t="n"/>
      <c r="X27" s="484" t="n"/>
      <c r="Y27" s="484" t="n"/>
      <c r="Z27" s="484" t="n"/>
      <c r="AA27" s="484" t="n"/>
      <c r="AB27" s="484" t="n"/>
      <c r="AC27" s="484" t="n"/>
      <c r="AD27" s="484" t="n"/>
      <c r="AE27" s="484" t="n"/>
      <c r="AF27" s="484" t="n"/>
      <c r="AG27" s="484" t="n"/>
      <c r="AH27" s="484" t="n"/>
      <c r="AI27" s="484" t="n"/>
      <c r="AJ27" s="484" t="n"/>
      <c r="AK27" s="484" t="n"/>
      <c r="AL27" s="484" t="n"/>
      <c r="AM27" s="48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566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484" t="n"/>
      <c r="P28" s="484" t="n"/>
      <c r="Q28" s="484" t="n"/>
      <c r="R28" s="484" t="n"/>
      <c r="S28" s="484" t="n"/>
      <c r="T28" s="484" t="n"/>
      <c r="U28" s="484" t="n"/>
      <c r="V28" s="484" t="n"/>
      <c r="W28" s="484" t="n"/>
      <c r="X28" s="484" t="n"/>
      <c r="Y28" s="484" t="n"/>
      <c r="Z28" s="484" t="n"/>
      <c r="AA28" s="484" t="n"/>
      <c r="AB28" s="484" t="n"/>
      <c r="AC28" s="484" t="n"/>
      <c r="AD28" s="484" t="n"/>
      <c r="AE28" s="484" t="n"/>
      <c r="AF28" s="484" t="n"/>
      <c r="AG28" s="484" t="n"/>
      <c r="AH28" s="484" t="n"/>
      <c r="AI28" s="484" t="n"/>
      <c r="AJ28" s="484" t="n"/>
      <c r="AK28" s="484" t="n"/>
      <c r="AL28" s="484" t="n"/>
      <c r="AM28" s="485" t="n"/>
    </row>
    <row r="29" ht="15.95" customHeight="1" s="462">
      <c r="B29" s="567" t="n"/>
      <c r="C29" s="100" t="inlineStr">
        <is>
          <t>투숙</t>
        </is>
      </c>
      <c r="D29" s="566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484" t="n"/>
      <c r="P29" s="484" t="n"/>
      <c r="Q29" s="484" t="n"/>
      <c r="R29" s="484" t="n"/>
      <c r="S29" s="484" t="n"/>
      <c r="T29" s="484" t="n"/>
      <c r="U29" s="484" t="n"/>
      <c r="V29" s="484" t="n"/>
      <c r="W29" s="484" t="n"/>
      <c r="X29" s="484" t="n"/>
      <c r="Y29" s="484" t="n"/>
      <c r="Z29" s="484" t="n"/>
      <c r="AA29" s="484" t="n"/>
      <c r="AB29" s="484" t="n"/>
      <c r="AC29" s="484" t="n"/>
      <c r="AD29" s="484" t="n"/>
      <c r="AE29" s="484" t="n"/>
      <c r="AF29" s="484" t="n"/>
      <c r="AG29" s="484" t="n"/>
      <c r="AH29" s="484" t="n"/>
      <c r="AI29" s="484" t="n"/>
      <c r="AJ29" s="484" t="n"/>
      <c r="AK29" s="484" t="n"/>
      <c r="AL29" s="484" t="n"/>
      <c r="AM29" s="48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566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484" t="n"/>
      <c r="P30" s="484" t="n"/>
      <c r="Q30" s="484" t="n"/>
      <c r="R30" s="484" t="n"/>
      <c r="S30" s="484" t="n"/>
      <c r="T30" s="484" t="n"/>
      <c r="U30" s="484" t="n"/>
      <c r="V30" s="484" t="n"/>
      <c r="W30" s="484" t="n"/>
      <c r="X30" s="484" t="n"/>
      <c r="Y30" s="484" t="n"/>
      <c r="Z30" s="484" t="n"/>
      <c r="AA30" s="484" t="n"/>
      <c r="AB30" s="484" t="n"/>
      <c r="AC30" s="484" t="n"/>
      <c r="AD30" s="484" t="n"/>
      <c r="AE30" s="484" t="n"/>
      <c r="AF30" s="484" t="n"/>
      <c r="AG30" s="484" t="n"/>
      <c r="AH30" s="484" t="n"/>
      <c r="AI30" s="484" t="n"/>
      <c r="AJ30" s="484" t="n"/>
      <c r="AK30" s="484" t="n"/>
      <c r="AL30" s="484" t="n"/>
      <c r="AM30" s="485" t="n"/>
    </row>
    <row r="31" ht="15.95" customHeight="1" s="462">
      <c r="B31" s="567" t="n"/>
      <c r="C31" s="101" t="inlineStr">
        <is>
          <t>제공혜택</t>
        </is>
      </c>
      <c r="D31" s="540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22" t="n"/>
      <c r="P31" s="522" t="n"/>
      <c r="Q31" s="522" t="n"/>
      <c r="R31" s="522" t="n"/>
      <c r="S31" s="522" t="n"/>
      <c r="T31" s="522" t="n"/>
      <c r="U31" s="522" t="n"/>
      <c r="V31" s="522" t="n"/>
      <c r="W31" s="522" t="n"/>
      <c r="X31" s="522" t="n"/>
      <c r="Y31" s="522" t="n"/>
      <c r="Z31" s="522" t="n"/>
      <c r="AA31" s="522" t="n"/>
      <c r="AB31" s="522" t="n"/>
      <c r="AC31" s="522" t="n"/>
      <c r="AD31" s="522" t="n"/>
      <c r="AE31" s="522" t="n"/>
      <c r="AF31" s="522" t="n"/>
      <c r="AG31" s="522" t="n"/>
      <c r="AH31" s="522" t="n"/>
      <c r="AI31" s="522" t="n"/>
      <c r="AJ31" s="522" t="n"/>
      <c r="AK31" s="522" t="n"/>
      <c r="AL31" s="522" t="n"/>
      <c r="AM31" s="523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250" t="inlineStr">
        <is>
          <t>객실</t>
        </is>
      </c>
      <c r="E35" s="545" t="n"/>
      <c r="F35" s="545" t="n"/>
      <c r="G35" s="545" t="n"/>
      <c r="H35" s="545" t="n"/>
      <c r="I35" s="545" t="n"/>
      <c r="J35" s="545" t="n"/>
      <c r="K35" s="545" t="n"/>
      <c r="L35" s="545" t="n"/>
      <c r="M35" s="545" t="n"/>
      <c r="N35" s="545" t="n"/>
      <c r="O35" s="546" t="n"/>
      <c r="P35" s="253" t="inlineStr">
        <is>
          <t>부대</t>
        </is>
      </c>
      <c r="Q35" s="537" t="n"/>
      <c r="R35" s="537" t="n"/>
      <c r="S35" s="537" t="n"/>
      <c r="T35" s="537" t="n"/>
      <c r="U35" s="537" t="n"/>
      <c r="V35" s="537" t="n"/>
      <c r="W35" s="537" t="n"/>
      <c r="X35" s="537" t="n"/>
      <c r="Y35" s="537" t="n"/>
      <c r="Z35" s="537" t="n"/>
      <c r="AA35" s="538" t="n"/>
      <c r="AB35" s="253" t="inlineStr">
        <is>
          <t>판매가</t>
        </is>
      </c>
      <c r="AC35" s="537" t="n"/>
      <c r="AD35" s="537" t="n"/>
      <c r="AE35" s="537" t="n"/>
      <c r="AF35" s="537" t="n"/>
      <c r="AG35" s="537" t="n"/>
      <c r="AH35" s="537" t="n"/>
      <c r="AI35" s="537" t="n"/>
      <c r="AJ35" s="537" t="n"/>
      <c r="AK35" s="537" t="n"/>
      <c r="AL35" s="537" t="n"/>
      <c r="AM35" s="538" t="n"/>
    </row>
    <row r="36" ht="15.95" customHeight="1" s="462" thickBot="1">
      <c r="B36" s="502" t="n"/>
      <c r="C36" s="503" t="n"/>
      <c r="D36" s="242" t="inlineStr">
        <is>
          <t>회원</t>
        </is>
      </c>
      <c r="E36" s="478" t="n"/>
      <c r="F36" s="478" t="n"/>
      <c r="G36" s="479" t="n"/>
      <c r="H36" s="229" t="inlineStr">
        <is>
          <t>FIT</t>
        </is>
      </c>
      <c r="I36" s="478" t="n"/>
      <c r="J36" s="478" t="n"/>
      <c r="K36" s="479" t="n"/>
      <c r="L36" s="229" t="inlineStr">
        <is>
          <t>GAP</t>
        </is>
      </c>
      <c r="M36" s="478" t="n"/>
      <c r="N36" s="478" t="n"/>
      <c r="O36" s="479" t="n"/>
      <c r="P36" s="199" t="inlineStr">
        <is>
          <t>회원</t>
        </is>
      </c>
      <c r="Q36" s="478" t="n"/>
      <c r="R36" s="478" t="n"/>
      <c r="S36" s="479" t="n"/>
      <c r="T36" s="229" t="inlineStr">
        <is>
          <t>FIT</t>
        </is>
      </c>
      <c r="U36" s="478" t="n"/>
      <c r="V36" s="478" t="n"/>
      <c r="W36" s="479" t="n"/>
      <c r="X36" s="229" t="inlineStr">
        <is>
          <t>GAP</t>
        </is>
      </c>
      <c r="Y36" s="478" t="n"/>
      <c r="Z36" s="478" t="n"/>
      <c r="AA36" s="479" t="n"/>
      <c r="AB36" s="199" t="inlineStr">
        <is>
          <t>회원</t>
        </is>
      </c>
      <c r="AC36" s="478" t="n"/>
      <c r="AD36" s="478" t="n"/>
      <c r="AE36" s="479" t="n"/>
      <c r="AF36" s="229" t="inlineStr">
        <is>
          <t>FIT</t>
        </is>
      </c>
      <c r="AG36" s="478" t="n"/>
      <c r="AH36" s="478" t="n"/>
      <c r="AI36" s="479" t="n"/>
      <c r="AJ36" s="229" t="inlineStr">
        <is>
          <t>GAP</t>
        </is>
      </c>
      <c r="AK36" s="478" t="n"/>
      <c r="AL36" s="478" t="n"/>
      <c r="AM36" s="479" t="n"/>
    </row>
    <row r="37" ht="15.95" customHeight="1" s="462" thickTop="1">
      <c r="B37" s="359" t="inlineStr">
        <is>
          <t>주중</t>
        </is>
      </c>
      <c r="C37" s="144" t="inlineStr">
        <is>
          <t>정상가</t>
        </is>
      </c>
      <c r="D37" s="240" t="inlineStr">
        <is>
          <t>8~10만원</t>
        </is>
      </c>
      <c r="E37" s="481" t="n"/>
      <c r="F37" s="481" t="n"/>
      <c r="G37" s="482" t="n"/>
      <c r="H37" s="221" t="n"/>
      <c r="I37" s="481" t="n"/>
      <c r="J37" s="481" t="n"/>
      <c r="K37" s="482" t="n"/>
      <c r="L37" s="221" t="n"/>
      <c r="M37" s="481" t="n"/>
      <c r="N37" s="481" t="n"/>
      <c r="O37" s="482" t="n"/>
      <c r="P37" s="239" t="inlineStr">
        <is>
          <t>부대 합계</t>
        </is>
      </c>
      <c r="Q37" s="481" t="n"/>
      <c r="R37" s="481" t="n"/>
      <c r="S37" s="482" t="n"/>
      <c r="T37" s="221" t="n"/>
      <c r="U37" s="481" t="n"/>
      <c r="V37" s="481" t="n"/>
      <c r="W37" s="482" t="n"/>
      <c r="X37" s="221" t="n"/>
      <c r="Y37" s="481" t="n"/>
      <c r="Z37" s="481" t="n"/>
      <c r="AA37" s="482" t="n"/>
      <c r="AB37" s="239" t="inlineStr">
        <is>
          <t>객실 + 부대</t>
        </is>
      </c>
      <c r="AC37" s="481" t="n"/>
      <c r="AD37" s="481" t="n"/>
      <c r="AE37" s="482" t="n"/>
      <c r="AF37" s="221" t="n"/>
      <c r="AG37" s="481" t="n"/>
      <c r="AH37" s="481" t="n"/>
      <c r="AI37" s="482" t="n"/>
      <c r="AJ37" s="221" t="n"/>
      <c r="AK37" s="481" t="n"/>
      <c r="AL37" s="481" t="n"/>
      <c r="AM37" s="482" t="n"/>
      <c r="AN37" s="54" t="inlineStr">
        <is>
          <t xml:space="preserve">* 퐅폰트 크기 9 이상 </t>
        </is>
      </c>
    </row>
    <row r="38" ht="15.95" customHeight="1" s="462">
      <c r="B38" s="496" t="n"/>
      <c r="C38" s="145" t="inlineStr">
        <is>
          <t>배분가</t>
        </is>
      </c>
      <c r="D38" s="569" t="inlineStr">
        <is>
          <t>미판매</t>
        </is>
      </c>
      <c r="E38" s="570" t="n"/>
      <c r="F38" s="570" t="n"/>
      <c r="G38" s="571" t="n"/>
      <c r="H38" s="206" t="n"/>
      <c r="I38" s="484" t="n"/>
      <c r="J38" s="484" t="n"/>
      <c r="K38" s="485" t="n"/>
      <c r="L38" s="206" t="n"/>
      <c r="M38" s="484" t="n"/>
      <c r="N38" s="484" t="n"/>
      <c r="O38" s="485" t="n"/>
      <c r="P38" s="569" t="inlineStr">
        <is>
          <t>미판매</t>
        </is>
      </c>
      <c r="Q38" s="570" t="n"/>
      <c r="R38" s="570" t="n"/>
      <c r="S38" s="571" t="n"/>
      <c r="T38" s="206" t="n"/>
      <c r="U38" s="484" t="n"/>
      <c r="V38" s="484" t="n"/>
      <c r="W38" s="485" t="n"/>
      <c r="X38" s="206" t="n"/>
      <c r="Y38" s="484" t="n"/>
      <c r="Z38" s="484" t="n"/>
      <c r="AA38" s="485" t="n"/>
      <c r="AB38" s="569" t="inlineStr">
        <is>
          <t>미판매</t>
        </is>
      </c>
      <c r="AC38" s="570" t="n"/>
      <c r="AD38" s="570" t="n"/>
      <c r="AE38" s="571" t="n"/>
      <c r="AF38" s="206" t="n"/>
      <c r="AG38" s="484" t="n"/>
      <c r="AH38" s="484" t="n"/>
      <c r="AI38" s="485" t="n"/>
      <c r="AJ38" s="206" t="n"/>
      <c r="AK38" s="484" t="n"/>
      <c r="AL38" s="484" t="n"/>
      <c r="AM38" s="485" t="n"/>
    </row>
    <row r="39" ht="15.95" customHeight="1" s="462">
      <c r="B39" s="567" t="n"/>
      <c r="C39" s="146" t="inlineStr">
        <is>
          <t>할인율</t>
        </is>
      </c>
      <c r="D39" s="572" t="n"/>
      <c r="E39" s="477" t="n"/>
      <c r="F39" s="477" t="n"/>
      <c r="G39" s="573" t="n"/>
      <c r="H39" s="209" t="n"/>
      <c r="I39" s="522" t="n"/>
      <c r="J39" s="522" t="n"/>
      <c r="K39" s="523" t="n"/>
      <c r="L39" s="209" t="n"/>
      <c r="M39" s="522" t="n"/>
      <c r="N39" s="522" t="n"/>
      <c r="O39" s="523" t="n"/>
      <c r="P39" s="572" t="n"/>
      <c r="Q39" s="477" t="n"/>
      <c r="R39" s="477" t="n"/>
      <c r="S39" s="573" t="n"/>
      <c r="T39" s="209" t="n"/>
      <c r="U39" s="522" t="n"/>
      <c r="V39" s="522" t="n"/>
      <c r="W39" s="523" t="n"/>
      <c r="X39" s="209" t="n"/>
      <c r="Y39" s="522" t="n"/>
      <c r="Z39" s="522" t="n"/>
      <c r="AA39" s="523" t="n"/>
      <c r="AB39" s="572" t="n"/>
      <c r="AC39" s="477" t="n"/>
      <c r="AD39" s="477" t="n"/>
      <c r="AE39" s="573" t="n"/>
      <c r="AF39" s="209" t="n"/>
      <c r="AG39" s="522" t="n"/>
      <c r="AH39" s="522" t="n"/>
      <c r="AI39" s="523" t="n"/>
      <c r="AJ39" s="209" t="n"/>
      <c r="AK39" s="522" t="n"/>
      <c r="AL39" s="522" t="n"/>
      <c r="AM39" s="523" t="n"/>
    </row>
    <row r="40" ht="15.95" customHeight="1" s="462">
      <c r="B40" s="356" t="inlineStr">
        <is>
          <t>금</t>
        </is>
      </c>
      <c r="C40" s="147" t="inlineStr">
        <is>
          <t>정상가</t>
        </is>
      </c>
      <c r="D40" s="234" t="n"/>
      <c r="E40" s="542" t="n"/>
      <c r="F40" s="542" t="n"/>
      <c r="G40" s="543" t="n"/>
      <c r="H40" s="235" t="n"/>
      <c r="I40" s="542" t="n"/>
      <c r="J40" s="542" t="n"/>
      <c r="K40" s="543" t="n"/>
      <c r="L40" s="235" t="n"/>
      <c r="M40" s="542" t="n"/>
      <c r="N40" s="542" t="n"/>
      <c r="O40" s="543" t="n"/>
      <c r="P40" s="237" t="n"/>
      <c r="Q40" s="542" t="n"/>
      <c r="R40" s="542" t="n"/>
      <c r="S40" s="543" t="n"/>
      <c r="T40" s="235" t="n"/>
      <c r="U40" s="542" t="n"/>
      <c r="V40" s="542" t="n"/>
      <c r="W40" s="543" t="n"/>
      <c r="X40" s="235" t="n"/>
      <c r="Y40" s="542" t="n"/>
      <c r="Z40" s="542" t="n"/>
      <c r="AA40" s="543" t="n"/>
      <c r="AB40" s="237" t="n"/>
      <c r="AC40" s="542" t="n"/>
      <c r="AD40" s="542" t="n"/>
      <c r="AE40" s="543" t="n"/>
      <c r="AF40" s="235" t="n"/>
      <c r="AG40" s="542" t="n"/>
      <c r="AH40" s="542" t="n"/>
      <c r="AI40" s="543" t="n"/>
      <c r="AJ40" s="235" t="n"/>
      <c r="AK40" s="542" t="n"/>
      <c r="AL40" s="542" t="n"/>
      <c r="AM40" s="543" t="n"/>
    </row>
    <row r="41" ht="15.95" customHeight="1" s="462">
      <c r="B41" s="496" t="n"/>
      <c r="C41" s="145" t="inlineStr">
        <is>
          <t>배분가</t>
        </is>
      </c>
      <c r="D41" s="569" t="inlineStr">
        <is>
          <t>미판매</t>
        </is>
      </c>
      <c r="E41" s="570" t="n"/>
      <c r="F41" s="570" t="n"/>
      <c r="G41" s="571" t="n"/>
      <c r="H41" s="206" t="n"/>
      <c r="I41" s="484" t="n"/>
      <c r="J41" s="484" t="n"/>
      <c r="K41" s="485" t="n"/>
      <c r="L41" s="206" t="n"/>
      <c r="M41" s="484" t="n"/>
      <c r="N41" s="484" t="n"/>
      <c r="O41" s="485" t="n"/>
      <c r="P41" s="569" t="inlineStr">
        <is>
          <t>미판매</t>
        </is>
      </c>
      <c r="Q41" s="570" t="n"/>
      <c r="R41" s="570" t="n"/>
      <c r="S41" s="571" t="n"/>
      <c r="T41" s="206" t="n"/>
      <c r="U41" s="484" t="n"/>
      <c r="V41" s="484" t="n"/>
      <c r="W41" s="485" t="n"/>
      <c r="X41" s="206" t="n"/>
      <c r="Y41" s="484" t="n"/>
      <c r="Z41" s="484" t="n"/>
      <c r="AA41" s="485" t="n"/>
      <c r="AB41" s="569" t="inlineStr">
        <is>
          <t>미판매</t>
        </is>
      </c>
      <c r="AC41" s="570" t="n"/>
      <c r="AD41" s="570" t="n"/>
      <c r="AE41" s="571" t="n"/>
      <c r="AF41" s="206" t="n"/>
      <c r="AG41" s="484" t="n"/>
      <c r="AH41" s="484" t="n"/>
      <c r="AI41" s="485" t="n"/>
      <c r="AJ41" s="206" t="n"/>
      <c r="AK41" s="484" t="n"/>
      <c r="AL41" s="484" t="n"/>
      <c r="AM41" s="485" t="n"/>
    </row>
    <row r="42" ht="15.95" customHeight="1" s="462">
      <c r="B42" s="567" t="n"/>
      <c r="C42" s="146" t="inlineStr">
        <is>
          <t>할인율</t>
        </is>
      </c>
      <c r="D42" s="572" t="n"/>
      <c r="E42" s="477" t="n"/>
      <c r="F42" s="477" t="n"/>
      <c r="G42" s="573" t="n"/>
      <c r="H42" s="209" t="n"/>
      <c r="I42" s="522" t="n"/>
      <c r="J42" s="522" t="n"/>
      <c r="K42" s="523" t="n"/>
      <c r="L42" s="209" t="n"/>
      <c r="M42" s="522" t="n"/>
      <c r="N42" s="522" t="n"/>
      <c r="O42" s="523" t="n"/>
      <c r="P42" s="572" t="n"/>
      <c r="Q42" s="477" t="n"/>
      <c r="R42" s="477" t="n"/>
      <c r="S42" s="573" t="n"/>
      <c r="T42" s="209" t="n"/>
      <c r="U42" s="522" t="n"/>
      <c r="V42" s="522" t="n"/>
      <c r="W42" s="523" t="n"/>
      <c r="X42" s="209" t="n"/>
      <c r="Y42" s="522" t="n"/>
      <c r="Z42" s="522" t="n"/>
      <c r="AA42" s="523" t="n"/>
      <c r="AB42" s="572" t="n"/>
      <c r="AC42" s="477" t="n"/>
      <c r="AD42" s="477" t="n"/>
      <c r="AE42" s="573" t="n"/>
      <c r="AF42" s="209" t="n"/>
      <c r="AG42" s="522" t="n"/>
      <c r="AH42" s="522" t="n"/>
      <c r="AI42" s="523" t="n"/>
      <c r="AJ42" s="209" t="n"/>
      <c r="AK42" s="522" t="n"/>
      <c r="AL42" s="522" t="n"/>
      <c r="AM42" s="523" t="n"/>
    </row>
    <row r="43" ht="15.95" customHeight="1" s="462">
      <c r="B43" s="356" t="inlineStr">
        <is>
          <t>토</t>
        </is>
      </c>
      <c r="C43" s="147" t="inlineStr">
        <is>
          <t>정상가</t>
        </is>
      </c>
      <c r="D43" s="234" t="n"/>
      <c r="E43" s="542" t="n"/>
      <c r="F43" s="542" t="n"/>
      <c r="G43" s="543" t="n"/>
      <c r="H43" s="235" t="n"/>
      <c r="I43" s="542" t="n"/>
      <c r="J43" s="542" t="n"/>
      <c r="K43" s="543" t="n"/>
      <c r="L43" s="235" t="n"/>
      <c r="M43" s="542" t="n"/>
      <c r="N43" s="542" t="n"/>
      <c r="O43" s="543" t="n"/>
      <c r="P43" s="237" t="n"/>
      <c r="Q43" s="542" t="n"/>
      <c r="R43" s="542" t="n"/>
      <c r="S43" s="543" t="n"/>
      <c r="T43" s="235" t="n"/>
      <c r="U43" s="542" t="n"/>
      <c r="V43" s="542" t="n"/>
      <c r="W43" s="543" t="n"/>
      <c r="X43" s="235" t="n"/>
      <c r="Y43" s="542" t="n"/>
      <c r="Z43" s="542" t="n"/>
      <c r="AA43" s="543" t="n"/>
      <c r="AB43" s="237" t="n"/>
      <c r="AC43" s="542" t="n"/>
      <c r="AD43" s="542" t="n"/>
      <c r="AE43" s="543" t="n"/>
      <c r="AF43" s="235" t="n"/>
      <c r="AG43" s="542" t="n"/>
      <c r="AH43" s="542" t="n"/>
      <c r="AI43" s="543" t="n"/>
      <c r="AJ43" s="235" t="n"/>
      <c r="AK43" s="542" t="n"/>
      <c r="AL43" s="542" t="n"/>
      <c r="AM43" s="543" t="n"/>
    </row>
    <row r="44" ht="15.95" customHeight="1" s="462">
      <c r="B44" s="496" t="n"/>
      <c r="C44" s="145" t="inlineStr">
        <is>
          <t>배분가</t>
        </is>
      </c>
      <c r="D44" s="569" t="inlineStr">
        <is>
          <t>미판매</t>
        </is>
      </c>
      <c r="E44" s="570" t="n"/>
      <c r="F44" s="570" t="n"/>
      <c r="G44" s="571" t="n"/>
      <c r="H44" s="206" t="n"/>
      <c r="I44" s="484" t="n"/>
      <c r="J44" s="484" t="n"/>
      <c r="K44" s="485" t="n"/>
      <c r="L44" s="206" t="n"/>
      <c r="M44" s="484" t="n"/>
      <c r="N44" s="484" t="n"/>
      <c r="O44" s="485" t="n"/>
      <c r="P44" s="569" t="inlineStr">
        <is>
          <t>미판매</t>
        </is>
      </c>
      <c r="Q44" s="570" t="n"/>
      <c r="R44" s="570" t="n"/>
      <c r="S44" s="571" t="n"/>
      <c r="T44" s="206" t="n"/>
      <c r="U44" s="484" t="n"/>
      <c r="V44" s="484" t="n"/>
      <c r="W44" s="485" t="n"/>
      <c r="X44" s="206" t="n"/>
      <c r="Y44" s="484" t="n"/>
      <c r="Z44" s="484" t="n"/>
      <c r="AA44" s="485" t="n"/>
      <c r="AB44" s="569" t="inlineStr">
        <is>
          <t>미판매</t>
        </is>
      </c>
      <c r="AC44" s="570" t="n"/>
      <c r="AD44" s="570" t="n"/>
      <c r="AE44" s="571" t="n"/>
      <c r="AF44" s="206" t="n"/>
      <c r="AG44" s="484" t="n"/>
      <c r="AH44" s="484" t="n"/>
      <c r="AI44" s="485" t="n"/>
      <c r="AJ44" s="206" t="n"/>
      <c r="AK44" s="484" t="n"/>
      <c r="AL44" s="484" t="n"/>
      <c r="AM44" s="485" t="n"/>
    </row>
    <row r="45" ht="15.95" customHeight="1" s="462">
      <c r="B45" s="567" t="n"/>
      <c r="C45" s="146" t="inlineStr">
        <is>
          <t>할인율</t>
        </is>
      </c>
      <c r="D45" s="572" t="n"/>
      <c r="E45" s="477" t="n"/>
      <c r="F45" s="477" t="n"/>
      <c r="G45" s="573" t="n"/>
      <c r="H45" s="209" t="n"/>
      <c r="I45" s="522" t="n"/>
      <c r="J45" s="522" t="n"/>
      <c r="K45" s="523" t="n"/>
      <c r="L45" s="209" t="n"/>
      <c r="M45" s="522" t="n"/>
      <c r="N45" s="522" t="n"/>
      <c r="O45" s="523" t="n"/>
      <c r="P45" s="572" t="n"/>
      <c r="Q45" s="477" t="n"/>
      <c r="R45" s="477" t="n"/>
      <c r="S45" s="573" t="n"/>
      <c r="T45" s="209" t="n"/>
      <c r="U45" s="522" t="n"/>
      <c r="V45" s="522" t="n"/>
      <c r="W45" s="523" t="n"/>
      <c r="X45" s="209" t="n"/>
      <c r="Y45" s="522" t="n"/>
      <c r="Z45" s="522" t="n"/>
      <c r="AA45" s="523" t="n"/>
      <c r="AB45" s="572" t="n"/>
      <c r="AC45" s="477" t="n"/>
      <c r="AD45" s="477" t="n"/>
      <c r="AE45" s="573" t="n"/>
      <c r="AF45" s="209" t="n"/>
      <c r="AG45" s="522" t="n"/>
      <c r="AH45" s="522" t="n"/>
      <c r="AI45" s="523" t="n"/>
      <c r="AJ45" s="209" t="n"/>
      <c r="AK45" s="522" t="n"/>
      <c r="AL45" s="522" t="n"/>
      <c r="AM45" s="523" t="n"/>
    </row>
    <row r="46" ht="15.95" customHeight="1" s="462">
      <c r="B46" s="173" t="inlineStr">
        <is>
          <t>골드</t>
        </is>
      </c>
      <c r="C46" s="148" t="inlineStr">
        <is>
          <t>정상가</t>
        </is>
      </c>
      <c r="D46" s="234" t="n"/>
      <c r="E46" s="542" t="n"/>
      <c r="F46" s="542" t="n"/>
      <c r="G46" s="543" t="n"/>
      <c r="H46" s="235" t="n"/>
      <c r="I46" s="542" t="n"/>
      <c r="J46" s="542" t="n"/>
      <c r="K46" s="543" t="n"/>
      <c r="L46" s="235" t="n"/>
      <c r="M46" s="542" t="n"/>
      <c r="N46" s="542" t="n"/>
      <c r="O46" s="543" t="n"/>
      <c r="P46" s="237" t="n"/>
      <c r="Q46" s="542" t="n"/>
      <c r="R46" s="542" t="n"/>
      <c r="S46" s="543" t="n"/>
      <c r="T46" s="235" t="n"/>
      <c r="U46" s="542" t="n"/>
      <c r="V46" s="542" t="n"/>
      <c r="W46" s="543" t="n"/>
      <c r="X46" s="235" t="n"/>
      <c r="Y46" s="542" t="n"/>
      <c r="Z46" s="542" t="n"/>
      <c r="AA46" s="543" t="n"/>
      <c r="AB46" s="237" t="n"/>
      <c r="AC46" s="542" t="n"/>
      <c r="AD46" s="542" t="n"/>
      <c r="AE46" s="543" t="n"/>
      <c r="AF46" s="235" t="n"/>
      <c r="AG46" s="542" t="n"/>
      <c r="AH46" s="542" t="n"/>
      <c r="AI46" s="543" t="n"/>
      <c r="AJ46" s="235" t="n"/>
      <c r="AK46" s="542" t="n"/>
      <c r="AL46" s="542" t="n"/>
      <c r="AM46" s="543" t="n"/>
    </row>
    <row r="47" ht="15.95" customHeight="1" s="462">
      <c r="B47" s="496" t="n"/>
      <c r="C47" s="145" t="inlineStr">
        <is>
          <t>배분가</t>
        </is>
      </c>
      <c r="D47" s="569" t="inlineStr">
        <is>
          <t>미판매</t>
        </is>
      </c>
      <c r="E47" s="570" t="n"/>
      <c r="F47" s="570" t="n"/>
      <c r="G47" s="571" t="n"/>
      <c r="H47" s="206" t="n"/>
      <c r="I47" s="484" t="n"/>
      <c r="J47" s="484" t="n"/>
      <c r="K47" s="485" t="n"/>
      <c r="L47" s="206" t="n"/>
      <c r="M47" s="484" t="n"/>
      <c r="N47" s="484" t="n"/>
      <c r="O47" s="485" t="n"/>
      <c r="P47" s="569" t="inlineStr">
        <is>
          <t>미판매</t>
        </is>
      </c>
      <c r="Q47" s="570" t="n"/>
      <c r="R47" s="570" t="n"/>
      <c r="S47" s="571" t="n"/>
      <c r="T47" s="206" t="n"/>
      <c r="U47" s="484" t="n"/>
      <c r="V47" s="484" t="n"/>
      <c r="W47" s="485" t="n"/>
      <c r="X47" s="206" t="n"/>
      <c r="Y47" s="484" t="n"/>
      <c r="Z47" s="484" t="n"/>
      <c r="AA47" s="485" t="n"/>
      <c r="AB47" s="569" t="inlineStr">
        <is>
          <t>미판매</t>
        </is>
      </c>
      <c r="AC47" s="570" t="n"/>
      <c r="AD47" s="570" t="n"/>
      <c r="AE47" s="571" t="n"/>
      <c r="AF47" s="206" t="n"/>
      <c r="AG47" s="484" t="n"/>
      <c r="AH47" s="484" t="n"/>
      <c r="AI47" s="485" t="n"/>
      <c r="AJ47" s="206" t="n"/>
      <c r="AK47" s="484" t="n"/>
      <c r="AL47" s="484" t="n"/>
      <c r="AM47" s="485" t="n"/>
    </row>
    <row r="48" ht="15.95" customHeight="1" s="462">
      <c r="B48" s="498" t="n"/>
      <c r="C48" s="146" t="inlineStr">
        <is>
          <t>할인율</t>
        </is>
      </c>
      <c r="D48" s="572" t="n"/>
      <c r="E48" s="477" t="n"/>
      <c r="F48" s="477" t="n"/>
      <c r="G48" s="573" t="n"/>
      <c r="H48" s="209" t="n"/>
      <c r="I48" s="522" t="n"/>
      <c r="J48" s="522" t="n"/>
      <c r="K48" s="523" t="n"/>
      <c r="L48" s="209" t="n"/>
      <c r="M48" s="522" t="n"/>
      <c r="N48" s="522" t="n"/>
      <c r="O48" s="523" t="n"/>
      <c r="P48" s="572" t="n"/>
      <c r="Q48" s="477" t="n"/>
      <c r="R48" s="477" t="n"/>
      <c r="S48" s="573" t="n"/>
      <c r="T48" s="209" t="n"/>
      <c r="U48" s="522" t="n"/>
      <c r="V48" s="522" t="n"/>
      <c r="W48" s="523" t="n"/>
      <c r="X48" s="209" t="n"/>
      <c r="Y48" s="522" t="n"/>
      <c r="Z48" s="522" t="n"/>
      <c r="AA48" s="523" t="n"/>
      <c r="AB48" s="572" t="n"/>
      <c r="AC48" s="477" t="n"/>
      <c r="AD48" s="477" t="n"/>
      <c r="AE48" s="573" t="n"/>
      <c r="AF48" s="209" t="n"/>
      <c r="AG48" s="522" t="n"/>
      <c r="AH48" s="522" t="n"/>
      <c r="AI48" s="523" t="n"/>
      <c r="AJ48" s="209" t="n"/>
      <c r="AK48" s="522" t="n"/>
      <c r="AL48" s="522" t="n"/>
      <c r="AM48" s="523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3" t="n"/>
      <c r="P49" s="463" t="n"/>
      <c r="Q49" s="463" t="n"/>
      <c r="R49" s="463" t="n"/>
      <c r="S49" s="463" t="n"/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3" t="n"/>
      <c r="AE49" s="463" t="n"/>
      <c r="AF49" s="463" t="n"/>
      <c r="AG49" s="463" t="n"/>
      <c r="AH49" s="463" t="n"/>
      <c r="AI49" s="463" t="n"/>
      <c r="AJ49" s="463" t="n"/>
      <c r="AK49" s="463" t="n"/>
      <c r="AL49" s="463" t="n"/>
      <c r="AM49" s="464" t="n"/>
    </row>
    <row r="50" ht="15.95" customHeight="1" s="462">
      <c r="B50" s="363" t="inlineStr">
        <is>
          <t>KPI</t>
        </is>
      </c>
      <c r="C50" s="551" t="n"/>
      <c r="D50" s="499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463" t="n"/>
      <c r="M50" s="463" t="n"/>
      <c r="N50" s="463" t="n"/>
      <c r="O50" s="463" t="n"/>
      <c r="P50" s="463" t="n"/>
      <c r="Q50" s="463" t="n"/>
      <c r="R50" s="463" t="n"/>
      <c r="S50" s="463" t="n"/>
      <c r="T50" s="463" t="n"/>
      <c r="U50" s="463" t="n"/>
      <c r="V50" s="463" t="n"/>
      <c r="W50" s="463" t="n"/>
      <c r="X50" s="463" t="n"/>
      <c r="Y50" s="463" t="n"/>
      <c r="Z50" s="463" t="n"/>
      <c r="AA50" s="463" t="n"/>
      <c r="AB50" s="463" t="n"/>
      <c r="AC50" s="463" t="n"/>
      <c r="AD50" s="463" t="n"/>
      <c r="AE50" s="463" t="n"/>
      <c r="AF50" s="463" t="n"/>
      <c r="AG50" s="463" t="n"/>
      <c r="AH50" s="463" t="n"/>
      <c r="AI50" s="463" t="n"/>
      <c r="AJ50" s="463" t="n"/>
      <c r="AK50" s="463" t="n"/>
      <c r="AL50" s="463" t="n"/>
      <c r="AM50" s="464" t="n"/>
    </row>
    <row r="51" ht="15.95" customHeight="1" s="462">
      <c r="AA51" s="54" t="n"/>
      <c r="AB51" s="54" t="n"/>
      <c r="AC51" s="54" t="n"/>
      <c r="AD51" s="54" t="n"/>
      <c r="AE51" s="54" t="n"/>
      <c r="AF51" s="54" t="n"/>
      <c r="AG51" s="54" t="n"/>
      <c r="AH51" s="54" t="n"/>
      <c r="AI51" s="316" t="n"/>
      <c r="AJ51" s="316" t="n"/>
      <c r="AK51" s="316" t="n"/>
      <c r="AL51" s="316" t="n"/>
      <c r="AM51" s="316" t="n"/>
    </row>
    <row r="52" ht="15.95" customHeight="1" s="462">
      <c r="A52" s="203" t="inlineStr">
        <is>
          <t xml:space="preserve">5. 부대시설 상세내용 </t>
        </is>
      </c>
      <c r="I52" s="54" t="n"/>
      <c r="J52" s="54" t="n"/>
      <c r="K52" s="54" t="n"/>
      <c r="L52" s="54" t="n"/>
      <c r="M52" s="54" t="n"/>
      <c r="N52" s="54" t="n"/>
      <c r="O52" s="54" t="n"/>
      <c r="P52" s="54" t="n"/>
      <c r="Q52" s="54" t="n"/>
      <c r="R52" s="54" t="n"/>
      <c r="S52" s="54" t="n"/>
      <c r="T52" s="54" t="n"/>
      <c r="U52" s="54" t="n"/>
      <c r="V52" s="54" t="n"/>
      <c r="W52" s="54" t="n"/>
      <c r="X52" s="54" t="n"/>
      <c r="Y52" s="54" t="n"/>
      <c r="Z52" s="54" t="n"/>
      <c r="AA52" s="54" t="n"/>
      <c r="AB52" s="54" t="n"/>
      <c r="AC52" s="54" t="n"/>
      <c r="AD52" s="54" t="n"/>
      <c r="AE52" s="54" t="n"/>
      <c r="AF52" s="54" t="n"/>
      <c r="AG52" s="54" t="n"/>
      <c r="AH52" s="54" t="n"/>
      <c r="AI52" s="316" t="n"/>
      <c r="AJ52" s="316" t="n"/>
      <c r="AK52" s="316" t="n"/>
      <c r="AL52" s="316" t="n"/>
      <c r="AM52" s="316" t="n"/>
    </row>
    <row r="53" ht="15.95" customHeight="1" s="462">
      <c r="B53" s="568" t="inlineStr">
        <is>
          <t>시즌</t>
        </is>
      </c>
      <c r="C53" s="544" t="inlineStr">
        <is>
          <t>구분</t>
        </is>
      </c>
      <c r="D53" s="228" t="inlineStr">
        <is>
          <t>오션월드 2인</t>
        </is>
      </c>
      <c r="E53" s="463" t="n"/>
      <c r="F53" s="463" t="n"/>
      <c r="G53" s="463" t="n"/>
      <c r="H53" s="463" t="n"/>
      <c r="I53" s="463" t="n"/>
      <c r="J53" s="463" t="n"/>
      <c r="K53" s="463" t="n"/>
      <c r="L53" s="464" t="n"/>
      <c r="M53" s="161" t="inlineStr">
        <is>
          <t>조식 2인</t>
        </is>
      </c>
      <c r="N53" s="463" t="n"/>
      <c r="O53" s="463" t="n"/>
      <c r="P53" s="463" t="n"/>
      <c r="Q53" s="463" t="n"/>
      <c r="R53" s="463" t="n"/>
      <c r="S53" s="463" t="n"/>
      <c r="T53" s="463" t="n"/>
      <c r="U53" s="464" t="n"/>
      <c r="V53" s="161" t="inlineStr">
        <is>
          <t>부대1 0인</t>
        </is>
      </c>
      <c r="W53" s="463" t="n"/>
      <c r="X53" s="463" t="n"/>
      <c r="Y53" s="463" t="n"/>
      <c r="Z53" s="463" t="n"/>
      <c r="AA53" s="463" t="n"/>
      <c r="AB53" s="463" t="n"/>
      <c r="AC53" s="463" t="n"/>
      <c r="AD53" s="464" t="n"/>
      <c r="AE53" s="161" t="inlineStr">
        <is>
          <t>부대2 0인</t>
        </is>
      </c>
      <c r="AF53" s="463" t="n"/>
      <c r="AG53" s="463" t="n"/>
      <c r="AH53" s="463" t="n"/>
      <c r="AI53" s="463" t="n"/>
      <c r="AJ53" s="463" t="n"/>
      <c r="AK53" s="463" t="n"/>
      <c r="AL53" s="463" t="n"/>
      <c r="AM53" s="464" t="n"/>
    </row>
    <row r="54" ht="15.95" customHeight="1" s="462" thickBot="1">
      <c r="B54" s="502" t="n"/>
      <c r="C54" s="503" t="n"/>
      <c r="D54" s="226" t="inlineStr">
        <is>
          <t>회원</t>
        </is>
      </c>
      <c r="E54" s="478" t="n"/>
      <c r="F54" s="479" t="n"/>
      <c r="G54" s="229" t="inlineStr">
        <is>
          <t>FIT</t>
        </is>
      </c>
      <c r="H54" s="478" t="n"/>
      <c r="I54" s="479" t="n"/>
      <c r="J54" s="229" t="inlineStr">
        <is>
          <t>GAP</t>
        </is>
      </c>
      <c r="K54" s="478" t="n"/>
      <c r="L54" s="479" t="n"/>
      <c r="M54" s="226" t="inlineStr">
        <is>
          <t>회원</t>
        </is>
      </c>
      <c r="N54" s="478" t="n"/>
      <c r="O54" s="479" t="n"/>
      <c r="P54" s="229" t="inlineStr">
        <is>
          <t>FIT</t>
        </is>
      </c>
      <c r="Q54" s="478" t="n"/>
      <c r="R54" s="479" t="n"/>
      <c r="S54" s="229" t="inlineStr">
        <is>
          <t>GAP</t>
        </is>
      </c>
      <c r="T54" s="478" t="n"/>
      <c r="U54" s="479" t="n"/>
      <c r="V54" s="226" t="inlineStr">
        <is>
          <t>회원</t>
        </is>
      </c>
      <c r="W54" s="478" t="n"/>
      <c r="X54" s="479" t="n"/>
      <c r="Y54" s="229" t="inlineStr">
        <is>
          <t>FIT</t>
        </is>
      </c>
      <c r="Z54" s="478" t="n"/>
      <c r="AA54" s="479" t="n"/>
      <c r="AB54" s="229" t="inlineStr">
        <is>
          <t>GAP</t>
        </is>
      </c>
      <c r="AC54" s="478" t="n"/>
      <c r="AD54" s="479" t="n"/>
      <c r="AE54" s="226" t="inlineStr">
        <is>
          <t>회원</t>
        </is>
      </c>
      <c r="AF54" s="478" t="n"/>
      <c r="AG54" s="479" t="n"/>
      <c r="AH54" s="229" t="inlineStr">
        <is>
          <t>FIT</t>
        </is>
      </c>
      <c r="AI54" s="478" t="n"/>
      <c r="AJ54" s="479" t="n"/>
      <c r="AK54" s="229" t="inlineStr">
        <is>
          <t>GAP</t>
        </is>
      </c>
      <c r="AL54" s="478" t="n"/>
      <c r="AM54" s="479" t="n"/>
    </row>
    <row r="55" ht="15.95" customHeight="1" s="462" thickTop="1">
      <c r="B55" s="359" t="inlineStr">
        <is>
          <t>주중</t>
        </is>
      </c>
      <c r="C55" s="144" t="inlineStr">
        <is>
          <t>정상가</t>
        </is>
      </c>
      <c r="D55" s="225" t="n"/>
      <c r="E55" s="481" t="n"/>
      <c r="F55" s="482" t="n"/>
      <c r="G55" s="221" t="n"/>
      <c r="H55" s="481" t="n"/>
      <c r="I55" s="482" t="n"/>
      <c r="J55" s="221" t="n"/>
      <c r="K55" s="481" t="n"/>
      <c r="L55" s="482" t="n"/>
      <c r="M55" s="225" t="n"/>
      <c r="N55" s="481" t="n"/>
      <c r="O55" s="482" t="n"/>
      <c r="P55" s="221" t="n"/>
      <c r="Q55" s="481" t="n"/>
      <c r="R55" s="482" t="n"/>
      <c r="S55" s="221" t="n"/>
      <c r="T55" s="481" t="n"/>
      <c r="U55" s="482" t="n"/>
      <c r="V55" s="225" t="n"/>
      <c r="W55" s="481" t="n"/>
      <c r="X55" s="482" t="n"/>
      <c r="Y55" s="221" t="n"/>
      <c r="Z55" s="481" t="n"/>
      <c r="AA55" s="482" t="n"/>
      <c r="AB55" s="221" t="n"/>
      <c r="AC55" s="481" t="n"/>
      <c r="AD55" s="482" t="n"/>
      <c r="AE55" s="225" t="n"/>
      <c r="AF55" s="481" t="n"/>
      <c r="AG55" s="482" t="n"/>
      <c r="AH55" s="221" t="n"/>
      <c r="AI55" s="481" t="n"/>
      <c r="AJ55" s="482" t="n"/>
      <c r="AK55" s="221" t="n"/>
      <c r="AL55" s="481" t="n"/>
      <c r="AM55" s="482" t="n"/>
    </row>
    <row r="56" ht="15.95" customHeight="1" s="462">
      <c r="B56" s="496" t="n"/>
      <c r="C56" s="145" t="inlineStr">
        <is>
          <t>배분가</t>
        </is>
      </c>
      <c r="D56" s="574" t="inlineStr">
        <is>
          <t>미판매</t>
        </is>
      </c>
      <c r="E56" s="570" t="n"/>
      <c r="F56" s="571" t="n"/>
      <c r="G56" s="206" t="n"/>
      <c r="H56" s="484" t="n"/>
      <c r="I56" s="485" t="n"/>
      <c r="J56" s="206" t="n"/>
      <c r="K56" s="484" t="n"/>
      <c r="L56" s="485" t="n"/>
      <c r="M56" s="574" t="inlineStr">
        <is>
          <t>미판매</t>
        </is>
      </c>
      <c r="N56" s="570" t="n"/>
      <c r="O56" s="571" t="n"/>
      <c r="P56" s="206" t="n"/>
      <c r="Q56" s="484" t="n"/>
      <c r="R56" s="485" t="n"/>
      <c r="S56" s="206" t="n"/>
      <c r="T56" s="484" t="n"/>
      <c r="U56" s="485" t="n"/>
      <c r="V56" s="574" t="inlineStr">
        <is>
          <t>미판매</t>
        </is>
      </c>
      <c r="W56" s="570" t="n"/>
      <c r="X56" s="571" t="n"/>
      <c r="Y56" s="206" t="n"/>
      <c r="Z56" s="484" t="n"/>
      <c r="AA56" s="485" t="n"/>
      <c r="AB56" s="206" t="n"/>
      <c r="AC56" s="484" t="n"/>
      <c r="AD56" s="485" t="n"/>
      <c r="AE56" s="574" t="inlineStr">
        <is>
          <t>미판매</t>
        </is>
      </c>
      <c r="AF56" s="570" t="n"/>
      <c r="AG56" s="571" t="n"/>
      <c r="AH56" s="206" t="n"/>
      <c r="AI56" s="484" t="n"/>
      <c r="AJ56" s="485" t="n"/>
      <c r="AK56" s="206" t="n"/>
      <c r="AL56" s="484" t="n"/>
      <c r="AM56" s="485" t="n"/>
    </row>
    <row r="57" ht="15.95" customHeight="1" s="462">
      <c r="B57" s="567" t="n"/>
      <c r="C57" s="146" t="inlineStr">
        <is>
          <t>할인율</t>
        </is>
      </c>
      <c r="D57" s="572" t="n"/>
      <c r="E57" s="477" t="n"/>
      <c r="F57" s="573" t="n"/>
      <c r="G57" s="209" t="n"/>
      <c r="H57" s="522" t="n"/>
      <c r="I57" s="523" t="n"/>
      <c r="J57" s="209" t="n"/>
      <c r="K57" s="522" t="n"/>
      <c r="L57" s="523" t="n"/>
      <c r="M57" s="572" t="n"/>
      <c r="N57" s="477" t="n"/>
      <c r="O57" s="573" t="n"/>
      <c r="P57" s="209" t="n"/>
      <c r="Q57" s="522" t="n"/>
      <c r="R57" s="523" t="n"/>
      <c r="S57" s="209" t="n"/>
      <c r="T57" s="522" t="n"/>
      <c r="U57" s="523" t="n"/>
      <c r="V57" s="572" t="n"/>
      <c r="W57" s="477" t="n"/>
      <c r="X57" s="573" t="n"/>
      <c r="Y57" s="209" t="n"/>
      <c r="Z57" s="522" t="n"/>
      <c r="AA57" s="523" t="n"/>
      <c r="AB57" s="209" t="n"/>
      <c r="AC57" s="522" t="n"/>
      <c r="AD57" s="523" t="n"/>
      <c r="AE57" s="572" t="n"/>
      <c r="AF57" s="477" t="n"/>
      <c r="AG57" s="573" t="n"/>
      <c r="AH57" s="209" t="n"/>
      <c r="AI57" s="522" t="n"/>
      <c r="AJ57" s="523" t="n"/>
      <c r="AK57" s="209" t="n"/>
      <c r="AL57" s="522" t="n"/>
      <c r="AM57" s="523" t="n"/>
    </row>
    <row r="58" ht="15.95" customHeight="1" s="462">
      <c r="B58" s="356" t="inlineStr">
        <is>
          <t>주말</t>
        </is>
      </c>
      <c r="C58" s="147" t="inlineStr">
        <is>
          <t>정상가</t>
        </is>
      </c>
      <c r="D58" s="220" t="n"/>
      <c r="E58" s="537" t="n"/>
      <c r="F58" s="538" t="n"/>
      <c r="G58" s="216" t="n"/>
      <c r="H58" s="537" t="n"/>
      <c r="I58" s="538" t="n"/>
      <c r="J58" s="216" t="n"/>
      <c r="K58" s="537" t="n"/>
      <c r="L58" s="538" t="n"/>
      <c r="M58" s="220" t="n"/>
      <c r="N58" s="537" t="n"/>
      <c r="O58" s="538" t="n"/>
      <c r="P58" s="216" t="n"/>
      <c r="Q58" s="537" t="n"/>
      <c r="R58" s="538" t="n"/>
      <c r="S58" s="216" t="n"/>
      <c r="T58" s="537" t="n"/>
      <c r="U58" s="538" t="n"/>
      <c r="V58" s="220" t="n"/>
      <c r="W58" s="537" t="n"/>
      <c r="X58" s="538" t="n"/>
      <c r="Y58" s="216" t="n"/>
      <c r="Z58" s="537" t="n"/>
      <c r="AA58" s="538" t="n"/>
      <c r="AB58" s="216" t="n"/>
      <c r="AC58" s="537" t="n"/>
      <c r="AD58" s="538" t="n"/>
      <c r="AE58" s="220" t="n"/>
      <c r="AF58" s="537" t="n"/>
      <c r="AG58" s="538" t="n"/>
      <c r="AH58" s="216" t="n"/>
      <c r="AI58" s="537" t="n"/>
      <c r="AJ58" s="538" t="n"/>
      <c r="AK58" s="216" t="n"/>
      <c r="AL58" s="537" t="n"/>
      <c r="AM58" s="538" t="n"/>
      <c r="AN58" s="74" t="n"/>
    </row>
    <row r="59" ht="15.95" customHeight="1" s="462">
      <c r="B59" s="496" t="n"/>
      <c r="C59" s="145" t="inlineStr">
        <is>
          <t>배분가</t>
        </is>
      </c>
      <c r="D59" s="574" t="inlineStr">
        <is>
          <t>미판매</t>
        </is>
      </c>
      <c r="E59" s="570" t="n"/>
      <c r="F59" s="571" t="n"/>
      <c r="G59" s="206" t="n"/>
      <c r="H59" s="484" t="n"/>
      <c r="I59" s="485" t="n"/>
      <c r="J59" s="206" t="n"/>
      <c r="K59" s="484" t="n"/>
      <c r="L59" s="485" t="n"/>
      <c r="M59" s="574" t="inlineStr">
        <is>
          <t>미판매</t>
        </is>
      </c>
      <c r="N59" s="570" t="n"/>
      <c r="O59" s="571" t="n"/>
      <c r="P59" s="206" t="n"/>
      <c r="Q59" s="484" t="n"/>
      <c r="R59" s="485" t="n"/>
      <c r="S59" s="206" t="n"/>
      <c r="T59" s="484" t="n"/>
      <c r="U59" s="485" t="n"/>
      <c r="V59" s="574" t="inlineStr">
        <is>
          <t>미판매</t>
        </is>
      </c>
      <c r="W59" s="570" t="n"/>
      <c r="X59" s="571" t="n"/>
      <c r="Y59" s="206" t="n"/>
      <c r="Z59" s="484" t="n"/>
      <c r="AA59" s="485" t="n"/>
      <c r="AB59" s="206" t="n"/>
      <c r="AC59" s="484" t="n"/>
      <c r="AD59" s="485" t="n"/>
      <c r="AE59" s="574" t="inlineStr">
        <is>
          <t>미판매</t>
        </is>
      </c>
      <c r="AF59" s="570" t="n"/>
      <c r="AG59" s="571" t="n"/>
      <c r="AH59" s="206" t="n"/>
      <c r="AI59" s="484" t="n"/>
      <c r="AJ59" s="485" t="n"/>
      <c r="AK59" s="206" t="n"/>
      <c r="AL59" s="484" t="n"/>
      <c r="AM59" s="485" t="n"/>
      <c r="AN59" s="74" t="n"/>
    </row>
    <row r="60" ht="15.95" customHeight="1" s="462">
      <c r="B60" s="567" t="n"/>
      <c r="C60" s="146" t="inlineStr">
        <is>
          <t>할인율</t>
        </is>
      </c>
      <c r="D60" s="572" t="n"/>
      <c r="E60" s="477" t="n"/>
      <c r="F60" s="573" t="n"/>
      <c r="G60" s="209" t="n"/>
      <c r="H60" s="522" t="n"/>
      <c r="I60" s="523" t="n"/>
      <c r="J60" s="209" t="n"/>
      <c r="K60" s="522" t="n"/>
      <c r="L60" s="523" t="n"/>
      <c r="M60" s="572" t="n"/>
      <c r="N60" s="477" t="n"/>
      <c r="O60" s="573" t="n"/>
      <c r="P60" s="209" t="n"/>
      <c r="Q60" s="522" t="n"/>
      <c r="R60" s="523" t="n"/>
      <c r="S60" s="209" t="n"/>
      <c r="T60" s="522" t="n"/>
      <c r="U60" s="523" t="n"/>
      <c r="V60" s="572" t="n"/>
      <c r="W60" s="477" t="n"/>
      <c r="X60" s="573" t="n"/>
      <c r="Y60" s="209" t="n"/>
      <c r="Z60" s="522" t="n"/>
      <c r="AA60" s="523" t="n"/>
      <c r="AB60" s="209" t="n"/>
      <c r="AC60" s="522" t="n"/>
      <c r="AD60" s="523" t="n"/>
      <c r="AE60" s="572" t="n"/>
      <c r="AF60" s="477" t="n"/>
      <c r="AG60" s="573" t="n"/>
      <c r="AH60" s="209" t="n"/>
      <c r="AI60" s="522" t="n"/>
      <c r="AJ60" s="523" t="n"/>
      <c r="AK60" s="209" t="n"/>
      <c r="AL60" s="522" t="n"/>
      <c r="AM60" s="523" t="n"/>
      <c r="AN60" s="74" t="n"/>
    </row>
    <row r="62" ht="15.95" customHeight="1" s="462">
      <c r="A62" s="203" t="inlineStr">
        <is>
          <t xml:space="preserve">6. 판매 &amp; 홍보 일정 </t>
        </is>
      </c>
      <c r="B62" s="51" t="n"/>
      <c r="C62" s="51" t="n"/>
      <c r="D62" s="51" t="n"/>
      <c r="E62" s="51" t="n"/>
      <c r="F62" s="51" t="n"/>
      <c r="G62" s="51" t="n"/>
      <c r="H62" s="51" t="n"/>
      <c r="I62" s="51" t="n"/>
      <c r="J62" s="51" t="n"/>
      <c r="K62" s="51" t="n"/>
      <c r="L62" s="51" t="n"/>
      <c r="M62" s="51" t="n"/>
      <c r="N62" s="51" t="n"/>
      <c r="O62" s="51" t="n"/>
      <c r="P62" s="51" t="n"/>
      <c r="Q62" s="51" t="n"/>
      <c r="R62" s="51" t="n"/>
      <c r="S62" s="51" t="n"/>
      <c r="T62" s="51" t="n"/>
      <c r="U62" s="51" t="n"/>
      <c r="V62" s="51" t="n"/>
      <c r="W62" s="51" t="n"/>
      <c r="X62" s="51" t="n"/>
      <c r="Y62" s="51" t="n"/>
      <c r="Z62" s="51" t="n"/>
      <c r="AA62" s="51" t="n"/>
      <c r="AB62" s="51" t="n"/>
      <c r="AC62" s="51" t="n"/>
      <c r="AD62" s="51" t="n"/>
      <c r="AE62" s="51" t="n"/>
      <c r="AF62" s="51" t="n"/>
      <c r="AG62" s="51" t="n"/>
      <c r="AH62" s="51" t="n"/>
      <c r="AI62" s="51" t="n"/>
      <c r="AJ62" s="51" t="n"/>
      <c r="AK62" s="51" t="n"/>
      <c r="AL62" s="51" t="n"/>
      <c r="AM62" s="51" t="n"/>
    </row>
    <row r="63" ht="15.95" customHeight="1" s="462">
      <c r="A63" s="51" t="n"/>
      <c r="B63" s="363" t="inlineStr">
        <is>
          <t>구 분</t>
        </is>
      </c>
      <c r="C63" s="551" t="n"/>
      <c r="D63" s="228" t="inlineStr">
        <is>
          <t>내 용</t>
        </is>
      </c>
      <c r="E63" s="463" t="n"/>
      <c r="F63" s="463" t="n"/>
      <c r="G63" s="463" t="n"/>
      <c r="H63" s="463" t="n"/>
      <c r="I63" s="463" t="n"/>
      <c r="J63" s="463" t="n"/>
      <c r="K63" s="463" t="n"/>
      <c r="L63" s="463" t="n"/>
      <c r="M63" s="463" t="n"/>
      <c r="N63" s="463" t="n"/>
      <c r="O63" s="463" t="n"/>
      <c r="P63" s="463" t="n"/>
      <c r="Q63" s="463" t="n"/>
      <c r="R63" s="463" t="n"/>
      <c r="S63" s="463" t="n"/>
      <c r="T63" s="463" t="n"/>
      <c r="U63" s="463" t="n"/>
      <c r="V63" s="463" t="n"/>
      <c r="W63" s="463" t="n"/>
      <c r="X63" s="463" t="n"/>
      <c r="Y63" s="463" t="n"/>
      <c r="Z63" s="463" t="n"/>
      <c r="AA63" s="463" t="n"/>
      <c r="AB63" s="463" t="n"/>
      <c r="AC63" s="463" t="n"/>
      <c r="AD63" s="463" t="n"/>
      <c r="AE63" s="463" t="n"/>
      <c r="AF63" s="463" t="n"/>
      <c r="AG63" s="463" t="n"/>
      <c r="AH63" s="463" t="n"/>
      <c r="AI63" s="463" t="n"/>
      <c r="AJ63" s="463" t="n"/>
      <c r="AK63" s="463" t="n"/>
      <c r="AL63" s="463" t="n"/>
      <c r="AM63" s="464" t="n"/>
    </row>
    <row r="64" ht="15.95" customHeight="1" s="462">
      <c r="A64" s="51" t="n"/>
      <c r="B64" s="68" t="inlineStr">
        <is>
          <t>판매일정</t>
        </is>
      </c>
      <c r="C64" s="551" t="n"/>
      <c r="D64" s="500" t="inlineStr">
        <is>
          <t xml:space="preserve"> · 채널별 판매일정 (자유표기) </t>
        </is>
      </c>
      <c r="E64" s="463" t="n"/>
      <c r="F64" s="463" t="n"/>
      <c r="G64" s="463" t="n"/>
      <c r="H64" s="463" t="n"/>
      <c r="I64" s="463" t="n"/>
      <c r="J64" s="463" t="n"/>
      <c r="K64" s="463" t="n"/>
      <c r="L64" s="463" t="n"/>
      <c r="M64" s="463" t="n"/>
      <c r="N64" s="463" t="n"/>
      <c r="O64" s="463" t="n"/>
      <c r="P64" s="463" t="n"/>
      <c r="Q64" s="463" t="n"/>
      <c r="R64" s="463" t="n"/>
      <c r="S64" s="463" t="n"/>
      <c r="T64" s="463" t="n"/>
      <c r="U64" s="463" t="n"/>
      <c r="V64" s="463" t="n"/>
      <c r="W64" s="463" t="n"/>
      <c r="X64" s="463" t="n"/>
      <c r="Y64" s="463" t="n"/>
      <c r="Z64" s="463" t="n"/>
      <c r="AA64" s="463" t="n"/>
      <c r="AB64" s="463" t="n"/>
      <c r="AC64" s="463" t="n"/>
      <c r="AD64" s="463" t="n"/>
      <c r="AE64" s="463" t="n"/>
      <c r="AF64" s="463" t="n"/>
      <c r="AG64" s="463" t="n"/>
      <c r="AH64" s="463" t="n"/>
      <c r="AI64" s="463" t="n"/>
      <c r="AJ64" s="463" t="n"/>
      <c r="AK64" s="463" t="n"/>
      <c r="AL64" s="463" t="n"/>
      <c r="AM64" s="464" t="n"/>
    </row>
    <row r="65" ht="15.95" customHeight="1" s="462">
      <c r="A65" s="51" t="n"/>
      <c r="B65" s="68" t="inlineStr">
        <is>
          <t>홍보일정</t>
        </is>
      </c>
      <c r="C65" s="551" t="n"/>
      <c r="D65" s="500" t="inlineStr">
        <is>
          <t xml:space="preserve"> · 홍보일정 (자유표기) 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3" t="n"/>
      <c r="P65" s="463" t="n"/>
      <c r="Q65" s="463" t="n"/>
      <c r="R65" s="463" t="n"/>
      <c r="S65" s="463" t="n"/>
      <c r="T65" s="463" t="n"/>
      <c r="U65" s="463" t="n"/>
      <c r="V65" s="463" t="n"/>
      <c r="W65" s="463" t="n"/>
      <c r="X65" s="463" t="n"/>
      <c r="Y65" s="463" t="n"/>
      <c r="Z65" s="463" t="n"/>
      <c r="AA65" s="463" t="n"/>
      <c r="AB65" s="463" t="n"/>
      <c r="AC65" s="463" t="n"/>
      <c r="AD65" s="463" t="n"/>
      <c r="AE65" s="463" t="n"/>
      <c r="AF65" s="463" t="n"/>
      <c r="AG65" s="463" t="n"/>
      <c r="AH65" s="463" t="n"/>
      <c r="AI65" s="463" t="n"/>
      <c r="AJ65" s="463" t="n"/>
      <c r="AK65" s="463" t="n"/>
      <c r="AL65" s="463" t="n"/>
      <c r="AM65" s="464" t="n"/>
    </row>
    <row r="66" ht="15.95" customHeight="1" s="462">
      <c r="A66" s="51" t="n"/>
      <c r="B66" s="68" t="inlineStr">
        <is>
          <t>지원사항</t>
        </is>
      </c>
      <c r="C66" s="551" t="n"/>
      <c r="D66" s="500" t="inlineStr">
        <is>
          <t xml:space="preserve">  (자유표기)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3" t="n"/>
      <c r="P66" s="463" t="n"/>
      <c r="Q66" s="463" t="n"/>
      <c r="R66" s="463" t="n"/>
      <c r="S66" s="463" t="n"/>
      <c r="T66" s="463" t="n"/>
      <c r="U66" s="463" t="n"/>
      <c r="V66" s="463" t="n"/>
      <c r="W66" s="463" t="n"/>
      <c r="X66" s="463" t="n"/>
      <c r="Y66" s="463" t="n"/>
      <c r="Z66" s="463" t="n"/>
      <c r="AA66" s="463" t="n"/>
      <c r="AB66" s="463" t="n"/>
      <c r="AC66" s="463" t="n"/>
      <c r="AD66" s="463" t="n"/>
      <c r="AE66" s="463" t="n"/>
      <c r="AF66" s="463" t="n"/>
      <c r="AG66" s="463" t="n"/>
      <c r="AH66" s="463" t="n"/>
      <c r="AI66" s="463" t="n"/>
      <c r="AJ66" s="463" t="n"/>
      <c r="AK66" s="463" t="n"/>
      <c r="AL66" s="463" t="n"/>
      <c r="AM66" s="464" t="n"/>
    </row>
    <row r="67" ht="15.95" customHeight="1" s="462">
      <c r="A67" s="51" t="n"/>
      <c r="U67" s="54" t="n"/>
      <c r="V67" s="54" t="n"/>
      <c r="W67" s="54" t="n"/>
      <c r="X67" s="54" t="n"/>
      <c r="Y67" s="54" t="n"/>
      <c r="Z67" s="54" t="n"/>
      <c r="AA67" s="54" t="n"/>
      <c r="AB67" s="54" t="n"/>
      <c r="AC67" s="54" t="n"/>
      <c r="AD67" s="54" t="n"/>
      <c r="AE67" s="54" t="n"/>
      <c r="AF67" s="54" t="n"/>
      <c r="AG67" s="54" t="n"/>
      <c r="AH67" s="54" t="n"/>
      <c r="AI67" s="54" t="n"/>
      <c r="AJ67" s="54" t="n"/>
      <c r="AK67" s="54" t="n"/>
      <c r="AL67" s="54" t="n"/>
      <c r="AM67" s="54" t="n"/>
    </row>
    <row r="68" ht="15.95" customHeight="1" s="462">
      <c r="A68" s="203" t="inlineStr">
        <is>
          <t>7. 기 타</t>
        </is>
      </c>
      <c r="B68" s="51" t="n"/>
      <c r="C68" s="51" t="n"/>
      <c r="D68" s="51" t="n"/>
      <c r="E68" s="51" t="n"/>
      <c r="F68" s="51" t="n"/>
      <c r="G68" s="51" t="n"/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1" t="n"/>
      <c r="R68" s="51" t="n"/>
      <c r="S68" s="51" t="n"/>
      <c r="T68" s="51" t="n"/>
      <c r="U68" s="51" t="n"/>
      <c r="V68" s="51" t="n"/>
      <c r="W68" s="51" t="n"/>
      <c r="X68" s="51" t="n"/>
      <c r="Y68" s="51" t="n"/>
      <c r="Z68" s="51" t="n"/>
      <c r="AA68" s="51" t="n"/>
      <c r="AB68" s="51" t="n"/>
      <c r="AC68" s="51" t="n"/>
      <c r="AD68" s="51" t="n"/>
      <c r="AE68" s="51" t="n"/>
      <c r="AF68" s="51" t="n"/>
      <c r="AG68" s="51" t="n"/>
      <c r="AH68" s="51" t="n"/>
      <c r="AI68" s="51" t="n"/>
      <c r="AJ68" s="51" t="n"/>
      <c r="AK68" s="51" t="n"/>
      <c r="AL68" s="51" t="n"/>
      <c r="AM68" s="51" t="n"/>
    </row>
    <row r="69" ht="15.95" customHeight="1" s="462">
      <c r="A69" s="51" t="n"/>
      <c r="B69" s="52" t="inlineStr">
        <is>
          <t xml:space="preserve"> - 영업기획: 패키지번호 세팅 및 회신 (첨부파일 內 시트참조)</t>
        </is>
      </c>
      <c r="C69" s="52" t="n"/>
      <c r="D69" s="52" t="n"/>
      <c r="E69" s="52" t="n"/>
      <c r="F69" s="52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1" t="n"/>
      <c r="Y69" s="51" t="n"/>
      <c r="Z69" s="51" t="n"/>
      <c r="AA69" s="51" t="n"/>
      <c r="AB69" s="51" t="n"/>
      <c r="AC69" s="51" t="n"/>
      <c r="AD69" s="51" t="n"/>
      <c r="AE69" s="51" t="n"/>
      <c r="AF69" s="51" t="n"/>
      <c r="AG69" s="51" t="n"/>
      <c r="AH69" s="51" t="n"/>
      <c r="AI69" s="51" t="n"/>
      <c r="AJ69" s="51" t="n"/>
      <c r="AK69" s="51" t="n"/>
      <c r="AL69" s="51" t="n"/>
      <c r="AM69" s="51" t="n"/>
    </row>
    <row r="70" ht="15.95" customHeight="1" s="462">
      <c r="A70" s="51" t="n"/>
      <c r="B70" s="52" t="inlineStr">
        <is>
          <t xml:space="preserve"> - 판매 추이에 따라 추가 판매 여부 검토(PRM 협의) </t>
        </is>
      </c>
      <c r="C70" s="52" t="n"/>
      <c r="D70" s="52" t="n"/>
      <c r="E70" s="52" t="n"/>
      <c r="F70" s="52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1" t="n"/>
      <c r="Y70" s="51" t="n"/>
      <c r="Z70" s="51" t="n"/>
      <c r="AA70" s="51" t="n"/>
      <c r="AB70" s="51" t="n"/>
      <c r="AC70" s="51" t="n"/>
      <c r="AD70" s="51" t="n"/>
      <c r="AE70" s="51" t="n"/>
      <c r="AF70" s="51" t="n"/>
      <c r="AG70" s="51" t="n"/>
      <c r="AH70" s="51" t="n"/>
      <c r="AI70" s="51" t="n"/>
      <c r="AJ70" s="51" t="n"/>
      <c r="AK70" s="51" t="n"/>
      <c r="AL70" s="51" t="n"/>
      <c r="AM70" s="51" t="n"/>
    </row>
    <row r="71" ht="15.95" customHeight="1" s="462">
      <c r="A71" s="51" t="n"/>
      <c r="B71" s="51" t="n"/>
      <c r="C71" s="51" t="n"/>
      <c r="D71" s="51" t="n"/>
      <c r="E71" s="51" t="n"/>
      <c r="F71" s="51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1" t="n"/>
      <c r="R71" s="51" t="n"/>
      <c r="S71" s="51" t="n"/>
      <c r="T71" s="51" t="n"/>
      <c r="U71" s="51" t="n"/>
      <c r="V71" s="51" t="n"/>
      <c r="W71" s="51" t="n"/>
      <c r="X71" s="51" t="n"/>
      <c r="Y71" s="51" t="n"/>
      <c r="Z71" s="51" t="n"/>
      <c r="AA71" s="51" t="n"/>
      <c r="AB71" s="51" t="n"/>
      <c r="AC71" s="51" t="n"/>
      <c r="AD71" s="63" t="n"/>
      <c r="AE71" s="63" t="n"/>
      <c r="AF71" s="51" t="n"/>
      <c r="AG71" s="51" t="n"/>
      <c r="AH71" s="51" t="n"/>
      <c r="AI71" s="51" t="n"/>
      <c r="AJ71" s="51" t="n"/>
      <c r="AK71" s="51" t="n"/>
      <c r="AL71" s="51" t="n"/>
      <c r="AM71" s="63" t="inlineStr">
        <is>
          <t>이상/끝.</t>
        </is>
      </c>
    </row>
  </sheetData>
  <mergeCells count="377">
    <mergeCell ref="Y11:AA11"/>
    <mergeCell ref="S14:U14"/>
    <mergeCell ref="S13:U13"/>
    <mergeCell ref="P17:R17"/>
    <mergeCell ref="J11:L11"/>
    <mergeCell ref="B12:C12"/>
    <mergeCell ref="S15:U15"/>
    <mergeCell ref="P19:R19"/>
    <mergeCell ref="B14:C14"/>
    <mergeCell ref="AE56:AG57"/>
    <mergeCell ref="P12:R12"/>
    <mergeCell ref="B13:C13"/>
    <mergeCell ref="T42:W42"/>
    <mergeCell ref="V59:X60"/>
    <mergeCell ref="P14:R14"/>
    <mergeCell ref="AK17:AM17"/>
    <mergeCell ref="V21:X21"/>
    <mergeCell ref="T44:W44"/>
    <mergeCell ref="L45:O45"/>
    <mergeCell ref="AK19:AM19"/>
    <mergeCell ref="L38:O38"/>
    <mergeCell ref="AK12:AM12"/>
    <mergeCell ref="B25:C25"/>
    <mergeCell ref="L40:O40"/>
    <mergeCell ref="P38:S39"/>
    <mergeCell ref="AK14:AM14"/>
    <mergeCell ref="AB56:AD56"/>
    <mergeCell ref="AJ41:AM41"/>
    <mergeCell ref="AS21:AT21"/>
    <mergeCell ref="AB57:AD57"/>
    <mergeCell ref="Y12:AA12"/>
    <mergeCell ref="AJ43:AM43"/>
    <mergeCell ref="D55:F55"/>
    <mergeCell ref="X23:AD23"/>
    <mergeCell ref="A4:AM4"/>
    <mergeCell ref="V17:X17"/>
    <mergeCell ref="Y56:AA56"/>
    <mergeCell ref="AS10:AT11"/>
    <mergeCell ref="P20:R20"/>
    <mergeCell ref="V55:X55"/>
    <mergeCell ref="J14:L14"/>
    <mergeCell ref="B15:C15"/>
    <mergeCell ref="D26:AM26"/>
    <mergeCell ref="J60:L60"/>
    <mergeCell ref="AF45:AI45"/>
    <mergeCell ref="G17:I17"/>
    <mergeCell ref="D21:F21"/>
    <mergeCell ref="AE58:AG58"/>
    <mergeCell ref="AJ36:AM36"/>
    <mergeCell ref="D65:AM65"/>
    <mergeCell ref="G19:I19"/>
    <mergeCell ref="Y59:AA59"/>
    <mergeCell ref="J55:L55"/>
    <mergeCell ref="L46:O46"/>
    <mergeCell ref="T37:W37"/>
    <mergeCell ref="AK20:AM20"/>
    <mergeCell ref="AJ44:AM44"/>
    <mergeCell ref="G58:I58"/>
    <mergeCell ref="L48:O48"/>
    <mergeCell ref="AU16:AZ16"/>
    <mergeCell ref="D18:F18"/>
    <mergeCell ref="T38:W38"/>
    <mergeCell ref="AF9:AM9"/>
    <mergeCell ref="AH54:AJ54"/>
    <mergeCell ref="J58:L58"/>
    <mergeCell ref="L43:O43"/>
    <mergeCell ref="AH56:AJ56"/>
    <mergeCell ref="G12:I12"/>
    <mergeCell ref="AB38:AE39"/>
    <mergeCell ref="AE55:AG55"/>
    <mergeCell ref="P35:AA35"/>
    <mergeCell ref="P36:S36"/>
    <mergeCell ref="AB58:AD58"/>
    <mergeCell ref="T40:W40"/>
    <mergeCell ref="AB60:AD60"/>
    <mergeCell ref="AS18:AT18"/>
    <mergeCell ref="V19:X19"/>
    <mergeCell ref="D44:G45"/>
    <mergeCell ref="P59:R59"/>
    <mergeCell ref="AF47:AI47"/>
    <mergeCell ref="AB12:AD12"/>
    <mergeCell ref="D27:AM27"/>
    <mergeCell ref="AF46:AI46"/>
    <mergeCell ref="AH11:AJ11"/>
    <mergeCell ref="M18:O18"/>
    <mergeCell ref="A2:AM2"/>
    <mergeCell ref="AB13:AD13"/>
    <mergeCell ref="AF48:AI48"/>
    <mergeCell ref="J21:L21"/>
    <mergeCell ref="T45:W45"/>
    <mergeCell ref="H44:K44"/>
    <mergeCell ref="G60:I60"/>
    <mergeCell ref="AJ39:AM39"/>
    <mergeCell ref="AS19:AT19"/>
    <mergeCell ref="B58:B60"/>
    <mergeCell ref="D19:F19"/>
    <mergeCell ref="AH18:AJ18"/>
    <mergeCell ref="D38:G39"/>
    <mergeCell ref="P56:R56"/>
    <mergeCell ref="AS14:AT14"/>
    <mergeCell ref="AE21:AG21"/>
    <mergeCell ref="AF41:AI41"/>
    <mergeCell ref="X41:AA41"/>
    <mergeCell ref="G13:I13"/>
    <mergeCell ref="BA10:BF10"/>
    <mergeCell ref="B55:B57"/>
    <mergeCell ref="M12:O12"/>
    <mergeCell ref="G15:I15"/>
    <mergeCell ref="AB41:AE42"/>
    <mergeCell ref="H42:K42"/>
    <mergeCell ref="AF36:AI36"/>
    <mergeCell ref="D12:F12"/>
    <mergeCell ref="AK56:AM56"/>
    <mergeCell ref="D14:F14"/>
    <mergeCell ref="P54:R54"/>
    <mergeCell ref="B49:C49"/>
    <mergeCell ref="AH12:AJ12"/>
    <mergeCell ref="AB15:AD15"/>
    <mergeCell ref="B24:C24"/>
    <mergeCell ref="M55:O55"/>
    <mergeCell ref="AH14:AJ14"/>
    <mergeCell ref="AE18:AG18"/>
    <mergeCell ref="X42:AA42"/>
    <mergeCell ref="H45:K45"/>
    <mergeCell ref="B26:C26"/>
    <mergeCell ref="B63:C63"/>
    <mergeCell ref="H37:K37"/>
    <mergeCell ref="Y20:AA20"/>
    <mergeCell ref="Y14:AA14"/>
    <mergeCell ref="H47:K47"/>
    <mergeCell ref="AS20:AT20"/>
    <mergeCell ref="AK54:AM54"/>
    <mergeCell ref="B27:C27"/>
    <mergeCell ref="AF38:AI38"/>
    <mergeCell ref="V54:X54"/>
    <mergeCell ref="P57:R57"/>
    <mergeCell ref="X43:AA43"/>
    <mergeCell ref="D41:G42"/>
    <mergeCell ref="S55:U55"/>
    <mergeCell ref="M14:O14"/>
    <mergeCell ref="G54:I54"/>
    <mergeCell ref="D36:G36"/>
    <mergeCell ref="G56:I56"/>
    <mergeCell ref="D64:AM64"/>
    <mergeCell ref="AK57:AM57"/>
    <mergeCell ref="S58:U58"/>
    <mergeCell ref="AH20:AJ20"/>
    <mergeCell ref="AK58:AM58"/>
    <mergeCell ref="AB44:AE45"/>
    <mergeCell ref="AE17:AG17"/>
    <mergeCell ref="Y17:AA17"/>
    <mergeCell ref="AK60:AM60"/>
    <mergeCell ref="AH15:AJ15"/>
    <mergeCell ref="AE19:AG19"/>
    <mergeCell ref="X39:AA39"/>
    <mergeCell ref="H38:K38"/>
    <mergeCell ref="H40:K40"/>
    <mergeCell ref="AB18:AD18"/>
    <mergeCell ref="V18:X18"/>
    <mergeCell ref="S21:U21"/>
    <mergeCell ref="P60:R60"/>
    <mergeCell ref="B37:B39"/>
    <mergeCell ref="M54:O54"/>
    <mergeCell ref="G57:I57"/>
    <mergeCell ref="J20:L20"/>
    <mergeCell ref="T46:W46"/>
    <mergeCell ref="AB37:AE37"/>
    <mergeCell ref="V11:X11"/>
    <mergeCell ref="C35:C36"/>
    <mergeCell ref="AH59:AJ59"/>
    <mergeCell ref="AS16:AT17"/>
    <mergeCell ref="T48:W48"/>
    <mergeCell ref="P13:R13"/>
    <mergeCell ref="P15:R15"/>
    <mergeCell ref="P58:R58"/>
    <mergeCell ref="AB40:AE40"/>
    <mergeCell ref="H46:K46"/>
    <mergeCell ref="AE20:AG20"/>
    <mergeCell ref="D56:F57"/>
    <mergeCell ref="AF44:AI44"/>
    <mergeCell ref="X47:AA47"/>
    <mergeCell ref="AK13:AM13"/>
    <mergeCell ref="AJ37:AM37"/>
    <mergeCell ref="Y54:AA54"/>
    <mergeCell ref="L41:O41"/>
    <mergeCell ref="D11:F11"/>
    <mergeCell ref="AK15:AM15"/>
    <mergeCell ref="T36:W36"/>
    <mergeCell ref="B21:C21"/>
    <mergeCell ref="L36:O36"/>
    <mergeCell ref="Y13:AA13"/>
    <mergeCell ref="B28:B29"/>
    <mergeCell ref="AJ42:AM42"/>
    <mergeCell ref="V12:X12"/>
    <mergeCell ref="AB55:AD55"/>
    <mergeCell ref="AB46:AE46"/>
    <mergeCell ref="B64:C64"/>
    <mergeCell ref="V14:X14"/>
    <mergeCell ref="V13:X13"/>
    <mergeCell ref="S17:U17"/>
    <mergeCell ref="S11:U11"/>
    <mergeCell ref="M20:O20"/>
    <mergeCell ref="B35:B36"/>
    <mergeCell ref="M11:O11"/>
    <mergeCell ref="P41:S42"/>
    <mergeCell ref="AH58:AJ58"/>
    <mergeCell ref="D17:F17"/>
    <mergeCell ref="B18:C18"/>
    <mergeCell ref="D53:L53"/>
    <mergeCell ref="M15:O15"/>
    <mergeCell ref="AH60:AJ60"/>
    <mergeCell ref="AE59:AG60"/>
    <mergeCell ref="AS12:AT12"/>
    <mergeCell ref="AJ47:AM47"/>
    <mergeCell ref="G55:I55"/>
    <mergeCell ref="P18:R18"/>
    <mergeCell ref="AJ40:AM40"/>
    <mergeCell ref="Y57:AA57"/>
    <mergeCell ref="AH57:AJ57"/>
    <mergeCell ref="B46:B48"/>
    <mergeCell ref="L42:O42"/>
    <mergeCell ref="B30:B31"/>
    <mergeCell ref="AE54:AG54"/>
    <mergeCell ref="AB36:AE36"/>
    <mergeCell ref="L39:O39"/>
    <mergeCell ref="D10:U10"/>
    <mergeCell ref="AK18:AM18"/>
    <mergeCell ref="V20:X20"/>
    <mergeCell ref="P37:S37"/>
    <mergeCell ref="AB59:AD59"/>
    <mergeCell ref="P44:S45"/>
    <mergeCell ref="AJ45:AM45"/>
    <mergeCell ref="H48:K48"/>
    <mergeCell ref="Y60:AA60"/>
    <mergeCell ref="V15:X15"/>
    <mergeCell ref="AE53:AM53"/>
    <mergeCell ref="D58:F58"/>
    <mergeCell ref="AF43:AI43"/>
    <mergeCell ref="H43:K43"/>
    <mergeCell ref="D28:AM28"/>
    <mergeCell ref="S20:U20"/>
    <mergeCell ref="L47:O47"/>
    <mergeCell ref="AE11:AG11"/>
    <mergeCell ref="BA16:BF16"/>
    <mergeCell ref="J18:L18"/>
    <mergeCell ref="B19:C19"/>
    <mergeCell ref="B43:B45"/>
    <mergeCell ref="D30:AM30"/>
    <mergeCell ref="J17:L17"/>
    <mergeCell ref="G21:I21"/>
    <mergeCell ref="D20:F20"/>
    <mergeCell ref="D29:AM29"/>
    <mergeCell ref="AS13:AT13"/>
    <mergeCell ref="AJ48:AM48"/>
    <mergeCell ref="J57:L57"/>
    <mergeCell ref="Y15:AA15"/>
    <mergeCell ref="J19:L19"/>
    <mergeCell ref="B20:C20"/>
    <mergeCell ref="Y58:AA58"/>
    <mergeCell ref="AS15:AT15"/>
    <mergeCell ref="D13:F13"/>
    <mergeCell ref="I24:AM24"/>
    <mergeCell ref="M13:O13"/>
    <mergeCell ref="G18:I18"/>
    <mergeCell ref="D49:AM49"/>
    <mergeCell ref="AB21:AD21"/>
    <mergeCell ref="X44:AA44"/>
    <mergeCell ref="D16:U16"/>
    <mergeCell ref="AF39:AI39"/>
    <mergeCell ref="J12:L12"/>
    <mergeCell ref="D15:F15"/>
    <mergeCell ref="AJ46:AM46"/>
    <mergeCell ref="P40:S40"/>
    <mergeCell ref="P47:S48"/>
    <mergeCell ref="D25:AM25"/>
    <mergeCell ref="AH13:AJ13"/>
    <mergeCell ref="D35:O35"/>
    <mergeCell ref="G11:I11"/>
    <mergeCell ref="C53:C54"/>
    <mergeCell ref="S59:U59"/>
    <mergeCell ref="Y55:AA55"/>
    <mergeCell ref="AU10:AZ10"/>
    <mergeCell ref="AE12:AG12"/>
    <mergeCell ref="V56:X57"/>
    <mergeCell ref="D31:AM31"/>
    <mergeCell ref="AE14:AG14"/>
    <mergeCell ref="M56:O57"/>
    <mergeCell ref="AK21:AM21"/>
    <mergeCell ref="M21:O21"/>
    <mergeCell ref="AB11:AD11"/>
    <mergeCell ref="D59:F60"/>
    <mergeCell ref="S54:U54"/>
    <mergeCell ref="H39:K39"/>
    <mergeCell ref="S56:U56"/>
    <mergeCell ref="P46:S46"/>
    <mergeCell ref="P55:R55"/>
    <mergeCell ref="X37:AA37"/>
    <mergeCell ref="AH21:AJ21"/>
    <mergeCell ref="D50:AM50"/>
    <mergeCell ref="J13:L13"/>
    <mergeCell ref="X38:AA38"/>
    <mergeCell ref="J15:L15"/>
    <mergeCell ref="T41:W41"/>
    <mergeCell ref="AF40:AI40"/>
    <mergeCell ref="P43:S43"/>
    <mergeCell ref="B66:C66"/>
    <mergeCell ref="T43:W43"/>
    <mergeCell ref="AK55:AM55"/>
    <mergeCell ref="AK11:AM11"/>
    <mergeCell ref="M59:O60"/>
    <mergeCell ref="G14:I14"/>
    <mergeCell ref="AK59:AM59"/>
    <mergeCell ref="AE13:AG13"/>
    <mergeCell ref="AB17:AD17"/>
    <mergeCell ref="AF37:AI37"/>
    <mergeCell ref="X40:AA40"/>
    <mergeCell ref="V53:AD53"/>
    <mergeCell ref="H41:K41"/>
    <mergeCell ref="A8:AA8"/>
    <mergeCell ref="B53:B54"/>
    <mergeCell ref="AE15:AG15"/>
    <mergeCell ref="AB19:AD19"/>
    <mergeCell ref="D54:F54"/>
    <mergeCell ref="M53:U53"/>
    <mergeCell ref="M58:O58"/>
    <mergeCell ref="H36:K36"/>
    <mergeCell ref="V58:X58"/>
    <mergeCell ref="AB20:AD20"/>
    <mergeCell ref="AB14:AD14"/>
    <mergeCell ref="S18:U18"/>
    <mergeCell ref="D63:AM63"/>
    <mergeCell ref="D37:G37"/>
    <mergeCell ref="AF42:AI42"/>
    <mergeCell ref="X45:AA45"/>
    <mergeCell ref="P21:R21"/>
    <mergeCell ref="L44:O44"/>
    <mergeCell ref="B40:B42"/>
    <mergeCell ref="S57:U57"/>
    <mergeCell ref="Y19:AA19"/>
    <mergeCell ref="V10:AM10"/>
    <mergeCell ref="B10:C11"/>
    <mergeCell ref="X46:AA46"/>
    <mergeCell ref="J54:L54"/>
    <mergeCell ref="AB47:AE48"/>
    <mergeCell ref="D66:AM66"/>
    <mergeCell ref="D47:G48"/>
    <mergeCell ref="M17:O17"/>
    <mergeCell ref="X48:AA48"/>
    <mergeCell ref="G20:I20"/>
    <mergeCell ref="J56:L56"/>
    <mergeCell ref="M19:O19"/>
    <mergeCell ref="S12:U12"/>
    <mergeCell ref="J59:L59"/>
    <mergeCell ref="AH17:AJ17"/>
    <mergeCell ref="Y21:AA21"/>
    <mergeCell ref="P11:R11"/>
    <mergeCell ref="AH19:AJ19"/>
    <mergeCell ref="AH55:AJ55"/>
    <mergeCell ref="S19:U19"/>
    <mergeCell ref="X36:AA36"/>
    <mergeCell ref="T39:W39"/>
    <mergeCell ref="Y18:AA18"/>
    <mergeCell ref="D46:G46"/>
    <mergeCell ref="L37:O37"/>
    <mergeCell ref="D40:G40"/>
    <mergeCell ref="V16:AM16"/>
    <mergeCell ref="B16:C17"/>
    <mergeCell ref="T47:W47"/>
    <mergeCell ref="S60:U60"/>
    <mergeCell ref="G59:I59"/>
    <mergeCell ref="AJ38:AM38"/>
    <mergeCell ref="B65:C65"/>
    <mergeCell ref="AB54:AD54"/>
    <mergeCell ref="AB43:AE43"/>
    <mergeCell ref="B50:C50"/>
    <mergeCell ref="D43:G43"/>
    <mergeCell ref="AB35:AM35"/>
  </mergeCells>
  <conditionalFormatting sqref="S12:U15">
    <cfRule type="cellIs" priority="4" operator="lessThan" dxfId="0">
      <formula>1</formula>
    </cfRule>
  </conditionalFormatting>
  <conditionalFormatting sqref="S18:U21">
    <cfRule type="cellIs" priority="3" operator="lessThan" dxfId="0">
      <formula>1</formula>
    </cfRule>
  </conditionalFormatting>
  <conditionalFormatting sqref="AK12:AM15">
    <cfRule type="cellIs" priority="2" operator="lessThan" dxfId="0">
      <formula>1</formula>
    </cfRule>
  </conditionalFormatting>
  <conditionalFormatting sqref="AK18:AM21">
    <cfRule type="cellIs" priority="1" operator="lessThan" dxfId="0">
      <formula>1</formula>
    </cfRule>
  </conditionalFormatting>
  <pageMargins left="0.1181102362204725" right="0.1181102362204725" top="0.1968503937007874" bottom="0.1968503937007874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D73"/>
  <sheetViews>
    <sheetView showGridLines="0" topLeftCell="A40" zoomScale="130" zoomScaleNormal="130" workbookViewId="0">
      <selection activeCell="D49" sqref="D49:O50"/>
    </sheetView>
  </sheetViews>
  <sheetFormatPr baseColWidth="8" defaultColWidth="9" defaultRowHeight="15.95" customHeight="1"/>
  <cols>
    <col width="2.625" customWidth="1" style="49" min="1" max="1"/>
    <col width="6.625" customWidth="1" style="49" min="2" max="15"/>
    <col width="32.75" bestFit="1" customWidth="1" style="49" min="16" max="16"/>
    <col width="6.625" customWidth="1" style="49" min="17" max="30"/>
    <col width="9" customWidth="1" style="49" min="31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1" t="n"/>
      <c r="D7" s="52" t="n"/>
      <c r="E7" s="52" t="n"/>
      <c r="F7" s="52" t="n"/>
      <c r="G7" s="52" t="n"/>
      <c r="H7" s="52" t="n"/>
      <c r="I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J9" s="205" t="inlineStr">
        <is>
          <t>[단위: RNs_실 / ADR_천원 / REV_백만]</t>
        </is>
      </c>
    </row>
    <row r="10" ht="15.95" customHeight="1" s="462">
      <c r="B10" s="194" t="inlineStr">
        <is>
          <t>(당월)</t>
        </is>
      </c>
      <c r="C10" s="501" t="n"/>
      <c r="D10" s="161" t="inlineStr">
        <is>
          <t>전체</t>
        </is>
      </c>
      <c r="E10" s="463" t="n"/>
      <c r="F10" s="463" t="n"/>
      <c r="G10" s="463" t="n"/>
      <c r="H10" s="463" t="n"/>
      <c r="I10" s="464" t="n"/>
      <c r="J10" s="195" t="inlineStr">
        <is>
          <t>GS</t>
        </is>
      </c>
      <c r="K10" s="463" t="n"/>
      <c r="L10" s="463" t="n"/>
      <c r="M10" s="463" t="n"/>
      <c r="N10" s="463" t="n"/>
      <c r="O10" s="464" t="n"/>
    </row>
    <row r="11" ht="15.95" customHeight="1" s="462" thickBot="1">
      <c r="A11" s="53" t="n"/>
      <c r="B11" s="502" t="n"/>
      <c r="C11" s="503" t="n"/>
      <c r="D11" s="199" t="inlineStr">
        <is>
          <t>목표</t>
        </is>
      </c>
      <c r="E11" s="227" t="inlineStr">
        <is>
          <t>OTB</t>
        </is>
      </c>
      <c r="F11" s="229" t="inlineStr">
        <is>
          <t>진행률</t>
        </is>
      </c>
      <c r="G11" s="229" t="inlineStr">
        <is>
          <t>FCST</t>
        </is>
      </c>
      <c r="H11" s="229" t="inlineStr">
        <is>
          <t>증감</t>
        </is>
      </c>
      <c r="I11" s="229" t="inlineStr">
        <is>
          <t>달성률</t>
        </is>
      </c>
      <c r="J11" s="229" t="inlineStr">
        <is>
          <t>목표</t>
        </is>
      </c>
      <c r="K11" s="227" t="inlineStr">
        <is>
          <t>OTB</t>
        </is>
      </c>
      <c r="L11" s="229" t="inlineStr">
        <is>
          <t>진행률</t>
        </is>
      </c>
      <c r="M11" s="229" t="inlineStr">
        <is>
          <t>FCST</t>
        </is>
      </c>
      <c r="N11" s="229" t="inlineStr">
        <is>
          <t>증감</t>
        </is>
      </c>
      <c r="O11" s="229" t="inlineStr">
        <is>
          <t>달성률</t>
        </is>
      </c>
      <c r="R11" s="54" t="n"/>
    </row>
    <row r="12" ht="15.95" customHeight="1" s="462" thickTop="1">
      <c r="B12" s="508" t="inlineStr">
        <is>
          <t>OCC</t>
        </is>
      </c>
      <c r="C12" s="509" t="n"/>
      <c r="D12" s="27" t="n">
        <v>0.404</v>
      </c>
      <c r="E12" s="28" t="n">
        <v>0.31</v>
      </c>
      <c r="F12" s="28" t="n">
        <v>0.77</v>
      </c>
      <c r="G12" s="28" t="n">
        <v>0.38</v>
      </c>
      <c r="H12" s="29" t="n">
        <v>-0.02</v>
      </c>
      <c r="I12" s="29" t="n">
        <v>0.95</v>
      </c>
      <c r="J12" s="28" t="n">
        <v>0.12</v>
      </c>
      <c r="K12" s="28" t="n">
        <v>0.08</v>
      </c>
      <c r="L12" s="28" t="n">
        <v>0.65</v>
      </c>
      <c r="M12" s="28" t="n">
        <v>0.1</v>
      </c>
      <c r="N12" s="29" t="n">
        <v>-0.02</v>
      </c>
      <c r="O12" s="29" t="n">
        <v>0.78</v>
      </c>
      <c r="Q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513" t="n"/>
      <c r="D13" s="466" t="n">
        <v>32864</v>
      </c>
      <c r="E13" s="467" t="n">
        <v>25870</v>
      </c>
      <c r="F13" s="33" t="n">
        <v>0.78</v>
      </c>
      <c r="G13" s="467" t="n">
        <v>31239</v>
      </c>
      <c r="H13" s="468" t="n">
        <v>-1625</v>
      </c>
      <c r="I13" s="35" t="n">
        <v>0.95</v>
      </c>
      <c r="J13" s="467" t="n">
        <v>10419</v>
      </c>
      <c r="K13" s="467" t="n">
        <v>6825</v>
      </c>
      <c r="L13" s="33" t="n">
        <v>0.65</v>
      </c>
      <c r="M13" s="467" t="n">
        <v>8173</v>
      </c>
      <c r="N13" s="468" t="n">
        <v>-2246</v>
      </c>
      <c r="O13" s="35" t="n">
        <v>0.78</v>
      </c>
    </row>
    <row r="14" ht="15.95" customHeight="1" s="462">
      <c r="A14" s="53" t="n"/>
      <c r="B14" s="30" t="inlineStr">
        <is>
          <t>ADR</t>
        </is>
      </c>
      <c r="C14" s="513" t="n"/>
      <c r="D14" s="466" t="n">
        <v>208</v>
      </c>
      <c r="E14" s="467" t="n">
        <v>208</v>
      </c>
      <c r="F14" s="33" t="n">
        <v>1</v>
      </c>
      <c r="G14" s="467" t="n">
        <v>216</v>
      </c>
      <c r="H14" s="469" t="n">
        <v>8</v>
      </c>
      <c r="I14" s="33" t="n">
        <v>1.03</v>
      </c>
      <c r="J14" s="467" t="n">
        <v>227</v>
      </c>
      <c r="K14" s="467" t="n">
        <v>277</v>
      </c>
      <c r="L14" s="33" t="n">
        <v>1.22</v>
      </c>
      <c r="M14" s="467" t="n">
        <v>244</v>
      </c>
      <c r="N14" s="469" t="n">
        <v>17</v>
      </c>
      <c r="O14" s="33" t="n">
        <v>1.07</v>
      </c>
    </row>
    <row r="15" ht="15.95" customHeight="1" s="462">
      <c r="A15" s="53" t="n"/>
      <c r="B15" s="37" t="inlineStr">
        <is>
          <t>REV</t>
        </is>
      </c>
      <c r="C15" s="520" t="n"/>
      <c r="D15" s="470" t="n">
        <v>6822</v>
      </c>
      <c r="E15" s="471" t="n">
        <v>5381</v>
      </c>
      <c r="F15" s="40" t="n">
        <v>0.78</v>
      </c>
      <c r="G15" s="471" t="n">
        <v>6734</v>
      </c>
      <c r="H15" s="472" t="n">
        <v>-88</v>
      </c>
      <c r="I15" s="42" t="n">
        <v>0.98</v>
      </c>
      <c r="J15" s="471" t="n">
        <v>2365</v>
      </c>
      <c r="K15" s="471" t="n">
        <v>1888</v>
      </c>
      <c r="L15" s="40" t="n">
        <v>0.8</v>
      </c>
      <c r="M15" s="471" t="n">
        <v>1994</v>
      </c>
      <c r="N15" s="472" t="n">
        <v>-371</v>
      </c>
      <c r="O15" s="42" t="n">
        <v>0.84</v>
      </c>
    </row>
    <row r="16" ht="15.95" customHeight="1" s="462">
      <c r="B16" s="194" t="inlineStr">
        <is>
          <t>(익월)</t>
        </is>
      </c>
      <c r="C16" s="501" t="n"/>
      <c r="D16" s="161" t="inlineStr">
        <is>
          <t>전체</t>
        </is>
      </c>
      <c r="E16" s="463" t="n"/>
      <c r="F16" s="463" t="n"/>
      <c r="G16" s="463" t="n"/>
      <c r="H16" s="463" t="n"/>
      <c r="I16" s="464" t="n"/>
      <c r="J16" s="195" t="inlineStr">
        <is>
          <t>GS</t>
        </is>
      </c>
      <c r="K16" s="463" t="n"/>
      <c r="L16" s="463" t="n"/>
      <c r="M16" s="463" t="n"/>
      <c r="N16" s="463" t="n"/>
      <c r="O16" s="464" t="n"/>
    </row>
    <row r="17" ht="15.95" customHeight="1" s="462" thickBot="1">
      <c r="A17" s="53" t="n"/>
      <c r="B17" s="502" t="n"/>
      <c r="C17" s="503" t="n"/>
      <c r="D17" s="199" t="inlineStr">
        <is>
          <t>목표</t>
        </is>
      </c>
      <c r="E17" s="227" t="inlineStr">
        <is>
          <t>OTB</t>
        </is>
      </c>
      <c r="F17" s="229" t="inlineStr">
        <is>
          <t>진행률</t>
        </is>
      </c>
      <c r="G17" s="229" t="inlineStr">
        <is>
          <t>FCST</t>
        </is>
      </c>
      <c r="H17" s="229" t="inlineStr">
        <is>
          <t>증감</t>
        </is>
      </c>
      <c r="I17" s="229" t="inlineStr">
        <is>
          <t>달성률</t>
        </is>
      </c>
      <c r="J17" s="229" t="inlineStr">
        <is>
          <t>목표</t>
        </is>
      </c>
      <c r="K17" s="227" t="inlineStr">
        <is>
          <t>OTB</t>
        </is>
      </c>
      <c r="L17" s="229" t="inlineStr">
        <is>
          <t>진행률</t>
        </is>
      </c>
      <c r="M17" s="229" t="inlineStr">
        <is>
          <t>FCST</t>
        </is>
      </c>
      <c r="N17" s="229" t="inlineStr">
        <is>
          <t>증감</t>
        </is>
      </c>
      <c r="O17" s="229" t="inlineStr">
        <is>
          <t>달성률</t>
        </is>
      </c>
      <c r="R17" s="54" t="n"/>
    </row>
    <row r="18" ht="15.95" customHeight="1" s="462" thickTop="1">
      <c r="B18" s="508" t="inlineStr">
        <is>
          <t>OCC</t>
        </is>
      </c>
      <c r="C18" s="509" t="n"/>
      <c r="D18" s="27" t="n">
        <v>0.4</v>
      </c>
      <c r="E18" s="28" t="n">
        <v>0.11</v>
      </c>
      <c r="F18" s="28" t="n">
        <v>0.28</v>
      </c>
      <c r="G18" s="28" t="n">
        <v>0.35</v>
      </c>
      <c r="H18" s="29" t="n">
        <v>-0.04</v>
      </c>
      <c r="I18" s="29" t="n">
        <v>0.88</v>
      </c>
      <c r="J18" s="28" t="n">
        <v>0.15</v>
      </c>
      <c r="K18" s="28" t="n">
        <v>0.04</v>
      </c>
      <c r="L18" s="28" t="n">
        <v>0.24</v>
      </c>
      <c r="M18" s="28" t="n">
        <v>0.15</v>
      </c>
      <c r="N18" s="473" t="n">
        <v>-0.003</v>
      </c>
      <c r="O18" s="29" t="n">
        <v>0.98</v>
      </c>
    </row>
    <row r="19" ht="15.95" customHeight="1" s="462">
      <c r="A19" s="54" t="n"/>
      <c r="B19" s="30" t="inlineStr">
        <is>
          <t>RNs</t>
        </is>
      </c>
      <c r="C19" s="513" t="n"/>
      <c r="D19" s="466" t="n">
        <v>34029</v>
      </c>
      <c r="E19" s="467" t="n">
        <v>9599</v>
      </c>
      <c r="F19" s="33" t="n">
        <v>0.28</v>
      </c>
      <c r="G19" s="467" t="n">
        <v>30043</v>
      </c>
      <c r="H19" s="468" t="n">
        <v>-3986</v>
      </c>
      <c r="I19" s="35" t="n">
        <v>0.88</v>
      </c>
      <c r="J19" s="467" t="n">
        <v>13443</v>
      </c>
      <c r="K19" s="467" t="n">
        <v>3353</v>
      </c>
      <c r="L19" s="33" t="n">
        <v>0.25</v>
      </c>
      <c r="M19" s="467" t="n">
        <v>13181</v>
      </c>
      <c r="N19" s="468" t="n">
        <v>-262</v>
      </c>
      <c r="O19" s="35" t="n">
        <v>0.98</v>
      </c>
      <c r="R19" s="55" t="n"/>
    </row>
    <row r="20" ht="15.95" customHeight="1" s="462">
      <c r="A20" s="53" t="n"/>
      <c r="B20" s="30" t="inlineStr">
        <is>
          <t>ADR</t>
        </is>
      </c>
      <c r="C20" s="513" t="n"/>
      <c r="D20" s="466" t="n">
        <v>190</v>
      </c>
      <c r="E20" s="467" t="n">
        <v>190</v>
      </c>
      <c r="F20" s="33" t="n">
        <v>1</v>
      </c>
      <c r="G20" s="467" t="n">
        <v>197</v>
      </c>
      <c r="H20" s="469" t="n">
        <v>7</v>
      </c>
      <c r="I20" s="33" t="n">
        <v>1.03</v>
      </c>
      <c r="J20" s="467" t="n">
        <v>193</v>
      </c>
      <c r="K20" s="467" t="n">
        <v>211</v>
      </c>
      <c r="L20" s="33" t="n">
        <v>1.09</v>
      </c>
      <c r="M20" s="467" t="n">
        <v>205</v>
      </c>
      <c r="N20" s="474" t="n">
        <v>12</v>
      </c>
      <c r="O20" s="45" t="n">
        <v>1.06</v>
      </c>
    </row>
    <row r="21" ht="15.95" customHeight="1" s="462">
      <c r="A21" s="53" t="n"/>
      <c r="B21" s="37" t="inlineStr">
        <is>
          <t>REV</t>
        </is>
      </c>
      <c r="C21" s="520" t="n"/>
      <c r="D21" s="470" t="n">
        <v>6454</v>
      </c>
      <c r="E21" s="471" t="n">
        <v>1824</v>
      </c>
      <c r="F21" s="40" t="n">
        <v>0.28</v>
      </c>
      <c r="G21" s="471" t="n">
        <v>5919</v>
      </c>
      <c r="H21" s="475" t="n">
        <v>-535</v>
      </c>
      <c r="I21" s="42" t="n">
        <v>0.91</v>
      </c>
      <c r="J21" s="471" t="n">
        <v>2594</v>
      </c>
      <c r="K21" s="471" t="n">
        <v>707</v>
      </c>
      <c r="L21" s="40" t="n">
        <v>0.27</v>
      </c>
      <c r="M21" s="471" t="n">
        <v>2702</v>
      </c>
      <c r="N21" s="476" t="n">
        <v>108</v>
      </c>
      <c r="O21" s="48" t="n">
        <v>1.04</v>
      </c>
    </row>
    <row r="23" ht="15.95" customHeight="1" s="462">
      <c r="A23" s="203" t="inlineStr">
        <is>
          <t>3. 상품 운영(안)</t>
        </is>
      </c>
      <c r="G23" s="316" t="n"/>
    </row>
    <row r="24" ht="15.95" customHeight="1" s="462" thickBot="1">
      <c r="B24" s="317" t="inlineStr">
        <is>
          <t>구 분</t>
        </is>
      </c>
      <c r="C24" s="530" t="n"/>
      <c r="D24" s="312" t="inlineStr">
        <is>
          <t>내 용</t>
        </is>
      </c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8" t="n"/>
      <c r="O24" s="530" t="n"/>
    </row>
    <row r="25" ht="15.95" customHeight="1" s="462" thickTop="1">
      <c r="B25" s="370" t="inlineStr">
        <is>
          <t>상품명</t>
        </is>
      </c>
      <c r="C25" s="563" t="n"/>
      <c r="D25" s="400" t="inlineStr">
        <is>
          <t xml:space="preserve"> · [핫딜] SONO WINNERS FESTA</t>
        </is>
      </c>
      <c r="E25" s="542" t="n"/>
      <c r="F25" s="542" t="n"/>
      <c r="G25" s="542" t="n"/>
      <c r="H25" s="542" t="n"/>
      <c r="I25" s="542" t="n"/>
      <c r="J25" s="542" t="n"/>
      <c r="K25" s="542" t="n"/>
      <c r="L25" s="542" t="n"/>
      <c r="M25" s="542" t="n"/>
      <c r="N25" s="542" t="n"/>
      <c r="O25" s="563" t="n"/>
    </row>
    <row r="26" ht="15.95" customHeight="1" s="462">
      <c r="B26" s="365" t="inlineStr">
        <is>
          <t>사업장</t>
        </is>
      </c>
      <c r="C26" s="565" t="n"/>
      <c r="D26" s="394" t="inlineStr">
        <is>
          <t xml:space="preserve"> · 전사업장</t>
        </is>
      </c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4" t="n"/>
      <c r="O26" s="565" t="n"/>
    </row>
    <row r="27" ht="15.95" customHeight="1" s="462">
      <c r="B27" s="365" t="inlineStr">
        <is>
          <t>판매채널</t>
        </is>
      </c>
      <c r="C27" s="565" t="n"/>
      <c r="D27" s="394" t="inlineStr">
        <is>
          <t xml:space="preserve"> · 회원, D멤버스, OTA, GOTA 전채널 </t>
        </is>
      </c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4" t="n"/>
      <c r="O27" s="565" t="n"/>
    </row>
    <row r="28" ht="15.95" customHeight="1" s="462">
      <c r="B28" s="357" t="inlineStr">
        <is>
          <t>기간</t>
        </is>
      </c>
      <c r="C28" s="100" t="inlineStr">
        <is>
          <t>판매</t>
        </is>
      </c>
      <c r="D28" s="394" t="inlineStr">
        <is>
          <t xml:space="preserve"> · 26.05.18(수) ~ 26.06.01(월) </t>
        </is>
      </c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4" t="n"/>
      <c r="O28" s="565" t="n"/>
    </row>
    <row r="29" ht="15.95" customHeight="1" s="462">
      <c r="B29" s="567" t="n"/>
      <c r="C29" s="100" t="inlineStr">
        <is>
          <t>투숙</t>
        </is>
      </c>
      <c r="D29" s="394" t="inlineStr">
        <is>
          <t xml:space="preserve"> · 26.06.01(월) ~ 26.07.16(목)</t>
        </is>
      </c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4" t="n"/>
      <c r="O29" s="565" t="n"/>
    </row>
    <row r="30" ht="15.95" customHeight="1" s="462">
      <c r="B30" s="357" t="inlineStr">
        <is>
          <t>상품구성</t>
        </is>
      </c>
      <c r="C30" s="100" t="inlineStr">
        <is>
          <t>기본구성</t>
        </is>
      </c>
      <c r="D30" s="394" t="inlineStr">
        <is>
          <t xml:space="preserve"> · 객실 + 오션2인 + 키즈컨텐츠</t>
        </is>
      </c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4" t="n"/>
      <c r="O30" s="565" t="n"/>
    </row>
    <row r="31" ht="15.95" customHeight="1" s="462">
      <c r="B31" s="567" t="n"/>
      <c r="C31" s="101" t="inlineStr">
        <is>
          <t>제공혜택</t>
        </is>
      </c>
      <c r="D31" s="397" t="inlineStr">
        <is>
          <t xml:space="preserve"> · 소노스카이거너스 비치볼 증정 </t>
        </is>
      </c>
      <c r="E31" s="522" t="n"/>
      <c r="F31" s="522" t="n"/>
      <c r="G31" s="522" t="n"/>
      <c r="H31" s="522" t="n"/>
      <c r="I31" s="522" t="n"/>
      <c r="J31" s="522" t="n"/>
      <c r="K31" s="522" t="n"/>
      <c r="L31" s="522" t="n"/>
      <c r="M31" s="522" t="n"/>
      <c r="N31" s="522" t="n"/>
      <c r="O31" s="575" t="n"/>
    </row>
    <row r="34" ht="15.95" customHeight="1" s="462">
      <c r="A34" s="203" t="inlineStr">
        <is>
          <t>4. 배분가</t>
        </is>
      </c>
    </row>
    <row r="35" ht="15.95" customHeight="1" s="462">
      <c r="B35" s="568" t="inlineStr">
        <is>
          <t>시즌</t>
        </is>
      </c>
      <c r="C35" s="544" t="inlineStr">
        <is>
          <t>구분</t>
        </is>
      </c>
      <c r="D35" s="552" t="inlineStr">
        <is>
          <t>객실</t>
        </is>
      </c>
      <c r="E35" s="537" t="n"/>
      <c r="F35" s="538" t="n"/>
      <c r="G35" s="253" t="inlineStr">
        <is>
          <t>부대</t>
        </is>
      </c>
      <c r="H35" s="537" t="n"/>
      <c r="I35" s="538" t="n"/>
      <c r="J35" s="253" t="inlineStr">
        <is>
          <t>판매가</t>
        </is>
      </c>
      <c r="K35" s="537" t="n"/>
      <c r="L35" s="538" t="n"/>
      <c r="M35" s="253" t="inlineStr">
        <is>
          <t>비고</t>
        </is>
      </c>
      <c r="N35" s="537" t="n"/>
      <c r="O35" s="538" t="n"/>
      <c r="P35" s="54" t="n"/>
      <c r="Q35" s="568" t="inlineStr">
        <is>
          <t>시즌</t>
        </is>
      </c>
      <c r="R35" s="544" t="inlineStr">
        <is>
          <t>구분</t>
        </is>
      </c>
      <c r="S35" s="552" t="inlineStr">
        <is>
          <t>객실</t>
        </is>
      </c>
      <c r="T35" s="537" t="n"/>
      <c r="U35" s="538" t="n"/>
      <c r="V35" s="253" t="inlineStr">
        <is>
          <t>조식</t>
        </is>
      </c>
      <c r="W35" s="537" t="n"/>
      <c r="X35" s="538" t="n"/>
      <c r="Y35" s="253" t="inlineStr">
        <is>
          <t>오션</t>
        </is>
      </c>
      <c r="Z35" s="537" t="n"/>
      <c r="AA35" s="538" t="n"/>
      <c r="AB35" s="253" t="inlineStr">
        <is>
          <t>판매가</t>
        </is>
      </c>
      <c r="AC35" s="537" t="n"/>
      <c r="AD35" s="538" t="n"/>
    </row>
    <row r="36" ht="15.95" customHeight="1" s="462" thickBot="1">
      <c r="B36" s="502" t="n"/>
      <c r="C36" s="503" t="n"/>
      <c r="D36" s="96" t="inlineStr">
        <is>
          <t>회원</t>
        </is>
      </c>
      <c r="E36" s="97" t="inlineStr">
        <is>
          <t>FIT</t>
        </is>
      </c>
      <c r="F36" s="98" t="inlineStr">
        <is>
          <t>GAP</t>
        </is>
      </c>
      <c r="G36" s="99" t="inlineStr">
        <is>
          <t>회원</t>
        </is>
      </c>
      <c r="H36" s="97" t="inlineStr">
        <is>
          <t>FIT</t>
        </is>
      </c>
      <c r="I36" s="98" t="inlineStr">
        <is>
          <t>GAP</t>
        </is>
      </c>
      <c r="J36" s="99" t="inlineStr">
        <is>
          <t>회원</t>
        </is>
      </c>
      <c r="K36" s="97" t="inlineStr">
        <is>
          <t>FIT</t>
        </is>
      </c>
      <c r="L36" s="98" t="inlineStr">
        <is>
          <t>GAP</t>
        </is>
      </c>
      <c r="M36" s="99" t="n"/>
      <c r="N36" s="97" t="n"/>
      <c r="O36" s="98" t="n"/>
      <c r="P36" s="89" t="inlineStr">
        <is>
          <t xml:space="preserve"> 부대시설 2개 시 판매가 우측 이동 (우측 표 참고) </t>
        </is>
      </c>
      <c r="Q36" s="502" t="n"/>
      <c r="R36" s="503" t="n"/>
      <c r="S36" s="96" t="inlineStr">
        <is>
          <t>회원</t>
        </is>
      </c>
      <c r="T36" s="97" t="inlineStr">
        <is>
          <t>FIT</t>
        </is>
      </c>
      <c r="U36" s="98" t="inlineStr">
        <is>
          <t>GAP</t>
        </is>
      </c>
      <c r="V36" s="99" t="inlineStr">
        <is>
          <t>회원</t>
        </is>
      </c>
      <c r="W36" s="97" t="inlineStr">
        <is>
          <t>FIT</t>
        </is>
      </c>
      <c r="X36" s="98" t="inlineStr">
        <is>
          <t>GAP</t>
        </is>
      </c>
      <c r="Y36" s="99" t="inlineStr">
        <is>
          <t>회원</t>
        </is>
      </c>
      <c r="Z36" s="97" t="inlineStr">
        <is>
          <t>FIT</t>
        </is>
      </c>
      <c r="AA36" s="98" t="inlineStr">
        <is>
          <t>GAP</t>
        </is>
      </c>
      <c r="AB36" s="99" t="inlineStr">
        <is>
          <t>회원</t>
        </is>
      </c>
      <c r="AC36" s="97" t="inlineStr">
        <is>
          <t>FIT</t>
        </is>
      </c>
      <c r="AD36" s="98" t="inlineStr">
        <is>
          <t>GAP</t>
        </is>
      </c>
    </row>
    <row r="37" ht="15.95" customHeight="1" s="462" thickTop="1">
      <c r="B37" s="359" t="inlineStr">
        <is>
          <t>주중</t>
        </is>
      </c>
      <c r="C37" s="91" t="inlineStr">
        <is>
          <t>정상가</t>
        </is>
      </c>
      <c r="D37" s="576" t="inlineStr">
        <is>
          <t>8~10만원</t>
        </is>
      </c>
      <c r="E37" s="577" t="n"/>
      <c r="F37" s="578" t="n"/>
      <c r="G37" s="579" t="inlineStr">
        <is>
          <t>부대시설 합계 금액</t>
        </is>
      </c>
      <c r="H37" s="577" t="n"/>
      <c r="I37" s="580" t="n"/>
      <c r="J37" s="581" t="inlineStr">
        <is>
          <t>객실 + 부대</t>
        </is>
      </c>
      <c r="K37" s="577" t="n"/>
      <c r="L37" s="580" t="n"/>
      <c r="M37" s="582" t="n"/>
      <c r="N37" s="577" t="n"/>
      <c r="O37" s="583" t="n"/>
      <c r="P37" s="89" t="inlineStr">
        <is>
          <t xml:space="preserve"> 부대시설 3개 이상 시 하기 5번 추가 </t>
        </is>
      </c>
      <c r="Q37" s="359" t="inlineStr">
        <is>
          <t>주중</t>
        </is>
      </c>
      <c r="R37" s="91" t="inlineStr">
        <is>
          <t>정상가</t>
        </is>
      </c>
      <c r="S37" s="576" t="inlineStr">
        <is>
          <t>8~10만원</t>
        </is>
      </c>
      <c r="T37" s="577" t="n"/>
      <c r="U37" s="580" t="n"/>
      <c r="V37" s="581" t="n"/>
      <c r="W37" s="577" t="n"/>
      <c r="X37" s="580" t="n"/>
      <c r="Z37" s="577" t="n"/>
      <c r="AA37" s="580" t="n"/>
      <c r="AB37" s="581" t="inlineStr">
        <is>
          <t>객실 + 부대</t>
        </is>
      </c>
      <c r="AC37" s="577" t="n"/>
      <c r="AD37" s="583" t="n"/>
    </row>
    <row r="38" ht="15.95" customHeight="1" s="462">
      <c r="B38" s="496" t="n"/>
      <c r="C38" s="92" t="inlineStr">
        <is>
          <t>배분가</t>
        </is>
      </c>
      <c r="D38" s="584" t="inlineStr">
        <is>
          <t>미판매</t>
        </is>
      </c>
      <c r="E38" s="107" t="n"/>
      <c r="F38" s="131" t="n"/>
      <c r="G38" s="585" t="inlineStr">
        <is>
          <t>미판매</t>
        </is>
      </c>
      <c r="H38" s="107" t="n"/>
      <c r="I38" s="131" t="n"/>
      <c r="J38" s="585" t="inlineStr">
        <is>
          <t>미판매</t>
        </is>
      </c>
      <c r="K38" s="107" t="n"/>
      <c r="L38" s="108" t="n"/>
      <c r="M38" s="109" t="n"/>
      <c r="N38" s="107" t="n"/>
      <c r="O38" s="110" t="n"/>
      <c r="P38" s="89" t="n"/>
      <c r="Q38" s="496" t="n"/>
      <c r="R38" s="92" t="inlineStr">
        <is>
          <t>배분가</t>
        </is>
      </c>
      <c r="S38" s="584" t="inlineStr">
        <is>
          <t>미판매</t>
        </is>
      </c>
      <c r="T38" s="107" t="n"/>
      <c r="U38" s="131" t="n"/>
      <c r="V38" s="585" t="inlineStr">
        <is>
          <t>미판매</t>
        </is>
      </c>
      <c r="W38" s="107" t="n"/>
      <c r="X38" s="131" t="n"/>
      <c r="Y38" s="585" t="inlineStr">
        <is>
          <t>미판매</t>
        </is>
      </c>
      <c r="Z38" s="107" t="n"/>
      <c r="AA38" s="108" t="n"/>
      <c r="AB38" s="585" t="inlineStr">
        <is>
          <t>미판매</t>
        </is>
      </c>
      <c r="AC38" s="107" t="n"/>
      <c r="AD38" s="110" t="n"/>
    </row>
    <row r="39" ht="15.95" customHeight="1" s="462">
      <c r="B39" s="567" t="n"/>
      <c r="C39" s="94" t="inlineStr">
        <is>
          <t>할인율</t>
        </is>
      </c>
      <c r="D39" s="586" t="n"/>
      <c r="E39" s="111" t="n"/>
      <c r="F39" s="132" t="n"/>
      <c r="G39" s="587" t="n"/>
      <c r="H39" s="111" t="n"/>
      <c r="I39" s="132" t="n"/>
      <c r="J39" s="587" t="n"/>
      <c r="K39" s="111" t="n"/>
      <c r="L39" s="112" t="n"/>
      <c r="M39" s="113" t="n"/>
      <c r="N39" s="111" t="n"/>
      <c r="O39" s="114" t="n"/>
      <c r="P39" s="89" t="n"/>
      <c r="Q39" s="567" t="n"/>
      <c r="R39" s="94" t="inlineStr">
        <is>
          <t>할인율</t>
        </is>
      </c>
      <c r="S39" s="586" t="n"/>
      <c r="T39" s="111" t="n"/>
      <c r="U39" s="132" t="n"/>
      <c r="V39" s="587" t="n"/>
      <c r="W39" s="111" t="n"/>
      <c r="X39" s="132" t="n"/>
      <c r="Y39" s="587" t="n"/>
      <c r="Z39" s="111" t="n"/>
      <c r="AA39" s="112" t="n"/>
      <c r="AB39" s="587" t="n"/>
      <c r="AC39" s="111" t="n"/>
      <c r="AD39" s="114" t="n"/>
    </row>
    <row r="40" ht="15.95" customHeight="1" s="462">
      <c r="B40" s="356" t="inlineStr">
        <is>
          <t>금</t>
        </is>
      </c>
      <c r="C40" s="95" t="inlineStr">
        <is>
          <t>정상가</t>
        </is>
      </c>
      <c r="D40" s="588" t="n"/>
      <c r="E40" s="589" t="n"/>
      <c r="F40" s="590" t="n"/>
      <c r="G40" s="591" t="n"/>
      <c r="H40" s="589" t="n"/>
      <c r="I40" s="590" t="n"/>
      <c r="J40" s="591" t="n"/>
      <c r="K40" s="589" t="n"/>
      <c r="L40" s="592" t="n"/>
      <c r="M40" s="593" t="n"/>
      <c r="N40" s="589" t="n"/>
      <c r="O40" s="594" t="n"/>
      <c r="P40" s="74" t="n"/>
      <c r="Q40" s="356" t="inlineStr">
        <is>
          <t>금</t>
        </is>
      </c>
      <c r="R40" s="95" t="inlineStr">
        <is>
          <t>정상가</t>
        </is>
      </c>
      <c r="S40" s="588" t="n"/>
      <c r="T40" s="589" t="n"/>
      <c r="U40" s="590" t="n"/>
      <c r="V40" s="591" t="n"/>
      <c r="W40" s="589" t="n"/>
      <c r="X40" s="590" t="n"/>
      <c r="Y40" s="591" t="n"/>
      <c r="Z40" s="589" t="n"/>
      <c r="AA40" s="592" t="n"/>
      <c r="AB40" s="591" t="n"/>
      <c r="AC40" s="589" t="n"/>
      <c r="AD40" s="594" t="n"/>
    </row>
    <row r="41" ht="15.95" customHeight="1" s="462">
      <c r="B41" s="496" t="n"/>
      <c r="C41" s="92" t="inlineStr">
        <is>
          <t>배분가</t>
        </is>
      </c>
      <c r="D41" s="584" t="inlineStr">
        <is>
          <t>미판매</t>
        </is>
      </c>
      <c r="E41" s="107" t="n"/>
      <c r="F41" s="131" t="n"/>
      <c r="G41" s="585" t="inlineStr">
        <is>
          <t>미판매</t>
        </is>
      </c>
      <c r="H41" s="107" t="n"/>
      <c r="I41" s="131" t="n"/>
      <c r="J41" s="585" t="inlineStr">
        <is>
          <t>미판매</t>
        </is>
      </c>
      <c r="K41" s="107" t="n"/>
      <c r="L41" s="108" t="n"/>
      <c r="M41" s="109" t="n"/>
      <c r="N41" s="107" t="n"/>
      <c r="O41" s="110" t="n"/>
      <c r="P41" s="74" t="n"/>
      <c r="Q41" s="496" t="n"/>
      <c r="R41" s="92" t="inlineStr">
        <is>
          <t>배분가</t>
        </is>
      </c>
      <c r="S41" s="584" t="inlineStr">
        <is>
          <t>미판매</t>
        </is>
      </c>
      <c r="T41" s="107" t="n"/>
      <c r="U41" s="131" t="n"/>
      <c r="V41" s="585" t="inlineStr">
        <is>
          <t>미판매</t>
        </is>
      </c>
      <c r="W41" s="107" t="n"/>
      <c r="X41" s="131" t="n"/>
      <c r="Y41" s="585" t="inlineStr">
        <is>
          <t>미판매</t>
        </is>
      </c>
      <c r="Z41" s="107" t="n"/>
      <c r="AA41" s="108" t="n"/>
      <c r="AB41" s="585" t="inlineStr">
        <is>
          <t>미판매</t>
        </is>
      </c>
      <c r="AC41" s="107" t="n"/>
      <c r="AD41" s="110" t="n"/>
    </row>
    <row r="42" ht="15.95" customHeight="1" s="462">
      <c r="B42" s="567" t="n"/>
      <c r="C42" s="94" t="inlineStr">
        <is>
          <t>할인율</t>
        </is>
      </c>
      <c r="D42" s="586" t="n"/>
      <c r="E42" s="111" t="n"/>
      <c r="F42" s="132" t="n"/>
      <c r="G42" s="587" t="n"/>
      <c r="H42" s="111" t="n"/>
      <c r="I42" s="132" t="n"/>
      <c r="J42" s="587" t="n"/>
      <c r="K42" s="111" t="n"/>
      <c r="L42" s="112" t="n"/>
      <c r="M42" s="113" t="n"/>
      <c r="N42" s="111" t="n"/>
      <c r="O42" s="114" t="n"/>
      <c r="P42" s="74" t="n"/>
      <c r="Q42" s="567" t="n"/>
      <c r="R42" s="94" t="inlineStr">
        <is>
          <t>할인율</t>
        </is>
      </c>
      <c r="S42" s="586" t="n"/>
      <c r="T42" s="111" t="n"/>
      <c r="U42" s="132" t="n"/>
      <c r="V42" s="587" t="n"/>
      <c r="W42" s="111" t="n"/>
      <c r="X42" s="132" t="n"/>
      <c r="Y42" s="587" t="n"/>
      <c r="Z42" s="111" t="n"/>
      <c r="AA42" s="112" t="n"/>
      <c r="AB42" s="587" t="n"/>
      <c r="AC42" s="111" t="n"/>
      <c r="AD42" s="114" t="n"/>
    </row>
    <row r="43" ht="15.95" customHeight="1" s="462">
      <c r="B43" s="356" t="inlineStr">
        <is>
          <t>토</t>
        </is>
      </c>
      <c r="C43" s="95" t="inlineStr">
        <is>
          <t>정상가</t>
        </is>
      </c>
      <c r="D43" s="588" t="n"/>
      <c r="E43" s="589" t="n"/>
      <c r="F43" s="590" t="n"/>
      <c r="G43" s="591" t="n"/>
      <c r="H43" s="589" t="n"/>
      <c r="I43" s="590" t="n"/>
      <c r="J43" s="591" t="n"/>
      <c r="K43" s="589" t="n"/>
      <c r="L43" s="592" t="n"/>
      <c r="M43" s="593" t="n"/>
      <c r="N43" s="589" t="n"/>
      <c r="O43" s="594" t="n"/>
      <c r="P43" s="74" t="n"/>
      <c r="Q43" s="356" t="inlineStr">
        <is>
          <t>토</t>
        </is>
      </c>
      <c r="R43" s="95" t="inlineStr">
        <is>
          <t>정상가</t>
        </is>
      </c>
      <c r="S43" s="588" t="n"/>
      <c r="T43" s="589" t="n"/>
      <c r="U43" s="590" t="n"/>
      <c r="V43" s="591" t="n"/>
      <c r="W43" s="589" t="n"/>
      <c r="X43" s="590" t="n"/>
      <c r="Y43" s="591" t="n"/>
      <c r="Z43" s="589" t="n"/>
      <c r="AA43" s="592" t="n"/>
      <c r="AB43" s="591" t="n"/>
      <c r="AC43" s="589" t="n"/>
      <c r="AD43" s="594" t="n"/>
    </row>
    <row r="44" ht="15.95" customHeight="1" s="462">
      <c r="B44" s="496" t="n"/>
      <c r="C44" s="92" t="inlineStr">
        <is>
          <t>배분가</t>
        </is>
      </c>
      <c r="D44" s="584" t="inlineStr">
        <is>
          <t>미판매</t>
        </is>
      </c>
      <c r="E44" s="107" t="n"/>
      <c r="F44" s="131" t="n"/>
      <c r="G44" s="585" t="inlineStr">
        <is>
          <t>미판매</t>
        </is>
      </c>
      <c r="H44" s="107" t="n"/>
      <c r="I44" s="131" t="n"/>
      <c r="J44" s="585" t="inlineStr">
        <is>
          <t>미판매</t>
        </is>
      </c>
      <c r="K44" s="107" t="n"/>
      <c r="L44" s="108" t="n"/>
      <c r="M44" s="109" t="n"/>
      <c r="N44" s="107" t="n"/>
      <c r="O44" s="110" t="n"/>
      <c r="P44" s="74" t="n"/>
      <c r="Q44" s="496" t="n"/>
      <c r="R44" s="92" t="inlineStr">
        <is>
          <t>배분가</t>
        </is>
      </c>
      <c r="S44" s="584" t="inlineStr">
        <is>
          <t>미판매</t>
        </is>
      </c>
      <c r="T44" s="107" t="n"/>
      <c r="U44" s="131" t="n"/>
      <c r="V44" s="585" t="inlineStr">
        <is>
          <t>미판매</t>
        </is>
      </c>
      <c r="W44" s="107" t="n"/>
      <c r="X44" s="131" t="n"/>
      <c r="Y44" s="585" t="inlineStr">
        <is>
          <t>미판매</t>
        </is>
      </c>
      <c r="Z44" s="107" t="n"/>
      <c r="AA44" s="108" t="n"/>
      <c r="AB44" s="585" t="inlineStr">
        <is>
          <t>미판매</t>
        </is>
      </c>
      <c r="AC44" s="107" t="n"/>
      <c r="AD44" s="110" t="n"/>
    </row>
    <row r="45" ht="15.95" customHeight="1" s="462">
      <c r="B45" s="567" t="n"/>
      <c r="C45" s="94" t="inlineStr">
        <is>
          <t>할인율</t>
        </is>
      </c>
      <c r="D45" s="586" t="n"/>
      <c r="E45" s="111" t="n"/>
      <c r="F45" s="132" t="n"/>
      <c r="G45" s="587" t="n"/>
      <c r="H45" s="111" t="n"/>
      <c r="I45" s="132" t="n"/>
      <c r="J45" s="587" t="n"/>
      <c r="K45" s="111" t="n"/>
      <c r="L45" s="112" t="n"/>
      <c r="M45" s="113" t="n"/>
      <c r="N45" s="111" t="n"/>
      <c r="O45" s="114" t="n"/>
      <c r="P45" s="74" t="n"/>
      <c r="Q45" s="567" t="n"/>
      <c r="R45" s="94" t="inlineStr">
        <is>
          <t>할인율</t>
        </is>
      </c>
      <c r="S45" s="586" t="n"/>
      <c r="T45" s="111" t="n"/>
      <c r="U45" s="132" t="n"/>
      <c r="V45" s="587" t="n"/>
      <c r="W45" s="111" t="n"/>
      <c r="X45" s="132" t="n"/>
      <c r="Y45" s="587" t="n"/>
      <c r="Z45" s="111" t="n"/>
      <c r="AA45" s="112" t="n"/>
      <c r="AB45" s="587" t="n"/>
      <c r="AC45" s="111" t="n"/>
      <c r="AD45" s="114" t="n"/>
    </row>
    <row r="46" ht="15.95" customHeight="1" s="462">
      <c r="B46" s="173" t="inlineStr">
        <is>
          <t>골드</t>
        </is>
      </c>
      <c r="C46" s="93" t="inlineStr">
        <is>
          <t>정상가</t>
        </is>
      </c>
      <c r="D46" s="595" t="n"/>
      <c r="E46" s="596" t="n"/>
      <c r="F46" s="597" t="n"/>
      <c r="G46" s="598" t="n"/>
      <c r="H46" s="596" t="n"/>
      <c r="I46" s="597" t="n"/>
      <c r="J46" s="598" t="n"/>
      <c r="K46" s="596" t="n"/>
      <c r="L46" s="599" t="n"/>
      <c r="M46" s="600" t="n"/>
      <c r="N46" s="596" t="n"/>
      <c r="O46" s="601" t="n"/>
      <c r="Q46" s="173" t="inlineStr">
        <is>
          <t>골드</t>
        </is>
      </c>
      <c r="R46" s="93" t="inlineStr">
        <is>
          <t>정상가</t>
        </is>
      </c>
      <c r="S46" s="595" t="n"/>
      <c r="T46" s="596" t="n"/>
      <c r="U46" s="597" t="n"/>
      <c r="V46" s="598" t="n"/>
      <c r="W46" s="596" t="n"/>
      <c r="X46" s="597" t="n"/>
      <c r="Y46" s="598" t="n"/>
      <c r="Z46" s="596" t="n"/>
      <c r="AA46" s="599" t="n"/>
      <c r="AB46" s="598" t="n"/>
      <c r="AC46" s="596" t="n"/>
      <c r="AD46" s="601" t="n"/>
    </row>
    <row r="47" ht="15.95" customHeight="1" s="462">
      <c r="B47" s="496" t="n"/>
      <c r="C47" s="92" t="inlineStr">
        <is>
          <t>배분가</t>
        </is>
      </c>
      <c r="D47" s="584" t="inlineStr">
        <is>
          <t>미판매</t>
        </is>
      </c>
      <c r="E47" s="125" t="n"/>
      <c r="F47" s="135" t="n"/>
      <c r="G47" s="585" t="inlineStr">
        <is>
          <t>미판매</t>
        </is>
      </c>
      <c r="H47" s="125" t="n"/>
      <c r="I47" s="135" t="n"/>
      <c r="J47" s="585" t="inlineStr">
        <is>
          <t>미판매</t>
        </is>
      </c>
      <c r="K47" s="125" t="n"/>
      <c r="L47" s="126" t="n"/>
      <c r="M47" s="127" t="n"/>
      <c r="N47" s="125" t="n"/>
      <c r="O47" s="128" t="n"/>
      <c r="Q47" s="496" t="n"/>
      <c r="R47" s="92" t="inlineStr">
        <is>
          <t>배분가</t>
        </is>
      </c>
      <c r="S47" s="584" t="inlineStr">
        <is>
          <t>미판매</t>
        </is>
      </c>
      <c r="T47" s="125" t="n"/>
      <c r="U47" s="135" t="n"/>
      <c r="V47" s="585" t="inlineStr">
        <is>
          <t>미판매</t>
        </is>
      </c>
      <c r="W47" s="125" t="n"/>
      <c r="X47" s="135" t="n"/>
      <c r="Y47" s="585" t="inlineStr">
        <is>
          <t>미판매</t>
        </is>
      </c>
      <c r="Z47" s="125" t="n"/>
      <c r="AA47" s="126" t="n"/>
      <c r="AB47" s="585" t="inlineStr">
        <is>
          <t>미판매</t>
        </is>
      </c>
      <c r="AC47" s="125" t="n"/>
      <c r="AD47" s="128" t="n"/>
    </row>
    <row r="48" ht="15.95" customHeight="1" s="462">
      <c r="B48" s="498" t="n"/>
      <c r="C48" s="94" t="inlineStr">
        <is>
          <t>할인율</t>
        </is>
      </c>
      <c r="D48" s="586" t="n"/>
      <c r="E48" s="125" t="n"/>
      <c r="F48" s="135" t="n"/>
      <c r="G48" s="587" t="n"/>
      <c r="H48" s="125" t="n"/>
      <c r="I48" s="135" t="n"/>
      <c r="J48" s="587" t="n"/>
      <c r="K48" s="125" t="n"/>
      <c r="L48" s="126" t="n"/>
      <c r="M48" s="127" t="n"/>
      <c r="N48" s="125" t="n"/>
      <c r="O48" s="128" t="n"/>
      <c r="Q48" s="498" t="n"/>
      <c r="R48" s="94" t="inlineStr">
        <is>
          <t>할인율</t>
        </is>
      </c>
      <c r="S48" s="586" t="n"/>
      <c r="T48" s="125" t="n"/>
      <c r="U48" s="135" t="n"/>
      <c r="V48" s="587" t="n"/>
      <c r="W48" s="125" t="n"/>
      <c r="X48" s="135" t="n"/>
      <c r="Y48" s="587" t="n"/>
      <c r="Z48" s="125" t="n"/>
      <c r="AA48" s="126" t="n"/>
      <c r="AB48" s="587" t="n"/>
      <c r="AC48" s="125" t="n"/>
      <c r="AD48" s="128" t="n"/>
    </row>
    <row r="49" ht="15.95" customHeight="1" s="462">
      <c r="B49" s="363" t="inlineStr">
        <is>
          <t>수수료</t>
        </is>
      </c>
      <c r="C49" s="551" t="n"/>
      <c r="D49" s="499" t="inlineStr">
        <is>
          <t xml:space="preserve"> · 11~13%</t>
        </is>
      </c>
      <c r="E49" s="463" t="n"/>
      <c r="F49" s="463" t="n"/>
      <c r="G49" s="463" t="n"/>
      <c r="H49" s="463" t="n"/>
      <c r="I49" s="463" t="n"/>
      <c r="J49" s="463" t="n"/>
      <c r="K49" s="463" t="n"/>
      <c r="L49" s="463" t="n"/>
      <c r="M49" s="463" t="n"/>
      <c r="N49" s="463" t="n"/>
      <c r="O49" s="464" t="n"/>
      <c r="Q49" s="363" t="inlineStr">
        <is>
          <t>수수료</t>
        </is>
      </c>
      <c r="R49" s="551" t="n"/>
      <c r="S49" s="499" t="inlineStr">
        <is>
          <t xml:space="preserve"> · 11~13%</t>
        </is>
      </c>
      <c r="T49" s="463" t="n"/>
      <c r="U49" s="463" t="n"/>
      <c r="V49" s="463" t="n"/>
      <c r="W49" s="463" t="n"/>
      <c r="X49" s="463" t="n"/>
      <c r="Y49" s="463" t="n"/>
      <c r="Z49" s="463" t="n"/>
      <c r="AA49" s="463" t="n"/>
      <c r="AB49" s="463" t="n"/>
      <c r="AC49" s="463" t="n"/>
      <c r="AD49" s="464" t="n"/>
    </row>
    <row r="50" ht="15.95" customHeight="1" s="462">
      <c r="B50" s="363" t="inlineStr">
        <is>
          <t>KPI</t>
        </is>
      </c>
      <c r="C50" s="551" t="n"/>
      <c r="D50" s="154" t="inlineStr">
        <is>
          <t xml:space="preserve"> · 800RNs </t>
        </is>
      </c>
      <c r="E50" s="463" t="n"/>
      <c r="F50" s="463" t="n"/>
      <c r="G50" s="463" t="n"/>
      <c r="H50" s="463" t="n"/>
      <c r="I50" s="463" t="n"/>
      <c r="J50" s="463" t="n"/>
      <c r="K50" s="463" t="n"/>
      <c r="L50" s="158" t="inlineStr">
        <is>
          <t xml:space="preserve">(상세 KPI 첨부파일 참고) </t>
        </is>
      </c>
      <c r="M50" s="463" t="n"/>
      <c r="N50" s="463" t="n"/>
      <c r="O50" s="464" t="n"/>
      <c r="Q50" s="363" t="inlineStr">
        <is>
          <t>KPI</t>
        </is>
      </c>
      <c r="R50" s="551" t="n"/>
      <c r="S50" s="154" t="inlineStr">
        <is>
          <t xml:space="preserve"> · 800RNs </t>
        </is>
      </c>
      <c r="T50" s="463" t="n"/>
      <c r="U50" s="463" t="n"/>
      <c r="V50" s="463" t="n"/>
      <c r="W50" s="463" t="n"/>
      <c r="X50" s="463" t="n"/>
      <c r="Y50" s="463" t="n"/>
      <c r="Z50" s="463" t="n"/>
      <c r="AA50" s="158" t="inlineStr">
        <is>
          <t xml:space="preserve">(상세 KPI 첨부파일 참고) </t>
        </is>
      </c>
      <c r="AB50" s="463" t="n"/>
      <c r="AC50" s="463" t="n"/>
      <c r="AD50" s="464" t="n"/>
    </row>
    <row r="51" ht="15.95" customHeight="1" s="462">
      <c r="B51" s="139" t="inlineStr">
        <is>
          <t>※ FIT 배분가 Gap : 회원 정상가 比</t>
        </is>
      </c>
      <c r="H51" s="54" t="n"/>
      <c r="I51" s="54" t="n"/>
      <c r="J51" s="54" t="n"/>
      <c r="K51" s="54" t="n"/>
      <c r="L51" s="316" t="n"/>
      <c r="M51" s="316" t="n"/>
      <c r="N51" s="316" t="n"/>
      <c r="O51" s="316" t="n"/>
    </row>
    <row r="52" ht="15.95" customHeight="1" s="462">
      <c r="H52" s="54" t="n"/>
      <c r="I52" s="54" t="n"/>
      <c r="J52" s="54" t="n"/>
      <c r="K52" s="54" t="n"/>
      <c r="L52" s="316" t="n"/>
      <c r="M52" s="316" t="n"/>
      <c r="N52" s="316" t="n"/>
      <c r="O52" s="316" t="n"/>
    </row>
    <row r="53" ht="15.95" customHeight="1" s="462">
      <c r="A53" s="203" t="inlineStr">
        <is>
          <t xml:space="preserve">5. 부대시설 상세내용 </t>
        </is>
      </c>
      <c r="D53" s="54" t="n"/>
      <c r="E53" s="54" t="n"/>
      <c r="F53" s="54" t="n"/>
      <c r="G53" s="54" t="n"/>
      <c r="H53" s="54" t="n"/>
      <c r="I53" s="54" t="n"/>
      <c r="J53" s="54" t="n"/>
      <c r="K53" s="54" t="n"/>
      <c r="L53" s="316" t="n"/>
      <c r="M53" s="316" t="n"/>
      <c r="N53" s="316" t="n"/>
      <c r="O53" s="316" t="n"/>
    </row>
    <row r="54" ht="15.95" customHeight="1" s="462">
      <c r="B54" s="568" t="inlineStr">
        <is>
          <t>시즌</t>
        </is>
      </c>
      <c r="C54" s="544" t="inlineStr">
        <is>
          <t>구분</t>
        </is>
      </c>
      <c r="D54" s="552" t="inlineStr">
        <is>
          <t>오션월드 2인</t>
        </is>
      </c>
      <c r="E54" s="537" t="n"/>
      <c r="F54" s="538" t="n"/>
      <c r="G54" s="253" t="inlineStr">
        <is>
          <t>조식 2인</t>
        </is>
      </c>
      <c r="H54" s="537" t="n"/>
      <c r="I54" s="538" t="n"/>
      <c r="J54" s="253" t="inlineStr">
        <is>
          <t>부대1 0인</t>
        </is>
      </c>
      <c r="K54" s="537" t="n"/>
      <c r="L54" s="538" t="n"/>
      <c r="M54" s="253" t="inlineStr">
        <is>
          <t>부대2 0인</t>
        </is>
      </c>
      <c r="N54" s="537" t="n"/>
      <c r="O54" s="538" t="n"/>
      <c r="P54" s="54" t="n"/>
    </row>
    <row r="55" ht="15.95" customHeight="1" s="462" thickBot="1">
      <c r="B55" s="502" t="n"/>
      <c r="C55" s="503" t="n"/>
      <c r="D55" s="96" t="inlineStr">
        <is>
          <t>회원</t>
        </is>
      </c>
      <c r="E55" s="97" t="inlineStr">
        <is>
          <t>FIT</t>
        </is>
      </c>
      <c r="F55" s="98" t="inlineStr">
        <is>
          <t>GAP</t>
        </is>
      </c>
      <c r="G55" s="99" t="inlineStr">
        <is>
          <t>회원</t>
        </is>
      </c>
      <c r="H55" s="97" t="inlineStr">
        <is>
          <t>FIT</t>
        </is>
      </c>
      <c r="I55" s="98" t="inlineStr">
        <is>
          <t>GAP</t>
        </is>
      </c>
      <c r="J55" s="99" t="inlineStr">
        <is>
          <t>회원</t>
        </is>
      </c>
      <c r="K55" s="97" t="inlineStr">
        <is>
          <t>FIT</t>
        </is>
      </c>
      <c r="L55" s="98" t="inlineStr">
        <is>
          <t>GAP</t>
        </is>
      </c>
      <c r="M55" s="99" t="inlineStr">
        <is>
          <t>회원</t>
        </is>
      </c>
      <c r="N55" s="97" t="inlineStr">
        <is>
          <t>FIT</t>
        </is>
      </c>
      <c r="O55" s="98" t="inlineStr">
        <is>
          <t>GAP</t>
        </is>
      </c>
      <c r="P55" s="89" t="n"/>
    </row>
    <row r="56" ht="15.95" customHeight="1" s="462" thickTop="1">
      <c r="B56" s="359" t="inlineStr">
        <is>
          <t>주중</t>
        </is>
      </c>
      <c r="C56" s="91" t="inlineStr">
        <is>
          <t>정상가</t>
        </is>
      </c>
      <c r="D56" s="576" t="n"/>
      <c r="E56" s="577" t="n"/>
      <c r="F56" s="580" t="n"/>
      <c r="G56" s="582" t="n"/>
      <c r="H56" s="577" t="n"/>
      <c r="I56" s="580" t="n"/>
      <c r="J56" s="582" t="n"/>
      <c r="K56" s="577" t="n"/>
      <c r="L56" s="580" t="n"/>
      <c r="M56" s="582" t="n"/>
      <c r="N56" s="577" t="n"/>
      <c r="O56" s="583" t="n"/>
      <c r="P56" s="89" t="n"/>
    </row>
    <row r="57" ht="15.95" customHeight="1" s="462">
      <c r="B57" s="496" t="n"/>
      <c r="C57" s="92" t="inlineStr">
        <is>
          <t>배분가</t>
        </is>
      </c>
      <c r="D57" s="584" t="inlineStr">
        <is>
          <t>미판매</t>
        </is>
      </c>
      <c r="E57" s="107" t="n"/>
      <c r="F57" s="108" t="n"/>
      <c r="G57" s="585" t="inlineStr">
        <is>
          <t>미판매</t>
        </is>
      </c>
      <c r="H57" s="107" t="n"/>
      <c r="I57" s="108" t="n"/>
      <c r="J57" s="585" t="inlineStr">
        <is>
          <t>미판매</t>
        </is>
      </c>
      <c r="K57" s="107" t="n"/>
      <c r="L57" s="108" t="n"/>
      <c r="M57" s="585" t="inlineStr">
        <is>
          <t>미판매</t>
        </is>
      </c>
      <c r="N57" s="107" t="n"/>
      <c r="O57" s="110" t="n"/>
      <c r="P57" s="89" t="n"/>
    </row>
    <row r="58" ht="15.95" customHeight="1" s="462">
      <c r="B58" s="567" t="n"/>
      <c r="C58" s="94" t="inlineStr">
        <is>
          <t>할인율</t>
        </is>
      </c>
      <c r="D58" s="586" t="n"/>
      <c r="E58" s="111" t="n"/>
      <c r="F58" s="112" t="n"/>
      <c r="G58" s="587" t="n"/>
      <c r="H58" s="111" t="n"/>
      <c r="I58" s="112" t="n"/>
      <c r="J58" s="587" t="n"/>
      <c r="K58" s="111" t="n"/>
      <c r="L58" s="112" t="n"/>
      <c r="M58" s="587" t="n"/>
      <c r="N58" s="111" t="n"/>
      <c r="O58" s="114" t="n"/>
      <c r="P58" s="89" t="n"/>
    </row>
    <row r="59" ht="15.95" customHeight="1" s="462">
      <c r="B59" s="356" t="inlineStr">
        <is>
          <t>주말</t>
        </is>
      </c>
      <c r="C59" s="95" t="inlineStr">
        <is>
          <t>정상가</t>
        </is>
      </c>
      <c r="D59" s="588" t="n"/>
      <c r="E59" s="589" t="n"/>
      <c r="F59" s="592" t="n"/>
      <c r="G59" s="593" t="n"/>
      <c r="H59" s="589" t="n"/>
      <c r="I59" s="592" t="n"/>
      <c r="J59" s="593" t="n"/>
      <c r="K59" s="589" t="n"/>
      <c r="L59" s="592" t="n"/>
      <c r="M59" s="593" t="n"/>
      <c r="N59" s="589" t="n"/>
      <c r="O59" s="594" t="n"/>
      <c r="P59" s="74" t="n"/>
    </row>
    <row r="60" ht="15.95" customHeight="1" s="462">
      <c r="B60" s="496" t="n"/>
      <c r="C60" s="92" t="inlineStr">
        <is>
          <t>배분가</t>
        </is>
      </c>
      <c r="D60" s="584" t="inlineStr">
        <is>
          <t>미판매</t>
        </is>
      </c>
      <c r="E60" s="107" t="n"/>
      <c r="F60" s="108" t="n"/>
      <c r="G60" s="585" t="inlineStr">
        <is>
          <t>미판매</t>
        </is>
      </c>
      <c r="H60" s="107" t="n"/>
      <c r="I60" s="108" t="n"/>
      <c r="J60" s="585" t="inlineStr">
        <is>
          <t>미판매</t>
        </is>
      </c>
      <c r="K60" s="107" t="n"/>
      <c r="L60" s="108" t="n"/>
      <c r="M60" s="585" t="inlineStr">
        <is>
          <t>미판매</t>
        </is>
      </c>
      <c r="N60" s="107" t="n"/>
      <c r="O60" s="110" t="n"/>
      <c r="P60" s="74" t="n"/>
    </row>
    <row r="61" ht="15.95" customHeight="1" s="462">
      <c r="B61" s="567" t="n"/>
      <c r="C61" s="94" t="inlineStr">
        <is>
          <t>할인율</t>
        </is>
      </c>
      <c r="D61" s="586" t="n"/>
      <c r="E61" s="111" t="n"/>
      <c r="F61" s="112" t="n"/>
      <c r="G61" s="587" t="n"/>
      <c r="H61" s="111" t="n"/>
      <c r="I61" s="112" t="n"/>
      <c r="J61" s="587" t="n"/>
      <c r="K61" s="111" t="n"/>
      <c r="L61" s="112" t="n"/>
      <c r="M61" s="587" t="n"/>
      <c r="N61" s="111" t="n"/>
      <c r="O61" s="114" t="n"/>
      <c r="P61" s="74" t="n"/>
    </row>
    <row r="62" ht="15.95" customHeight="1" s="462">
      <c r="B62" s="139" t="inlineStr">
        <is>
          <t>※ FIT 배분가 Gap : 회원 정상가 比</t>
        </is>
      </c>
    </row>
    <row r="63" ht="15.95" customHeight="1" s="462">
      <c r="B63" s="139" t="n"/>
    </row>
    <row r="64" ht="15.95" customHeight="1" s="462">
      <c r="A64" s="203" t="inlineStr">
        <is>
          <t xml:space="preserve">6. 판매 &amp; 홍보 일정 </t>
        </is>
      </c>
      <c r="B64" s="51" t="n"/>
      <c r="C64" s="51" t="n"/>
      <c r="D64" s="51" t="n"/>
      <c r="E64" s="51" t="n"/>
      <c r="F64" s="51" t="n"/>
      <c r="G64" s="51" t="n"/>
      <c r="H64" s="51" t="n"/>
      <c r="I64" s="51" t="n"/>
      <c r="J64" s="51" t="n"/>
      <c r="K64" s="51" t="n"/>
      <c r="L64" s="51" t="n"/>
      <c r="M64" s="51" t="n"/>
      <c r="N64" s="51" t="n"/>
      <c r="O64" s="51" t="n"/>
    </row>
    <row r="65" ht="15.95" customHeight="1" s="462">
      <c r="A65" s="51" t="n"/>
      <c r="B65" s="363" t="inlineStr">
        <is>
          <t>구 분</t>
        </is>
      </c>
      <c r="C65" s="551" t="n"/>
      <c r="D65" s="228" t="inlineStr">
        <is>
          <t>내 용</t>
        </is>
      </c>
      <c r="E65" s="463" t="n"/>
      <c r="F65" s="463" t="n"/>
      <c r="G65" s="463" t="n"/>
      <c r="H65" s="463" t="n"/>
      <c r="I65" s="463" t="n"/>
      <c r="J65" s="463" t="n"/>
      <c r="K65" s="463" t="n"/>
      <c r="L65" s="463" t="n"/>
      <c r="M65" s="463" t="n"/>
      <c r="N65" s="463" t="n"/>
      <c r="O65" s="464" t="n"/>
    </row>
    <row r="66" ht="15.95" customHeight="1" s="462">
      <c r="A66" s="51" t="n"/>
      <c r="B66" s="68" t="inlineStr">
        <is>
          <t>판매일정</t>
        </is>
      </c>
      <c r="C66" s="551" t="n"/>
      <c r="D66" s="500" t="inlineStr">
        <is>
          <t xml:space="preserve"> · 채널별 판매일정 (자유표기) </t>
        </is>
      </c>
      <c r="E66" s="463" t="n"/>
      <c r="F66" s="463" t="n"/>
      <c r="G66" s="463" t="n"/>
      <c r="H66" s="463" t="n"/>
      <c r="I66" s="463" t="n"/>
      <c r="J66" s="463" t="n"/>
      <c r="K66" s="463" t="n"/>
      <c r="L66" s="463" t="n"/>
      <c r="M66" s="463" t="n"/>
      <c r="N66" s="463" t="n"/>
      <c r="O66" s="464" t="n"/>
    </row>
    <row r="67" ht="15.95" customHeight="1" s="462">
      <c r="A67" s="51" t="n"/>
      <c r="B67" s="68" t="inlineStr">
        <is>
          <t>홍보일정</t>
        </is>
      </c>
      <c r="C67" s="551" t="n"/>
      <c r="D67" s="500" t="inlineStr">
        <is>
          <t xml:space="preserve"> · 홍보일정 (자유표기) </t>
        </is>
      </c>
      <c r="E67" s="463" t="n"/>
      <c r="F67" s="463" t="n"/>
      <c r="G67" s="463" t="n"/>
      <c r="H67" s="463" t="n"/>
      <c r="I67" s="463" t="n"/>
      <c r="J67" s="463" t="n"/>
      <c r="K67" s="463" t="n"/>
      <c r="L67" s="463" t="n"/>
      <c r="M67" s="463" t="n"/>
      <c r="N67" s="463" t="n"/>
      <c r="O67" s="464" t="n"/>
    </row>
    <row r="68" ht="15.95" customHeight="1" s="462">
      <c r="A68" s="51" t="n"/>
      <c r="B68" s="68" t="inlineStr">
        <is>
          <t>지원사항</t>
        </is>
      </c>
      <c r="C68" s="551" t="n"/>
      <c r="D68" s="500" t="inlineStr">
        <is>
          <t xml:space="preserve">  (자유표기)</t>
        </is>
      </c>
      <c r="E68" s="463" t="n"/>
      <c r="F68" s="463" t="n"/>
      <c r="G68" s="463" t="n"/>
      <c r="H68" s="463" t="n"/>
      <c r="I68" s="463" t="n"/>
      <c r="J68" s="463" t="n"/>
      <c r="K68" s="463" t="n"/>
      <c r="L68" s="463" t="n"/>
      <c r="M68" s="463" t="n"/>
      <c r="N68" s="463" t="n"/>
      <c r="O68" s="464" t="n"/>
    </row>
    <row r="69" ht="15.95" customHeight="1" s="462">
      <c r="A69" s="51" t="n"/>
      <c r="F69" s="54" t="n"/>
      <c r="G69" s="54" t="n"/>
      <c r="H69" s="54" t="n"/>
      <c r="I69" s="54" t="n"/>
      <c r="J69" s="54" t="n"/>
      <c r="K69" s="54" t="n"/>
      <c r="L69" s="54" t="n"/>
      <c r="M69" s="54" t="n"/>
      <c r="N69" s="54" t="n"/>
      <c r="O69" s="54" t="n"/>
    </row>
    <row r="70" ht="15.95" customHeight="1" s="462">
      <c r="A70" s="203" t="inlineStr">
        <is>
          <t>7. 기 타</t>
        </is>
      </c>
      <c r="B70" s="51" t="n"/>
      <c r="C70" s="51" t="n"/>
      <c r="D70" s="51" t="n"/>
      <c r="E70" s="51" t="n"/>
      <c r="F70" s="51" t="n"/>
      <c r="G70" s="51" t="n"/>
      <c r="H70" s="51" t="n"/>
      <c r="I70" s="51" t="n"/>
      <c r="J70" s="51" t="n"/>
      <c r="K70" s="51" t="n"/>
      <c r="L70" s="51" t="n"/>
      <c r="M70" s="51" t="n"/>
      <c r="N70" s="51" t="n"/>
      <c r="O70" s="51" t="n"/>
    </row>
    <row r="71" ht="15.95" customHeight="1" s="462">
      <c r="A71" s="51" t="n"/>
      <c r="B71" s="52" t="inlineStr">
        <is>
          <t xml:space="preserve"> - 영업기획: 패키지번호 세팅 및 회신 (첨부파일 內 시트참조)</t>
        </is>
      </c>
      <c r="C71" s="52" t="n"/>
      <c r="D71" s="52" t="n"/>
      <c r="E71" s="52" t="n"/>
      <c r="F71" s="52" t="n"/>
      <c r="G71" s="51" t="n"/>
      <c r="H71" s="51" t="n"/>
      <c r="I71" s="51" t="n"/>
      <c r="J71" s="51" t="n"/>
      <c r="K71" s="51" t="n"/>
      <c r="L71" s="51" t="n"/>
      <c r="M71" s="51" t="n"/>
      <c r="N71" s="51" t="n"/>
      <c r="O71" s="51" t="n"/>
    </row>
    <row r="72" ht="15.95" customHeight="1" s="462">
      <c r="A72" s="51" t="n"/>
      <c r="B72" s="52" t="inlineStr">
        <is>
          <t xml:space="preserve"> - 판매 추이에 따라 추가 판매 여부 검토(PRM 협의) </t>
        </is>
      </c>
      <c r="C72" s="52" t="n"/>
      <c r="D72" s="52" t="n"/>
      <c r="E72" s="52" t="n"/>
      <c r="F72" s="52" t="n"/>
      <c r="G72" s="51" t="n"/>
      <c r="H72" s="51" t="n"/>
      <c r="I72" s="51" t="n"/>
      <c r="J72" s="51" t="n"/>
      <c r="K72" s="51" t="n"/>
      <c r="L72" s="51" t="n"/>
      <c r="M72" s="51" t="n"/>
      <c r="N72" s="51" t="n"/>
      <c r="O72" s="51" t="n"/>
    </row>
    <row r="73" ht="15.95" customHeight="1" s="462">
      <c r="A73" s="51" t="n"/>
      <c r="B73" s="51" t="n"/>
      <c r="C73" s="51" t="n"/>
      <c r="D73" s="51" t="n"/>
      <c r="E73" s="51" t="n"/>
      <c r="F73" s="51" t="n"/>
      <c r="G73" s="51" t="n"/>
      <c r="H73" s="51" t="n"/>
      <c r="I73" s="63" t="n"/>
      <c r="J73" s="51" t="n"/>
      <c r="K73" s="51" t="n"/>
      <c r="L73" s="51" t="n"/>
      <c r="M73" s="51" t="n"/>
      <c r="N73" s="51" t="n"/>
      <c r="O73" s="63" t="inlineStr">
        <is>
          <t>이상/끝.</t>
        </is>
      </c>
    </row>
  </sheetData>
  <mergeCells count="115">
    <mergeCell ref="L50:O50"/>
    <mergeCell ref="J60:J61"/>
    <mergeCell ref="J35:L35"/>
    <mergeCell ref="D66:O66"/>
    <mergeCell ref="D16:I16"/>
    <mergeCell ref="B12:C12"/>
    <mergeCell ref="V44:V45"/>
    <mergeCell ref="B21:C21"/>
    <mergeCell ref="D28:O28"/>
    <mergeCell ref="S38:S39"/>
    <mergeCell ref="B67:C67"/>
    <mergeCell ref="AB47:AB48"/>
    <mergeCell ref="D47:D48"/>
    <mergeCell ref="B14:C14"/>
    <mergeCell ref="B28:B29"/>
    <mergeCell ref="D30:O30"/>
    <mergeCell ref="B13:C13"/>
    <mergeCell ref="Q43:Q45"/>
    <mergeCell ref="D29:O29"/>
    <mergeCell ref="J47:J48"/>
    <mergeCell ref="G60:G61"/>
    <mergeCell ref="V47:V48"/>
    <mergeCell ref="Q49:R49"/>
    <mergeCell ref="G41:G42"/>
    <mergeCell ref="B49:C49"/>
    <mergeCell ref="B54:B55"/>
    <mergeCell ref="G44:G45"/>
    <mergeCell ref="B24:C24"/>
    <mergeCell ref="S44:S45"/>
    <mergeCell ref="D38:D39"/>
    <mergeCell ref="J9:O9"/>
    <mergeCell ref="B26:C26"/>
    <mergeCell ref="D65:O65"/>
    <mergeCell ref="J57:J58"/>
    <mergeCell ref="B35:B36"/>
    <mergeCell ref="B25:C25"/>
    <mergeCell ref="D49:O49"/>
    <mergeCell ref="D27:O27"/>
    <mergeCell ref="V38:V39"/>
    <mergeCell ref="AA50:AD50"/>
    <mergeCell ref="B66:C66"/>
    <mergeCell ref="Q46:Q48"/>
    <mergeCell ref="B18:C18"/>
    <mergeCell ref="B27:C27"/>
    <mergeCell ref="C54:C55"/>
    <mergeCell ref="AB41:AB42"/>
    <mergeCell ref="A2:O2"/>
    <mergeCell ref="D68:O68"/>
    <mergeCell ref="D25:O25"/>
    <mergeCell ref="S50:Z50"/>
    <mergeCell ref="G54:I54"/>
    <mergeCell ref="D67:O67"/>
    <mergeCell ref="M57:M58"/>
    <mergeCell ref="D54:F54"/>
    <mergeCell ref="B46:B48"/>
    <mergeCell ref="B30:B31"/>
    <mergeCell ref="B15:C15"/>
    <mergeCell ref="J10:O10"/>
    <mergeCell ref="D31:O31"/>
    <mergeCell ref="Y38:Y39"/>
    <mergeCell ref="S41:S42"/>
    <mergeCell ref="M35:O35"/>
    <mergeCell ref="Y35:AA35"/>
    <mergeCell ref="D50:K50"/>
    <mergeCell ref="B40:B42"/>
    <mergeCell ref="J38:J39"/>
    <mergeCell ref="B10:C11"/>
    <mergeCell ref="G38:G39"/>
    <mergeCell ref="J54:L54"/>
    <mergeCell ref="Q35:Q36"/>
    <mergeCell ref="D57:D58"/>
    <mergeCell ref="D41:D42"/>
    <mergeCell ref="B59:B61"/>
    <mergeCell ref="Q37:Q39"/>
    <mergeCell ref="R35:R36"/>
    <mergeCell ref="B43:B45"/>
    <mergeCell ref="B19:C19"/>
    <mergeCell ref="D35:F35"/>
    <mergeCell ref="V41:V42"/>
    <mergeCell ref="A8:H8"/>
    <mergeCell ref="D10:I10"/>
    <mergeCell ref="B20:C20"/>
    <mergeCell ref="G23:I23"/>
    <mergeCell ref="V35:X35"/>
    <mergeCell ref="Y41:Y42"/>
    <mergeCell ref="B37:B39"/>
    <mergeCell ref="Q40:Q42"/>
    <mergeCell ref="J44:J45"/>
    <mergeCell ref="M54:O54"/>
    <mergeCell ref="G57:G58"/>
    <mergeCell ref="AB44:AB45"/>
    <mergeCell ref="M60:M61"/>
    <mergeCell ref="C35:C36"/>
    <mergeCell ref="J16:O16"/>
    <mergeCell ref="S49:AD49"/>
    <mergeCell ref="Y44:Y45"/>
    <mergeCell ref="G35:I35"/>
    <mergeCell ref="B56:B58"/>
    <mergeCell ref="Q50:R50"/>
    <mergeCell ref="A4:O4"/>
    <mergeCell ref="S35:U35"/>
    <mergeCell ref="D24:O24"/>
    <mergeCell ref="B16:C17"/>
    <mergeCell ref="J41:J42"/>
    <mergeCell ref="AB38:AB39"/>
    <mergeCell ref="D26:O26"/>
    <mergeCell ref="B65:C65"/>
    <mergeCell ref="B68:C68"/>
    <mergeCell ref="G47:G48"/>
    <mergeCell ref="Y47:Y48"/>
    <mergeCell ref="D60:D61"/>
    <mergeCell ref="S47:S48"/>
    <mergeCell ref="AB35:AD35"/>
    <mergeCell ref="B50:C50"/>
    <mergeCell ref="D44:D45"/>
  </mergeCells>
  <pageMargins left="0.1181102362204725" right="0.1181102362204725" top="0.1968503937007874" bottom="0.1968503937007874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Q49"/>
  <sheetViews>
    <sheetView showGridLines="0" zoomScaleNormal="100" workbookViewId="0">
      <selection activeCell="A1" sqref="A1"/>
    </sheetView>
  </sheetViews>
  <sheetFormatPr baseColWidth="8" defaultColWidth="9" defaultRowHeight="15.95" customHeight="1"/>
  <cols>
    <col width="2.625" customWidth="1" style="49" min="1" max="1"/>
    <col width="6.625" customWidth="1" style="49" min="2" max="14"/>
    <col width="8.625" customWidth="1" style="49" min="15" max="16"/>
    <col width="9" customWidth="1" style="49" min="17" max="16384"/>
  </cols>
  <sheetData>
    <row r="2" ht="15.95" customHeight="1" s="462">
      <c r="A2" s="203" t="inlineStr">
        <is>
          <t>내   용 : 다음과 같이 업무를 진행 하고자 하오니 검토 후 재가 하여 주시기 바랍니다.</t>
        </is>
      </c>
    </row>
    <row r="4" ht="15.95" customHeight="1" s="462">
      <c r="A4" s="204" t="inlineStr">
        <is>
          <t>-  다     음  -</t>
        </is>
      </c>
    </row>
    <row r="6" ht="15.95" customFormat="1" customHeight="1" s="51">
      <c r="A6" s="203" t="inlineStr">
        <is>
          <t>1. 목  적</t>
        </is>
      </c>
    </row>
    <row r="7" ht="15.95" customFormat="1" customHeight="1" s="51">
      <c r="B7" s="1" t="inlineStr">
        <is>
          <t xml:space="preserve"> - (해당 목적 작성) </t>
        </is>
      </c>
      <c r="C7" s="52" t="n"/>
      <c r="D7" s="52" t="n"/>
      <c r="E7" s="52" t="n"/>
      <c r="F7" s="52" t="n"/>
      <c r="G7" s="52" t="n"/>
      <c r="H7" s="52" t="n"/>
    </row>
    <row r="8" ht="15.95" customFormat="1" customHeight="1" s="51">
      <c r="A8" s="203" t="n"/>
    </row>
    <row r="9" ht="15.95" customFormat="1" customHeight="1" s="51">
      <c r="A9" s="203" t="inlineStr">
        <is>
          <t xml:space="preserve">2. Forecast </t>
        </is>
      </c>
      <c r="I9" s="205" t="inlineStr">
        <is>
          <t>[단위: RNs_실 / ADR_천원 / REV_백만]</t>
        </is>
      </c>
    </row>
    <row r="10" ht="15.95" customHeight="1" s="462">
      <c r="B10" s="193" t="inlineStr">
        <is>
          <t>(당월)</t>
        </is>
      </c>
      <c r="C10" s="161" t="inlineStr">
        <is>
          <t>전체</t>
        </is>
      </c>
      <c r="D10" s="463" t="n"/>
      <c r="E10" s="463" t="n"/>
      <c r="F10" s="463" t="n"/>
      <c r="G10" s="463" t="n"/>
      <c r="H10" s="464" t="n"/>
      <c r="I10" s="195" t="inlineStr">
        <is>
          <t>GS</t>
        </is>
      </c>
      <c r="J10" s="463" t="n"/>
      <c r="K10" s="463" t="n"/>
      <c r="L10" s="463" t="n"/>
      <c r="M10" s="463" t="n"/>
      <c r="N10" s="464" t="n"/>
    </row>
    <row r="11" ht="15.95" customHeight="1" s="462" thickBot="1">
      <c r="A11" s="53" t="n"/>
      <c r="B11" s="465" t="n"/>
      <c r="C11" s="199" t="inlineStr">
        <is>
          <t>목표</t>
        </is>
      </c>
      <c r="D11" s="227" t="inlineStr">
        <is>
          <t>OTB</t>
        </is>
      </c>
      <c r="E11" s="229" t="inlineStr">
        <is>
          <t>진행률</t>
        </is>
      </c>
      <c r="F11" s="229" t="inlineStr">
        <is>
          <t>FCST</t>
        </is>
      </c>
      <c r="G11" s="229" t="inlineStr">
        <is>
          <t>증감</t>
        </is>
      </c>
      <c r="H11" s="229" t="inlineStr">
        <is>
          <t>달성률</t>
        </is>
      </c>
      <c r="I11" s="229" t="inlineStr">
        <is>
          <t>목표</t>
        </is>
      </c>
      <c r="J11" s="227" t="inlineStr">
        <is>
          <t>OTB</t>
        </is>
      </c>
      <c r="K11" s="229" t="inlineStr">
        <is>
          <t>진행률</t>
        </is>
      </c>
      <c r="L11" s="229" t="inlineStr">
        <is>
          <t>FCST</t>
        </is>
      </c>
      <c r="M11" s="229" t="inlineStr">
        <is>
          <t>증감</t>
        </is>
      </c>
      <c r="N11" s="229" t="inlineStr">
        <is>
          <t>달성률</t>
        </is>
      </c>
      <c r="Q11" s="54" t="n"/>
    </row>
    <row r="12" ht="15.95" customHeight="1" s="462" thickTop="1">
      <c r="B12" s="26" t="inlineStr">
        <is>
          <t>OCC</t>
        </is>
      </c>
      <c r="C12" s="27" t="n">
        <v>0.404</v>
      </c>
      <c r="D12" s="28" t="n">
        <v>0.31</v>
      </c>
      <c r="E12" s="28" t="n">
        <v>0.77</v>
      </c>
      <c r="F12" s="28" t="n">
        <v>0.38</v>
      </c>
      <c r="G12" s="29" t="n">
        <v>-0.02</v>
      </c>
      <c r="H12" s="29" t="n">
        <v>0.95</v>
      </c>
      <c r="I12" s="28" t="n">
        <v>0.12</v>
      </c>
      <c r="J12" s="28" t="n">
        <v>0.08</v>
      </c>
      <c r="K12" s="28" t="n">
        <v>0.65</v>
      </c>
      <c r="L12" s="28" t="n">
        <v>0.1</v>
      </c>
      <c r="M12" s="29" t="n">
        <v>-0.02</v>
      </c>
      <c r="N12" s="29" t="n">
        <v>0.78</v>
      </c>
      <c r="P12" s="54" t="inlineStr">
        <is>
          <t>* 해당 숫자는 예시 작성</t>
        </is>
      </c>
    </row>
    <row r="13" ht="15.95" customHeight="1" s="462">
      <c r="A13" s="54" t="n"/>
      <c r="B13" s="30" t="inlineStr">
        <is>
          <t>RNs</t>
        </is>
      </c>
      <c r="C13" s="466" t="n">
        <v>32864</v>
      </c>
      <c r="D13" s="467" t="n">
        <v>25870</v>
      </c>
      <c r="E13" s="33" t="n">
        <v>0.78</v>
      </c>
      <c r="F13" s="467" t="n">
        <v>31239</v>
      </c>
      <c r="G13" s="468" t="n">
        <v>-1625</v>
      </c>
      <c r="H13" s="35" t="n">
        <v>0.95</v>
      </c>
      <c r="I13" s="467" t="n">
        <v>10419</v>
      </c>
      <c r="J13" s="467" t="n">
        <v>6825</v>
      </c>
      <c r="K13" s="33" t="n">
        <v>0.65</v>
      </c>
      <c r="L13" s="467" t="n">
        <v>8173</v>
      </c>
      <c r="M13" s="468" t="n">
        <v>-2246</v>
      </c>
      <c r="N13" s="35" t="n">
        <v>0.78</v>
      </c>
    </row>
    <row r="14" ht="15.95" customHeight="1" s="462">
      <c r="A14" s="53" t="n"/>
      <c r="B14" s="30" t="inlineStr">
        <is>
          <t>ADR</t>
        </is>
      </c>
      <c r="C14" s="466" t="n">
        <v>208</v>
      </c>
      <c r="D14" s="467" t="n">
        <v>208</v>
      </c>
      <c r="E14" s="33" t="n">
        <v>1</v>
      </c>
      <c r="F14" s="467" t="n">
        <v>216</v>
      </c>
      <c r="G14" s="469" t="n">
        <v>8</v>
      </c>
      <c r="H14" s="33" t="n">
        <v>1.03</v>
      </c>
      <c r="I14" s="467" t="n">
        <v>227</v>
      </c>
      <c r="J14" s="467" t="n">
        <v>277</v>
      </c>
      <c r="K14" s="33" t="n">
        <v>1.22</v>
      </c>
      <c r="L14" s="467" t="n">
        <v>244</v>
      </c>
      <c r="M14" s="469" t="n">
        <v>17</v>
      </c>
      <c r="N14" s="33" t="n">
        <v>1.07</v>
      </c>
    </row>
    <row r="15" ht="15.95" customHeight="1" s="462">
      <c r="A15" s="53" t="n"/>
      <c r="B15" s="37" t="inlineStr">
        <is>
          <t>REV</t>
        </is>
      </c>
      <c r="C15" s="470" t="n">
        <v>6822</v>
      </c>
      <c r="D15" s="471" t="n">
        <v>5381</v>
      </c>
      <c r="E15" s="40" t="n">
        <v>0.78</v>
      </c>
      <c r="F15" s="471" t="n">
        <v>6734</v>
      </c>
      <c r="G15" s="472" t="n">
        <v>-88</v>
      </c>
      <c r="H15" s="42" t="n">
        <v>0.98</v>
      </c>
      <c r="I15" s="471" t="n">
        <v>2365</v>
      </c>
      <c r="J15" s="471" t="n">
        <v>1888</v>
      </c>
      <c r="K15" s="40" t="n">
        <v>0.8</v>
      </c>
      <c r="L15" s="471" t="n">
        <v>1994</v>
      </c>
      <c r="M15" s="472" t="n">
        <v>-371</v>
      </c>
      <c r="N15" s="42" t="n">
        <v>0.84</v>
      </c>
    </row>
    <row r="16" ht="15.95" customHeight="1" s="462">
      <c r="B16" s="193" t="inlineStr">
        <is>
          <t>(익월)</t>
        </is>
      </c>
      <c r="C16" s="161" t="inlineStr">
        <is>
          <t>전체</t>
        </is>
      </c>
      <c r="D16" s="463" t="n"/>
      <c r="E16" s="463" t="n"/>
      <c r="F16" s="463" t="n"/>
      <c r="G16" s="463" t="n"/>
      <c r="H16" s="464" t="n"/>
      <c r="I16" s="195" t="inlineStr">
        <is>
          <t>GS</t>
        </is>
      </c>
      <c r="J16" s="463" t="n"/>
      <c r="K16" s="463" t="n"/>
      <c r="L16" s="463" t="n"/>
      <c r="M16" s="463" t="n"/>
      <c r="N16" s="464" t="n"/>
    </row>
    <row r="17" ht="15.95" customHeight="1" s="462" thickBot="1">
      <c r="A17" s="53" t="n"/>
      <c r="B17" s="465" t="n"/>
      <c r="C17" s="199" t="inlineStr">
        <is>
          <t>목표</t>
        </is>
      </c>
      <c r="D17" s="227" t="inlineStr">
        <is>
          <t>OTB</t>
        </is>
      </c>
      <c r="E17" s="229" t="inlineStr">
        <is>
          <t>진행률</t>
        </is>
      </c>
      <c r="F17" s="229" t="inlineStr">
        <is>
          <t>FCST</t>
        </is>
      </c>
      <c r="G17" s="229" t="inlineStr">
        <is>
          <t>증감</t>
        </is>
      </c>
      <c r="H17" s="229" t="inlineStr">
        <is>
          <t>달성률</t>
        </is>
      </c>
      <c r="I17" s="229" t="inlineStr">
        <is>
          <t>목표</t>
        </is>
      </c>
      <c r="J17" s="227" t="inlineStr">
        <is>
          <t>OTB</t>
        </is>
      </c>
      <c r="K17" s="229" t="inlineStr">
        <is>
          <t>진행률</t>
        </is>
      </c>
      <c r="L17" s="229" t="inlineStr">
        <is>
          <t>FCST</t>
        </is>
      </c>
      <c r="M17" s="229" t="inlineStr">
        <is>
          <t>증감</t>
        </is>
      </c>
      <c r="N17" s="229" t="inlineStr">
        <is>
          <t>달성률</t>
        </is>
      </c>
      <c r="Q17" s="54" t="n"/>
    </row>
    <row r="18" ht="15.95" customHeight="1" s="462" thickTop="1">
      <c r="B18" s="26" t="inlineStr">
        <is>
          <t>OCC</t>
        </is>
      </c>
      <c r="C18" s="27" t="n">
        <v>0.4</v>
      </c>
      <c r="D18" s="28" t="n">
        <v>0.11</v>
      </c>
      <c r="E18" s="28" t="n">
        <v>0.28</v>
      </c>
      <c r="F18" s="28" t="n">
        <v>0.35</v>
      </c>
      <c r="G18" s="29" t="n">
        <v>-0.04</v>
      </c>
      <c r="H18" s="29" t="n">
        <v>0.88</v>
      </c>
      <c r="I18" s="28" t="n">
        <v>0.15</v>
      </c>
      <c r="J18" s="28" t="n">
        <v>0.04</v>
      </c>
      <c r="K18" s="28" t="n">
        <v>0.24</v>
      </c>
      <c r="L18" s="28" t="n">
        <v>0.15</v>
      </c>
      <c r="M18" s="473" t="n">
        <v>-0.003</v>
      </c>
      <c r="N18" s="29" t="n">
        <v>0.98</v>
      </c>
    </row>
    <row r="19" ht="15.95" customHeight="1" s="462">
      <c r="A19" s="54" t="n"/>
      <c r="B19" s="30" t="inlineStr">
        <is>
          <t>RNs</t>
        </is>
      </c>
      <c r="C19" s="466" t="n">
        <v>34029</v>
      </c>
      <c r="D19" s="467" t="n">
        <v>9599</v>
      </c>
      <c r="E19" s="33" t="n">
        <v>0.28</v>
      </c>
      <c r="F19" s="467" t="n">
        <v>30043</v>
      </c>
      <c r="G19" s="468" t="n">
        <v>-3986</v>
      </c>
      <c r="H19" s="35" t="n">
        <v>0.88</v>
      </c>
      <c r="I19" s="467" t="n">
        <v>13443</v>
      </c>
      <c r="J19" s="467" t="n">
        <v>3353</v>
      </c>
      <c r="K19" s="33" t="n">
        <v>0.25</v>
      </c>
      <c r="L19" s="467" t="n">
        <v>13181</v>
      </c>
      <c r="M19" s="468" t="n">
        <v>-262</v>
      </c>
      <c r="N19" s="35" t="n">
        <v>0.98</v>
      </c>
      <c r="Q19" s="55" t="n"/>
    </row>
    <row r="20" ht="15.95" customHeight="1" s="462">
      <c r="A20" s="53" t="n"/>
      <c r="B20" s="30" t="inlineStr">
        <is>
          <t>ADR</t>
        </is>
      </c>
      <c r="C20" s="466" t="n">
        <v>190</v>
      </c>
      <c r="D20" s="467" t="n">
        <v>190</v>
      </c>
      <c r="E20" s="33" t="n">
        <v>1</v>
      </c>
      <c r="F20" s="467" t="n">
        <v>197</v>
      </c>
      <c r="G20" s="469" t="n">
        <v>7</v>
      </c>
      <c r="H20" s="33" t="n">
        <v>1.03</v>
      </c>
      <c r="I20" s="467" t="n">
        <v>193</v>
      </c>
      <c r="J20" s="467" t="n">
        <v>211</v>
      </c>
      <c r="K20" s="33" t="n">
        <v>1.09</v>
      </c>
      <c r="L20" s="467" t="n">
        <v>205</v>
      </c>
      <c r="M20" s="474" t="n">
        <v>12</v>
      </c>
      <c r="N20" s="45" t="n">
        <v>1.06</v>
      </c>
    </row>
    <row r="21" ht="15.95" customHeight="1" s="462">
      <c r="A21" s="53" t="n"/>
      <c r="B21" s="37" t="inlineStr">
        <is>
          <t>REV</t>
        </is>
      </c>
      <c r="C21" s="470" t="n">
        <v>6454</v>
      </c>
      <c r="D21" s="471" t="n">
        <v>1824</v>
      </c>
      <c r="E21" s="40" t="n">
        <v>0.28</v>
      </c>
      <c r="F21" s="471" t="n">
        <v>5919</v>
      </c>
      <c r="G21" s="475" t="n">
        <v>-535</v>
      </c>
      <c r="H21" s="42" t="n">
        <v>0.91</v>
      </c>
      <c r="I21" s="471" t="n">
        <v>2594</v>
      </c>
      <c r="J21" s="471" t="n">
        <v>707</v>
      </c>
      <c r="K21" s="40" t="n">
        <v>0.27</v>
      </c>
      <c r="L21" s="471" t="n">
        <v>2702</v>
      </c>
      <c r="M21" s="476" t="n">
        <v>108</v>
      </c>
      <c r="N21" s="48" t="n">
        <v>1.04</v>
      </c>
    </row>
    <row r="23" ht="15.95" customHeight="1" s="462">
      <c r="A23" s="203" t="inlineStr">
        <is>
          <t>3. 내  용</t>
        </is>
      </c>
      <c r="F23" s="196" t="n"/>
      <c r="G23" s="477" t="n"/>
      <c r="H23" s="477" t="n"/>
    </row>
    <row r="24" ht="15.95" customHeight="1" s="462" thickBot="1">
      <c r="B24" s="243" t="inlineStr">
        <is>
          <t>구 분</t>
        </is>
      </c>
      <c r="C24" s="242" t="inlineStr">
        <is>
          <t>내 용</t>
        </is>
      </c>
      <c r="D24" s="478" t="n"/>
      <c r="E24" s="478" t="n"/>
      <c r="F24" s="478" t="n"/>
      <c r="G24" s="478" t="n"/>
      <c r="H24" s="478" t="n"/>
      <c r="I24" s="478" t="n"/>
      <c r="J24" s="478" t="n"/>
      <c r="K24" s="478" t="n"/>
      <c r="L24" s="478" t="n"/>
      <c r="M24" s="478" t="n"/>
      <c r="N24" s="479" t="n"/>
    </row>
    <row r="25" ht="15.95" customHeight="1" s="462" thickTop="1">
      <c r="B25" s="64" t="inlineStr">
        <is>
          <t>상품명</t>
        </is>
      </c>
      <c r="C25" s="480" t="inlineStr">
        <is>
          <t xml:space="preserve"> · [핫딜] SONO WINNERS FESTA</t>
        </is>
      </c>
      <c r="D25" s="481" t="n"/>
      <c r="E25" s="481" t="n"/>
      <c r="F25" s="481" t="n"/>
      <c r="G25" s="481" t="n"/>
      <c r="H25" s="481" t="n"/>
      <c r="I25" s="481" t="n"/>
      <c r="J25" s="481" t="n"/>
      <c r="K25" s="481" t="n"/>
      <c r="L25" s="481" t="n"/>
      <c r="M25" s="481" t="n"/>
      <c r="N25" s="482" t="n"/>
    </row>
    <row r="26" ht="15.95" customHeight="1" s="462">
      <c r="B26" s="65" t="inlineStr">
        <is>
          <t>사업장</t>
        </is>
      </c>
      <c r="C26" s="483" t="inlineStr">
        <is>
          <t xml:space="preserve"> · 전사업장</t>
        </is>
      </c>
      <c r="D26" s="484" t="n"/>
      <c r="E26" s="484" t="n"/>
      <c r="F26" s="484" t="n"/>
      <c r="G26" s="484" t="n"/>
      <c r="H26" s="484" t="n"/>
      <c r="I26" s="484" t="n"/>
      <c r="J26" s="484" t="n"/>
      <c r="K26" s="484" t="n"/>
      <c r="L26" s="484" t="n"/>
      <c r="M26" s="484" t="n"/>
      <c r="N26" s="485" t="n"/>
    </row>
    <row r="27" ht="15.95" customHeight="1" s="462">
      <c r="B27" s="65" t="inlineStr">
        <is>
          <t>판매채널</t>
        </is>
      </c>
      <c r="C27" s="483" t="inlineStr">
        <is>
          <t xml:space="preserve"> · 회원, D멤버스, OTA, GOTA 전채널 </t>
        </is>
      </c>
      <c r="D27" s="484" t="n"/>
      <c r="E27" s="484" t="n"/>
      <c r="F27" s="484" t="n"/>
      <c r="G27" s="484" t="n"/>
      <c r="H27" s="484" t="n"/>
      <c r="I27" s="484" t="n"/>
      <c r="J27" s="484" t="n"/>
      <c r="K27" s="484" t="n"/>
      <c r="L27" s="484" t="n"/>
      <c r="M27" s="484" t="n"/>
      <c r="N27" s="485" t="n"/>
    </row>
    <row r="28" ht="15.95" customHeight="1" s="462">
      <c r="B28" s="65" t="inlineStr">
        <is>
          <t>판매기간</t>
        </is>
      </c>
      <c r="C28" s="483" t="inlineStr">
        <is>
          <t xml:space="preserve"> · 26.05.18(수) ~ 26.06.01(월) </t>
        </is>
      </c>
      <c r="D28" s="484" t="n"/>
      <c r="E28" s="484" t="n"/>
      <c r="F28" s="484" t="n"/>
      <c r="G28" s="484" t="n"/>
      <c r="H28" s="484" t="n"/>
      <c r="I28" s="484" t="n"/>
      <c r="J28" s="484" t="n"/>
      <c r="K28" s="484" t="n"/>
      <c r="L28" s="484" t="n"/>
      <c r="M28" s="484" t="n"/>
      <c r="N28" s="485" t="n"/>
    </row>
    <row r="29" ht="15.95" customHeight="1" s="462">
      <c r="B29" s="65" t="inlineStr">
        <is>
          <t>투숙기간</t>
        </is>
      </c>
      <c r="C29" s="483" t="inlineStr">
        <is>
          <t xml:space="preserve"> · 26.06.01(월) ~ 26.07.16(목)</t>
        </is>
      </c>
      <c r="D29" s="484" t="n"/>
      <c r="E29" s="484" t="n"/>
      <c r="F29" s="484" t="n"/>
      <c r="G29" s="484" t="n"/>
      <c r="H29" s="484" t="n"/>
      <c r="I29" s="484" t="n"/>
      <c r="J29" s="484" t="n"/>
      <c r="K29" s="484" t="n"/>
      <c r="L29" s="484" t="n"/>
      <c r="M29" s="484" t="n"/>
      <c r="N29" s="485" t="n"/>
    </row>
    <row r="30" ht="15.95" customHeight="1" s="462">
      <c r="B30" s="65" t="inlineStr">
        <is>
          <t>상품구성</t>
        </is>
      </c>
      <c r="C30" s="483" t="inlineStr">
        <is>
          <t xml:space="preserve"> · 객실 + 오션2인 + 키즈컨텐츠</t>
        </is>
      </c>
      <c r="D30" s="484" t="n"/>
      <c r="E30" s="484" t="n"/>
      <c r="F30" s="484" t="n"/>
      <c r="G30" s="484" t="n"/>
      <c r="H30" s="484" t="n"/>
      <c r="I30" s="484" t="n"/>
      <c r="J30" s="484" t="n"/>
      <c r="K30" s="484" t="n"/>
      <c r="L30" s="484" t="n"/>
      <c r="M30" s="484" t="n"/>
      <c r="N30" s="485" t="n"/>
    </row>
    <row r="31" ht="15.95" customHeight="1" s="462">
      <c r="B31" s="358" t="inlineStr">
        <is>
          <t>추가 지원</t>
        </is>
      </c>
      <c r="C31" s="483" t="inlineStr">
        <is>
          <t xml:space="preserve"> · 소노스카이거너스 비치볼 증정 </t>
        </is>
      </c>
      <c r="D31" s="484" t="n"/>
      <c r="E31" s="484" t="n"/>
      <c r="F31" s="484" t="n"/>
      <c r="G31" s="484" t="n"/>
      <c r="H31" s="484" t="n"/>
      <c r="I31" s="484" t="n"/>
      <c r="J31" s="484" t="n"/>
      <c r="K31" s="484" t="n"/>
      <c r="L31" s="484" t="n"/>
      <c r="M31" s="484" t="n"/>
      <c r="N31" s="485" t="n"/>
    </row>
    <row r="32" ht="15.95" customHeight="1" s="462">
      <c r="B32" s="486" t="inlineStr">
        <is>
          <t>배분가</t>
        </is>
      </c>
      <c r="C32" s="186" t="inlineStr">
        <is>
          <t xml:space="preserve"> · 배분가 최소/최대 범주 및 정상가 대비 할인율 (사업장 별 상세내용 첨부파일 참고) </t>
        </is>
      </c>
      <c r="D32" s="477" t="n"/>
      <c r="E32" s="477" t="n"/>
      <c r="F32" s="477" t="n"/>
      <c r="G32" s="477" t="n"/>
      <c r="H32" s="477" t="n"/>
      <c r="I32" s="477" t="n"/>
      <c r="J32" s="477" t="n"/>
      <c r="K32" s="477" t="n"/>
      <c r="L32" s="477" t="n"/>
      <c r="M32" s="187" t="n"/>
      <c r="N32" s="59" t="inlineStr">
        <is>
          <t>[단위 : 천원, %]</t>
        </is>
      </c>
    </row>
    <row r="33" ht="15.95" customHeight="1" s="462">
      <c r="B33" s="487" t="n"/>
      <c r="C33" s="228" t="inlineStr">
        <is>
          <t>객실</t>
        </is>
      </c>
      <c r="D33" s="463" t="n"/>
      <c r="E33" s="463" t="n"/>
      <c r="F33" s="464" t="n"/>
      <c r="G33" s="195" t="inlineStr">
        <is>
          <t>부대 (합계)</t>
        </is>
      </c>
      <c r="H33" s="463" t="n"/>
      <c r="I33" s="463" t="n"/>
      <c r="J33" s="464" t="n"/>
      <c r="K33" s="195" t="inlineStr">
        <is>
          <t>판매가</t>
        </is>
      </c>
      <c r="L33" s="463" t="n"/>
      <c r="M33" s="463" t="n"/>
      <c r="N33" s="464" t="n"/>
    </row>
    <row r="34" ht="15.95" customHeight="1" s="462">
      <c r="B34" s="487" t="n"/>
      <c r="C34" s="174" t="inlineStr">
        <is>
          <t>최소</t>
        </is>
      </c>
      <c r="D34" s="488" t="n"/>
      <c r="E34" s="176" t="inlineStr">
        <is>
          <t>최대</t>
        </is>
      </c>
      <c r="F34" s="488" t="n"/>
      <c r="G34" s="179" t="inlineStr">
        <is>
          <t>최소</t>
        </is>
      </c>
      <c r="H34" s="488" t="n"/>
      <c r="I34" s="176" t="inlineStr">
        <is>
          <t>최대</t>
        </is>
      </c>
      <c r="J34" s="488" t="n"/>
      <c r="K34" s="179" t="inlineStr">
        <is>
          <t>최소</t>
        </is>
      </c>
      <c r="L34" s="488" t="n"/>
      <c r="M34" s="176" t="inlineStr">
        <is>
          <t>최대</t>
        </is>
      </c>
      <c r="N34" s="488" t="n"/>
    </row>
    <row r="35" ht="15.95" customHeight="1" s="462">
      <c r="B35" s="487" t="n"/>
      <c r="C35" s="497" t="n">
        <v>61</v>
      </c>
      <c r="D35" s="488" t="n"/>
      <c r="E35" s="494" t="n">
        <v>899</v>
      </c>
      <c r="F35" s="488" t="n"/>
      <c r="G35" s="493" t="n">
        <v>71</v>
      </c>
      <c r="H35" s="488" t="n"/>
      <c r="I35" s="494" t="n">
        <v>962</v>
      </c>
      <c r="J35" s="488" t="n"/>
      <c r="K35" s="493" t="n">
        <v>96</v>
      </c>
      <c r="L35" s="488" t="n"/>
      <c r="M35" s="494" t="n">
        <v>1450</v>
      </c>
      <c r="N35" s="488" t="n"/>
    </row>
    <row r="36" ht="15.95" customHeight="1" s="462">
      <c r="B36" s="465" t="n"/>
      <c r="C36" s="165" t="n">
        <v>0</v>
      </c>
      <c r="D36" s="488" t="n"/>
      <c r="E36" s="167" t="n">
        <v>0.27</v>
      </c>
      <c r="F36" s="488" t="n"/>
      <c r="G36" s="170" t="n">
        <v>0</v>
      </c>
      <c r="H36" s="488" t="n"/>
      <c r="I36" s="167" t="n">
        <v>0.3</v>
      </c>
      <c r="J36" s="488" t="n"/>
      <c r="K36" s="170" t="n">
        <v>0</v>
      </c>
      <c r="L36" s="488" t="n"/>
      <c r="M36" s="167" t="n">
        <v>0.39</v>
      </c>
      <c r="N36" s="488" t="n"/>
    </row>
    <row r="37" ht="15.95" customHeight="1" s="462">
      <c r="B37" s="363" t="inlineStr">
        <is>
          <t>수수료</t>
        </is>
      </c>
      <c r="C37" s="499" t="inlineStr">
        <is>
          <t xml:space="preserve"> · 11~13%</t>
        </is>
      </c>
      <c r="D37" s="463" t="n"/>
      <c r="E37" s="463" t="n"/>
      <c r="F37" s="463" t="n"/>
      <c r="G37" s="463" t="n"/>
      <c r="H37" s="463" t="n"/>
      <c r="I37" s="463" t="n"/>
      <c r="J37" s="463" t="n"/>
      <c r="K37" s="463" t="n"/>
      <c r="L37" s="463" t="n"/>
      <c r="M37" s="463" t="n"/>
      <c r="N37" s="464" t="n"/>
    </row>
    <row r="38" ht="15.95" customHeight="1" s="462">
      <c r="B38" s="363" t="inlineStr">
        <is>
          <t>KPI</t>
        </is>
      </c>
      <c r="C38" s="154" t="inlineStr">
        <is>
          <t xml:space="preserve"> · 800RNs </t>
        </is>
      </c>
      <c r="D38" s="463" t="n"/>
      <c r="E38" s="463" t="n"/>
      <c r="F38" s="463" t="n"/>
      <c r="G38" s="463" t="n"/>
      <c r="H38" s="463" t="n"/>
      <c r="I38" s="463" t="n"/>
      <c r="J38" s="463" t="n"/>
      <c r="K38" s="158" t="inlineStr">
        <is>
          <t xml:space="preserve">(상세 KPI 첨부파일 참고) </t>
        </is>
      </c>
      <c r="L38" s="463" t="n"/>
      <c r="M38" s="463" t="n"/>
      <c r="N38" s="464" t="n"/>
    </row>
    <row r="40" ht="15.95" customHeight="1" s="462">
      <c r="A40" s="203" t="inlineStr">
        <is>
          <t xml:space="preserve">4. 판매 &amp; 홍보 일정 </t>
        </is>
      </c>
      <c r="B40" s="51" t="n"/>
      <c r="C40" s="51" t="n"/>
      <c r="D40" s="51" t="n"/>
      <c r="E40" s="51" t="n"/>
      <c r="F40" s="51" t="n"/>
      <c r="G40" s="51" t="n"/>
      <c r="H40" s="51" t="n"/>
      <c r="I40" s="51" t="n"/>
      <c r="J40" s="51" t="n"/>
      <c r="K40" s="51" t="n"/>
      <c r="L40" s="51" t="n"/>
      <c r="M40" s="51" t="n"/>
      <c r="N40" s="51" t="n"/>
    </row>
    <row r="41" ht="15.95" customHeight="1" s="462">
      <c r="A41" s="51" t="n"/>
      <c r="B41" s="363" t="inlineStr">
        <is>
          <t>구 분</t>
        </is>
      </c>
      <c r="C41" s="228" t="inlineStr">
        <is>
          <t>내 용</t>
        </is>
      </c>
      <c r="D41" s="463" t="n"/>
      <c r="E41" s="463" t="n"/>
      <c r="F41" s="463" t="n"/>
      <c r="G41" s="463" t="n"/>
      <c r="H41" s="463" t="n"/>
      <c r="I41" s="463" t="n"/>
      <c r="J41" s="463" t="n"/>
      <c r="K41" s="463" t="n"/>
      <c r="L41" s="463" t="n"/>
      <c r="M41" s="463" t="n"/>
      <c r="N41" s="464" t="n"/>
    </row>
    <row r="42" ht="15.95" customHeight="1" s="462">
      <c r="A42" s="51" t="n"/>
      <c r="B42" s="68" t="inlineStr">
        <is>
          <t>판매일정</t>
        </is>
      </c>
      <c r="C42" s="500" t="inlineStr">
        <is>
          <t xml:space="preserve"> · 채널별 판매일정 (자유표기) </t>
        </is>
      </c>
      <c r="D42" s="463" t="n"/>
      <c r="E42" s="463" t="n"/>
      <c r="F42" s="463" t="n"/>
      <c r="G42" s="463" t="n"/>
      <c r="H42" s="463" t="n"/>
      <c r="I42" s="463" t="n"/>
      <c r="J42" s="463" t="n"/>
      <c r="K42" s="463" t="n"/>
      <c r="L42" s="463" t="n"/>
      <c r="M42" s="463" t="n"/>
      <c r="N42" s="464" t="n"/>
    </row>
    <row r="43" ht="15.95" customHeight="1" s="462">
      <c r="A43" s="51" t="n"/>
      <c r="B43" s="68" t="inlineStr">
        <is>
          <t>홍보일정</t>
        </is>
      </c>
      <c r="C43" s="500" t="inlineStr">
        <is>
          <t xml:space="preserve"> · 홍보일정 (자유표기) </t>
        </is>
      </c>
      <c r="D43" s="463" t="n"/>
      <c r="E43" s="463" t="n"/>
      <c r="F43" s="463" t="n"/>
      <c r="G43" s="463" t="n"/>
      <c r="H43" s="463" t="n"/>
      <c r="I43" s="463" t="n"/>
      <c r="J43" s="463" t="n"/>
      <c r="K43" s="463" t="n"/>
      <c r="L43" s="463" t="n"/>
      <c r="M43" s="463" t="n"/>
      <c r="N43" s="464" t="n"/>
    </row>
    <row r="44" ht="15.95" customHeight="1" s="462">
      <c r="A44" s="51" t="n"/>
      <c r="B44" s="68" t="inlineStr">
        <is>
          <t>지원사항</t>
        </is>
      </c>
      <c r="C44" s="500" t="inlineStr">
        <is>
          <t xml:space="preserve">  (자유표기)</t>
        </is>
      </c>
      <c r="D44" s="463" t="n"/>
      <c r="E44" s="463" t="n"/>
      <c r="F44" s="463" t="n"/>
      <c r="G44" s="463" t="n"/>
      <c r="H44" s="463" t="n"/>
      <c r="I44" s="463" t="n"/>
      <c r="J44" s="463" t="n"/>
      <c r="K44" s="463" t="n"/>
      <c r="L44" s="463" t="n"/>
      <c r="M44" s="463" t="n"/>
      <c r="N44" s="464" t="n"/>
    </row>
    <row r="45" ht="15.95" customHeight="1" s="462">
      <c r="A45" s="51" t="n"/>
      <c r="E45" s="54" t="n"/>
      <c r="F45" s="54" t="n"/>
      <c r="G45" s="54" t="n"/>
      <c r="H45" s="54" t="n"/>
      <c r="I45" s="54" t="n"/>
      <c r="J45" s="54" t="n"/>
      <c r="K45" s="54" t="n"/>
      <c r="L45" s="54" t="n"/>
      <c r="M45" s="54" t="n"/>
      <c r="N45" s="54" t="n"/>
    </row>
    <row r="46" ht="15.95" customHeight="1" s="462">
      <c r="A46" s="203" t="inlineStr">
        <is>
          <t>5. 기 타</t>
        </is>
      </c>
      <c r="B46" s="51" t="n"/>
      <c r="C46" s="51" t="n"/>
      <c r="D46" s="51" t="n"/>
      <c r="E46" s="51" t="n"/>
      <c r="F46" s="51" t="n"/>
      <c r="G46" s="51" t="n"/>
      <c r="H46" s="51" t="n"/>
      <c r="I46" s="51" t="n"/>
      <c r="J46" s="51" t="n"/>
      <c r="K46" s="51" t="n"/>
      <c r="L46" s="51" t="n"/>
      <c r="M46" s="51" t="n"/>
      <c r="N46" s="51" t="n"/>
    </row>
    <row r="47" ht="15.95" customHeight="1" s="462">
      <c r="A47" s="51" t="n"/>
      <c r="B47" s="52" t="inlineStr">
        <is>
          <t xml:space="preserve"> - 영업기획: 패키지번호 세팅 및 회신 (첨부파일 內 시트참조)</t>
        </is>
      </c>
      <c r="C47" s="52" t="n"/>
      <c r="D47" s="52" t="n"/>
      <c r="E47" s="52" t="n"/>
      <c r="F47" s="51" t="n"/>
      <c r="G47" s="51" t="n"/>
      <c r="H47" s="51" t="n"/>
      <c r="I47" s="51" t="n"/>
      <c r="J47" s="51" t="n"/>
      <c r="K47" s="51" t="n"/>
      <c r="L47" s="51" t="n"/>
      <c r="M47" s="51" t="n"/>
      <c r="N47" s="51" t="n"/>
    </row>
    <row r="48" ht="15.95" customHeight="1" s="462">
      <c r="A48" s="51" t="n"/>
      <c r="B48" s="52" t="inlineStr">
        <is>
          <t xml:space="preserve"> - 판매 추이에 따라 추가 판매 여부 검토(PRM 협의) </t>
        </is>
      </c>
      <c r="C48" s="52" t="n"/>
      <c r="D48" s="52" t="n"/>
      <c r="E48" s="52" t="n"/>
      <c r="F48" s="51" t="n"/>
      <c r="G48" s="51" t="n"/>
      <c r="H48" s="51" t="n"/>
      <c r="I48" s="51" t="n"/>
      <c r="J48" s="51" t="n"/>
      <c r="K48" s="51" t="n"/>
      <c r="L48" s="51" t="n"/>
      <c r="M48" s="51" t="n"/>
      <c r="N48" s="51" t="n"/>
    </row>
    <row r="49" ht="15.95" customHeight="1" s="462">
      <c r="A49" s="51" t="n"/>
      <c r="B49" s="51" t="n"/>
      <c r="C49" s="51" t="n"/>
      <c r="D49" s="51" t="n"/>
      <c r="E49" s="51" t="n"/>
      <c r="F49" s="51" t="n"/>
      <c r="G49" s="51" t="n"/>
      <c r="H49" s="63" t="n"/>
      <c r="I49" s="51" t="n"/>
      <c r="J49" s="51" t="n"/>
      <c r="K49" s="51" t="n"/>
      <c r="L49" s="51" t="n"/>
      <c r="M49" s="51" t="n"/>
      <c r="N49" s="63" t="inlineStr">
        <is>
          <t>이상/끝.</t>
        </is>
      </c>
    </row>
  </sheetData>
  <mergeCells count="49">
    <mergeCell ref="C34:D34"/>
    <mergeCell ref="I34:J34"/>
    <mergeCell ref="C10:H10"/>
    <mergeCell ref="C16:H16"/>
    <mergeCell ref="K34:L34"/>
    <mergeCell ref="M34:N34"/>
    <mergeCell ref="C25:N25"/>
    <mergeCell ref="A8:G8"/>
    <mergeCell ref="C41:N41"/>
    <mergeCell ref="C31:N31"/>
    <mergeCell ref="C44:N44"/>
    <mergeCell ref="G36:H36"/>
    <mergeCell ref="K38:N38"/>
    <mergeCell ref="I36:J36"/>
    <mergeCell ref="C32:L32"/>
    <mergeCell ref="K36:L36"/>
    <mergeCell ref="C35:D35"/>
    <mergeCell ref="C43:N43"/>
    <mergeCell ref="F23:H23"/>
    <mergeCell ref="E35:F35"/>
    <mergeCell ref="K35:L35"/>
    <mergeCell ref="M35:N35"/>
    <mergeCell ref="C27:N27"/>
    <mergeCell ref="C33:F33"/>
    <mergeCell ref="B10:B11"/>
    <mergeCell ref="K33:N33"/>
    <mergeCell ref="E34:F34"/>
    <mergeCell ref="G34:H34"/>
    <mergeCell ref="I10:N10"/>
    <mergeCell ref="C37:N37"/>
    <mergeCell ref="A2:N2"/>
    <mergeCell ref="B32:B36"/>
    <mergeCell ref="C36:D36"/>
    <mergeCell ref="M36:N36"/>
    <mergeCell ref="C28:N28"/>
    <mergeCell ref="E36:F36"/>
    <mergeCell ref="I9:N9"/>
    <mergeCell ref="C30:N30"/>
    <mergeCell ref="G35:H35"/>
    <mergeCell ref="I35:J35"/>
    <mergeCell ref="C24:N24"/>
    <mergeCell ref="C42:N42"/>
    <mergeCell ref="A4:N4"/>
    <mergeCell ref="C38:J38"/>
    <mergeCell ref="B16:B17"/>
    <mergeCell ref="G33:J33"/>
    <mergeCell ref="C26:N26"/>
    <mergeCell ref="C29:N29"/>
    <mergeCell ref="I16:N16"/>
  </mergeCells>
  <pageMargins left="0.1181102362204725" right="0.1181102362204725" top="0.1968503937007874" bottom="0.1968503937007874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64"/>
  <sheetViews>
    <sheetView showGridLines="0" topLeftCell="A32" zoomScale="154" zoomScaleNormal="154" workbookViewId="0">
      <selection activeCell="E27" sqref="E27:F27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회원 (기명)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Height="1" s="462">
      <c r="B21" s="405" t="inlineStr">
        <is>
          <t>회원 (무기명)</t>
        </is>
      </c>
      <c r="C21" s="603" t="n"/>
      <c r="D21" s="603" t="n"/>
      <c r="E21" s="405" t="inlineStr">
        <is>
          <t>사업장1</t>
        </is>
      </c>
      <c r="F21" s="603" t="n"/>
      <c r="G21" s="405" t="inlineStr">
        <is>
          <t>사업장2</t>
        </is>
      </c>
      <c r="H21" s="603" t="n"/>
      <c r="I21" s="405" t="inlineStr">
        <is>
          <t>사업장3</t>
        </is>
      </c>
      <c r="J21" s="603" t="n"/>
      <c r="K21" s="405" t="inlineStr">
        <is>
          <t>사업장4</t>
        </is>
      </c>
      <c r="L21" s="603" t="n"/>
      <c r="M21" s="405" t="inlineStr">
        <is>
          <t>사업장5</t>
        </is>
      </c>
      <c r="N21" s="603" t="n"/>
      <c r="O21" s="405" t="inlineStr">
        <is>
          <t>비 고</t>
        </is>
      </c>
      <c r="P21" s="603" t="n"/>
      <c r="Q21" s="603" t="n"/>
      <c r="R21" s="603" t="n"/>
      <c r="T21" s="70" t="n"/>
    </row>
    <row r="22" ht="15.95" customFormat="1" customHeight="1" s="49">
      <c r="B22" s="428" t="inlineStr">
        <is>
          <t>정상 요금</t>
        </is>
      </c>
      <c r="C22" s="604" t="n"/>
      <c r="D22" s="605" t="n"/>
      <c r="E22" s="417" t="inlineStr">
        <is>
          <t>104 ~ 366</t>
        </is>
      </c>
      <c r="F22" s="605" t="n"/>
      <c r="G22" s="417" t="inlineStr">
        <is>
          <t>160 ~ 487</t>
        </is>
      </c>
      <c r="H22" s="605" t="n"/>
      <c r="I22" s="417" t="inlineStr">
        <is>
          <t>220 ~ 642</t>
        </is>
      </c>
      <c r="J22" s="605" t="n"/>
      <c r="K22" s="417" t="inlineStr">
        <is>
          <t>175 ~ 508</t>
        </is>
      </c>
      <c r="L22" s="605" t="n"/>
      <c r="M22" s="417" t="inlineStr">
        <is>
          <t>203 ~ 553</t>
        </is>
      </c>
      <c r="N22" s="605" t="n"/>
      <c r="O22" s="76" t="n"/>
      <c r="P22" s="76" t="n"/>
      <c r="Q22" s="76" t="n"/>
      <c r="R22" s="76" t="n"/>
    </row>
    <row r="23" ht="15.95" customFormat="1" customHeight="1" s="49">
      <c r="B23" s="426" t="inlineStr">
        <is>
          <t>스마트 요금</t>
        </is>
      </c>
      <c r="D23" s="606" t="n"/>
      <c r="E23" s="412" t="inlineStr">
        <is>
          <t>94 ~ 338</t>
        </is>
      </c>
      <c r="F23" s="606" t="n"/>
      <c r="G23" s="496" t="n"/>
      <c r="H23" s="606" t="n"/>
      <c r="I23" s="412" t="inlineStr">
        <is>
          <t>200 ~ 611</t>
        </is>
      </c>
      <c r="J23" s="606" t="n"/>
      <c r="K23" s="412" t="inlineStr">
        <is>
          <t>155 ~ 473</t>
        </is>
      </c>
      <c r="L23" s="606" t="n"/>
      <c r="M23" s="412" t="inlineStr">
        <is>
          <t>183 ~ 528</t>
        </is>
      </c>
      <c r="N23" s="606" t="n"/>
    </row>
    <row r="24" ht="15.95" customFormat="1" customHeight="1" s="49">
      <c r="B24" s="426" t="inlineStr">
        <is>
          <t>PKG 배분가</t>
        </is>
      </c>
      <c r="D24" s="606" t="n"/>
      <c r="E24" s="412" t="inlineStr">
        <is>
          <t>74 ~ 338</t>
        </is>
      </c>
      <c r="F24" s="606" t="n"/>
      <c r="G24" s="496" t="n"/>
      <c r="H24" s="606" t="n"/>
      <c r="I24" s="412" t="inlineStr">
        <is>
          <t>180 ~ 611</t>
        </is>
      </c>
      <c r="J24" s="606" t="n"/>
      <c r="K24" s="412" t="inlineStr">
        <is>
          <t>135 ~ 473</t>
        </is>
      </c>
      <c r="L24" s="606" t="n"/>
      <c r="M24" s="412" t="inlineStr">
        <is>
          <t>163 ~ 528</t>
        </is>
      </c>
      <c r="N24" s="606" t="n"/>
    </row>
    <row r="25" ht="15.95" customFormat="1" customHeight="1" s="49">
      <c r="B25" s="426" t="inlineStr">
        <is>
          <t>정상가 比 할인율</t>
        </is>
      </c>
      <c r="D25" s="606" t="n"/>
      <c r="E25" s="412" t="inlineStr">
        <is>
          <t>0 ~ 39%</t>
        </is>
      </c>
      <c r="F25" s="606" t="n"/>
      <c r="G25" s="607" t="n">
        <v>0</v>
      </c>
      <c r="H25" s="606" t="n"/>
      <c r="I25" s="412" t="inlineStr">
        <is>
          <t>0 ~ 26%</t>
        </is>
      </c>
      <c r="J25" s="606" t="n"/>
      <c r="K25" s="412" t="inlineStr">
        <is>
          <t>0 ~ 41%</t>
        </is>
      </c>
      <c r="L25" s="606" t="n"/>
      <c r="M25" s="412" t="inlineStr">
        <is>
          <t>0 ~ 35%</t>
        </is>
      </c>
      <c r="N25" s="606" t="n"/>
    </row>
    <row r="26" ht="15.95" customFormat="1" customHeight="1" s="49">
      <c r="B26" s="424" t="inlineStr">
        <is>
          <t>스마트 比 할인율</t>
        </is>
      </c>
      <c r="C26" s="602" t="n"/>
      <c r="D26" s="608" t="n"/>
      <c r="E26" s="429" t="inlineStr">
        <is>
          <t>-3 ~ 21%</t>
        </is>
      </c>
      <c r="F26" s="608" t="n"/>
      <c r="G26" s="609" t="n"/>
      <c r="H26" s="608" t="n"/>
      <c r="I26" s="429" t="inlineStr">
        <is>
          <t>-13 ~ 12%</t>
        </is>
      </c>
      <c r="J26" s="608" t="n"/>
      <c r="K26" s="429" t="inlineStr">
        <is>
          <t>-3 ~ 13%</t>
        </is>
      </c>
      <c r="L26" s="608" t="n"/>
      <c r="M26" s="430" t="inlineStr">
        <is>
          <t>0~ 11%</t>
        </is>
      </c>
      <c r="N26" s="608" t="n"/>
      <c r="O26" s="77" t="n"/>
      <c r="P26" s="77" t="n"/>
      <c r="Q26" s="77" t="n"/>
      <c r="R26" s="77" t="n"/>
    </row>
    <row r="27" ht="15.95" customHeight="1" s="462">
      <c r="B27" s="405" t="inlineStr">
        <is>
          <t>FIT</t>
        </is>
      </c>
      <c r="C27" s="603" t="n"/>
      <c r="D27" s="603" t="n"/>
      <c r="E27" s="405" t="inlineStr">
        <is>
          <t>사업장1</t>
        </is>
      </c>
      <c r="F27" s="603" t="n"/>
      <c r="G27" s="405" t="inlineStr">
        <is>
          <t>사업장2</t>
        </is>
      </c>
      <c r="H27" s="603" t="n"/>
      <c r="I27" s="405" t="inlineStr">
        <is>
          <t>사업장3</t>
        </is>
      </c>
      <c r="J27" s="603" t="n"/>
      <c r="K27" s="405" t="inlineStr">
        <is>
          <t>사업장4</t>
        </is>
      </c>
      <c r="L27" s="603" t="n"/>
      <c r="M27" s="405" t="inlineStr">
        <is>
          <t>사업장5</t>
        </is>
      </c>
      <c r="N27" s="603" t="n"/>
      <c r="O27" s="405" t="inlineStr">
        <is>
          <t>비 고</t>
        </is>
      </c>
      <c r="P27" s="603" t="n"/>
      <c r="Q27" s="603" t="n"/>
      <c r="R27" s="603" t="n"/>
      <c r="T27" s="70" t="n"/>
    </row>
    <row r="28" ht="15.95" customFormat="1" customHeight="1" s="49">
      <c r="B28" s="428" t="inlineStr">
        <is>
          <t>정상 요금</t>
        </is>
      </c>
      <c r="C28" s="604" t="n"/>
      <c r="D28" s="605" t="n"/>
      <c r="E28" s="417" t="inlineStr">
        <is>
          <t>104 ~ 366</t>
        </is>
      </c>
      <c r="F28" s="605" t="n"/>
      <c r="G28" s="417" t="inlineStr">
        <is>
          <t>160 ~ 487</t>
        </is>
      </c>
      <c r="H28" s="605" t="n"/>
      <c r="I28" s="417" t="inlineStr">
        <is>
          <t>220 ~ 642</t>
        </is>
      </c>
      <c r="J28" s="605" t="n"/>
      <c r="K28" s="417" t="inlineStr">
        <is>
          <t>175 ~ 508</t>
        </is>
      </c>
      <c r="L28" s="605" t="n"/>
      <c r="M28" s="417" t="inlineStr">
        <is>
          <t>203 ~ 553</t>
        </is>
      </c>
      <c r="N28" s="605" t="n"/>
      <c r="O28" s="76" t="n"/>
      <c r="P28" s="76" t="n"/>
      <c r="Q28" s="76" t="n"/>
      <c r="R28" s="76" t="n"/>
    </row>
    <row r="29" ht="15.95" customFormat="1" customHeight="1" s="49">
      <c r="B29" s="426" t="inlineStr">
        <is>
          <t>스마트 요금</t>
        </is>
      </c>
      <c r="D29" s="606" t="n"/>
      <c r="E29" s="412" t="inlineStr">
        <is>
          <t>94 ~ 338</t>
        </is>
      </c>
      <c r="F29" s="606" t="n"/>
      <c r="G29" s="496" t="n"/>
      <c r="H29" s="606" t="n"/>
      <c r="I29" s="412" t="inlineStr">
        <is>
          <t>200 ~ 611</t>
        </is>
      </c>
      <c r="J29" s="606" t="n"/>
      <c r="K29" s="412" t="inlineStr">
        <is>
          <t>155 ~ 473</t>
        </is>
      </c>
      <c r="L29" s="606" t="n"/>
      <c r="M29" s="412" t="inlineStr">
        <is>
          <t>183 ~ 528</t>
        </is>
      </c>
      <c r="N29" s="606" t="n"/>
    </row>
    <row r="30" ht="15.95" customFormat="1" customHeight="1" s="49">
      <c r="B30" s="426" t="inlineStr">
        <is>
          <t>PKG 배분가</t>
        </is>
      </c>
      <c r="D30" s="606" t="n"/>
      <c r="E30" s="412" t="inlineStr">
        <is>
          <t>74 ~ 338</t>
        </is>
      </c>
      <c r="F30" s="606" t="n"/>
      <c r="G30" s="496" t="n"/>
      <c r="H30" s="606" t="n"/>
      <c r="I30" s="412" t="inlineStr">
        <is>
          <t>180 ~ 611</t>
        </is>
      </c>
      <c r="J30" s="606" t="n"/>
      <c r="K30" s="412" t="inlineStr">
        <is>
          <t>135 ~ 473</t>
        </is>
      </c>
      <c r="L30" s="606" t="n"/>
      <c r="M30" s="412" t="inlineStr">
        <is>
          <t>163 ~ 528</t>
        </is>
      </c>
      <c r="N30" s="606" t="n"/>
    </row>
    <row r="31" ht="15.95" customFormat="1" customHeight="1" s="49">
      <c r="B31" s="426" t="inlineStr">
        <is>
          <t>정상가 比 할인율</t>
        </is>
      </c>
      <c r="D31" s="606" t="n"/>
      <c r="E31" s="412" t="inlineStr">
        <is>
          <t>0 ~ 39%</t>
        </is>
      </c>
      <c r="F31" s="606" t="n"/>
      <c r="G31" s="607" t="n">
        <v>0</v>
      </c>
      <c r="H31" s="606" t="n"/>
      <c r="I31" s="412" t="inlineStr">
        <is>
          <t>0 ~ 26%</t>
        </is>
      </c>
      <c r="J31" s="606" t="n"/>
      <c r="K31" s="412" t="inlineStr">
        <is>
          <t>0 ~ 41%</t>
        </is>
      </c>
      <c r="L31" s="606" t="n"/>
      <c r="M31" s="412" t="inlineStr">
        <is>
          <t>0 ~ 35%</t>
        </is>
      </c>
      <c r="N31" s="606" t="n"/>
    </row>
    <row r="32" ht="15.95" customFormat="1" customHeight="1" s="49">
      <c r="B32" s="424" t="inlineStr">
        <is>
          <t>스마트 比 할인율</t>
        </is>
      </c>
      <c r="C32" s="602" t="n"/>
      <c r="D32" s="608" t="n"/>
      <c r="E32" s="429" t="inlineStr">
        <is>
          <t>-3 ~ 21%</t>
        </is>
      </c>
      <c r="F32" s="608" t="n"/>
      <c r="G32" s="609" t="n"/>
      <c r="H32" s="608" t="n"/>
      <c r="I32" s="429" t="inlineStr">
        <is>
          <t>-13 ~ 12%</t>
        </is>
      </c>
      <c r="J32" s="608" t="n"/>
      <c r="K32" s="429" t="inlineStr">
        <is>
          <t>-3 ~ 13%</t>
        </is>
      </c>
      <c r="L32" s="608" t="n"/>
      <c r="M32" s="430" t="inlineStr">
        <is>
          <t>0~ 11%</t>
        </is>
      </c>
      <c r="N32" s="608" t="n"/>
      <c r="O32" s="77" t="n"/>
      <c r="P32" s="77" t="n"/>
      <c r="Q32" s="77" t="n"/>
      <c r="R32" s="77" t="n"/>
    </row>
    <row r="33" ht="15.95" customFormat="1" customHeight="1" s="49"/>
    <row r="34" ht="15.95" customFormat="1" customHeight="1" s="49">
      <c r="B34" s="69" t="inlineStr">
        <is>
          <t>03.부대시설 배분가</t>
        </is>
      </c>
      <c r="Q34" s="408" t="inlineStr">
        <is>
          <t>[단위: 천원]</t>
        </is>
      </c>
      <c r="R34" s="602" t="n"/>
    </row>
    <row r="35" ht="15.95" customHeight="1" s="462">
      <c r="B35" s="405" t="inlineStr">
        <is>
          <t>구분</t>
        </is>
      </c>
      <c r="C35" s="603" t="n"/>
      <c r="D35" s="603" t="n"/>
      <c r="E35" s="405" t="inlineStr">
        <is>
          <t>Total</t>
        </is>
      </c>
      <c r="F35" s="603" t="n"/>
      <c r="G35" s="405" t="inlineStr">
        <is>
          <t>부대1</t>
        </is>
      </c>
      <c r="H35" s="603" t="n"/>
      <c r="I35" s="405" t="inlineStr">
        <is>
          <t>부대2</t>
        </is>
      </c>
      <c r="J35" s="603" t="n"/>
      <c r="K35" s="405" t="inlineStr">
        <is>
          <t>부대3</t>
        </is>
      </c>
      <c r="L35" s="603" t="n"/>
      <c r="M35" s="405" t="inlineStr">
        <is>
          <t>부대4</t>
        </is>
      </c>
      <c r="N35" s="603" t="n"/>
      <c r="O35" s="405" t="inlineStr">
        <is>
          <t>비 고</t>
        </is>
      </c>
      <c r="P35" s="603" t="n"/>
      <c r="Q35" s="603" t="n"/>
      <c r="R35" s="603" t="n"/>
      <c r="T35" s="70" t="n"/>
    </row>
    <row r="36" ht="15.95" customHeight="1" s="462">
      <c r="B36" s="428" t="inlineStr">
        <is>
          <t>정상 요금</t>
        </is>
      </c>
      <c r="C36" s="604" t="n"/>
      <c r="D36" s="605" t="n"/>
      <c r="E36" s="610">
        <f>SUM(G36:N36)</f>
        <v/>
      </c>
      <c r="F36" s="605" t="n"/>
      <c r="G36" s="610" t="n">
        <v>40</v>
      </c>
      <c r="H36" s="605" t="n"/>
      <c r="I36" s="610" t="n">
        <v>30</v>
      </c>
      <c r="J36" s="605" t="n"/>
      <c r="K36" s="610" t="n">
        <v>20</v>
      </c>
      <c r="L36" s="605" t="n"/>
      <c r="M36" s="610" t="n">
        <v>50</v>
      </c>
      <c r="N36" s="605" t="n"/>
      <c r="O36" s="611" t="n"/>
      <c r="P36" s="604" t="n"/>
      <c r="Q36" s="604" t="n"/>
      <c r="R36" s="604" t="n"/>
      <c r="T36" s="70" t="n"/>
    </row>
    <row r="37" ht="15.95" customHeight="1" s="462">
      <c r="B37" s="426" t="inlineStr">
        <is>
          <t>PKG 배분가</t>
        </is>
      </c>
      <c r="D37" s="606" t="n"/>
      <c r="E37" s="612">
        <f>SUM(G37:N37)</f>
        <v/>
      </c>
      <c r="F37" s="606" t="n"/>
      <c r="G37" s="612" t="n">
        <v>30</v>
      </c>
      <c r="H37" s="606" t="n"/>
      <c r="I37" s="612" t="n">
        <v>25</v>
      </c>
      <c r="J37" s="606" t="n"/>
      <c r="K37" s="612" t="n">
        <v>15</v>
      </c>
      <c r="L37" s="606" t="n"/>
      <c r="M37" s="612" t="n">
        <v>45</v>
      </c>
      <c r="N37" s="606" t="n"/>
      <c r="O37" s="613" t="n"/>
      <c r="T37" s="70" t="n"/>
    </row>
    <row r="38" ht="15.95" customHeight="1" s="462">
      <c r="B38" s="424" t="inlineStr">
        <is>
          <t>정상가 比 할인율</t>
        </is>
      </c>
      <c r="C38" s="602" t="n"/>
      <c r="D38" s="608" t="n"/>
      <c r="E38" s="403">
        <f>1-E37/E36</f>
        <v/>
      </c>
      <c r="F38" s="608" t="n"/>
      <c r="G38" s="403">
        <f>1-G37/G36</f>
        <v/>
      </c>
      <c r="H38" s="608" t="n"/>
      <c r="I38" s="403">
        <f>1-I37/I36</f>
        <v/>
      </c>
      <c r="J38" s="608" t="n"/>
      <c r="K38" s="403">
        <f>1-K37/K36</f>
        <v/>
      </c>
      <c r="L38" s="608" t="n"/>
      <c r="M38" s="403">
        <f>1-M37/M36</f>
        <v/>
      </c>
      <c r="N38" s="608" t="n"/>
      <c r="O38" s="614" t="n"/>
      <c r="P38" s="602" t="n"/>
      <c r="Q38" s="602" t="n"/>
      <c r="R38" s="602" t="n"/>
      <c r="T38" s="70" t="n"/>
    </row>
    <row r="39" ht="15.95" customHeight="1" s="462"/>
    <row r="40" ht="15.95" customHeight="1" s="462">
      <c r="B40" s="69" t="inlineStr">
        <is>
          <t xml:space="preserve">04.판매가 배분가 범위 </t>
        </is>
      </c>
      <c r="C40" s="71" t="n"/>
      <c r="D40" s="71" t="n"/>
      <c r="E40" s="71" t="n"/>
      <c r="F40" s="71" t="n"/>
      <c r="G40" s="71" t="n"/>
      <c r="H40" s="71" t="n"/>
      <c r="I40" s="71" t="n"/>
      <c r="J40" s="71" t="n"/>
      <c r="K40" s="71" t="n"/>
      <c r="Q40" s="408" t="inlineStr">
        <is>
          <t>[단위: 천원]</t>
        </is>
      </c>
      <c r="R40" s="602" t="n"/>
      <c r="T40" s="70" t="n"/>
    </row>
    <row r="41" ht="15.95" customHeight="1" s="462">
      <c r="B41" s="405" t="inlineStr">
        <is>
          <t>회원 (기명)</t>
        </is>
      </c>
      <c r="C41" s="603" t="n"/>
      <c r="D41" s="603" t="n"/>
      <c r="E41" s="405" t="inlineStr">
        <is>
          <t>사업장1</t>
        </is>
      </c>
      <c r="F41" s="603" t="n"/>
      <c r="G41" s="405" t="inlineStr">
        <is>
          <t>사업장2</t>
        </is>
      </c>
      <c r="H41" s="603" t="n"/>
      <c r="I41" s="405" t="inlineStr">
        <is>
          <t>사업장3</t>
        </is>
      </c>
      <c r="J41" s="603" t="n"/>
      <c r="K41" s="405" t="inlineStr">
        <is>
          <t>사업장4</t>
        </is>
      </c>
      <c r="L41" s="603" t="n"/>
      <c r="M41" s="405" t="inlineStr">
        <is>
          <t>사업장5</t>
        </is>
      </c>
      <c r="N41" s="603" t="n"/>
      <c r="O41" s="405" t="inlineStr">
        <is>
          <t>비 고</t>
        </is>
      </c>
      <c r="P41" s="603" t="n"/>
      <c r="Q41" s="603" t="n"/>
      <c r="R41" s="603" t="n"/>
      <c r="T41" s="70" t="n"/>
    </row>
    <row r="42" ht="15.95" customFormat="1" customHeight="1" s="49">
      <c r="B42" s="428" t="inlineStr">
        <is>
          <t>정상 요금</t>
        </is>
      </c>
      <c r="C42" s="604" t="n"/>
      <c r="D42" s="605" t="n"/>
      <c r="E42" s="417" t="inlineStr">
        <is>
          <t>104 ~ 366</t>
        </is>
      </c>
      <c r="F42" s="605" t="n"/>
      <c r="G42" s="417" t="inlineStr">
        <is>
          <t>160 ~ 487</t>
        </is>
      </c>
      <c r="H42" s="605" t="n"/>
      <c r="I42" s="417" t="inlineStr">
        <is>
          <t>220 ~ 642</t>
        </is>
      </c>
      <c r="J42" s="605" t="n"/>
      <c r="K42" s="417" t="inlineStr">
        <is>
          <t>175 ~ 508</t>
        </is>
      </c>
      <c r="L42" s="605" t="n"/>
      <c r="M42" s="417" t="inlineStr">
        <is>
          <t>203 ~ 553</t>
        </is>
      </c>
      <c r="N42" s="605" t="n"/>
      <c r="O42" s="76" t="n"/>
      <c r="P42" s="76" t="n"/>
      <c r="Q42" s="76" t="n"/>
      <c r="R42" s="76" t="n"/>
    </row>
    <row r="43" ht="15.95" customFormat="1" customHeight="1" s="49">
      <c r="B43" s="426" t="inlineStr">
        <is>
          <t>스마트 요금</t>
        </is>
      </c>
      <c r="D43" s="606" t="n"/>
      <c r="E43" s="412" t="inlineStr">
        <is>
          <t>94 ~ 338</t>
        </is>
      </c>
      <c r="F43" s="606" t="n"/>
      <c r="G43" s="496" t="n"/>
      <c r="H43" s="606" t="n"/>
      <c r="I43" s="412" t="inlineStr">
        <is>
          <t>200 ~ 611</t>
        </is>
      </c>
      <c r="J43" s="606" t="n"/>
      <c r="K43" s="412" t="inlineStr">
        <is>
          <t>155 ~ 473</t>
        </is>
      </c>
      <c r="L43" s="606" t="n"/>
      <c r="M43" s="412" t="inlineStr">
        <is>
          <t>183 ~ 528</t>
        </is>
      </c>
      <c r="N43" s="606" t="n"/>
    </row>
    <row r="44" ht="15.95" customFormat="1" customHeight="1" s="49">
      <c r="B44" s="426" t="inlineStr">
        <is>
          <t>PKG 배분가</t>
        </is>
      </c>
      <c r="D44" s="606" t="n"/>
      <c r="E44" s="412" t="inlineStr">
        <is>
          <t>74 ~ 338</t>
        </is>
      </c>
      <c r="F44" s="606" t="n"/>
      <c r="G44" s="496" t="n"/>
      <c r="H44" s="606" t="n"/>
      <c r="I44" s="412" t="inlineStr">
        <is>
          <t>180 ~ 611</t>
        </is>
      </c>
      <c r="J44" s="606" t="n"/>
      <c r="K44" s="412" t="inlineStr">
        <is>
          <t>135 ~ 473</t>
        </is>
      </c>
      <c r="L44" s="606" t="n"/>
      <c r="M44" s="412" t="inlineStr">
        <is>
          <t>163 ~ 528</t>
        </is>
      </c>
      <c r="N44" s="606" t="n"/>
    </row>
    <row r="45" ht="15.95" customFormat="1" customHeight="1" s="49">
      <c r="B45" s="426" t="inlineStr">
        <is>
          <t>정상가 比 할인율</t>
        </is>
      </c>
      <c r="D45" s="606" t="n"/>
      <c r="E45" s="412" t="inlineStr">
        <is>
          <t>0 ~ 39%</t>
        </is>
      </c>
      <c r="F45" s="606" t="n"/>
      <c r="G45" s="607" t="n">
        <v>0</v>
      </c>
      <c r="H45" s="606" t="n"/>
      <c r="I45" s="412" t="inlineStr">
        <is>
          <t>0 ~ 26%</t>
        </is>
      </c>
      <c r="J45" s="606" t="n"/>
      <c r="K45" s="412" t="inlineStr">
        <is>
          <t>0 ~ 41%</t>
        </is>
      </c>
      <c r="L45" s="606" t="n"/>
      <c r="M45" s="412" t="inlineStr">
        <is>
          <t>0 ~ 35%</t>
        </is>
      </c>
      <c r="N45" s="606" t="n"/>
    </row>
    <row r="46" ht="15.95" customFormat="1" customHeight="1" s="49">
      <c r="B46" s="424" t="inlineStr">
        <is>
          <t>스마트 比 할인율</t>
        </is>
      </c>
      <c r="C46" s="602" t="n"/>
      <c r="D46" s="608" t="n"/>
      <c r="E46" s="429" t="inlineStr">
        <is>
          <t>-3 ~ 21%</t>
        </is>
      </c>
      <c r="F46" s="608" t="n"/>
      <c r="G46" s="609" t="n"/>
      <c r="H46" s="608" t="n"/>
      <c r="I46" s="429" t="inlineStr">
        <is>
          <t>-13 ~ 12%</t>
        </is>
      </c>
      <c r="J46" s="608" t="n"/>
      <c r="K46" s="429" t="inlineStr">
        <is>
          <t>-3 ~ 13%</t>
        </is>
      </c>
      <c r="L46" s="608" t="n"/>
      <c r="M46" s="430" t="inlineStr">
        <is>
          <t>0~ 11%</t>
        </is>
      </c>
      <c r="N46" s="608" t="n"/>
      <c r="O46" s="77" t="n"/>
      <c r="P46" s="77" t="n"/>
      <c r="Q46" s="77" t="n"/>
      <c r="R46" s="77" t="n"/>
    </row>
    <row r="47" ht="15.95" customHeight="1" s="462">
      <c r="B47" s="405" t="inlineStr">
        <is>
          <t>회원 (무기명)</t>
        </is>
      </c>
      <c r="C47" s="603" t="n"/>
      <c r="D47" s="603" t="n"/>
      <c r="E47" s="405" t="inlineStr">
        <is>
          <t>사업장1</t>
        </is>
      </c>
      <c r="F47" s="603" t="n"/>
      <c r="G47" s="405" t="inlineStr">
        <is>
          <t>사업장2</t>
        </is>
      </c>
      <c r="H47" s="603" t="n"/>
      <c r="I47" s="405" t="inlineStr">
        <is>
          <t>사업장3</t>
        </is>
      </c>
      <c r="J47" s="603" t="n"/>
      <c r="K47" s="405" t="inlineStr">
        <is>
          <t>사업장4</t>
        </is>
      </c>
      <c r="L47" s="603" t="n"/>
      <c r="M47" s="405" t="inlineStr">
        <is>
          <t>사업장5</t>
        </is>
      </c>
      <c r="N47" s="603" t="n"/>
      <c r="O47" s="405" t="inlineStr">
        <is>
          <t>비 고</t>
        </is>
      </c>
      <c r="P47" s="603" t="n"/>
      <c r="Q47" s="603" t="n"/>
      <c r="R47" s="603" t="n"/>
      <c r="T47" s="70" t="n"/>
    </row>
    <row r="48" ht="15.95" customFormat="1" customHeight="1" s="49">
      <c r="B48" s="428" t="inlineStr">
        <is>
          <t>정상 요금</t>
        </is>
      </c>
      <c r="C48" s="604" t="n"/>
      <c r="D48" s="605" t="n"/>
      <c r="E48" s="417" t="inlineStr">
        <is>
          <t>104 ~ 366</t>
        </is>
      </c>
      <c r="F48" s="605" t="n"/>
      <c r="G48" s="417" t="inlineStr">
        <is>
          <t>160 ~ 487</t>
        </is>
      </c>
      <c r="H48" s="605" t="n"/>
      <c r="I48" s="417" t="inlineStr">
        <is>
          <t>220 ~ 642</t>
        </is>
      </c>
      <c r="J48" s="605" t="n"/>
      <c r="K48" s="417" t="inlineStr">
        <is>
          <t>175 ~ 508</t>
        </is>
      </c>
      <c r="L48" s="605" t="n"/>
      <c r="M48" s="417" t="inlineStr">
        <is>
          <t>203 ~ 553</t>
        </is>
      </c>
      <c r="N48" s="605" t="n"/>
      <c r="O48" s="76" t="n"/>
      <c r="P48" s="76" t="n"/>
      <c r="Q48" s="76" t="n"/>
      <c r="R48" s="76" t="n"/>
    </row>
    <row r="49" ht="15.95" customFormat="1" customHeight="1" s="49">
      <c r="B49" s="426" t="inlineStr">
        <is>
          <t>스마트 요금</t>
        </is>
      </c>
      <c r="D49" s="606" t="n"/>
      <c r="E49" s="412" t="inlineStr">
        <is>
          <t>94 ~ 338</t>
        </is>
      </c>
      <c r="F49" s="606" t="n"/>
      <c r="G49" s="496" t="n"/>
      <c r="H49" s="606" t="n"/>
      <c r="I49" s="412" t="inlineStr">
        <is>
          <t>200 ~ 611</t>
        </is>
      </c>
      <c r="J49" s="606" t="n"/>
      <c r="K49" s="412" t="inlineStr">
        <is>
          <t>155 ~ 473</t>
        </is>
      </c>
      <c r="L49" s="606" t="n"/>
      <c r="M49" s="412" t="inlineStr">
        <is>
          <t>183 ~ 528</t>
        </is>
      </c>
      <c r="N49" s="606" t="n"/>
    </row>
    <row r="50" ht="15.95" customFormat="1" customHeight="1" s="49">
      <c r="B50" s="426" t="inlineStr">
        <is>
          <t>PKG 배분가</t>
        </is>
      </c>
      <c r="D50" s="606" t="n"/>
      <c r="E50" s="412" t="inlineStr">
        <is>
          <t>74 ~ 338</t>
        </is>
      </c>
      <c r="F50" s="606" t="n"/>
      <c r="G50" s="496" t="n"/>
      <c r="H50" s="606" t="n"/>
      <c r="I50" s="412" t="inlineStr">
        <is>
          <t>180 ~ 611</t>
        </is>
      </c>
      <c r="J50" s="606" t="n"/>
      <c r="K50" s="412" t="inlineStr">
        <is>
          <t>135 ~ 473</t>
        </is>
      </c>
      <c r="L50" s="606" t="n"/>
      <c r="M50" s="412" t="inlineStr">
        <is>
          <t>163 ~ 528</t>
        </is>
      </c>
      <c r="N50" s="606" t="n"/>
    </row>
    <row r="51" ht="15.95" customFormat="1" customHeight="1" s="49">
      <c r="B51" s="426" t="inlineStr">
        <is>
          <t>정상가 比 할인율</t>
        </is>
      </c>
      <c r="D51" s="606" t="n"/>
      <c r="E51" s="412" t="inlineStr">
        <is>
          <t>0 ~ 39%</t>
        </is>
      </c>
      <c r="F51" s="606" t="n"/>
      <c r="G51" s="607" t="n">
        <v>0</v>
      </c>
      <c r="H51" s="606" t="n"/>
      <c r="I51" s="412" t="inlineStr">
        <is>
          <t>0 ~ 26%</t>
        </is>
      </c>
      <c r="J51" s="606" t="n"/>
      <c r="K51" s="412" t="inlineStr">
        <is>
          <t>0 ~ 41%</t>
        </is>
      </c>
      <c r="L51" s="606" t="n"/>
      <c r="M51" s="412" t="inlineStr">
        <is>
          <t>0 ~ 35%</t>
        </is>
      </c>
      <c r="N51" s="606" t="n"/>
    </row>
    <row r="52" ht="15.95" customFormat="1" customHeight="1" s="49">
      <c r="B52" s="424" t="inlineStr">
        <is>
          <t>스마트 比 할인율</t>
        </is>
      </c>
      <c r="C52" s="602" t="n"/>
      <c r="D52" s="608" t="n"/>
      <c r="E52" s="429" t="inlineStr">
        <is>
          <t>-3 ~ 21%</t>
        </is>
      </c>
      <c r="F52" s="608" t="n"/>
      <c r="G52" s="609" t="n"/>
      <c r="H52" s="608" t="n"/>
      <c r="I52" s="429" t="inlineStr">
        <is>
          <t>-13 ~ 12%</t>
        </is>
      </c>
      <c r="J52" s="608" t="n"/>
      <c r="K52" s="429" t="inlineStr">
        <is>
          <t>-3 ~ 13%</t>
        </is>
      </c>
      <c r="L52" s="608" t="n"/>
      <c r="M52" s="430" t="inlineStr">
        <is>
          <t>0~ 11%</t>
        </is>
      </c>
      <c r="N52" s="608" t="n"/>
      <c r="O52" s="77" t="n"/>
      <c r="P52" s="77" t="n"/>
      <c r="Q52" s="77" t="n"/>
      <c r="R52" s="77" t="n"/>
    </row>
    <row r="53" ht="15.95" customHeight="1" s="462">
      <c r="B53" s="405" t="inlineStr">
        <is>
          <t>FIT</t>
        </is>
      </c>
      <c r="C53" s="603" t="n"/>
      <c r="D53" s="603" t="n"/>
      <c r="E53" s="405" t="inlineStr">
        <is>
          <t>사업장1</t>
        </is>
      </c>
      <c r="F53" s="603" t="n"/>
      <c r="G53" s="405" t="inlineStr">
        <is>
          <t>사업장2</t>
        </is>
      </c>
      <c r="H53" s="603" t="n"/>
      <c r="I53" s="405" t="inlineStr">
        <is>
          <t>사업장3</t>
        </is>
      </c>
      <c r="J53" s="603" t="n"/>
      <c r="K53" s="405" t="inlineStr">
        <is>
          <t>사업장4</t>
        </is>
      </c>
      <c r="L53" s="603" t="n"/>
      <c r="M53" s="405" t="inlineStr">
        <is>
          <t>사업장5</t>
        </is>
      </c>
      <c r="N53" s="603" t="n"/>
      <c r="O53" s="405" t="inlineStr">
        <is>
          <t>비 고</t>
        </is>
      </c>
      <c r="P53" s="603" t="n"/>
      <c r="Q53" s="603" t="n"/>
      <c r="R53" s="603" t="n"/>
      <c r="T53" s="70" t="n"/>
    </row>
    <row r="54" ht="15.95" customFormat="1" customHeight="1" s="49">
      <c r="B54" s="428" t="inlineStr">
        <is>
          <t>정상 요금</t>
        </is>
      </c>
      <c r="C54" s="604" t="n"/>
      <c r="D54" s="605" t="n"/>
      <c r="E54" s="417" t="inlineStr">
        <is>
          <t>104 ~ 366</t>
        </is>
      </c>
      <c r="F54" s="605" t="n"/>
      <c r="G54" s="417" t="inlineStr">
        <is>
          <t>160 ~ 487</t>
        </is>
      </c>
      <c r="H54" s="605" t="n"/>
      <c r="I54" s="417" t="inlineStr">
        <is>
          <t>220 ~ 642</t>
        </is>
      </c>
      <c r="J54" s="605" t="n"/>
      <c r="K54" s="417" t="inlineStr">
        <is>
          <t>175 ~ 508</t>
        </is>
      </c>
      <c r="L54" s="605" t="n"/>
      <c r="M54" s="417" t="inlineStr">
        <is>
          <t>203 ~ 553</t>
        </is>
      </c>
      <c r="N54" s="605" t="n"/>
      <c r="O54" s="76" t="n"/>
      <c r="P54" s="76" t="n"/>
      <c r="Q54" s="76" t="n"/>
      <c r="R54" s="76" t="n"/>
    </row>
    <row r="55" ht="15.95" customFormat="1" customHeight="1" s="49">
      <c r="B55" s="426" t="inlineStr">
        <is>
          <t>스마트 요금</t>
        </is>
      </c>
      <c r="D55" s="606" t="n"/>
      <c r="E55" s="412" t="inlineStr">
        <is>
          <t>94 ~ 338</t>
        </is>
      </c>
      <c r="F55" s="606" t="n"/>
      <c r="G55" s="496" t="n"/>
      <c r="H55" s="606" t="n"/>
      <c r="I55" s="412" t="inlineStr">
        <is>
          <t>200 ~ 611</t>
        </is>
      </c>
      <c r="J55" s="606" t="n"/>
      <c r="K55" s="412" t="inlineStr">
        <is>
          <t>155 ~ 473</t>
        </is>
      </c>
      <c r="L55" s="606" t="n"/>
      <c r="M55" s="412" t="inlineStr">
        <is>
          <t>183 ~ 528</t>
        </is>
      </c>
      <c r="N55" s="606" t="n"/>
    </row>
    <row r="56" ht="15.95" customFormat="1" customHeight="1" s="49">
      <c r="B56" s="426" t="inlineStr">
        <is>
          <t>PKG 배분가</t>
        </is>
      </c>
      <c r="D56" s="606" t="n"/>
      <c r="E56" s="412" t="inlineStr">
        <is>
          <t>74 ~ 338</t>
        </is>
      </c>
      <c r="F56" s="606" t="n"/>
      <c r="G56" s="496" t="n"/>
      <c r="H56" s="606" t="n"/>
      <c r="I56" s="412" t="inlineStr">
        <is>
          <t>180 ~ 611</t>
        </is>
      </c>
      <c r="J56" s="606" t="n"/>
      <c r="K56" s="412" t="inlineStr">
        <is>
          <t>135 ~ 473</t>
        </is>
      </c>
      <c r="L56" s="606" t="n"/>
      <c r="M56" s="412" t="inlineStr">
        <is>
          <t>163 ~ 528</t>
        </is>
      </c>
      <c r="N56" s="606" t="n"/>
    </row>
    <row r="57" ht="15.95" customFormat="1" customHeight="1" s="49">
      <c r="B57" s="426" t="inlineStr">
        <is>
          <t>정상가 比 할인율</t>
        </is>
      </c>
      <c r="D57" s="606" t="n"/>
      <c r="E57" s="412" t="inlineStr">
        <is>
          <t>0 ~ 39%</t>
        </is>
      </c>
      <c r="F57" s="606" t="n"/>
      <c r="G57" s="607" t="n">
        <v>0</v>
      </c>
      <c r="H57" s="606" t="n"/>
      <c r="I57" s="412" t="inlineStr">
        <is>
          <t>0 ~ 26%</t>
        </is>
      </c>
      <c r="J57" s="606" t="n"/>
      <c r="K57" s="412" t="inlineStr">
        <is>
          <t>0 ~ 41%</t>
        </is>
      </c>
      <c r="L57" s="606" t="n"/>
      <c r="M57" s="412" t="inlineStr">
        <is>
          <t>0 ~ 35%</t>
        </is>
      </c>
      <c r="N57" s="606" t="n"/>
    </row>
    <row r="58" ht="15.95" customFormat="1" customHeight="1" s="49">
      <c r="B58" s="424" t="inlineStr">
        <is>
          <t>스마트 比 할인율</t>
        </is>
      </c>
      <c r="C58" s="602" t="n"/>
      <c r="D58" s="608" t="n"/>
      <c r="E58" s="429" t="inlineStr">
        <is>
          <t>-3 ~ 21%</t>
        </is>
      </c>
      <c r="F58" s="608" t="n"/>
      <c r="G58" s="609" t="n"/>
      <c r="H58" s="608" t="n"/>
      <c r="I58" s="429" t="inlineStr">
        <is>
          <t>-13 ~ 12%</t>
        </is>
      </c>
      <c r="J58" s="608" t="n"/>
      <c r="K58" s="429" t="inlineStr">
        <is>
          <t>-3 ~ 13%</t>
        </is>
      </c>
      <c r="L58" s="608" t="n"/>
      <c r="M58" s="430" t="inlineStr">
        <is>
          <t>0~ 11%</t>
        </is>
      </c>
      <c r="N58" s="608" t="n"/>
      <c r="O58" s="77" t="n"/>
      <c r="P58" s="77" t="n"/>
      <c r="Q58" s="77" t="n"/>
      <c r="R58" s="77" t="n"/>
    </row>
    <row r="59" ht="15.95" customFormat="1" customHeight="1" s="49"/>
    <row r="60" ht="15.95" customHeight="1" s="462">
      <c r="B60" s="69" t="inlineStr">
        <is>
          <t>05. KPI</t>
        </is>
      </c>
      <c r="Q60" s="408" t="inlineStr">
        <is>
          <t>[단위: 실]</t>
        </is>
      </c>
      <c r="R60" s="602" t="n"/>
    </row>
    <row r="61" ht="15.95" customHeight="1" s="462">
      <c r="B61" s="405" t="inlineStr">
        <is>
          <t>구분</t>
        </is>
      </c>
      <c r="C61" s="603" t="n"/>
      <c r="D61" s="603" t="n"/>
      <c r="E61" s="405" t="inlineStr">
        <is>
          <t>사업장1</t>
        </is>
      </c>
      <c r="F61" s="603" t="n"/>
      <c r="G61" s="405" t="inlineStr">
        <is>
          <t>사업장2</t>
        </is>
      </c>
      <c r="H61" s="603" t="n"/>
      <c r="I61" s="405" t="inlineStr">
        <is>
          <t>사업장3</t>
        </is>
      </c>
      <c r="J61" s="603" t="n"/>
      <c r="K61" s="405" t="inlineStr">
        <is>
          <t>사업장4</t>
        </is>
      </c>
      <c r="L61" s="603" t="n"/>
      <c r="M61" s="405" t="inlineStr">
        <is>
          <t>사업장5</t>
        </is>
      </c>
      <c r="N61" s="603" t="n"/>
      <c r="O61" s="405" t="inlineStr">
        <is>
          <t>Total</t>
        </is>
      </c>
      <c r="P61" s="603" t="n"/>
      <c r="Q61" s="603" t="n"/>
      <c r="R61" s="603" t="n"/>
    </row>
    <row r="62" ht="15.95" customHeight="1" s="462">
      <c r="B62" s="428" t="inlineStr">
        <is>
          <t>5월</t>
        </is>
      </c>
      <c r="C62" s="604" t="n"/>
      <c r="D62" s="605" t="n"/>
      <c r="E62" s="615" t="n"/>
      <c r="F62" s="605" t="n"/>
      <c r="G62" s="615" t="n"/>
      <c r="H62" s="605" t="n"/>
      <c r="I62" s="615" t="n"/>
      <c r="J62" s="605" t="n"/>
      <c r="K62" s="615" t="n"/>
      <c r="L62" s="605" t="n"/>
      <c r="M62" s="615" t="n"/>
      <c r="N62" s="605" t="n"/>
      <c r="O62" s="616">
        <f>SUM(E62:N62)</f>
        <v/>
      </c>
      <c r="P62" s="604" t="n"/>
      <c r="Q62" s="604" t="n"/>
      <c r="R62" s="604" t="n"/>
    </row>
    <row r="63" ht="15.95" customHeight="1" s="462">
      <c r="B63" s="426" t="inlineStr">
        <is>
          <t>6월</t>
        </is>
      </c>
      <c r="D63" s="606" t="n"/>
      <c r="E63" s="617" t="n"/>
      <c r="F63" s="606" t="n"/>
      <c r="G63" s="617" t="n"/>
      <c r="H63" s="606" t="n"/>
      <c r="I63" s="617" t="n"/>
      <c r="J63" s="606" t="n"/>
      <c r="K63" s="617" t="n"/>
      <c r="L63" s="606" t="n"/>
      <c r="M63" s="617" t="n"/>
      <c r="N63" s="606" t="n"/>
      <c r="O63" s="618">
        <f>SUM(E63:N63)</f>
        <v/>
      </c>
    </row>
    <row r="64" ht="15.95" customHeight="1" s="462">
      <c r="B64" s="424" t="inlineStr">
        <is>
          <t>Total</t>
        </is>
      </c>
      <c r="C64" s="602" t="n"/>
      <c r="D64" s="608" t="n"/>
      <c r="E64" s="619">
        <f>SUM(E62:F63)</f>
        <v/>
      </c>
      <c r="F64" s="608" t="n"/>
      <c r="G64" s="619">
        <f>SUM(G62:H63)</f>
        <v/>
      </c>
      <c r="H64" s="608" t="n"/>
      <c r="I64" s="619">
        <f>SUM(I62:J63)</f>
        <v/>
      </c>
      <c r="J64" s="608" t="n"/>
      <c r="K64" s="619">
        <f>SUM(K62:L63)</f>
        <v/>
      </c>
      <c r="L64" s="608" t="n"/>
      <c r="M64" s="619">
        <f>SUM(M62:N63)</f>
        <v/>
      </c>
      <c r="N64" s="608" t="n"/>
      <c r="O64" s="620">
        <f>SUM(E64:N64)</f>
        <v/>
      </c>
      <c r="P64" s="602" t="n"/>
      <c r="Q64" s="602" t="n"/>
      <c r="R64" s="602" t="n"/>
    </row>
    <row r="65" ht="15.95" customHeight="1" s="462"/>
    <row r="66" ht="15.95" customHeight="1" s="462"/>
    <row r="67" ht="15.95" customHeight="1" s="462"/>
  </sheetData>
  <mergeCells count="273">
    <mergeCell ref="G21:H21"/>
    <mergeCell ref="K49:L49"/>
    <mergeCell ref="B11:D11"/>
    <mergeCell ref="M43:N43"/>
    <mergeCell ref="B42:D42"/>
    <mergeCell ref="E62:F62"/>
    <mergeCell ref="K24:L24"/>
    <mergeCell ref="O64:R64"/>
    <mergeCell ref="B57:D57"/>
    <mergeCell ref="E23:F23"/>
    <mergeCell ref="B53:D53"/>
    <mergeCell ref="B44:D44"/>
    <mergeCell ref="I26:J26"/>
    <mergeCell ref="E64:F64"/>
    <mergeCell ref="K26:L26"/>
    <mergeCell ref="G48:H50"/>
    <mergeCell ref="B28:D28"/>
    <mergeCell ref="K35:L35"/>
    <mergeCell ref="E51:F51"/>
    <mergeCell ref="O37:R37"/>
    <mergeCell ref="B37:D37"/>
    <mergeCell ref="M35:N35"/>
    <mergeCell ref="I16:J16"/>
    <mergeCell ref="I25:J25"/>
    <mergeCell ref="M54:N54"/>
    <mergeCell ref="E63:F63"/>
    <mergeCell ref="K50:L50"/>
    <mergeCell ref="G25:H26"/>
    <mergeCell ref="B30:D30"/>
    <mergeCell ref="B6:D6"/>
    <mergeCell ref="I58:J58"/>
    <mergeCell ref="O15:R15"/>
    <mergeCell ref="B20:D20"/>
    <mergeCell ref="K58:L58"/>
    <mergeCell ref="I18:J18"/>
    <mergeCell ref="M16:N16"/>
    <mergeCell ref="K52:L52"/>
    <mergeCell ref="M25:N25"/>
    <mergeCell ref="I42:J42"/>
    <mergeCell ref="E49:F49"/>
    <mergeCell ref="K42:L42"/>
    <mergeCell ref="E27:F27"/>
    <mergeCell ref="M36:N36"/>
    <mergeCell ref="M18:N18"/>
    <mergeCell ref="E36:F36"/>
    <mergeCell ref="M45:N45"/>
    <mergeCell ref="B62:D62"/>
    <mergeCell ref="I52:J52"/>
    <mergeCell ref="B54:D54"/>
    <mergeCell ref="O63:R63"/>
    <mergeCell ref="I44:J44"/>
    <mergeCell ref="O41:R41"/>
    <mergeCell ref="M17:N17"/>
    <mergeCell ref="K53:L53"/>
    <mergeCell ref="O35:R35"/>
    <mergeCell ref="I20:J20"/>
    <mergeCell ref="M47:N47"/>
    <mergeCell ref="M62:N62"/>
    <mergeCell ref="K28:L28"/>
    <mergeCell ref="B56:D56"/>
    <mergeCell ref="K37:L37"/>
    <mergeCell ref="E53:F53"/>
    <mergeCell ref="M50:N50"/>
    <mergeCell ref="E22:F22"/>
    <mergeCell ref="B43:D43"/>
    <mergeCell ref="M19:N19"/>
    <mergeCell ref="I30:J30"/>
    <mergeCell ref="O27:R27"/>
    <mergeCell ref="K30:L30"/>
    <mergeCell ref="E55:F55"/>
    <mergeCell ref="I46:J46"/>
    <mergeCell ref="I15:J15"/>
    <mergeCell ref="B8:D8"/>
    <mergeCell ref="K15:L15"/>
    <mergeCell ref="M44:N44"/>
    <mergeCell ref="B17:D17"/>
    <mergeCell ref="G61:H61"/>
    <mergeCell ref="I61:J61"/>
    <mergeCell ref="E48:F48"/>
    <mergeCell ref="K55:L55"/>
    <mergeCell ref="K64:L64"/>
    <mergeCell ref="K21:L21"/>
    <mergeCell ref="B10:D10"/>
    <mergeCell ref="M64:N64"/>
    <mergeCell ref="I57:J57"/>
    <mergeCell ref="K51:L51"/>
    <mergeCell ref="B19:D19"/>
    <mergeCell ref="E38:F38"/>
    <mergeCell ref="M51:N51"/>
    <mergeCell ref="I54:J54"/>
    <mergeCell ref="G38:H38"/>
    <mergeCell ref="I32:J32"/>
    <mergeCell ref="K32:L32"/>
    <mergeCell ref="I41:J41"/>
    <mergeCell ref="K63:L63"/>
    <mergeCell ref="K41:L41"/>
    <mergeCell ref="B9:D9"/>
    <mergeCell ref="G62:H62"/>
    <mergeCell ref="I56:J56"/>
    <mergeCell ref="O53:R53"/>
    <mergeCell ref="K56:L56"/>
    <mergeCell ref="I43:J43"/>
    <mergeCell ref="Q40:R40"/>
    <mergeCell ref="B36:D36"/>
    <mergeCell ref="K43:L43"/>
    <mergeCell ref="M21:N21"/>
    <mergeCell ref="B45:D45"/>
    <mergeCell ref="I24:J24"/>
    <mergeCell ref="E6:R6"/>
    <mergeCell ref="K27:L27"/>
    <mergeCell ref="M27:N27"/>
    <mergeCell ref="M41:N41"/>
    <mergeCell ref="E26:F26"/>
    <mergeCell ref="I17:J17"/>
    <mergeCell ref="B47:D47"/>
    <mergeCell ref="K17:L17"/>
    <mergeCell ref="G35:H35"/>
    <mergeCell ref="G57:H58"/>
    <mergeCell ref="M24:N24"/>
    <mergeCell ref="I35:J35"/>
    <mergeCell ref="E16:F16"/>
    <mergeCell ref="B31:D31"/>
    <mergeCell ref="B46:D46"/>
    <mergeCell ref="E25:F25"/>
    <mergeCell ref="I19:J19"/>
    <mergeCell ref="K19:L19"/>
    <mergeCell ref="O21:R21"/>
    <mergeCell ref="B2:R3"/>
    <mergeCell ref="M63:N63"/>
    <mergeCell ref="B21:D21"/>
    <mergeCell ref="G19:H20"/>
    <mergeCell ref="M53:N53"/>
    <mergeCell ref="E58:F58"/>
    <mergeCell ref="E18:F18"/>
    <mergeCell ref="B48:D48"/>
    <mergeCell ref="O62:R62"/>
    <mergeCell ref="K16:L16"/>
    <mergeCell ref="E50:F50"/>
    <mergeCell ref="G16:H18"/>
    <mergeCell ref="K25:L25"/>
    <mergeCell ref="B23:D23"/>
    <mergeCell ref="M55:N55"/>
    <mergeCell ref="M52:N52"/>
    <mergeCell ref="I45:J45"/>
    <mergeCell ref="E52:F52"/>
    <mergeCell ref="M49:N49"/>
    <mergeCell ref="K45:L45"/>
    <mergeCell ref="K54:L54"/>
    <mergeCell ref="M48:N48"/>
    <mergeCell ref="E44:F44"/>
    <mergeCell ref="K29:L29"/>
    <mergeCell ref="E20:F20"/>
    <mergeCell ref="I47:J47"/>
    <mergeCell ref="E29:F29"/>
    <mergeCell ref="K47:L47"/>
    <mergeCell ref="B49:D49"/>
    <mergeCell ref="G45:H46"/>
    <mergeCell ref="K44:L44"/>
    <mergeCell ref="Q14:R14"/>
    <mergeCell ref="G37:H37"/>
    <mergeCell ref="I37:J37"/>
    <mergeCell ref="K31:L31"/>
    <mergeCell ref="K46:L46"/>
    <mergeCell ref="M31:N31"/>
    <mergeCell ref="E31:F31"/>
    <mergeCell ref="B51:D51"/>
    <mergeCell ref="I21:J21"/>
    <mergeCell ref="M15:N15"/>
    <mergeCell ref="B63:D63"/>
    <mergeCell ref="E46:F46"/>
    <mergeCell ref="B41:D41"/>
    <mergeCell ref="I62:J62"/>
    <mergeCell ref="O36:R36"/>
    <mergeCell ref="B35:D35"/>
    <mergeCell ref="B50:D50"/>
    <mergeCell ref="G31:H32"/>
    <mergeCell ref="E15:F15"/>
    <mergeCell ref="G15:H15"/>
    <mergeCell ref="M37:N37"/>
    <mergeCell ref="I23:J23"/>
    <mergeCell ref="E61:F61"/>
    <mergeCell ref="K23:L23"/>
    <mergeCell ref="B25:D25"/>
    <mergeCell ref="G64:H64"/>
    <mergeCell ref="G54:H56"/>
    <mergeCell ref="M26:N26"/>
    <mergeCell ref="I64:J64"/>
    <mergeCell ref="E57:F57"/>
    <mergeCell ref="I51:J51"/>
    <mergeCell ref="E54:F54"/>
    <mergeCell ref="E32:F32"/>
    <mergeCell ref="M29:N29"/>
    <mergeCell ref="B22:D22"/>
    <mergeCell ref="E41:F41"/>
    <mergeCell ref="G63:H63"/>
    <mergeCell ref="M23:N23"/>
    <mergeCell ref="G41:H41"/>
    <mergeCell ref="I63:J63"/>
    <mergeCell ref="M38:N38"/>
    <mergeCell ref="K57:L57"/>
    <mergeCell ref="I50:J50"/>
    <mergeCell ref="B12:D12"/>
    <mergeCell ref="E56:F56"/>
    <mergeCell ref="K18:L18"/>
    <mergeCell ref="M58:N58"/>
    <mergeCell ref="E43:F43"/>
    <mergeCell ref="O47:R47"/>
    <mergeCell ref="O61:R61"/>
    <mergeCell ref="B61:D61"/>
    <mergeCell ref="E24:F24"/>
    <mergeCell ref="G27:H27"/>
    <mergeCell ref="I49:J49"/>
    <mergeCell ref="E42:F42"/>
    <mergeCell ref="I27:J27"/>
    <mergeCell ref="G36:H36"/>
    <mergeCell ref="I36:J36"/>
    <mergeCell ref="B29:D29"/>
    <mergeCell ref="K36:L36"/>
    <mergeCell ref="O38:R38"/>
    <mergeCell ref="E17:F17"/>
    <mergeCell ref="B38:D38"/>
    <mergeCell ref="E35:F35"/>
    <mergeCell ref="G51:H52"/>
    <mergeCell ref="K20:L20"/>
    <mergeCell ref="M56:N56"/>
    <mergeCell ref="M20:N20"/>
    <mergeCell ref="G42:H44"/>
    <mergeCell ref="E19:F19"/>
    <mergeCell ref="E28:F28"/>
    <mergeCell ref="G53:H53"/>
    <mergeCell ref="I53:J53"/>
    <mergeCell ref="I28:J28"/>
    <mergeCell ref="I22:J22"/>
    <mergeCell ref="K22:L22"/>
    <mergeCell ref="B55:D55"/>
    <mergeCell ref="B15:D15"/>
    <mergeCell ref="M22:N22"/>
    <mergeCell ref="B24:D24"/>
    <mergeCell ref="B64:D64"/>
    <mergeCell ref="Q60:R60"/>
    <mergeCell ref="Q34:R34"/>
    <mergeCell ref="M30:N30"/>
    <mergeCell ref="E30:F30"/>
    <mergeCell ref="I55:J55"/>
    <mergeCell ref="G28:H30"/>
    <mergeCell ref="M46:N46"/>
    <mergeCell ref="B32:D32"/>
    <mergeCell ref="M28:N28"/>
    <mergeCell ref="B26:D26"/>
    <mergeCell ref="E45:F45"/>
    <mergeCell ref="M42:N42"/>
    <mergeCell ref="K61:L61"/>
    <mergeCell ref="B7:D7"/>
    <mergeCell ref="M61:N61"/>
    <mergeCell ref="I48:J48"/>
    <mergeCell ref="K48:L48"/>
    <mergeCell ref="B16:D16"/>
    <mergeCell ref="I29:J29"/>
    <mergeCell ref="M57:N57"/>
    <mergeCell ref="I38:J38"/>
    <mergeCell ref="G47:H47"/>
    <mergeCell ref="K38:L38"/>
    <mergeCell ref="M32:N32"/>
    <mergeCell ref="B58:D58"/>
    <mergeCell ref="B27:D27"/>
    <mergeCell ref="B18:D18"/>
    <mergeCell ref="B52:D52"/>
    <mergeCell ref="E37:F37"/>
    <mergeCell ref="I31:J31"/>
    <mergeCell ref="K62:L62"/>
    <mergeCell ref="G22:H24"/>
    <mergeCell ref="E47:F47"/>
    <mergeCell ref="E21:F21"/>
  </mergeCell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zoomScaleNormal="100" workbookViewId="0">
      <selection activeCell="F35" sqref="F35"/>
    </sheetView>
  </sheetViews>
  <sheetFormatPr baseColWidth="8" defaultRowHeight="16.5"/>
  <cols>
    <col width="1.125" customWidth="1" style="462" min="1" max="1"/>
    <col width="6.125" customWidth="1" style="462" min="2" max="2"/>
    <col width="7.75" customWidth="1" style="462" min="3" max="3"/>
    <col width="6.125" customWidth="1" style="462" min="4" max="71"/>
  </cols>
  <sheetData>
    <row r="1" ht="15.95" customHeight="1" s="462">
      <c r="A1" s="0" t="inlineStr">
        <is>
          <t xml:space="preserve"> </t>
        </is>
      </c>
    </row>
    <row r="2" ht="15.95" customFormat="1" customHeight="1" s="71">
      <c r="B2" s="407">
        <f>'품의 양식(회원동반)'!D25</f>
        <v/>
      </c>
    </row>
    <row r="3" ht="15.95" customFormat="1" customHeight="1" s="71">
      <c r="B3" s="602" t="n"/>
      <c r="C3" s="602" t="n"/>
      <c r="D3" s="602" t="n"/>
      <c r="E3" s="602" t="n"/>
      <c r="F3" s="602" t="n"/>
      <c r="G3" s="602" t="n"/>
      <c r="H3" s="602" t="n"/>
      <c r="I3" s="602" t="n"/>
      <c r="J3" s="602" t="n"/>
      <c r="K3" s="602" t="n"/>
      <c r="L3" s="602" t="n"/>
      <c r="M3" s="602" t="n"/>
      <c r="N3" s="602" t="n"/>
      <c r="O3" s="602" t="n"/>
      <c r="P3" s="602" t="n"/>
      <c r="Q3" s="602" t="n"/>
      <c r="R3" s="602" t="n"/>
    </row>
    <row r="4" ht="15.95" customFormat="1" customHeight="1" s="71">
      <c r="R4" s="73" t="n"/>
    </row>
    <row r="5" ht="15.95" customFormat="1" customHeight="1" s="71">
      <c r="B5" s="69" t="inlineStr">
        <is>
          <t>01. 상품정보</t>
        </is>
      </c>
      <c r="M5" s="1" t="n"/>
    </row>
    <row r="6" ht="15.95" customFormat="1" customHeight="1" s="71">
      <c r="B6" s="405" t="inlineStr">
        <is>
          <t>구분</t>
        </is>
      </c>
      <c r="C6" s="603" t="n"/>
      <c r="D6" s="603" t="n"/>
      <c r="E6" s="405" t="inlineStr">
        <is>
          <t>내 용</t>
        </is>
      </c>
      <c r="F6" s="603" t="n"/>
      <c r="G6" s="603" t="n"/>
      <c r="H6" s="603" t="n"/>
      <c r="I6" s="603" t="n"/>
      <c r="J6" s="603" t="n"/>
      <c r="K6" s="603" t="n"/>
      <c r="L6" s="603" t="n"/>
      <c r="M6" s="603" t="n"/>
      <c r="N6" s="603" t="n"/>
      <c r="O6" s="603" t="n"/>
      <c r="P6" s="603" t="n"/>
      <c r="Q6" s="603" t="n"/>
      <c r="R6" s="603" t="n"/>
    </row>
    <row r="7" ht="15.95" customFormat="1" customHeight="1" s="71">
      <c r="B7" s="422">
        <f>'품의 양식(회원동반)'!B26</f>
        <v/>
      </c>
      <c r="C7" s="604" t="n"/>
      <c r="D7" s="604" t="n"/>
      <c r="E7" s="72">
        <f>'품의 양식(회원동반)'!D26</f>
        <v/>
      </c>
      <c r="F7" s="72" t="n"/>
      <c r="G7" s="72" t="n"/>
      <c r="H7" s="72" t="n"/>
      <c r="I7" s="72" t="n"/>
      <c r="J7" s="72" t="n"/>
      <c r="K7" s="72" t="n"/>
      <c r="L7" s="72" t="n"/>
      <c r="M7" s="78" t="n"/>
      <c r="N7" s="73" t="n"/>
      <c r="O7" s="73" t="n"/>
      <c r="P7" s="73" t="n"/>
      <c r="Q7" s="73" t="n"/>
      <c r="R7" s="73" t="n"/>
    </row>
    <row r="8" ht="15.95" customFormat="1" customHeight="1" s="71">
      <c r="B8" s="410">
        <f>'품의 양식(회원동반)'!B27</f>
        <v/>
      </c>
      <c r="E8" s="21">
        <f>'품의 양식(회원동반)'!D27</f>
        <v/>
      </c>
      <c r="F8" s="21" t="n"/>
      <c r="G8" s="21" t="n"/>
      <c r="H8" s="21" t="n"/>
      <c r="I8" s="21" t="n"/>
      <c r="J8" s="21" t="n"/>
      <c r="K8" s="21" t="n"/>
      <c r="L8" s="21" t="n"/>
      <c r="M8" s="1" t="n"/>
    </row>
    <row r="9" ht="15.95" customFormat="1" customHeight="1" s="71">
      <c r="B9" s="410">
        <f>'품의 양식(회원동반)'!B28</f>
        <v/>
      </c>
      <c r="E9" s="21">
        <f>'품의 양식(회원동반)'!D28</f>
        <v/>
      </c>
      <c r="F9" s="21" t="n"/>
      <c r="G9" s="21" t="n"/>
      <c r="H9" s="21" t="n"/>
      <c r="I9" s="21" t="n"/>
      <c r="J9" s="21" t="n"/>
      <c r="K9" s="21" t="n"/>
      <c r="L9" s="21" t="n"/>
      <c r="M9" s="1" t="n"/>
    </row>
    <row r="10" ht="15.95" customFormat="1" customHeight="1" s="71">
      <c r="B10" s="410">
        <f>'품의 양식(회원동반)'!B29</f>
        <v/>
      </c>
      <c r="E10" s="21">
        <f>'품의 양식(회원동반)'!D29</f>
        <v/>
      </c>
      <c r="F10" s="21" t="n"/>
      <c r="G10" s="21" t="n"/>
      <c r="H10" s="21" t="n"/>
      <c r="I10" s="21" t="n"/>
      <c r="J10" s="21" t="n"/>
      <c r="K10" s="21" t="n"/>
      <c r="L10" s="21" t="n"/>
      <c r="M10" s="1" t="n"/>
    </row>
    <row r="11" ht="15.95" customFormat="1" customHeight="1" s="71">
      <c r="B11" s="410">
        <f>'품의 양식(회원동반)'!B30</f>
        <v/>
      </c>
      <c r="E11" s="21">
        <f>'품의 양식(회원동반)'!D30</f>
        <v/>
      </c>
      <c r="F11" s="21" t="n"/>
      <c r="G11" s="21" t="n"/>
      <c r="H11" s="21" t="n"/>
      <c r="I11" s="21" t="n"/>
      <c r="J11" s="21" t="n"/>
      <c r="K11" s="21" t="n"/>
      <c r="L11" s="21" t="n"/>
      <c r="M11" s="1" t="n"/>
    </row>
    <row r="12" ht="15.95" customFormat="1" customHeight="1" s="71">
      <c r="B12" s="409">
        <f>'품의 양식(회원동반)'!B31</f>
        <v/>
      </c>
      <c r="C12" s="602" t="n"/>
      <c r="D12" s="602" t="n"/>
      <c r="E12" s="75">
        <f>'품의 양식(회원동반)'!D31</f>
        <v/>
      </c>
      <c r="F12" s="75" t="n"/>
      <c r="G12" s="75" t="n"/>
      <c r="H12" s="75" t="n"/>
      <c r="I12" s="75" t="n"/>
      <c r="J12" s="75" t="n"/>
      <c r="K12" s="75" t="n"/>
      <c r="L12" s="75" t="n"/>
      <c r="M12" s="79" t="n"/>
      <c r="N12" s="80" t="n"/>
      <c r="O12" s="80" t="n"/>
      <c r="P12" s="80" t="n"/>
      <c r="Q12" s="80" t="n"/>
      <c r="R12" s="80" t="n"/>
    </row>
    <row r="13" ht="15.95" customHeight="1" s="462">
      <c r="T13" s="70" t="n"/>
    </row>
    <row r="14" ht="15.95" customHeight="1" s="462">
      <c r="B14" s="69" t="inlineStr">
        <is>
          <t>02.객실 배분가 범위</t>
        </is>
      </c>
      <c r="C14" s="71" t="n"/>
      <c r="D14" s="71" t="n"/>
      <c r="E14" s="71" t="n"/>
      <c r="F14" s="71" t="n"/>
      <c r="G14" s="71" t="n"/>
      <c r="H14" s="71" t="n"/>
      <c r="I14" s="71" t="n"/>
      <c r="J14" s="71" t="n"/>
      <c r="K14" s="71" t="n"/>
      <c r="Q14" s="408" t="inlineStr">
        <is>
          <t>[단위: 천원]</t>
        </is>
      </c>
      <c r="R14" s="602" t="n"/>
      <c r="T14" s="70" t="n"/>
    </row>
    <row r="15" ht="15.95" customHeight="1" s="462">
      <c r="B15" s="405" t="inlineStr">
        <is>
          <t>구분</t>
        </is>
      </c>
      <c r="C15" s="603" t="n"/>
      <c r="D15" s="603" t="n"/>
      <c r="E15" s="405" t="inlineStr">
        <is>
          <t>사업장1</t>
        </is>
      </c>
      <c r="F15" s="603" t="n"/>
      <c r="G15" s="405" t="inlineStr">
        <is>
          <t>사업장2</t>
        </is>
      </c>
      <c r="H15" s="603" t="n"/>
      <c r="I15" s="405" t="inlineStr">
        <is>
          <t>사업장3</t>
        </is>
      </c>
      <c r="J15" s="603" t="n"/>
      <c r="K15" s="405" t="inlineStr">
        <is>
          <t>사업장4</t>
        </is>
      </c>
      <c r="L15" s="603" t="n"/>
      <c r="M15" s="405" t="inlineStr">
        <is>
          <t>사업장5</t>
        </is>
      </c>
      <c r="N15" s="603" t="n"/>
      <c r="O15" s="405" t="inlineStr">
        <is>
          <t>비 고</t>
        </is>
      </c>
      <c r="P15" s="603" t="n"/>
      <c r="Q15" s="603" t="n"/>
      <c r="R15" s="603" t="n"/>
      <c r="T15" s="70" t="n"/>
    </row>
    <row r="16" ht="15.95" customFormat="1" customHeight="1" s="49">
      <c r="B16" s="428" t="inlineStr">
        <is>
          <t>정상 요금</t>
        </is>
      </c>
      <c r="C16" s="604" t="n"/>
      <c r="D16" s="605" t="n"/>
      <c r="E16" s="417" t="inlineStr">
        <is>
          <t>104 ~ 366</t>
        </is>
      </c>
      <c r="F16" s="605" t="n"/>
      <c r="G16" s="417" t="inlineStr">
        <is>
          <t>160 ~ 487</t>
        </is>
      </c>
      <c r="H16" s="605" t="n"/>
      <c r="I16" s="417" t="inlineStr">
        <is>
          <t>220 ~ 642</t>
        </is>
      </c>
      <c r="J16" s="605" t="n"/>
      <c r="K16" s="417" t="inlineStr">
        <is>
          <t>175 ~ 508</t>
        </is>
      </c>
      <c r="L16" s="605" t="n"/>
      <c r="M16" s="417" t="inlineStr">
        <is>
          <t>203 ~ 553</t>
        </is>
      </c>
      <c r="N16" s="605" t="n"/>
      <c r="O16" s="76" t="n"/>
      <c r="P16" s="76" t="n"/>
      <c r="Q16" s="76" t="n"/>
      <c r="R16" s="76" t="n"/>
    </row>
    <row r="17" ht="15.95" customFormat="1" customHeight="1" s="49">
      <c r="B17" s="426" t="inlineStr">
        <is>
          <t>스마트 요금</t>
        </is>
      </c>
      <c r="D17" s="606" t="n"/>
      <c r="E17" s="412" t="inlineStr">
        <is>
          <t>94 ~ 338</t>
        </is>
      </c>
      <c r="F17" s="606" t="n"/>
      <c r="G17" s="496" t="n"/>
      <c r="H17" s="606" t="n"/>
      <c r="I17" s="412" t="inlineStr">
        <is>
          <t>200 ~ 611</t>
        </is>
      </c>
      <c r="J17" s="606" t="n"/>
      <c r="K17" s="412" t="inlineStr">
        <is>
          <t>155 ~ 473</t>
        </is>
      </c>
      <c r="L17" s="606" t="n"/>
      <c r="M17" s="412" t="inlineStr">
        <is>
          <t>183 ~ 528</t>
        </is>
      </c>
      <c r="N17" s="606" t="n"/>
    </row>
    <row r="18" ht="15.95" customFormat="1" customHeight="1" s="49">
      <c r="B18" s="426" t="inlineStr">
        <is>
          <t>PKG 배분가</t>
        </is>
      </c>
      <c r="D18" s="606" t="n"/>
      <c r="E18" s="412" t="inlineStr">
        <is>
          <t>74 ~ 338</t>
        </is>
      </c>
      <c r="F18" s="606" t="n"/>
      <c r="G18" s="496" t="n"/>
      <c r="H18" s="606" t="n"/>
      <c r="I18" s="412" t="inlineStr">
        <is>
          <t>180 ~ 611</t>
        </is>
      </c>
      <c r="J18" s="606" t="n"/>
      <c r="K18" s="412" t="inlineStr">
        <is>
          <t>135 ~ 473</t>
        </is>
      </c>
      <c r="L18" s="606" t="n"/>
      <c r="M18" s="412" t="inlineStr">
        <is>
          <t>163 ~ 528</t>
        </is>
      </c>
      <c r="N18" s="606" t="n"/>
    </row>
    <row r="19" ht="15.95" customFormat="1" customHeight="1" s="49">
      <c r="B19" s="426" t="inlineStr">
        <is>
          <t>정상가 比 할인율</t>
        </is>
      </c>
      <c r="D19" s="606" t="n"/>
      <c r="E19" s="412" t="inlineStr">
        <is>
          <t>0 ~ 39%</t>
        </is>
      </c>
      <c r="F19" s="606" t="n"/>
      <c r="G19" s="607" t="n">
        <v>0</v>
      </c>
      <c r="H19" s="606" t="n"/>
      <c r="I19" s="412" t="inlineStr">
        <is>
          <t>0 ~ 26%</t>
        </is>
      </c>
      <c r="J19" s="606" t="n"/>
      <c r="K19" s="412" t="inlineStr">
        <is>
          <t>0 ~ 41%</t>
        </is>
      </c>
      <c r="L19" s="606" t="n"/>
      <c r="M19" s="412" t="inlineStr">
        <is>
          <t>0 ~ 35%</t>
        </is>
      </c>
      <c r="N19" s="606" t="n"/>
    </row>
    <row r="20" ht="15.95" customFormat="1" customHeight="1" s="49">
      <c r="B20" s="424" t="inlineStr">
        <is>
          <t>스마트 比 할인율</t>
        </is>
      </c>
      <c r="C20" s="602" t="n"/>
      <c r="D20" s="608" t="n"/>
      <c r="E20" s="429" t="inlineStr">
        <is>
          <t>-3 ~ 21%</t>
        </is>
      </c>
      <c r="F20" s="608" t="n"/>
      <c r="G20" s="609" t="n"/>
      <c r="H20" s="608" t="n"/>
      <c r="I20" s="429" t="inlineStr">
        <is>
          <t>-13 ~ 12%</t>
        </is>
      </c>
      <c r="J20" s="608" t="n"/>
      <c r="K20" s="429" t="inlineStr">
        <is>
          <t>-3 ~ 13%</t>
        </is>
      </c>
      <c r="L20" s="608" t="n"/>
      <c r="M20" s="430" t="inlineStr">
        <is>
          <t>0~ 11%</t>
        </is>
      </c>
      <c r="N20" s="608" t="n"/>
      <c r="O20" s="77" t="n"/>
      <c r="P20" s="77" t="n"/>
      <c r="Q20" s="77" t="n"/>
      <c r="R20" s="77" t="n"/>
    </row>
    <row r="21" ht="15.95" customFormat="1" customHeight="1" s="49"/>
    <row r="22" ht="15.95" customFormat="1" customHeight="1" s="49">
      <c r="B22" s="69" t="inlineStr">
        <is>
          <t>03.부대시설 배분가</t>
        </is>
      </c>
      <c r="Q22" s="408" t="inlineStr">
        <is>
          <t>[단위: 천원]</t>
        </is>
      </c>
      <c r="R22" s="602" t="n"/>
    </row>
    <row r="23" ht="15.95" customHeight="1" s="462">
      <c r="B23" s="405" t="inlineStr">
        <is>
          <t>구분</t>
        </is>
      </c>
      <c r="C23" s="603" t="n"/>
      <c r="D23" s="603" t="n"/>
      <c r="E23" s="405" t="inlineStr">
        <is>
          <t>Total</t>
        </is>
      </c>
      <c r="F23" s="603" t="n"/>
      <c r="G23" s="405" t="inlineStr">
        <is>
          <t>부대1</t>
        </is>
      </c>
      <c r="H23" s="603" t="n"/>
      <c r="I23" s="405" t="inlineStr">
        <is>
          <t>부대2</t>
        </is>
      </c>
      <c r="J23" s="603" t="n"/>
      <c r="K23" s="405" t="inlineStr">
        <is>
          <t>부대3</t>
        </is>
      </c>
      <c r="L23" s="603" t="n"/>
      <c r="M23" s="405" t="inlineStr">
        <is>
          <t>부대4</t>
        </is>
      </c>
      <c r="N23" s="603" t="n"/>
      <c r="O23" s="405" t="inlineStr">
        <is>
          <t>비 고</t>
        </is>
      </c>
      <c r="P23" s="603" t="n"/>
      <c r="Q23" s="603" t="n"/>
      <c r="R23" s="603" t="n"/>
      <c r="T23" s="70" t="n"/>
    </row>
    <row r="24" ht="15.95" customHeight="1" s="462">
      <c r="B24" s="428" t="inlineStr">
        <is>
          <t>정상 요금</t>
        </is>
      </c>
      <c r="C24" s="604" t="n"/>
      <c r="D24" s="605" t="n"/>
      <c r="E24" s="610">
        <f>SUM(G24:N24)</f>
        <v/>
      </c>
      <c r="F24" s="605" t="n"/>
      <c r="G24" s="610" t="n">
        <v>40</v>
      </c>
      <c r="H24" s="605" t="n"/>
      <c r="I24" s="610" t="n">
        <v>30</v>
      </c>
      <c r="J24" s="605" t="n"/>
      <c r="K24" s="610" t="n">
        <v>20</v>
      </c>
      <c r="L24" s="605" t="n"/>
      <c r="M24" s="610" t="n">
        <v>50</v>
      </c>
      <c r="N24" s="605" t="n"/>
      <c r="O24" s="611" t="n"/>
      <c r="P24" s="604" t="n"/>
      <c r="Q24" s="604" t="n"/>
      <c r="R24" s="604" t="n"/>
      <c r="T24" s="70" t="n"/>
    </row>
    <row r="25" ht="15.95" customHeight="1" s="462">
      <c r="B25" s="426" t="inlineStr">
        <is>
          <t>PKG 배분가</t>
        </is>
      </c>
      <c r="D25" s="606" t="n"/>
      <c r="E25" s="612">
        <f>SUM(G25:N25)</f>
        <v/>
      </c>
      <c r="F25" s="606" t="n"/>
      <c r="G25" s="612" t="n">
        <v>30</v>
      </c>
      <c r="H25" s="606" t="n"/>
      <c r="I25" s="612" t="n">
        <v>25</v>
      </c>
      <c r="J25" s="606" t="n"/>
      <c r="K25" s="612" t="n">
        <v>15</v>
      </c>
      <c r="L25" s="606" t="n"/>
      <c r="M25" s="612" t="n">
        <v>45</v>
      </c>
      <c r="N25" s="606" t="n"/>
      <c r="O25" s="613" t="n"/>
      <c r="T25" s="70" t="n"/>
    </row>
    <row r="26" ht="15.95" customHeight="1" s="462">
      <c r="B26" s="424" t="inlineStr">
        <is>
          <t>정상가 比 할인율</t>
        </is>
      </c>
      <c r="C26" s="602" t="n"/>
      <c r="D26" s="608" t="n"/>
      <c r="E26" s="403">
        <f>1-E25/E24</f>
        <v/>
      </c>
      <c r="F26" s="608" t="n"/>
      <c r="G26" s="403">
        <f>1-G25/G24</f>
        <v/>
      </c>
      <c r="H26" s="608" t="n"/>
      <c r="I26" s="403">
        <f>1-I25/I24</f>
        <v/>
      </c>
      <c r="J26" s="608" t="n"/>
      <c r="K26" s="403">
        <f>1-K25/K24</f>
        <v/>
      </c>
      <c r="L26" s="608" t="n"/>
      <c r="M26" s="403">
        <f>1-M25/M24</f>
        <v/>
      </c>
      <c r="N26" s="608" t="n"/>
      <c r="O26" s="614" t="n"/>
      <c r="P26" s="602" t="n"/>
      <c r="Q26" s="602" t="n"/>
      <c r="R26" s="602" t="n"/>
      <c r="T26" s="70" t="n"/>
    </row>
    <row r="27" ht="15.95" customHeight="1" s="462"/>
    <row r="28" ht="15.95" customHeight="1" s="462">
      <c r="B28" s="69" t="inlineStr">
        <is>
          <t xml:space="preserve">04.판매가 배분가 범위 </t>
        </is>
      </c>
      <c r="C28" s="71" t="n"/>
      <c r="D28" s="71" t="n"/>
      <c r="E28" s="71" t="n"/>
      <c r="F28" s="71" t="n"/>
      <c r="G28" s="71" t="n"/>
      <c r="H28" s="71" t="n"/>
      <c r="I28" s="71" t="n"/>
      <c r="J28" s="71" t="n"/>
      <c r="K28" s="71" t="n"/>
      <c r="Q28" s="408" t="inlineStr">
        <is>
          <t>[단위: 천원]</t>
        </is>
      </c>
      <c r="R28" s="602" t="n"/>
      <c r="T28" s="70" t="n"/>
    </row>
    <row r="29" ht="15.95" customHeight="1" s="462">
      <c r="B29" s="405" t="inlineStr">
        <is>
          <t>구분</t>
        </is>
      </c>
      <c r="C29" s="603" t="n"/>
      <c r="D29" s="603" t="n"/>
      <c r="E29" s="405" t="inlineStr">
        <is>
          <t>사업장1</t>
        </is>
      </c>
      <c r="F29" s="603" t="n"/>
      <c r="G29" s="405" t="inlineStr">
        <is>
          <t>사업장2</t>
        </is>
      </c>
      <c r="H29" s="603" t="n"/>
      <c r="I29" s="405" t="inlineStr">
        <is>
          <t>사업장3</t>
        </is>
      </c>
      <c r="J29" s="603" t="n"/>
      <c r="K29" s="405" t="inlineStr">
        <is>
          <t>사업장4</t>
        </is>
      </c>
      <c r="L29" s="603" t="n"/>
      <c r="M29" s="405" t="inlineStr">
        <is>
          <t>사업장5</t>
        </is>
      </c>
      <c r="N29" s="603" t="n"/>
      <c r="O29" s="405" t="inlineStr">
        <is>
          <t>비 고</t>
        </is>
      </c>
      <c r="P29" s="603" t="n"/>
      <c r="Q29" s="603" t="n"/>
      <c r="R29" s="603" t="n"/>
      <c r="T29" s="70" t="n"/>
    </row>
    <row r="30" ht="15.95" customFormat="1" customHeight="1" s="49">
      <c r="B30" s="428" t="inlineStr">
        <is>
          <t>정상 요금</t>
        </is>
      </c>
      <c r="C30" s="604" t="n"/>
      <c r="D30" s="605" t="n"/>
      <c r="E30" s="417" t="inlineStr">
        <is>
          <t>104 ~ 366</t>
        </is>
      </c>
      <c r="F30" s="605" t="n"/>
      <c r="G30" s="417" t="inlineStr">
        <is>
          <t>160 ~ 487</t>
        </is>
      </c>
      <c r="H30" s="605" t="n"/>
      <c r="I30" s="417" t="inlineStr">
        <is>
          <t>220 ~ 642</t>
        </is>
      </c>
      <c r="J30" s="605" t="n"/>
      <c r="K30" s="417" t="inlineStr">
        <is>
          <t>175 ~ 508</t>
        </is>
      </c>
      <c r="L30" s="605" t="n"/>
      <c r="M30" s="417" t="inlineStr">
        <is>
          <t>203 ~ 553</t>
        </is>
      </c>
      <c r="N30" s="605" t="n"/>
      <c r="O30" s="76" t="n"/>
      <c r="P30" s="76" t="n"/>
      <c r="Q30" s="76" t="n"/>
      <c r="R30" s="76" t="n"/>
    </row>
    <row r="31" ht="15.95" customFormat="1" customHeight="1" s="49">
      <c r="B31" s="426" t="inlineStr">
        <is>
          <t>스마트 요금</t>
        </is>
      </c>
      <c r="D31" s="606" t="n"/>
      <c r="E31" s="412" t="inlineStr">
        <is>
          <t>94 ~ 338</t>
        </is>
      </c>
      <c r="F31" s="606" t="n"/>
      <c r="G31" s="496" t="n"/>
      <c r="H31" s="606" t="n"/>
      <c r="I31" s="412" t="inlineStr">
        <is>
          <t>200 ~ 611</t>
        </is>
      </c>
      <c r="J31" s="606" t="n"/>
      <c r="K31" s="412" t="inlineStr">
        <is>
          <t>155 ~ 473</t>
        </is>
      </c>
      <c r="L31" s="606" t="n"/>
      <c r="M31" s="412" t="inlineStr">
        <is>
          <t>183 ~ 528</t>
        </is>
      </c>
      <c r="N31" s="606" t="n"/>
    </row>
    <row r="32" ht="15.95" customFormat="1" customHeight="1" s="49">
      <c r="B32" s="426" t="inlineStr">
        <is>
          <t>PKG 배분가</t>
        </is>
      </c>
      <c r="D32" s="606" t="n"/>
      <c r="E32" s="412" t="inlineStr">
        <is>
          <t>74 ~ 338</t>
        </is>
      </c>
      <c r="F32" s="606" t="n"/>
      <c r="G32" s="496" t="n"/>
      <c r="H32" s="606" t="n"/>
      <c r="I32" s="412" t="inlineStr">
        <is>
          <t>180 ~ 611</t>
        </is>
      </c>
      <c r="J32" s="606" t="n"/>
      <c r="K32" s="412" t="inlineStr">
        <is>
          <t>135 ~ 473</t>
        </is>
      </c>
      <c r="L32" s="606" t="n"/>
      <c r="M32" s="412" t="inlineStr">
        <is>
          <t>163 ~ 528</t>
        </is>
      </c>
      <c r="N32" s="606" t="n"/>
    </row>
    <row r="33" ht="15.95" customFormat="1" customHeight="1" s="49">
      <c r="B33" s="426" t="inlineStr">
        <is>
          <t>정상가 比 할인율</t>
        </is>
      </c>
      <c r="D33" s="606" t="n"/>
      <c r="E33" s="412" t="inlineStr">
        <is>
          <t>0 ~ 39%</t>
        </is>
      </c>
      <c r="F33" s="606" t="n"/>
      <c r="G33" s="607" t="n">
        <v>0</v>
      </c>
      <c r="H33" s="606" t="n"/>
      <c r="I33" s="412" t="inlineStr">
        <is>
          <t>0 ~ 26%</t>
        </is>
      </c>
      <c r="J33" s="606" t="n"/>
      <c r="K33" s="412" t="inlineStr">
        <is>
          <t>0 ~ 41%</t>
        </is>
      </c>
      <c r="L33" s="606" t="n"/>
      <c r="M33" s="412" t="inlineStr">
        <is>
          <t>0 ~ 35%</t>
        </is>
      </c>
      <c r="N33" s="606" t="n"/>
    </row>
    <row r="34" ht="15.95" customFormat="1" customHeight="1" s="49">
      <c r="B34" s="424" t="inlineStr">
        <is>
          <t>스마트 比 할인율</t>
        </is>
      </c>
      <c r="C34" s="602" t="n"/>
      <c r="D34" s="608" t="n"/>
      <c r="E34" s="429" t="inlineStr">
        <is>
          <t>-3 ~ 21%</t>
        </is>
      </c>
      <c r="F34" s="608" t="n"/>
      <c r="G34" s="609" t="n"/>
      <c r="H34" s="608" t="n"/>
      <c r="I34" s="429" t="inlineStr">
        <is>
          <t>-13 ~ 12%</t>
        </is>
      </c>
      <c r="J34" s="608" t="n"/>
      <c r="K34" s="429" t="inlineStr">
        <is>
          <t>-3 ~ 13%</t>
        </is>
      </c>
      <c r="L34" s="608" t="n"/>
      <c r="M34" s="430" t="inlineStr">
        <is>
          <t>0~ 11%</t>
        </is>
      </c>
      <c r="N34" s="608" t="n"/>
      <c r="O34" s="77" t="n"/>
      <c r="P34" s="77" t="n"/>
      <c r="Q34" s="77" t="n"/>
      <c r="R34" s="77" t="n"/>
    </row>
    <row r="35" ht="15.95" customFormat="1" customHeight="1" s="49"/>
    <row r="36" ht="15.95" customHeight="1" s="462">
      <c r="B36" s="69" t="inlineStr">
        <is>
          <t>05. KPI</t>
        </is>
      </c>
      <c r="Q36" s="408" t="inlineStr">
        <is>
          <t>[단위: 실]</t>
        </is>
      </c>
      <c r="R36" s="602" t="n"/>
    </row>
    <row r="37" ht="15.95" customHeight="1" s="462">
      <c r="B37" s="405" t="inlineStr">
        <is>
          <t>구분</t>
        </is>
      </c>
      <c r="C37" s="603" t="n"/>
      <c r="D37" s="603" t="n"/>
      <c r="E37" s="405" t="inlineStr">
        <is>
          <t>사업장1</t>
        </is>
      </c>
      <c r="F37" s="603" t="n"/>
      <c r="G37" s="405" t="inlineStr">
        <is>
          <t>사업장2</t>
        </is>
      </c>
      <c r="H37" s="603" t="n"/>
      <c r="I37" s="405" t="inlineStr">
        <is>
          <t>사업장3</t>
        </is>
      </c>
      <c r="J37" s="603" t="n"/>
      <c r="K37" s="405" t="inlineStr">
        <is>
          <t>사업장4</t>
        </is>
      </c>
      <c r="L37" s="603" t="n"/>
      <c r="M37" s="405" t="inlineStr">
        <is>
          <t>사업장5</t>
        </is>
      </c>
      <c r="N37" s="603" t="n"/>
      <c r="O37" s="405" t="inlineStr">
        <is>
          <t>Total</t>
        </is>
      </c>
      <c r="P37" s="603" t="n"/>
      <c r="Q37" s="603" t="n"/>
      <c r="R37" s="603" t="n"/>
    </row>
    <row r="38" ht="15.95" customHeight="1" s="462">
      <c r="B38" s="428" t="inlineStr">
        <is>
          <t>5월</t>
        </is>
      </c>
      <c r="C38" s="604" t="n"/>
      <c r="D38" s="605" t="n"/>
      <c r="E38" s="615" t="n"/>
      <c r="F38" s="605" t="n"/>
      <c r="G38" s="615" t="n"/>
      <c r="H38" s="605" t="n"/>
      <c r="I38" s="615" t="n"/>
      <c r="J38" s="605" t="n"/>
      <c r="K38" s="615" t="n"/>
      <c r="L38" s="605" t="n"/>
      <c r="M38" s="615" t="n"/>
      <c r="N38" s="605" t="n"/>
      <c r="O38" s="616">
        <f>SUM(E38:N38)</f>
        <v/>
      </c>
      <c r="P38" s="604" t="n"/>
      <c r="Q38" s="604" t="n"/>
      <c r="R38" s="604" t="n"/>
    </row>
    <row r="39" ht="15.95" customHeight="1" s="462">
      <c r="B39" s="426" t="inlineStr">
        <is>
          <t>6월</t>
        </is>
      </c>
      <c r="D39" s="606" t="n"/>
      <c r="E39" s="617" t="n"/>
      <c r="F39" s="606" t="n"/>
      <c r="G39" s="617" t="n"/>
      <c r="H39" s="606" t="n"/>
      <c r="I39" s="617" t="n"/>
      <c r="J39" s="606" t="n"/>
      <c r="K39" s="617" t="n"/>
      <c r="L39" s="606" t="n"/>
      <c r="M39" s="617" t="n"/>
      <c r="N39" s="606" t="n"/>
      <c r="O39" s="618">
        <f>SUM(E39:N39)</f>
        <v/>
      </c>
    </row>
    <row r="40" ht="15.95" customHeight="1" s="462">
      <c r="B40" s="424" t="inlineStr">
        <is>
          <t>Total</t>
        </is>
      </c>
      <c r="C40" s="602" t="n"/>
      <c r="D40" s="608" t="n"/>
      <c r="E40" s="619">
        <f>SUM(E38:F39)</f>
        <v/>
      </c>
      <c r="F40" s="608" t="n"/>
      <c r="G40" s="619">
        <f>SUM(G38:H39)</f>
        <v/>
      </c>
      <c r="H40" s="608" t="n"/>
      <c r="I40" s="619">
        <f>SUM(I38:J39)</f>
        <v/>
      </c>
      <c r="J40" s="608" t="n"/>
      <c r="K40" s="619">
        <f>SUM(K38:L39)</f>
        <v/>
      </c>
      <c r="L40" s="608" t="n"/>
      <c r="M40" s="619">
        <f>SUM(M38:N39)</f>
        <v/>
      </c>
      <c r="N40" s="608" t="n"/>
      <c r="O40" s="620">
        <f>SUM(E40:N40)</f>
        <v/>
      </c>
      <c r="P40" s="602" t="n"/>
      <c r="Q40" s="602" t="n"/>
      <c r="R40" s="602" t="n"/>
    </row>
    <row r="41" ht="15.95" customHeight="1" s="462"/>
    <row r="42" ht="15.95" customHeight="1" s="462"/>
    <row r="43" ht="15.95" customHeight="1" s="462"/>
    <row r="44" ht="15.95" customHeight="1" s="462"/>
    <row r="45" ht="15.95" customHeight="1" s="462"/>
    <row r="46" ht="15.95" customHeight="1" s="462"/>
    <row r="47" ht="15.95" customHeight="1" s="462"/>
    <row r="48" ht="15.95" customHeight="1" s="462"/>
    <row r="49" ht="15.95" customHeight="1" s="462"/>
    <row r="50" ht="15.95" customHeight="1" s="462"/>
    <row r="51" ht="15.95" customHeight="1" s="462"/>
    <row r="52" ht="15.95" customHeight="1" s="462"/>
    <row r="53" ht="15.95" customHeight="1" s="462"/>
    <row r="54" ht="15.95" customHeight="1" s="462"/>
    <row r="55" ht="15.95" customHeight="1" s="462"/>
    <row r="56" ht="15.95" customHeight="1" s="462"/>
    <row r="57" ht="15.95" customHeight="1" s="462"/>
    <row r="58" ht="15.95" customHeight="1" s="462"/>
  </sheetData>
  <mergeCells count="137">
    <mergeCell ref="B11:D11"/>
    <mergeCell ref="K24:L24"/>
    <mergeCell ref="K33:L33"/>
    <mergeCell ref="E23:F23"/>
    <mergeCell ref="G23:H23"/>
    <mergeCell ref="I26:J26"/>
    <mergeCell ref="K26:L26"/>
    <mergeCell ref="B34:D34"/>
    <mergeCell ref="O23:R23"/>
    <mergeCell ref="O37:R37"/>
    <mergeCell ref="B37:D37"/>
    <mergeCell ref="I16:J16"/>
    <mergeCell ref="I25:J25"/>
    <mergeCell ref="B30:D30"/>
    <mergeCell ref="B6:D6"/>
    <mergeCell ref="I18:J18"/>
    <mergeCell ref="O15:R15"/>
    <mergeCell ref="B20:D20"/>
    <mergeCell ref="M16:N16"/>
    <mergeCell ref="E34:F34"/>
    <mergeCell ref="M25:N25"/>
    <mergeCell ref="M18:N18"/>
    <mergeCell ref="M33:N33"/>
    <mergeCell ref="O26:R26"/>
    <mergeCell ref="M17:N17"/>
    <mergeCell ref="I20:J20"/>
    <mergeCell ref="O25:R25"/>
    <mergeCell ref="K37:L37"/>
    <mergeCell ref="M19:N19"/>
    <mergeCell ref="O40:R40"/>
    <mergeCell ref="I30:J30"/>
    <mergeCell ref="K30:L30"/>
    <mergeCell ref="I15:J15"/>
    <mergeCell ref="B8:D8"/>
    <mergeCell ref="K15:L15"/>
    <mergeCell ref="B17:D17"/>
    <mergeCell ref="B10:D10"/>
    <mergeCell ref="B19:D19"/>
    <mergeCell ref="E38:F38"/>
    <mergeCell ref="G38:H38"/>
    <mergeCell ref="I32:J32"/>
    <mergeCell ref="K32:L32"/>
    <mergeCell ref="B9:D9"/>
    <mergeCell ref="E40:F40"/>
    <mergeCell ref="G24:H24"/>
    <mergeCell ref="I24:J24"/>
    <mergeCell ref="E6:R6"/>
    <mergeCell ref="I33:J33"/>
    <mergeCell ref="O29:R29"/>
    <mergeCell ref="E26:F26"/>
    <mergeCell ref="I17:J17"/>
    <mergeCell ref="G26:H26"/>
    <mergeCell ref="K17:L17"/>
    <mergeCell ref="M24:N24"/>
    <mergeCell ref="E16:F16"/>
    <mergeCell ref="B31:D31"/>
    <mergeCell ref="E25:F25"/>
    <mergeCell ref="G25:H25"/>
    <mergeCell ref="I19:J19"/>
    <mergeCell ref="K19:L19"/>
    <mergeCell ref="G19:H20"/>
    <mergeCell ref="B2:R3"/>
    <mergeCell ref="B39:D39"/>
    <mergeCell ref="E18:F18"/>
    <mergeCell ref="G16:H18"/>
    <mergeCell ref="K16:L16"/>
    <mergeCell ref="K25:L25"/>
    <mergeCell ref="M34:N34"/>
    <mergeCell ref="B23:D23"/>
    <mergeCell ref="Q28:R28"/>
    <mergeCell ref="M39:N39"/>
    <mergeCell ref="E39:F39"/>
    <mergeCell ref="G39:H39"/>
    <mergeCell ref="K29:L29"/>
    <mergeCell ref="E20:F20"/>
    <mergeCell ref="E29:F29"/>
    <mergeCell ref="Q14:R14"/>
    <mergeCell ref="G37:H37"/>
    <mergeCell ref="I37:J37"/>
    <mergeCell ref="K31:L31"/>
    <mergeCell ref="M31:N31"/>
    <mergeCell ref="K40:L40"/>
    <mergeCell ref="E31:F31"/>
    <mergeCell ref="M40:N40"/>
    <mergeCell ref="M15:N15"/>
    <mergeCell ref="O39:R39"/>
    <mergeCell ref="E15:F15"/>
    <mergeCell ref="M37:N37"/>
    <mergeCell ref="G15:H15"/>
    <mergeCell ref="I23:J23"/>
    <mergeCell ref="K23:L23"/>
    <mergeCell ref="B25:D25"/>
    <mergeCell ref="M26:N26"/>
    <mergeCell ref="E32:F32"/>
    <mergeCell ref="M29:N29"/>
    <mergeCell ref="M23:N23"/>
    <mergeCell ref="M38:N38"/>
    <mergeCell ref="B12:D12"/>
    <mergeCell ref="K18:L18"/>
    <mergeCell ref="I34:J34"/>
    <mergeCell ref="K34:L34"/>
    <mergeCell ref="E24:F24"/>
    <mergeCell ref="E33:F33"/>
    <mergeCell ref="B29:D29"/>
    <mergeCell ref="E17:F17"/>
    <mergeCell ref="O38:R38"/>
    <mergeCell ref="B38:D38"/>
    <mergeCell ref="G33:H34"/>
    <mergeCell ref="K20:L20"/>
    <mergeCell ref="M20:N20"/>
    <mergeCell ref="E19:F19"/>
    <mergeCell ref="B40:D40"/>
    <mergeCell ref="B15:D15"/>
    <mergeCell ref="O24:R24"/>
    <mergeCell ref="B24:D24"/>
    <mergeCell ref="B33:D33"/>
    <mergeCell ref="M30:N30"/>
    <mergeCell ref="E30:F30"/>
    <mergeCell ref="B32:D32"/>
    <mergeCell ref="B26:D26"/>
    <mergeCell ref="Q22:R22"/>
    <mergeCell ref="Q36:R36"/>
    <mergeCell ref="I39:J39"/>
    <mergeCell ref="K39:L39"/>
    <mergeCell ref="B7:D7"/>
    <mergeCell ref="B16:D16"/>
    <mergeCell ref="G30:H32"/>
    <mergeCell ref="G29:H29"/>
    <mergeCell ref="I29:J29"/>
    <mergeCell ref="I38:J38"/>
    <mergeCell ref="K38:L38"/>
    <mergeCell ref="M32:N32"/>
    <mergeCell ref="B18:D18"/>
    <mergeCell ref="E37:F37"/>
    <mergeCell ref="I31:J31"/>
    <mergeCell ref="G40:H40"/>
    <mergeCell ref="I40:J40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VMAdmin</dc:creator>
  <dcterms:created xmlns:dcterms="http://purl.org/dc/terms/" xmlns:xsi="http://www.w3.org/2001/XMLSchema-instance" xsi:type="dcterms:W3CDTF">2024-10-23T23:22:58Z</dcterms:created>
  <dcterms:modified xmlns:dcterms="http://purl.org/dc/terms/" xmlns:xsi="http://www.w3.org/2001/XMLSchema-instance" xsi:type="dcterms:W3CDTF">2026-08-21T00:32:42Z</dcterms:modified>
  <cp:lastModifiedBy>Chanmin</cp:lastModifiedBy>
  <cp:lastPrinted>2026-05-13T00:33:59Z</cp:lastPrinted>
</cp:coreProperties>
</file>