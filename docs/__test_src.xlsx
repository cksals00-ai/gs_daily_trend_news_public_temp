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ltjd\OneDrive\Documents\"/>
    </mc:Choice>
  </mc:AlternateContent>
  <bookViews>
    <workbookView xWindow="28680" yWindow="-120" windowWidth="29040" windowHeight="15720"/>
  </bookViews>
  <sheets>
    <sheet name="갑지 " sheetId="38" r:id="rId1"/>
    <sheet name="상품안_6월" sheetId="39" r:id="rId2"/>
    <sheet name="상품안_7~7.16월" sheetId="42" r:id="rId3"/>
    <sheet name="상품안_성수기" sheetId="43" r:id="rId4"/>
    <sheet name="패키지번호요청" sheetId="36" r:id="rId5"/>
  </sheets>
  <definedNames>
    <definedName name="_xlnm._FilterDatabase" localSheetId="1" hidden="1">상품안_6월!$B$1:$BE$57</definedName>
    <definedName name="_xlnm._FilterDatabase" localSheetId="2" hidden="1">'상품안_7~7.16월'!$B$1:$BE$53</definedName>
    <definedName name="_xlnm._FilterDatabase" localSheetId="3" hidden="1">상품안_성수기!$B$1:$BE$69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8" i="43" l="1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E68" i="43"/>
  <c r="AE67" i="43"/>
  <c r="AE66" i="43"/>
  <c r="AE65" i="43"/>
  <c r="AE64" i="43"/>
  <c r="AE63" i="43"/>
  <c r="AE62" i="43"/>
  <c r="AE61" i="43"/>
  <c r="AE60" i="43"/>
  <c r="AE59" i="43"/>
  <c r="AE58" i="43"/>
  <c r="AE57" i="43"/>
  <c r="AE56" i="43"/>
  <c r="AE55" i="43"/>
  <c r="AE54" i="43"/>
  <c r="AE53" i="43"/>
  <c r="AE52" i="43"/>
  <c r="AE51" i="43"/>
  <c r="AE50" i="43"/>
  <c r="AE49" i="43"/>
  <c r="AE48" i="43"/>
  <c r="AE47" i="43"/>
  <c r="AE46" i="43"/>
  <c r="AE45" i="43"/>
  <c r="AE44" i="43"/>
  <c r="AE43" i="43"/>
  <c r="AE42" i="43"/>
  <c r="AE41" i="43"/>
  <c r="AE40" i="43"/>
  <c r="AE39" i="43"/>
  <c r="AE38" i="43"/>
  <c r="AE37" i="43"/>
  <c r="AE36" i="43"/>
  <c r="AE35" i="43"/>
  <c r="AE34" i="43"/>
  <c r="AE33" i="43"/>
  <c r="AE32" i="43"/>
  <c r="AE31" i="43"/>
  <c r="AE30" i="43"/>
  <c r="AE29" i="43"/>
  <c r="AE28" i="43"/>
  <c r="AE27" i="43"/>
  <c r="AE26" i="43"/>
  <c r="AE25" i="43"/>
  <c r="AE24" i="43"/>
  <c r="AE23" i="43"/>
  <c r="AE22" i="43"/>
  <c r="AE21" i="43"/>
  <c r="AE20" i="43"/>
  <c r="AE19" i="43"/>
  <c r="AE18" i="43"/>
  <c r="AE17" i="43"/>
  <c r="AE16" i="43"/>
  <c r="AE15" i="43"/>
  <c r="AE14" i="43"/>
  <c r="AE13" i="43"/>
  <c r="AE12" i="43"/>
  <c r="AE11" i="43"/>
  <c r="AE10" i="43"/>
  <c r="AE9" i="43"/>
  <c r="AE52" i="42"/>
  <c r="AE51" i="42"/>
  <c r="AE50" i="42"/>
  <c r="AE49" i="42"/>
  <c r="AE48" i="42"/>
  <c r="AE47" i="42"/>
  <c r="AE46" i="42"/>
  <c r="AE45" i="42"/>
  <c r="AE44" i="42"/>
  <c r="AE43" i="42"/>
  <c r="AE42" i="42"/>
  <c r="AE41" i="42"/>
  <c r="AE40" i="42"/>
  <c r="AE39" i="42"/>
  <c r="AE38" i="42"/>
  <c r="AE37" i="42"/>
  <c r="AE36" i="42"/>
  <c r="AE35" i="42"/>
  <c r="AE34" i="42"/>
  <c r="AE33" i="42"/>
  <c r="AE32" i="42"/>
  <c r="AE31" i="42"/>
  <c r="AE30" i="42"/>
  <c r="AE29" i="42"/>
  <c r="AE28" i="42"/>
  <c r="AE27" i="42"/>
  <c r="AE26" i="42"/>
  <c r="AE25" i="42"/>
  <c r="AE24" i="42"/>
  <c r="AE23" i="42"/>
  <c r="AE22" i="42"/>
  <c r="AE21" i="42"/>
  <c r="AE20" i="42"/>
  <c r="AE19" i="42"/>
  <c r="AE18" i="42"/>
  <c r="AE17" i="42"/>
  <c r="AE16" i="42"/>
  <c r="AE15" i="42"/>
  <c r="AE14" i="42"/>
  <c r="AE13" i="42"/>
  <c r="AE12" i="42"/>
  <c r="AE11" i="42"/>
  <c r="AE10" i="42"/>
  <c r="AE9" i="42"/>
  <c r="AE56" i="39"/>
  <c r="AE55" i="39"/>
  <c r="AE54" i="39"/>
  <c r="AE53" i="39"/>
  <c r="AE52" i="39"/>
  <c r="AE51" i="39"/>
  <c r="AE50" i="39"/>
  <c r="AE49" i="39"/>
  <c r="AE48" i="39"/>
  <c r="AE47" i="39"/>
  <c r="AE46" i="39"/>
  <c r="AE45" i="39"/>
  <c r="AE44" i="39"/>
  <c r="AE43" i="39"/>
  <c r="AE42" i="39"/>
  <c r="AE41" i="39"/>
  <c r="AE40" i="39"/>
  <c r="AE39" i="39"/>
  <c r="AE38" i="39"/>
  <c r="AE37" i="39"/>
  <c r="AE36" i="39"/>
  <c r="AE35" i="39"/>
  <c r="AE34" i="39"/>
  <c r="AE33" i="39"/>
  <c r="AE32" i="39"/>
  <c r="AE31" i="39"/>
  <c r="AE30" i="39"/>
  <c r="AE29" i="39"/>
  <c r="AE28" i="39"/>
  <c r="AE27" i="39"/>
  <c r="AE26" i="39"/>
  <c r="AE25" i="39"/>
  <c r="AE24" i="39"/>
  <c r="AE23" i="39"/>
  <c r="AE22" i="39"/>
  <c r="AE21" i="39"/>
  <c r="AE20" i="39"/>
  <c r="AE19" i="39"/>
  <c r="AE18" i="39"/>
  <c r="AE17" i="39"/>
  <c r="AE16" i="39"/>
  <c r="AE15" i="39"/>
  <c r="AE14" i="39"/>
  <c r="AE13" i="39"/>
  <c r="AE12" i="39"/>
  <c r="AE11" i="39"/>
  <c r="AE10" i="39"/>
  <c r="AE9" i="39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A56" i="39" l="1"/>
  <c r="AA55" i="39"/>
  <c r="AA54" i="39"/>
  <c r="AA53" i="39"/>
  <c r="AA52" i="39"/>
  <c r="AA51" i="39"/>
  <c r="AA50" i="39"/>
  <c r="AA49" i="39"/>
  <c r="AA48" i="39"/>
  <c r="AA47" i="39"/>
  <c r="AA46" i="39"/>
  <c r="AA45" i="39"/>
  <c r="AA44" i="39"/>
  <c r="AA43" i="39"/>
  <c r="AA42" i="39"/>
  <c r="AA41" i="39"/>
  <c r="AA40" i="39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25" i="39"/>
  <c r="AA24" i="39"/>
  <c r="AA23" i="39"/>
  <c r="AA22" i="39"/>
  <c r="AA21" i="39"/>
  <c r="AA20" i="39"/>
  <c r="AA19" i="39"/>
  <c r="AA18" i="39"/>
  <c r="AA17" i="39"/>
  <c r="AA16" i="39"/>
  <c r="AA15" i="39"/>
  <c r="AA14" i="39"/>
  <c r="AA13" i="39"/>
  <c r="AA10" i="39"/>
  <c r="AA9" i="39"/>
  <c r="AA12" i="39"/>
  <c r="AA11" i="39"/>
  <c r="Y56" i="39"/>
  <c r="Y55" i="39"/>
  <c r="Y54" i="39"/>
  <c r="Y53" i="39"/>
  <c r="Y52" i="39"/>
  <c r="Y51" i="39"/>
  <c r="Y50" i="39"/>
  <c r="Y49" i="39"/>
  <c r="Y48" i="39"/>
  <c r="Y47" i="39"/>
  <c r="Y46" i="39"/>
  <c r="Y45" i="39"/>
  <c r="Y44" i="39"/>
  <c r="Y43" i="39"/>
  <c r="Y42" i="39"/>
  <c r="Y41" i="39"/>
  <c r="Y40" i="39"/>
  <c r="Y39" i="39"/>
  <c r="Y38" i="39"/>
  <c r="Y37" i="39"/>
  <c r="Y36" i="39"/>
  <c r="Y35" i="39"/>
  <c r="Y34" i="39"/>
  <c r="Y33" i="39"/>
  <c r="Y32" i="39"/>
  <c r="Y31" i="39"/>
  <c r="Y30" i="39"/>
  <c r="Y29" i="39"/>
  <c r="Y28" i="39"/>
  <c r="Y27" i="39"/>
  <c r="Y26" i="39"/>
  <c r="Y25" i="39"/>
  <c r="Y24" i="39"/>
  <c r="Y23" i="39"/>
  <c r="Y22" i="39"/>
  <c r="Y21" i="39"/>
  <c r="Y20" i="39"/>
  <c r="Y19" i="39"/>
  <c r="Y18" i="39"/>
  <c r="Y17" i="39"/>
  <c r="Y16" i="39"/>
  <c r="Y15" i="39"/>
  <c r="Y14" i="39"/>
  <c r="Y13" i="39"/>
  <c r="Y12" i="39"/>
  <c r="Y11" i="39"/>
  <c r="Y10" i="39"/>
  <c r="Z10" i="39" s="1"/>
  <c r="Y9" i="39"/>
  <c r="W56" i="39"/>
  <c r="W55" i="39"/>
  <c r="W54" i="39"/>
  <c r="W53" i="39"/>
  <c r="W52" i="39"/>
  <c r="W51" i="39"/>
  <c r="W50" i="39"/>
  <c r="W49" i="39"/>
  <c r="W48" i="39"/>
  <c r="W47" i="39"/>
  <c r="W46" i="39"/>
  <c r="W45" i="39"/>
  <c r="W44" i="39"/>
  <c r="W43" i="39"/>
  <c r="W42" i="39"/>
  <c r="W41" i="39"/>
  <c r="W40" i="39"/>
  <c r="W39" i="39"/>
  <c r="W38" i="39"/>
  <c r="W37" i="39"/>
  <c r="W36" i="39"/>
  <c r="W35" i="39"/>
  <c r="W34" i="39"/>
  <c r="W33" i="39"/>
  <c r="W32" i="39"/>
  <c r="W31" i="39"/>
  <c r="W30" i="39"/>
  <c r="W29" i="39"/>
  <c r="W28" i="39"/>
  <c r="W27" i="39"/>
  <c r="W26" i="39"/>
  <c r="W25" i="39"/>
  <c r="W24" i="39"/>
  <c r="W23" i="39"/>
  <c r="W22" i="39"/>
  <c r="W21" i="39"/>
  <c r="W20" i="39"/>
  <c r="W19" i="39"/>
  <c r="W18" i="39"/>
  <c r="W17" i="39"/>
  <c r="W16" i="39"/>
  <c r="W15" i="39"/>
  <c r="W14" i="39"/>
  <c r="W13" i="39"/>
  <c r="W11" i="39"/>
  <c r="W12" i="39"/>
  <c r="W10" i="39"/>
  <c r="W9" i="39"/>
  <c r="AR68" i="43" l="1"/>
  <c r="AU68" i="43" s="1"/>
  <c r="AQ68" i="43"/>
  <c r="AP68" i="43"/>
  <c r="AM68" i="43"/>
  <c r="AZ68" i="43"/>
  <c r="AH68" i="43"/>
  <c r="AF68" i="43"/>
  <c r="AD68" i="43"/>
  <c r="AB68" i="43"/>
  <c r="Z68" i="43"/>
  <c r="X68" i="43"/>
  <c r="U68" i="43"/>
  <c r="T68" i="43"/>
  <c r="O68" i="43"/>
  <c r="AL68" i="43" s="1"/>
  <c r="AR67" i="43"/>
  <c r="AU67" i="43" s="1"/>
  <c r="AQ67" i="43"/>
  <c r="AP67" i="43"/>
  <c r="AM67" i="43"/>
  <c r="AN67" i="43" s="1"/>
  <c r="AH67" i="43"/>
  <c r="AF67" i="43"/>
  <c r="AD67" i="43"/>
  <c r="AB67" i="43"/>
  <c r="Z67" i="43"/>
  <c r="X67" i="43"/>
  <c r="U67" i="43"/>
  <c r="T67" i="43"/>
  <c r="O67" i="43"/>
  <c r="AL67" i="43" s="1"/>
  <c r="AR66" i="43"/>
  <c r="AS66" i="43" s="1"/>
  <c r="AT66" i="43" s="1"/>
  <c r="AQ66" i="43"/>
  <c r="AP66" i="43"/>
  <c r="AM66" i="43"/>
  <c r="AH66" i="43"/>
  <c r="AF66" i="43"/>
  <c r="AD66" i="43"/>
  <c r="AB66" i="43"/>
  <c r="Z66" i="43"/>
  <c r="X66" i="43"/>
  <c r="U66" i="43"/>
  <c r="T66" i="43"/>
  <c r="O66" i="43"/>
  <c r="AL66" i="43" s="1"/>
  <c r="AR65" i="43"/>
  <c r="AU65" i="43" s="1"/>
  <c r="AQ65" i="43"/>
  <c r="AP65" i="43"/>
  <c r="AM65" i="43"/>
  <c r="AH65" i="43"/>
  <c r="AF65" i="43"/>
  <c r="AD65" i="43"/>
  <c r="AB65" i="43"/>
  <c r="Z65" i="43"/>
  <c r="X65" i="43"/>
  <c r="U65" i="43"/>
  <c r="T65" i="43"/>
  <c r="O65" i="43"/>
  <c r="AL65" i="43" s="1"/>
  <c r="AR64" i="43"/>
  <c r="AU64" i="43" s="1"/>
  <c r="AQ64" i="43"/>
  <c r="AP64" i="43"/>
  <c r="AM64" i="43"/>
  <c r="AH64" i="43"/>
  <c r="AF64" i="43"/>
  <c r="AD64" i="43"/>
  <c r="AB64" i="43"/>
  <c r="Z64" i="43"/>
  <c r="X64" i="43"/>
  <c r="U64" i="43"/>
  <c r="T64" i="43"/>
  <c r="O64" i="43"/>
  <c r="AL64" i="43" s="1"/>
  <c r="AR63" i="43"/>
  <c r="AS63" i="43" s="1"/>
  <c r="AT63" i="43" s="1"/>
  <c r="AQ63" i="43"/>
  <c r="AP63" i="43"/>
  <c r="AM63" i="43"/>
  <c r="AH63" i="43"/>
  <c r="AF63" i="43"/>
  <c r="AD63" i="43"/>
  <c r="AB63" i="43"/>
  <c r="Z63" i="43"/>
  <c r="X63" i="43"/>
  <c r="U63" i="43"/>
  <c r="T63" i="43"/>
  <c r="O63" i="43"/>
  <c r="AL63" i="43" s="1"/>
  <c r="AR62" i="43"/>
  <c r="AU62" i="43" s="1"/>
  <c r="AQ62" i="43"/>
  <c r="AP62" i="43"/>
  <c r="AM62" i="43"/>
  <c r="AH62" i="43"/>
  <c r="AF62" i="43"/>
  <c r="AD62" i="43"/>
  <c r="AB62" i="43"/>
  <c r="Z62" i="43"/>
  <c r="X62" i="43"/>
  <c r="U62" i="43"/>
  <c r="T62" i="43"/>
  <c r="O62" i="43"/>
  <c r="AL62" i="43" s="1"/>
  <c r="AR61" i="43"/>
  <c r="AS61" i="43" s="1"/>
  <c r="AT61" i="43" s="1"/>
  <c r="AQ61" i="43"/>
  <c r="AP61" i="43"/>
  <c r="AM61" i="43"/>
  <c r="AH61" i="43"/>
  <c r="AF61" i="43"/>
  <c r="AD61" i="43"/>
  <c r="AB61" i="43"/>
  <c r="Z61" i="43"/>
  <c r="X61" i="43"/>
  <c r="U61" i="43"/>
  <c r="T61" i="43"/>
  <c r="O61" i="43"/>
  <c r="AL61" i="43" s="1"/>
  <c r="AR60" i="43"/>
  <c r="AU60" i="43" s="1"/>
  <c r="AQ60" i="43"/>
  <c r="AP60" i="43"/>
  <c r="AM60" i="43"/>
  <c r="AH60" i="43"/>
  <c r="AF60" i="43"/>
  <c r="AD60" i="43"/>
  <c r="AB60" i="43"/>
  <c r="Z60" i="43"/>
  <c r="X60" i="43"/>
  <c r="U60" i="43"/>
  <c r="T60" i="43"/>
  <c r="O60" i="43"/>
  <c r="AL60" i="43" s="1"/>
  <c r="AR59" i="43"/>
  <c r="AU59" i="43" s="1"/>
  <c r="AQ59" i="43"/>
  <c r="AP59" i="43"/>
  <c r="AM59" i="43"/>
  <c r="AH59" i="43"/>
  <c r="AF59" i="43"/>
  <c r="AD59" i="43"/>
  <c r="AB59" i="43"/>
  <c r="Z59" i="43"/>
  <c r="X59" i="43"/>
  <c r="U59" i="43"/>
  <c r="T59" i="43"/>
  <c r="O59" i="43"/>
  <c r="AL59" i="43" s="1"/>
  <c r="AR58" i="43"/>
  <c r="AU58" i="43" s="1"/>
  <c r="AQ58" i="43"/>
  <c r="AP58" i="43"/>
  <c r="AM58" i="43"/>
  <c r="AH58" i="43"/>
  <c r="AF58" i="43"/>
  <c r="AD58" i="43"/>
  <c r="AB58" i="43"/>
  <c r="Z58" i="43"/>
  <c r="X58" i="43"/>
  <c r="U58" i="43"/>
  <c r="T58" i="43"/>
  <c r="O58" i="43"/>
  <c r="AL58" i="43" s="1"/>
  <c r="AR57" i="43"/>
  <c r="AU57" i="43" s="1"/>
  <c r="AQ57" i="43"/>
  <c r="AP57" i="43"/>
  <c r="AM57" i="43"/>
  <c r="AH57" i="43"/>
  <c r="AF57" i="43"/>
  <c r="AD57" i="43"/>
  <c r="AB57" i="43"/>
  <c r="Z57" i="43"/>
  <c r="X57" i="43"/>
  <c r="U57" i="43"/>
  <c r="T57" i="43"/>
  <c r="O57" i="43"/>
  <c r="AL57" i="43" s="1"/>
  <c r="AR56" i="43"/>
  <c r="AS56" i="43" s="1"/>
  <c r="AT56" i="43" s="1"/>
  <c r="AQ56" i="43"/>
  <c r="AP56" i="43"/>
  <c r="AM56" i="43"/>
  <c r="AZ56" i="43"/>
  <c r="AH56" i="43"/>
  <c r="AF56" i="43"/>
  <c r="AD56" i="43"/>
  <c r="AB56" i="43"/>
  <c r="Z56" i="43"/>
  <c r="X56" i="43"/>
  <c r="U56" i="43"/>
  <c r="T56" i="43"/>
  <c r="O56" i="43"/>
  <c r="AL56" i="43" s="1"/>
  <c r="AR55" i="43"/>
  <c r="AU55" i="43" s="1"/>
  <c r="AQ55" i="43"/>
  <c r="AP55" i="43"/>
  <c r="AM55" i="43"/>
  <c r="AH55" i="43"/>
  <c r="AF55" i="43"/>
  <c r="AD55" i="43"/>
  <c r="AB55" i="43"/>
  <c r="Z55" i="43"/>
  <c r="X55" i="43"/>
  <c r="U55" i="43"/>
  <c r="T55" i="43"/>
  <c r="O55" i="43"/>
  <c r="AL55" i="43" s="1"/>
  <c r="AR54" i="43"/>
  <c r="AU54" i="43" s="1"/>
  <c r="AQ54" i="43"/>
  <c r="AP54" i="43"/>
  <c r="AM54" i="43"/>
  <c r="AH54" i="43"/>
  <c r="AF54" i="43"/>
  <c r="AD54" i="43"/>
  <c r="AB54" i="43"/>
  <c r="Z54" i="43"/>
  <c r="X54" i="43"/>
  <c r="U54" i="43"/>
  <c r="T54" i="43"/>
  <c r="O54" i="43"/>
  <c r="AL54" i="43" s="1"/>
  <c r="AR53" i="43"/>
  <c r="AS53" i="43" s="1"/>
  <c r="AT53" i="43" s="1"/>
  <c r="AQ53" i="43"/>
  <c r="AP53" i="43"/>
  <c r="AM53" i="43"/>
  <c r="AH53" i="43"/>
  <c r="AF53" i="43"/>
  <c r="AD53" i="43"/>
  <c r="AB53" i="43"/>
  <c r="Z53" i="43"/>
  <c r="X53" i="43"/>
  <c r="U53" i="43"/>
  <c r="T53" i="43"/>
  <c r="O53" i="43"/>
  <c r="AL53" i="43" s="1"/>
  <c r="AR52" i="43"/>
  <c r="AU52" i="43" s="1"/>
  <c r="AQ52" i="43"/>
  <c r="AP52" i="43"/>
  <c r="AM52" i="43"/>
  <c r="AH52" i="43"/>
  <c r="AF52" i="43"/>
  <c r="AD52" i="43"/>
  <c r="AB52" i="43"/>
  <c r="Z52" i="43"/>
  <c r="X52" i="43"/>
  <c r="U52" i="43"/>
  <c r="T52" i="43"/>
  <c r="O52" i="43"/>
  <c r="AL52" i="43" s="1"/>
  <c r="AR51" i="43"/>
  <c r="AS51" i="43" s="1"/>
  <c r="AT51" i="43" s="1"/>
  <c r="AQ51" i="43"/>
  <c r="AP51" i="43"/>
  <c r="AM51" i="43"/>
  <c r="AH51" i="43"/>
  <c r="AF51" i="43"/>
  <c r="AD51" i="43"/>
  <c r="AB51" i="43"/>
  <c r="Z51" i="43"/>
  <c r="X51" i="43"/>
  <c r="U51" i="43"/>
  <c r="T51" i="43"/>
  <c r="O51" i="43"/>
  <c r="AL51" i="43" s="1"/>
  <c r="AR50" i="43"/>
  <c r="AU50" i="43" s="1"/>
  <c r="AQ50" i="43"/>
  <c r="AP50" i="43"/>
  <c r="AM50" i="43"/>
  <c r="AH50" i="43"/>
  <c r="AF50" i="43"/>
  <c r="AD50" i="43"/>
  <c r="AB50" i="43"/>
  <c r="Z50" i="43"/>
  <c r="X50" i="43"/>
  <c r="U50" i="43"/>
  <c r="T50" i="43"/>
  <c r="O50" i="43"/>
  <c r="AR49" i="43"/>
  <c r="AU49" i="43" s="1"/>
  <c r="AQ49" i="43"/>
  <c r="AP49" i="43"/>
  <c r="AM49" i="43"/>
  <c r="AN49" i="43" s="1"/>
  <c r="AH49" i="43"/>
  <c r="AF49" i="43"/>
  <c r="AD49" i="43"/>
  <c r="AB49" i="43"/>
  <c r="Z49" i="43"/>
  <c r="X49" i="43"/>
  <c r="U49" i="43"/>
  <c r="T49" i="43"/>
  <c r="O49" i="43"/>
  <c r="AL49" i="43" s="1"/>
  <c r="AR48" i="43"/>
  <c r="AS48" i="43" s="1"/>
  <c r="AT48" i="43" s="1"/>
  <c r="AQ48" i="43"/>
  <c r="AP48" i="43"/>
  <c r="AM48" i="43"/>
  <c r="AH48" i="43"/>
  <c r="AF48" i="43"/>
  <c r="AD48" i="43"/>
  <c r="AB48" i="43"/>
  <c r="Z48" i="43"/>
  <c r="X48" i="43"/>
  <c r="U48" i="43"/>
  <c r="T48" i="43"/>
  <c r="O48" i="43"/>
  <c r="AL48" i="43" s="1"/>
  <c r="AR47" i="43"/>
  <c r="AU47" i="43" s="1"/>
  <c r="AQ47" i="43"/>
  <c r="AP47" i="43"/>
  <c r="AM47" i="43"/>
  <c r="AH47" i="43"/>
  <c r="AF47" i="43"/>
  <c r="AD47" i="43"/>
  <c r="AB47" i="43"/>
  <c r="Z47" i="43"/>
  <c r="X47" i="43"/>
  <c r="U47" i="43"/>
  <c r="T47" i="43"/>
  <c r="O47" i="43"/>
  <c r="AL47" i="43" s="1"/>
  <c r="AR46" i="43"/>
  <c r="AU46" i="43" s="1"/>
  <c r="AQ46" i="43"/>
  <c r="AP46" i="43"/>
  <c r="AM46" i="43"/>
  <c r="AH46" i="43"/>
  <c r="AF46" i="43"/>
  <c r="AD46" i="43"/>
  <c r="AB46" i="43"/>
  <c r="Z46" i="43"/>
  <c r="X46" i="43"/>
  <c r="U46" i="43"/>
  <c r="T46" i="43"/>
  <c r="O46" i="43"/>
  <c r="AL46" i="43" s="1"/>
  <c r="AR45" i="43"/>
  <c r="AS45" i="43" s="1"/>
  <c r="AT45" i="43" s="1"/>
  <c r="AQ45" i="43"/>
  <c r="AP45" i="43"/>
  <c r="AM45" i="43"/>
  <c r="AH45" i="43"/>
  <c r="AF45" i="43"/>
  <c r="AD45" i="43"/>
  <c r="AB45" i="43"/>
  <c r="Z45" i="43"/>
  <c r="X45" i="43"/>
  <c r="U45" i="43"/>
  <c r="T45" i="43"/>
  <c r="O45" i="43"/>
  <c r="AL45" i="43" s="1"/>
  <c r="AR44" i="43"/>
  <c r="AU44" i="43" s="1"/>
  <c r="AQ44" i="43"/>
  <c r="AP44" i="43"/>
  <c r="AM44" i="43"/>
  <c r="AZ44" i="43"/>
  <c r="AH44" i="43"/>
  <c r="AF44" i="43"/>
  <c r="AD44" i="43"/>
  <c r="AB44" i="43"/>
  <c r="Z44" i="43"/>
  <c r="X44" i="43"/>
  <c r="U44" i="43"/>
  <c r="T44" i="43"/>
  <c r="O44" i="43"/>
  <c r="AL44" i="43" s="1"/>
  <c r="AR43" i="43"/>
  <c r="AS43" i="43" s="1"/>
  <c r="AT43" i="43" s="1"/>
  <c r="AQ43" i="43"/>
  <c r="AP43" i="43"/>
  <c r="AM43" i="43"/>
  <c r="AH43" i="43"/>
  <c r="AF43" i="43"/>
  <c r="AD43" i="43"/>
  <c r="AB43" i="43"/>
  <c r="Z43" i="43"/>
  <c r="X43" i="43"/>
  <c r="U43" i="43"/>
  <c r="T43" i="43"/>
  <c r="O43" i="43"/>
  <c r="AL43" i="43" s="1"/>
  <c r="AR42" i="43"/>
  <c r="AU42" i="43" s="1"/>
  <c r="AQ42" i="43"/>
  <c r="AP42" i="43"/>
  <c r="AM42" i="43"/>
  <c r="AH42" i="43"/>
  <c r="AF42" i="43"/>
  <c r="AD42" i="43"/>
  <c r="AB42" i="43"/>
  <c r="Z42" i="43"/>
  <c r="X42" i="43"/>
  <c r="U42" i="43"/>
  <c r="T42" i="43"/>
  <c r="O42" i="43"/>
  <c r="AL42" i="43" s="1"/>
  <c r="AR41" i="43"/>
  <c r="AU41" i="43" s="1"/>
  <c r="AQ41" i="43"/>
  <c r="AP41" i="43"/>
  <c r="AM41" i="43"/>
  <c r="AH41" i="43"/>
  <c r="AF41" i="43"/>
  <c r="AD41" i="43"/>
  <c r="AB41" i="43"/>
  <c r="Z41" i="43"/>
  <c r="X41" i="43"/>
  <c r="U41" i="43"/>
  <c r="T41" i="43"/>
  <c r="O41" i="43"/>
  <c r="AL41" i="43" s="1"/>
  <c r="AR40" i="43"/>
  <c r="AU40" i="43" s="1"/>
  <c r="AQ40" i="43"/>
  <c r="AP40" i="43"/>
  <c r="AM40" i="43"/>
  <c r="AH40" i="43"/>
  <c r="AF40" i="43"/>
  <c r="AD40" i="43"/>
  <c r="AB40" i="43"/>
  <c r="Z40" i="43"/>
  <c r="X40" i="43"/>
  <c r="U40" i="43"/>
  <c r="T40" i="43"/>
  <c r="O40" i="43"/>
  <c r="AL40" i="43" s="1"/>
  <c r="AR39" i="43"/>
  <c r="AQ39" i="43"/>
  <c r="AP39" i="43"/>
  <c r="AM39" i="43"/>
  <c r="AH39" i="43"/>
  <c r="AF39" i="43"/>
  <c r="AD39" i="43"/>
  <c r="AB39" i="43"/>
  <c r="Z39" i="43"/>
  <c r="X39" i="43"/>
  <c r="U39" i="43"/>
  <c r="T39" i="43"/>
  <c r="O39" i="43"/>
  <c r="AL39" i="43" s="1"/>
  <c r="AR38" i="43"/>
  <c r="AS38" i="43" s="1"/>
  <c r="AT38" i="43" s="1"/>
  <c r="AQ38" i="43"/>
  <c r="AP38" i="43"/>
  <c r="AM38" i="43"/>
  <c r="AZ38" i="43"/>
  <c r="AH38" i="43"/>
  <c r="AF38" i="43"/>
  <c r="AD38" i="43"/>
  <c r="AB38" i="43"/>
  <c r="Z38" i="43"/>
  <c r="X38" i="43"/>
  <c r="U38" i="43"/>
  <c r="T38" i="43"/>
  <c r="O38" i="43"/>
  <c r="AL38" i="43" s="1"/>
  <c r="AR37" i="43"/>
  <c r="AU37" i="43" s="1"/>
  <c r="AQ37" i="43"/>
  <c r="AP37" i="43"/>
  <c r="AM37" i="43"/>
  <c r="AL37" i="43"/>
  <c r="AH37" i="43"/>
  <c r="AF37" i="43"/>
  <c r="AD37" i="43"/>
  <c r="AB37" i="43"/>
  <c r="Z37" i="43"/>
  <c r="X37" i="43"/>
  <c r="U37" i="43"/>
  <c r="T37" i="43"/>
  <c r="O37" i="43"/>
  <c r="AR36" i="43"/>
  <c r="AS36" i="43" s="1"/>
  <c r="AT36" i="43" s="1"/>
  <c r="AQ36" i="43"/>
  <c r="AP36" i="43"/>
  <c r="AM36" i="43"/>
  <c r="AH36" i="43"/>
  <c r="AF36" i="43"/>
  <c r="AD36" i="43"/>
  <c r="AB36" i="43"/>
  <c r="Z36" i="43"/>
  <c r="X36" i="43"/>
  <c r="U36" i="43"/>
  <c r="T36" i="43"/>
  <c r="O36" i="43"/>
  <c r="AL36" i="43" s="1"/>
  <c r="AR35" i="43"/>
  <c r="AU35" i="43" s="1"/>
  <c r="AQ35" i="43"/>
  <c r="AP35" i="43"/>
  <c r="AM35" i="43"/>
  <c r="AH35" i="43"/>
  <c r="AF35" i="43"/>
  <c r="AD35" i="43"/>
  <c r="AB35" i="43"/>
  <c r="Z35" i="43"/>
  <c r="X35" i="43"/>
  <c r="U35" i="43"/>
  <c r="T35" i="43"/>
  <c r="O35" i="43"/>
  <c r="AL35" i="43" s="1"/>
  <c r="AR34" i="43"/>
  <c r="AS34" i="43" s="1"/>
  <c r="AT34" i="43" s="1"/>
  <c r="AQ34" i="43"/>
  <c r="AP34" i="43"/>
  <c r="AM34" i="43"/>
  <c r="AH34" i="43"/>
  <c r="AF34" i="43"/>
  <c r="AD34" i="43"/>
  <c r="AB34" i="43"/>
  <c r="Z34" i="43"/>
  <c r="X34" i="43"/>
  <c r="U34" i="43"/>
  <c r="T34" i="43"/>
  <c r="O34" i="43"/>
  <c r="AL34" i="43" s="1"/>
  <c r="AR33" i="43"/>
  <c r="AU33" i="43" s="1"/>
  <c r="AQ33" i="43"/>
  <c r="AP33" i="43"/>
  <c r="AM33" i="43"/>
  <c r="AJ33" i="43"/>
  <c r="AH33" i="43"/>
  <c r="AF33" i="43"/>
  <c r="AD33" i="43"/>
  <c r="AB33" i="43"/>
  <c r="Z33" i="43"/>
  <c r="X33" i="43"/>
  <c r="U33" i="43"/>
  <c r="T33" i="43"/>
  <c r="O33" i="43"/>
  <c r="AL33" i="43" s="1"/>
  <c r="AR32" i="43"/>
  <c r="AU32" i="43" s="1"/>
  <c r="AQ32" i="43"/>
  <c r="AP32" i="43"/>
  <c r="AM32" i="43"/>
  <c r="AZ32" i="43"/>
  <c r="AH32" i="43"/>
  <c r="AF32" i="43"/>
  <c r="AD32" i="43"/>
  <c r="AB32" i="43"/>
  <c r="Z32" i="43"/>
  <c r="X32" i="43"/>
  <c r="U32" i="43"/>
  <c r="T32" i="43"/>
  <c r="O32" i="43"/>
  <c r="AL32" i="43" s="1"/>
  <c r="AR31" i="43"/>
  <c r="AQ31" i="43"/>
  <c r="AP31" i="43"/>
  <c r="AM31" i="43"/>
  <c r="AH31" i="43"/>
  <c r="AF31" i="43"/>
  <c r="AD31" i="43"/>
  <c r="AB31" i="43"/>
  <c r="Z31" i="43"/>
  <c r="X31" i="43"/>
  <c r="U31" i="43"/>
  <c r="T31" i="43"/>
  <c r="O31" i="43"/>
  <c r="AR30" i="43"/>
  <c r="AU30" i="43" s="1"/>
  <c r="AQ30" i="43"/>
  <c r="AP30" i="43"/>
  <c r="AM30" i="43"/>
  <c r="AZ30" i="43"/>
  <c r="AH30" i="43"/>
  <c r="AF30" i="43"/>
  <c r="AD30" i="43"/>
  <c r="AB30" i="43"/>
  <c r="Z30" i="43"/>
  <c r="X30" i="43"/>
  <c r="U30" i="43"/>
  <c r="T30" i="43"/>
  <c r="O30" i="43"/>
  <c r="AL30" i="43" s="1"/>
  <c r="AR29" i="43"/>
  <c r="AU29" i="43" s="1"/>
  <c r="AQ29" i="43"/>
  <c r="AP29" i="43"/>
  <c r="AM29" i="43"/>
  <c r="AH29" i="43"/>
  <c r="AF29" i="43"/>
  <c r="AD29" i="43"/>
  <c r="AB29" i="43"/>
  <c r="Z29" i="43"/>
  <c r="X29" i="43"/>
  <c r="U29" i="43"/>
  <c r="T29" i="43"/>
  <c r="O29" i="43"/>
  <c r="AL29" i="43" s="1"/>
  <c r="AR28" i="43"/>
  <c r="AU28" i="43" s="1"/>
  <c r="AQ28" i="43"/>
  <c r="AP28" i="43"/>
  <c r="AM28" i="43"/>
  <c r="AJ28" i="43"/>
  <c r="AH28" i="43"/>
  <c r="AF28" i="43"/>
  <c r="AD28" i="43"/>
  <c r="AB28" i="43"/>
  <c r="Z28" i="43"/>
  <c r="X28" i="43"/>
  <c r="U28" i="43"/>
  <c r="T28" i="43"/>
  <c r="O28" i="43"/>
  <c r="AL28" i="43" s="1"/>
  <c r="AR27" i="43"/>
  <c r="AQ27" i="43"/>
  <c r="AP27" i="43"/>
  <c r="AM27" i="43"/>
  <c r="AH27" i="43"/>
  <c r="AF27" i="43"/>
  <c r="AD27" i="43"/>
  <c r="AB27" i="43"/>
  <c r="Z27" i="43"/>
  <c r="X27" i="43"/>
  <c r="U27" i="43"/>
  <c r="T27" i="43"/>
  <c r="O27" i="43"/>
  <c r="AL27" i="43" s="1"/>
  <c r="AR26" i="43"/>
  <c r="AS26" i="43" s="1"/>
  <c r="AQ26" i="43"/>
  <c r="AP26" i="43"/>
  <c r="AM26" i="43"/>
  <c r="AH26" i="43"/>
  <c r="AF26" i="43"/>
  <c r="AD26" i="43"/>
  <c r="AB26" i="43"/>
  <c r="Z26" i="43"/>
  <c r="X26" i="43"/>
  <c r="U26" i="43"/>
  <c r="T26" i="43"/>
  <c r="O26" i="43"/>
  <c r="AL26" i="43" s="1"/>
  <c r="AR25" i="43"/>
  <c r="AQ25" i="43"/>
  <c r="AP25" i="43"/>
  <c r="AM25" i="43"/>
  <c r="AH25" i="43"/>
  <c r="AF25" i="43"/>
  <c r="AD25" i="43"/>
  <c r="AB25" i="43"/>
  <c r="Z25" i="43"/>
  <c r="X25" i="43"/>
  <c r="U25" i="43"/>
  <c r="T25" i="43"/>
  <c r="O25" i="43"/>
  <c r="AL25" i="43" s="1"/>
  <c r="AR24" i="43"/>
  <c r="AQ24" i="43"/>
  <c r="AP24" i="43"/>
  <c r="AM24" i="43"/>
  <c r="AH24" i="43"/>
  <c r="AF24" i="43"/>
  <c r="AD24" i="43"/>
  <c r="AB24" i="43"/>
  <c r="Z24" i="43"/>
  <c r="X24" i="43"/>
  <c r="U24" i="43"/>
  <c r="T24" i="43"/>
  <c r="O24" i="43"/>
  <c r="AL24" i="43" s="1"/>
  <c r="AR23" i="43"/>
  <c r="AS23" i="43" s="1"/>
  <c r="AQ23" i="43"/>
  <c r="AP23" i="43"/>
  <c r="AM23" i="43"/>
  <c r="AH23" i="43"/>
  <c r="AF23" i="43"/>
  <c r="AD23" i="43"/>
  <c r="AB23" i="43"/>
  <c r="Z23" i="43"/>
  <c r="X23" i="43"/>
  <c r="U23" i="43"/>
  <c r="T23" i="43"/>
  <c r="O23" i="43"/>
  <c r="AL23" i="43" s="1"/>
  <c r="AR22" i="43"/>
  <c r="AQ22" i="43"/>
  <c r="AP22" i="43"/>
  <c r="AM22" i="43"/>
  <c r="AH22" i="43"/>
  <c r="AF22" i="43"/>
  <c r="AD22" i="43"/>
  <c r="AB22" i="43"/>
  <c r="Z22" i="43"/>
  <c r="X22" i="43"/>
  <c r="U22" i="43"/>
  <c r="T22" i="43"/>
  <c r="O22" i="43"/>
  <c r="AL22" i="43" s="1"/>
  <c r="AR21" i="43"/>
  <c r="AQ21" i="43"/>
  <c r="AP21" i="43"/>
  <c r="AM21" i="43"/>
  <c r="AH21" i="43"/>
  <c r="AF21" i="43"/>
  <c r="AD21" i="43"/>
  <c r="AB21" i="43"/>
  <c r="Z21" i="43"/>
  <c r="X21" i="43"/>
  <c r="U21" i="43"/>
  <c r="T21" i="43"/>
  <c r="O21" i="43"/>
  <c r="AL21" i="43" s="1"/>
  <c r="AR20" i="43"/>
  <c r="AQ20" i="43"/>
  <c r="AP20" i="43"/>
  <c r="AM20" i="43"/>
  <c r="AN20" i="43" s="1"/>
  <c r="AH20" i="43"/>
  <c r="AF20" i="43"/>
  <c r="AD20" i="43"/>
  <c r="AB20" i="43"/>
  <c r="Z20" i="43"/>
  <c r="X20" i="43"/>
  <c r="U20" i="43"/>
  <c r="T20" i="43"/>
  <c r="O20" i="43"/>
  <c r="AL20" i="43" s="1"/>
  <c r="AR19" i="43"/>
  <c r="AS19" i="43" s="1"/>
  <c r="AQ19" i="43"/>
  <c r="AP19" i="43"/>
  <c r="AM19" i="43"/>
  <c r="AH19" i="43"/>
  <c r="AF19" i="43"/>
  <c r="AD19" i="43"/>
  <c r="AB19" i="43"/>
  <c r="Z19" i="43"/>
  <c r="X19" i="43"/>
  <c r="U19" i="43"/>
  <c r="T19" i="43"/>
  <c r="O19" i="43"/>
  <c r="AL19" i="43" s="1"/>
  <c r="AR18" i="43"/>
  <c r="AQ18" i="43"/>
  <c r="AP18" i="43"/>
  <c r="AM18" i="43"/>
  <c r="AH18" i="43"/>
  <c r="AF18" i="43"/>
  <c r="AD18" i="43"/>
  <c r="AB18" i="43"/>
  <c r="Z18" i="43"/>
  <c r="X18" i="43"/>
  <c r="U18" i="43"/>
  <c r="T18" i="43"/>
  <c r="O18" i="43"/>
  <c r="AL18" i="43" s="1"/>
  <c r="AR17" i="43"/>
  <c r="AS17" i="43" s="1"/>
  <c r="AQ17" i="43"/>
  <c r="AP17" i="43"/>
  <c r="AM17" i="43"/>
  <c r="AH17" i="43"/>
  <c r="AF17" i="43"/>
  <c r="AD17" i="43"/>
  <c r="AB17" i="43"/>
  <c r="Z17" i="43"/>
  <c r="X17" i="43"/>
  <c r="U17" i="43"/>
  <c r="T17" i="43"/>
  <c r="O17" i="43"/>
  <c r="AL17" i="43" s="1"/>
  <c r="AR16" i="43"/>
  <c r="AQ16" i="43"/>
  <c r="AP16" i="43"/>
  <c r="AM16" i="43"/>
  <c r="AH16" i="43"/>
  <c r="AF16" i="43"/>
  <c r="AD16" i="43"/>
  <c r="AB16" i="43"/>
  <c r="Z16" i="43"/>
  <c r="X16" i="43"/>
  <c r="U16" i="43"/>
  <c r="T16" i="43"/>
  <c r="O16" i="43"/>
  <c r="AL16" i="43" s="1"/>
  <c r="AR15" i="43"/>
  <c r="AS15" i="43" s="1"/>
  <c r="AQ15" i="43"/>
  <c r="AP15" i="43"/>
  <c r="AM15" i="43"/>
  <c r="AH15" i="43"/>
  <c r="AF15" i="43"/>
  <c r="AD15" i="43"/>
  <c r="AB15" i="43"/>
  <c r="Z15" i="43"/>
  <c r="X15" i="43"/>
  <c r="U15" i="43"/>
  <c r="T15" i="43"/>
  <c r="O15" i="43"/>
  <c r="AL15" i="43" s="1"/>
  <c r="AR14" i="43"/>
  <c r="AQ14" i="43"/>
  <c r="AP14" i="43"/>
  <c r="AM14" i="43"/>
  <c r="AN14" i="43" s="1"/>
  <c r="AH14" i="43"/>
  <c r="AF14" i="43"/>
  <c r="AD14" i="43"/>
  <c r="AB14" i="43"/>
  <c r="Z14" i="43"/>
  <c r="X14" i="43"/>
  <c r="U14" i="43"/>
  <c r="T14" i="43"/>
  <c r="O14" i="43"/>
  <c r="AL14" i="43" s="1"/>
  <c r="AR13" i="43"/>
  <c r="AS13" i="43" s="1"/>
  <c r="AQ13" i="43"/>
  <c r="AP13" i="43"/>
  <c r="AM13" i="43"/>
  <c r="AH13" i="43"/>
  <c r="AF13" i="43"/>
  <c r="AD13" i="43"/>
  <c r="AB13" i="43"/>
  <c r="Z13" i="43"/>
  <c r="X13" i="43"/>
  <c r="U13" i="43"/>
  <c r="T13" i="43"/>
  <c r="O13" i="43"/>
  <c r="AL13" i="43" s="1"/>
  <c r="AR12" i="43"/>
  <c r="AQ12" i="43"/>
  <c r="AP12" i="43"/>
  <c r="AM12" i="43"/>
  <c r="AH12" i="43"/>
  <c r="AF12" i="43"/>
  <c r="AD12" i="43"/>
  <c r="AB12" i="43"/>
  <c r="Z12" i="43"/>
  <c r="X12" i="43"/>
  <c r="U12" i="43"/>
  <c r="T12" i="43"/>
  <c r="O12" i="43"/>
  <c r="AR11" i="43"/>
  <c r="AQ11" i="43"/>
  <c r="AP11" i="43"/>
  <c r="AM11" i="43"/>
  <c r="AH11" i="43"/>
  <c r="AF11" i="43"/>
  <c r="AD11" i="43"/>
  <c r="AB11" i="43"/>
  <c r="Z11" i="43"/>
  <c r="X11" i="43"/>
  <c r="U11" i="43"/>
  <c r="T11" i="43"/>
  <c r="O11" i="43"/>
  <c r="AR10" i="43"/>
  <c r="AQ10" i="43"/>
  <c r="AP10" i="43"/>
  <c r="AM10" i="43"/>
  <c r="AH10" i="43"/>
  <c r="AF10" i="43"/>
  <c r="AD10" i="43"/>
  <c r="AB10" i="43"/>
  <c r="Z10" i="43"/>
  <c r="X10" i="43"/>
  <c r="U10" i="43"/>
  <c r="T10" i="43"/>
  <c r="O10" i="43"/>
  <c r="AM9" i="43"/>
  <c r="AJ9" i="43"/>
  <c r="AH9" i="43"/>
  <c r="AC9" i="43"/>
  <c r="AB9" i="43"/>
  <c r="Z9" i="43"/>
  <c r="X9" i="43"/>
  <c r="U9" i="43"/>
  <c r="T9" i="43"/>
  <c r="O9" i="43"/>
  <c r="AL9" i="43" s="1"/>
  <c r="AP9" i="43" l="1"/>
  <c r="AN62" i="43"/>
  <c r="AZ45" i="43"/>
  <c r="AZ36" i="43"/>
  <c r="AZ42" i="43"/>
  <c r="AZ66" i="43"/>
  <c r="AN54" i="43"/>
  <c r="AZ64" i="43"/>
  <c r="AZ53" i="43"/>
  <c r="AN51" i="43"/>
  <c r="AN34" i="43"/>
  <c r="AZ50" i="43"/>
  <c r="AN46" i="43"/>
  <c r="AN29" i="43"/>
  <c r="AN55" i="43"/>
  <c r="AN41" i="43"/>
  <c r="AZ62" i="43"/>
  <c r="AY36" i="43"/>
  <c r="AN58" i="43"/>
  <c r="AN43" i="43"/>
  <c r="AN48" i="43"/>
  <c r="AN16" i="43"/>
  <c r="AN22" i="43"/>
  <c r="AY11" i="43"/>
  <c r="AN59" i="43"/>
  <c r="BA32" i="43"/>
  <c r="BB32" i="43" s="1"/>
  <c r="AZ34" i="43"/>
  <c r="BA36" i="43"/>
  <c r="BB36" i="43" s="1"/>
  <c r="AN37" i="43"/>
  <c r="AZ52" i="43"/>
  <c r="AZ57" i="43"/>
  <c r="AN66" i="43"/>
  <c r="AY31" i="43"/>
  <c r="AN39" i="43"/>
  <c r="AZ49" i="43"/>
  <c r="AN53" i="43"/>
  <c r="AZ59" i="43"/>
  <c r="AN63" i="43"/>
  <c r="AN35" i="43"/>
  <c r="BA40" i="43"/>
  <c r="BB40" i="43" s="1"/>
  <c r="BC40" i="43" s="1"/>
  <c r="AN68" i="43"/>
  <c r="AN15" i="43"/>
  <c r="AN21" i="43"/>
  <c r="AN45" i="43"/>
  <c r="AN27" i="43"/>
  <c r="AZ65" i="43"/>
  <c r="AN26" i="43"/>
  <c r="AZ58" i="43"/>
  <c r="AZ67" i="43"/>
  <c r="AZ9" i="43"/>
  <c r="AY27" i="43"/>
  <c r="AZ29" i="43"/>
  <c r="AN30" i="43"/>
  <c r="AN38" i="43"/>
  <c r="AN42" i="43"/>
  <c r="AZ63" i="43"/>
  <c r="AN32" i="43"/>
  <c r="AN47" i="43"/>
  <c r="AN64" i="43"/>
  <c r="AY29" i="43"/>
  <c r="AN40" i="43"/>
  <c r="BA38" i="43"/>
  <c r="BB38" i="43" s="1"/>
  <c r="AN18" i="43"/>
  <c r="AN24" i="43"/>
  <c r="AZ41" i="43"/>
  <c r="AN44" i="43"/>
  <c r="AN52" i="43"/>
  <c r="AN56" i="43"/>
  <c r="AS42" i="43"/>
  <c r="AT42" i="43" s="1"/>
  <c r="AZ54" i="43"/>
  <c r="AN31" i="43"/>
  <c r="AU34" i="43"/>
  <c r="AV34" i="43" s="1"/>
  <c r="AY28" i="43"/>
  <c r="AY34" i="43"/>
  <c r="AY40" i="43"/>
  <c r="AN11" i="43"/>
  <c r="AN13" i="43"/>
  <c r="AN19" i="43"/>
  <c r="AN25" i="43"/>
  <c r="AN50" i="43"/>
  <c r="AZ31" i="43"/>
  <c r="BA34" i="43"/>
  <c r="BB34" i="43" s="1"/>
  <c r="AN33" i="43"/>
  <c r="AN36" i="43"/>
  <c r="AY38" i="43"/>
  <c r="AZ46" i="43"/>
  <c r="AN57" i="43"/>
  <c r="AN61" i="43"/>
  <c r="AN65" i="43"/>
  <c r="AN60" i="43"/>
  <c r="AJ30" i="43"/>
  <c r="AU66" i="43"/>
  <c r="AV66" i="43" s="1"/>
  <c r="AN12" i="43"/>
  <c r="AJ32" i="43"/>
  <c r="AU45" i="43"/>
  <c r="AV45" i="43" s="1"/>
  <c r="AS62" i="43"/>
  <c r="AT62" i="43" s="1"/>
  <c r="AF9" i="43"/>
  <c r="AU43" i="43"/>
  <c r="AV43" i="43" s="1"/>
  <c r="AU48" i="43"/>
  <c r="AV48" i="43" s="1"/>
  <c r="AJ38" i="43"/>
  <c r="BA28" i="43"/>
  <c r="BB28" i="43" s="1"/>
  <c r="AS30" i="43"/>
  <c r="AT30" i="43" s="1"/>
  <c r="AS35" i="43"/>
  <c r="AT35" i="43" s="1"/>
  <c r="AS37" i="43"/>
  <c r="AT37" i="43" s="1"/>
  <c r="AS58" i="43"/>
  <c r="AT58" i="43" s="1"/>
  <c r="BA9" i="43"/>
  <c r="BB9" i="43" s="1"/>
  <c r="BC9" i="43" s="1"/>
  <c r="AY30" i="43"/>
  <c r="AU63" i="43"/>
  <c r="AV63" i="43" s="1"/>
  <c r="AN9" i="43"/>
  <c r="BA30" i="43"/>
  <c r="AL31" i="43"/>
  <c r="AL50" i="43"/>
  <c r="AU51" i="43"/>
  <c r="AV51" i="43" s="1"/>
  <c r="AU56" i="43"/>
  <c r="AV56" i="43" s="1"/>
  <c r="AZ60" i="43"/>
  <c r="AU61" i="43"/>
  <c r="AV61" i="43" s="1"/>
  <c r="AN28" i="43"/>
  <c r="AJ34" i="43"/>
  <c r="AS50" i="43"/>
  <c r="AT50" i="43" s="1"/>
  <c r="AS60" i="43"/>
  <c r="AT60" i="43" s="1"/>
  <c r="AJ27" i="43"/>
  <c r="AJ29" i="43"/>
  <c r="AJ36" i="43"/>
  <c r="AJ40" i="43"/>
  <c r="AU53" i="43"/>
  <c r="AV53" i="43" s="1"/>
  <c r="AS65" i="43"/>
  <c r="AT65" i="43" s="1"/>
  <c r="AS67" i="43"/>
  <c r="AT67" i="43" s="1"/>
  <c r="AN10" i="43"/>
  <c r="AN17" i="43"/>
  <c r="AN23" i="43"/>
  <c r="AZ28" i="43"/>
  <c r="AY32" i="43"/>
  <c r="AZ48" i="43"/>
  <c r="BC38" i="43"/>
  <c r="AS27" i="43"/>
  <c r="AT27" i="43" s="1"/>
  <c r="AS28" i="43"/>
  <c r="AT28" i="43" s="1"/>
  <c r="AV32" i="43"/>
  <c r="AU36" i="43"/>
  <c r="AV36" i="43" s="1"/>
  <c r="AU38" i="43"/>
  <c r="AV38" i="43" s="1"/>
  <c r="AS40" i="43"/>
  <c r="AT40" i="43" s="1"/>
  <c r="AS41" i="43"/>
  <c r="AT41" i="43" s="1"/>
  <c r="AS44" i="43"/>
  <c r="AT44" i="43" s="1"/>
  <c r="AS47" i="43"/>
  <c r="AT47" i="43" s="1"/>
  <c r="AS49" i="43"/>
  <c r="AT49" i="43" s="1"/>
  <c r="AS52" i="43"/>
  <c r="AT52" i="43" s="1"/>
  <c r="AS55" i="43"/>
  <c r="AT55" i="43" s="1"/>
  <c r="AS57" i="43"/>
  <c r="AT57" i="43" s="1"/>
  <c r="AS64" i="43"/>
  <c r="AT64" i="43" s="1"/>
  <c r="AS10" i="43"/>
  <c r="AT10" i="43" s="1"/>
  <c r="AS11" i="43"/>
  <c r="AT11" i="43" s="1"/>
  <c r="AS12" i="43"/>
  <c r="AT12" i="43" s="1"/>
  <c r="AV29" i="43"/>
  <c r="AS31" i="43"/>
  <c r="AT31" i="43" s="1"/>
  <c r="AS32" i="43"/>
  <c r="AT32" i="43" s="1"/>
  <c r="AV33" i="43"/>
  <c r="AS39" i="43"/>
  <c r="AT39" i="43" s="1"/>
  <c r="AS46" i="43"/>
  <c r="AT46" i="43" s="1"/>
  <c r="AS54" i="43"/>
  <c r="AT54" i="43" s="1"/>
  <c r="AS59" i="43"/>
  <c r="AT59" i="43" s="1"/>
  <c r="AS68" i="43"/>
  <c r="AT68" i="43" s="1"/>
  <c r="AU10" i="43"/>
  <c r="AV10" i="43" s="1"/>
  <c r="AU11" i="43"/>
  <c r="AV11" i="43" s="1"/>
  <c r="AU12" i="43"/>
  <c r="AV12" i="43" s="1"/>
  <c r="AU27" i="43"/>
  <c r="AV27" i="43" s="1"/>
  <c r="AS29" i="43"/>
  <c r="AT29" i="43" s="1"/>
  <c r="AV30" i="43"/>
  <c r="AU31" i="43"/>
  <c r="AV31" i="43" s="1"/>
  <c r="AS33" i="43"/>
  <c r="AT33" i="43" s="1"/>
  <c r="AV35" i="43"/>
  <c r="AV37" i="43"/>
  <c r="AU39" i="43"/>
  <c r="AV39" i="43" s="1"/>
  <c r="AU21" i="43"/>
  <c r="AV21" i="43" s="1"/>
  <c r="AZ12" i="43"/>
  <c r="AJ12" i="43"/>
  <c r="AU16" i="43"/>
  <c r="AV16" i="43" s="1"/>
  <c r="AU25" i="43"/>
  <c r="AV25" i="43" s="1"/>
  <c r="AD9" i="43"/>
  <c r="AQ9" i="43"/>
  <c r="AL10" i="43"/>
  <c r="AL11" i="43"/>
  <c r="AL12" i="43"/>
  <c r="AS14" i="43"/>
  <c r="AT14" i="43" s="1"/>
  <c r="AS16" i="43"/>
  <c r="AT16" i="43" s="1"/>
  <c r="AS18" i="43"/>
  <c r="AT18" i="43" s="1"/>
  <c r="AS20" i="43"/>
  <c r="AT20" i="43" s="1"/>
  <c r="AS21" i="43"/>
  <c r="AT21" i="43" s="1"/>
  <c r="AS22" i="43"/>
  <c r="AT22" i="43" s="1"/>
  <c r="AS24" i="43"/>
  <c r="AT24" i="43" s="1"/>
  <c r="AS25" i="43"/>
  <c r="AT25" i="43" s="1"/>
  <c r="AV28" i="43"/>
  <c r="BA31" i="43"/>
  <c r="AY35" i="43"/>
  <c r="BA35" i="43"/>
  <c r="AJ35" i="43"/>
  <c r="BA37" i="43"/>
  <c r="AY37" i="43"/>
  <c r="AJ37" i="43"/>
  <c r="BA39" i="43"/>
  <c r="AJ39" i="43"/>
  <c r="AY39" i="43"/>
  <c r="BA61" i="43"/>
  <c r="AJ61" i="43"/>
  <c r="AY61" i="43"/>
  <c r="AZ61" i="43"/>
  <c r="AZ10" i="43"/>
  <c r="AJ10" i="43"/>
  <c r="AU13" i="43"/>
  <c r="AV13" i="43" s="1"/>
  <c r="AT13" i="43"/>
  <c r="AU15" i="43"/>
  <c r="AV15" i="43" s="1"/>
  <c r="AT15" i="43"/>
  <c r="AU17" i="43"/>
  <c r="AV17" i="43" s="1"/>
  <c r="AT17" i="43"/>
  <c r="AU19" i="43"/>
  <c r="AV19" i="43" s="1"/>
  <c r="AT19" i="43"/>
  <c r="AU23" i="43"/>
  <c r="AV23" i="43" s="1"/>
  <c r="AT23" i="43"/>
  <c r="AU26" i="43"/>
  <c r="AV26" i="43" s="1"/>
  <c r="AT26" i="43"/>
  <c r="BA33" i="43"/>
  <c r="AY33" i="43"/>
  <c r="AR9" i="43"/>
  <c r="AY9" i="43"/>
  <c r="AY10" i="43"/>
  <c r="AY12" i="43"/>
  <c r="AZ27" i="43"/>
  <c r="BA29" i="43"/>
  <c r="AJ31" i="43"/>
  <c r="AZ33" i="43"/>
  <c r="AZ35" i="43"/>
  <c r="AZ37" i="43"/>
  <c r="AZ39" i="43"/>
  <c r="BA43" i="43"/>
  <c r="AJ43" i="43"/>
  <c r="AY43" i="43"/>
  <c r="AZ43" i="43"/>
  <c r="BA47" i="43"/>
  <c r="AJ47" i="43"/>
  <c r="AY47" i="43"/>
  <c r="AZ47" i="43"/>
  <c r="BA51" i="43"/>
  <c r="AJ51" i="43"/>
  <c r="AY51" i="43"/>
  <c r="AZ51" i="43"/>
  <c r="BA55" i="43"/>
  <c r="AJ55" i="43"/>
  <c r="AY55" i="43"/>
  <c r="AZ55" i="43"/>
  <c r="AZ11" i="43"/>
  <c r="AJ11" i="43"/>
  <c r="AU14" i="43"/>
  <c r="AV14" i="43" s="1"/>
  <c r="AU18" i="43"/>
  <c r="AV18" i="43" s="1"/>
  <c r="AU20" i="43"/>
  <c r="AV20" i="43" s="1"/>
  <c r="AU22" i="43"/>
  <c r="AV22" i="43" s="1"/>
  <c r="AU24" i="43"/>
  <c r="AV24" i="43" s="1"/>
  <c r="BA10" i="43"/>
  <c r="BA11" i="43"/>
  <c r="BA12" i="43"/>
  <c r="BA13" i="43"/>
  <c r="AZ13" i="43"/>
  <c r="AJ13" i="43"/>
  <c r="AY13" i="43"/>
  <c r="BA14" i="43"/>
  <c r="AZ14" i="43"/>
  <c r="AJ14" i="43"/>
  <c r="AY14" i="43"/>
  <c r="BA15" i="43"/>
  <c r="AZ15" i="43"/>
  <c r="AJ15" i="43"/>
  <c r="AY15" i="43"/>
  <c r="BA16" i="43"/>
  <c r="AZ16" i="43"/>
  <c r="AJ16" i="43"/>
  <c r="AY16" i="43"/>
  <c r="BA17" i="43"/>
  <c r="AZ17" i="43"/>
  <c r="AJ17" i="43"/>
  <c r="AY17" i="43"/>
  <c r="BA18" i="43"/>
  <c r="AZ18" i="43"/>
  <c r="AJ18" i="43"/>
  <c r="AY18" i="43"/>
  <c r="BA19" i="43"/>
  <c r="AZ19" i="43"/>
  <c r="AJ19" i="43"/>
  <c r="AY19" i="43"/>
  <c r="BA20" i="43"/>
  <c r="AZ20" i="43"/>
  <c r="AJ20" i="43"/>
  <c r="AY20" i="43"/>
  <c r="BA21" i="43"/>
  <c r="AZ21" i="43"/>
  <c r="AJ21" i="43"/>
  <c r="AY21" i="43"/>
  <c r="BA22" i="43"/>
  <c r="AZ22" i="43"/>
  <c r="AJ22" i="43"/>
  <c r="AY22" i="43"/>
  <c r="BA23" i="43"/>
  <c r="AZ23" i="43"/>
  <c r="AJ23" i="43"/>
  <c r="AY23" i="43"/>
  <c r="BA24" i="43"/>
  <c r="AZ24" i="43"/>
  <c r="AJ24" i="43"/>
  <c r="AY24" i="43"/>
  <c r="BA25" i="43"/>
  <c r="AZ25" i="43"/>
  <c r="AJ25" i="43"/>
  <c r="AY25" i="43"/>
  <c r="BA26" i="43"/>
  <c r="AZ26" i="43"/>
  <c r="AJ26" i="43"/>
  <c r="AY26" i="43"/>
  <c r="BA27" i="43"/>
  <c r="AZ40" i="43"/>
  <c r="BA41" i="43"/>
  <c r="AJ41" i="43"/>
  <c r="AY41" i="43"/>
  <c r="BA45" i="43"/>
  <c r="AJ45" i="43"/>
  <c r="AY45" i="43"/>
  <c r="BA49" i="43"/>
  <c r="AJ49" i="43"/>
  <c r="AY49" i="43"/>
  <c r="BA53" i="43"/>
  <c r="AJ53" i="43"/>
  <c r="AY53" i="43"/>
  <c r="BA57" i="43"/>
  <c r="AJ57" i="43"/>
  <c r="AY57" i="43"/>
  <c r="BA65" i="43"/>
  <c r="AJ65" i="43"/>
  <c r="AY65" i="43"/>
  <c r="AY42" i="43"/>
  <c r="BA42" i="43"/>
  <c r="AJ42" i="43"/>
  <c r="AY46" i="43"/>
  <c r="BA46" i="43"/>
  <c r="AJ46" i="43"/>
  <c r="AY50" i="43"/>
  <c r="BA50" i="43"/>
  <c r="AJ50" i="43"/>
  <c r="AY54" i="43"/>
  <c r="BA54" i="43"/>
  <c r="AJ54" i="43"/>
  <c r="BA63" i="43"/>
  <c r="AJ63" i="43"/>
  <c r="AY63" i="43"/>
  <c r="AV40" i="43"/>
  <c r="AY44" i="43"/>
  <c r="BA44" i="43"/>
  <c r="AJ44" i="43"/>
  <c r="AY48" i="43"/>
  <c r="BA48" i="43"/>
  <c r="AJ48" i="43"/>
  <c r="AY52" i="43"/>
  <c r="BA52" i="43"/>
  <c r="AJ52" i="43"/>
  <c r="AY56" i="43"/>
  <c r="BA56" i="43"/>
  <c r="AJ56" i="43"/>
  <c r="BA59" i="43"/>
  <c r="AJ59" i="43"/>
  <c r="AY59" i="43"/>
  <c r="BA67" i="43"/>
  <c r="AJ67" i="43"/>
  <c r="AY67" i="43"/>
  <c r="AV41" i="43"/>
  <c r="AV47" i="43"/>
  <c r="AV49" i="43"/>
  <c r="AV55" i="43"/>
  <c r="AV57" i="43"/>
  <c r="AJ58" i="43"/>
  <c r="BA58" i="43"/>
  <c r="AV59" i="43"/>
  <c r="AJ60" i="43"/>
  <c r="BA60" i="43"/>
  <c r="AJ62" i="43"/>
  <c r="BA62" i="43"/>
  <c r="AJ64" i="43"/>
  <c r="BA64" i="43"/>
  <c r="AV65" i="43"/>
  <c r="AJ66" i="43"/>
  <c r="BA66" i="43"/>
  <c r="AV67" i="43"/>
  <c r="AJ68" i="43"/>
  <c r="BA68" i="43"/>
  <c r="AV42" i="43"/>
  <c r="AV44" i="43"/>
  <c r="AV46" i="43"/>
  <c r="AV50" i="43"/>
  <c r="AV52" i="43"/>
  <c r="AV54" i="43"/>
  <c r="AV58" i="43"/>
  <c r="AY58" i="43"/>
  <c r="AV60" i="43"/>
  <c r="AY60" i="43"/>
  <c r="AV62" i="43"/>
  <c r="AY62" i="43"/>
  <c r="AV64" i="43"/>
  <c r="AY64" i="43"/>
  <c r="AY66" i="43"/>
  <c r="AV68" i="43"/>
  <c r="AY68" i="43"/>
  <c r="AR52" i="42"/>
  <c r="AQ52" i="42"/>
  <c r="AP52" i="42"/>
  <c r="AM52" i="42"/>
  <c r="BA52" i="42" s="1"/>
  <c r="AH52" i="42"/>
  <c r="AF52" i="42"/>
  <c r="AD52" i="42"/>
  <c r="AB52" i="42"/>
  <c r="Z52" i="42"/>
  <c r="X52" i="42"/>
  <c r="U52" i="42"/>
  <c r="T52" i="42"/>
  <c r="O52" i="42"/>
  <c r="AL52" i="42" s="1"/>
  <c r="AR51" i="42"/>
  <c r="AQ51" i="42"/>
  <c r="AP51" i="42"/>
  <c r="AM51" i="42"/>
  <c r="BA51" i="42"/>
  <c r="AH51" i="42"/>
  <c r="AF51" i="42"/>
  <c r="AD51" i="42"/>
  <c r="AB51" i="42"/>
  <c r="Z51" i="42"/>
  <c r="X51" i="42"/>
  <c r="U51" i="42"/>
  <c r="T51" i="42"/>
  <c r="O51" i="42"/>
  <c r="AL51" i="42" s="1"/>
  <c r="AR50" i="42"/>
  <c r="AQ50" i="42"/>
  <c r="AP50" i="42"/>
  <c r="AM50" i="42"/>
  <c r="BA50" i="42" s="1"/>
  <c r="AH50" i="42"/>
  <c r="AF50" i="42"/>
  <c r="AD50" i="42"/>
  <c r="AB50" i="42"/>
  <c r="Z50" i="42"/>
  <c r="X50" i="42"/>
  <c r="U50" i="42"/>
  <c r="T50" i="42"/>
  <c r="O50" i="42"/>
  <c r="AL50" i="42" s="1"/>
  <c r="AR49" i="42"/>
  <c r="AQ49" i="42"/>
  <c r="AP49" i="42"/>
  <c r="AM49" i="42"/>
  <c r="BA49" i="42"/>
  <c r="AH49" i="42"/>
  <c r="AF49" i="42"/>
  <c r="AD49" i="42"/>
  <c r="AB49" i="42"/>
  <c r="Z49" i="42"/>
  <c r="X49" i="42"/>
  <c r="U49" i="42"/>
  <c r="T49" i="42"/>
  <c r="O49" i="42"/>
  <c r="AL49" i="42" s="1"/>
  <c r="AR48" i="42"/>
  <c r="AQ48" i="42"/>
  <c r="AP48" i="42"/>
  <c r="AM48" i="42"/>
  <c r="BA48" i="42" s="1"/>
  <c r="AH48" i="42"/>
  <c r="AF48" i="42"/>
  <c r="AD48" i="42"/>
  <c r="AB48" i="42"/>
  <c r="Z48" i="42"/>
  <c r="X48" i="42"/>
  <c r="U48" i="42"/>
  <c r="T48" i="42"/>
  <c r="O48" i="42"/>
  <c r="AL48" i="42" s="1"/>
  <c r="AR47" i="42"/>
  <c r="AQ47" i="42"/>
  <c r="AP47" i="42"/>
  <c r="AM47" i="42"/>
  <c r="BA47" i="42"/>
  <c r="AH47" i="42"/>
  <c r="AF47" i="42"/>
  <c r="AD47" i="42"/>
  <c r="AB47" i="42"/>
  <c r="Z47" i="42"/>
  <c r="X47" i="42"/>
  <c r="U47" i="42"/>
  <c r="T47" i="42"/>
  <c r="O47" i="42"/>
  <c r="AL47" i="42" s="1"/>
  <c r="AR46" i="42"/>
  <c r="AQ46" i="42"/>
  <c r="AP46" i="42"/>
  <c r="AM46" i="42"/>
  <c r="BA46" i="42" s="1"/>
  <c r="AH46" i="42"/>
  <c r="AF46" i="42"/>
  <c r="AD46" i="42"/>
  <c r="AB46" i="42"/>
  <c r="Z46" i="42"/>
  <c r="X46" i="42"/>
  <c r="U46" i="42"/>
  <c r="T46" i="42"/>
  <c r="O46" i="42"/>
  <c r="AL46" i="42" s="1"/>
  <c r="AR45" i="42"/>
  <c r="AQ45" i="42"/>
  <c r="AP45" i="42"/>
  <c r="AM45" i="42"/>
  <c r="BA45" i="42"/>
  <c r="AH45" i="42"/>
  <c r="AF45" i="42"/>
  <c r="AD45" i="42"/>
  <c r="AB45" i="42"/>
  <c r="Z45" i="42"/>
  <c r="X45" i="42"/>
  <c r="U45" i="42"/>
  <c r="T45" i="42"/>
  <c r="O45" i="42"/>
  <c r="AL45" i="42" s="1"/>
  <c r="AR44" i="42"/>
  <c r="AQ44" i="42"/>
  <c r="AP44" i="42"/>
  <c r="AM44" i="42"/>
  <c r="BA44" i="42" s="1"/>
  <c r="AH44" i="42"/>
  <c r="AF44" i="42"/>
  <c r="AD44" i="42"/>
  <c r="AB44" i="42"/>
  <c r="Z44" i="42"/>
  <c r="X44" i="42"/>
  <c r="U44" i="42"/>
  <c r="T44" i="42"/>
  <c r="O44" i="42"/>
  <c r="AL44" i="42" s="1"/>
  <c r="AR43" i="42"/>
  <c r="AQ43" i="42"/>
  <c r="AP43" i="42"/>
  <c r="AM43" i="42"/>
  <c r="BA43" i="42"/>
  <c r="AH43" i="42"/>
  <c r="AF43" i="42"/>
  <c r="AD43" i="42"/>
  <c r="AB43" i="42"/>
  <c r="Z43" i="42"/>
  <c r="X43" i="42"/>
  <c r="U43" i="42"/>
  <c r="T43" i="42"/>
  <c r="O43" i="42"/>
  <c r="AL43" i="42" s="1"/>
  <c r="AR42" i="42"/>
  <c r="AQ42" i="42"/>
  <c r="AP42" i="42"/>
  <c r="AM42" i="42"/>
  <c r="BA42" i="42" s="1"/>
  <c r="AH42" i="42"/>
  <c r="AF42" i="42"/>
  <c r="AD42" i="42"/>
  <c r="AB42" i="42"/>
  <c r="Z42" i="42"/>
  <c r="X42" i="42"/>
  <c r="U42" i="42"/>
  <c r="T42" i="42"/>
  <c r="O42" i="42"/>
  <c r="AL42" i="42" s="1"/>
  <c r="AR41" i="42"/>
  <c r="AQ41" i="42"/>
  <c r="AP41" i="42"/>
  <c r="AM41" i="42"/>
  <c r="BA41" i="42"/>
  <c r="AH41" i="42"/>
  <c r="AF41" i="42"/>
  <c r="AD41" i="42"/>
  <c r="AB41" i="42"/>
  <c r="Z41" i="42"/>
  <c r="X41" i="42"/>
  <c r="U41" i="42"/>
  <c r="T41" i="42"/>
  <c r="O41" i="42"/>
  <c r="AL41" i="42" s="1"/>
  <c r="AR40" i="42"/>
  <c r="AQ40" i="42"/>
  <c r="AP40" i="42"/>
  <c r="AM40" i="42"/>
  <c r="BA40" i="42" s="1"/>
  <c r="AH40" i="42"/>
  <c r="AF40" i="42"/>
  <c r="AD40" i="42"/>
  <c r="AB40" i="42"/>
  <c r="Z40" i="42"/>
  <c r="X40" i="42"/>
  <c r="U40" i="42"/>
  <c r="T40" i="42"/>
  <c r="O40" i="42"/>
  <c r="AL40" i="42" s="1"/>
  <c r="AR39" i="42"/>
  <c r="AQ39" i="42"/>
  <c r="AP39" i="42"/>
  <c r="AM39" i="42"/>
  <c r="BA39" i="42"/>
  <c r="AH39" i="42"/>
  <c r="AF39" i="42"/>
  <c r="AD39" i="42"/>
  <c r="AB39" i="42"/>
  <c r="Z39" i="42"/>
  <c r="X39" i="42"/>
  <c r="U39" i="42"/>
  <c r="T39" i="42"/>
  <c r="O39" i="42"/>
  <c r="AL39" i="42" s="1"/>
  <c r="AR38" i="42"/>
  <c r="AQ38" i="42"/>
  <c r="AP38" i="42"/>
  <c r="AM38" i="42"/>
  <c r="BA38" i="42" s="1"/>
  <c r="AH38" i="42"/>
  <c r="AF38" i="42"/>
  <c r="AD38" i="42"/>
  <c r="AB38" i="42"/>
  <c r="Z38" i="42"/>
  <c r="X38" i="42"/>
  <c r="U38" i="42"/>
  <c r="T38" i="42"/>
  <c r="O38" i="42"/>
  <c r="AL38" i="42" s="1"/>
  <c r="AR37" i="42"/>
  <c r="AQ37" i="42"/>
  <c r="AP37" i="42"/>
  <c r="AM37" i="42"/>
  <c r="BA37" i="42"/>
  <c r="AH37" i="42"/>
  <c r="AF37" i="42"/>
  <c r="AD37" i="42"/>
  <c r="AB37" i="42"/>
  <c r="Z37" i="42"/>
  <c r="X37" i="42"/>
  <c r="U37" i="42"/>
  <c r="T37" i="42"/>
  <c r="O37" i="42"/>
  <c r="AL37" i="42" s="1"/>
  <c r="AR36" i="42"/>
  <c r="AS36" i="42" s="1"/>
  <c r="AT36" i="42" s="1"/>
  <c r="AQ36" i="42"/>
  <c r="AP36" i="42"/>
  <c r="AM36" i="42"/>
  <c r="AY36" i="42" s="1"/>
  <c r="AH36" i="42"/>
  <c r="AF36" i="42"/>
  <c r="AD36" i="42"/>
  <c r="AB36" i="42"/>
  <c r="Z36" i="42"/>
  <c r="X36" i="42"/>
  <c r="U36" i="42"/>
  <c r="T36" i="42"/>
  <c r="O36" i="42"/>
  <c r="AL36" i="42" s="1"/>
  <c r="AZ35" i="42"/>
  <c r="AR35" i="42"/>
  <c r="AS35" i="42" s="1"/>
  <c r="AT35" i="42" s="1"/>
  <c r="AQ35" i="42"/>
  <c r="AP35" i="42"/>
  <c r="AM35" i="42"/>
  <c r="BA35" i="42"/>
  <c r="BD35" i="42" s="1"/>
  <c r="AH35" i="42"/>
  <c r="AF35" i="42"/>
  <c r="AD35" i="42"/>
  <c r="AB35" i="42"/>
  <c r="Z35" i="42"/>
  <c r="X35" i="42"/>
  <c r="U35" i="42"/>
  <c r="T35" i="42"/>
  <c r="O35" i="42"/>
  <c r="AL35" i="42" s="1"/>
  <c r="AR34" i="42"/>
  <c r="AS34" i="42" s="1"/>
  <c r="AT34" i="42" s="1"/>
  <c r="AQ34" i="42"/>
  <c r="AP34" i="42"/>
  <c r="AM34" i="42"/>
  <c r="BA34" i="42"/>
  <c r="BD34" i="42" s="1"/>
  <c r="AH34" i="42"/>
  <c r="AF34" i="42"/>
  <c r="AD34" i="42"/>
  <c r="AB34" i="42"/>
  <c r="Z34" i="42"/>
  <c r="X34" i="42"/>
  <c r="U34" i="42"/>
  <c r="T34" i="42"/>
  <c r="O34" i="42"/>
  <c r="AL34" i="42" s="1"/>
  <c r="AR33" i="42"/>
  <c r="AS33" i="42" s="1"/>
  <c r="AQ33" i="42"/>
  <c r="AP33" i="42"/>
  <c r="AM33" i="42"/>
  <c r="AY33" i="42" s="1"/>
  <c r="AH33" i="42"/>
  <c r="AF33" i="42"/>
  <c r="AD33" i="42"/>
  <c r="AB33" i="42"/>
  <c r="Z33" i="42"/>
  <c r="X33" i="42"/>
  <c r="U33" i="42"/>
  <c r="T33" i="42"/>
  <c r="O33" i="42"/>
  <c r="AL33" i="42" s="1"/>
  <c r="AZ32" i="42"/>
  <c r="AR32" i="42"/>
  <c r="AU32" i="42" s="1"/>
  <c r="AQ32" i="42"/>
  <c r="AP32" i="42"/>
  <c r="AM32" i="42"/>
  <c r="AN32" i="42" s="1"/>
  <c r="AL32" i="42"/>
  <c r="AJ32" i="42"/>
  <c r="AH32" i="42"/>
  <c r="AF32" i="42"/>
  <c r="AD32" i="42"/>
  <c r="AB32" i="42"/>
  <c r="Z32" i="42"/>
  <c r="X32" i="42"/>
  <c r="U32" i="42"/>
  <c r="T32" i="42"/>
  <c r="O32" i="42"/>
  <c r="AR31" i="42"/>
  <c r="AU31" i="42" s="1"/>
  <c r="AQ31" i="42"/>
  <c r="AP31" i="42"/>
  <c r="AM31" i="42"/>
  <c r="AY31" i="42"/>
  <c r="AH31" i="42"/>
  <c r="AF31" i="42"/>
  <c r="AD31" i="42"/>
  <c r="AB31" i="42"/>
  <c r="Z31" i="42"/>
  <c r="X31" i="42"/>
  <c r="U31" i="42"/>
  <c r="T31" i="42"/>
  <c r="O31" i="42"/>
  <c r="AN31" i="42" s="1"/>
  <c r="BA30" i="42"/>
  <c r="BD30" i="42" s="1"/>
  <c r="AR30" i="42"/>
  <c r="AS30" i="42" s="1"/>
  <c r="AQ30" i="42"/>
  <c r="AP30" i="42"/>
  <c r="AM30" i="42"/>
  <c r="AZ30" i="42" s="1"/>
  <c r="AL30" i="42"/>
  <c r="AJ30" i="42"/>
  <c r="AH30" i="42"/>
  <c r="AF30" i="42"/>
  <c r="AD30" i="42"/>
  <c r="AB30" i="42"/>
  <c r="Z30" i="42"/>
  <c r="X30" i="42"/>
  <c r="U30" i="42"/>
  <c r="T30" i="42"/>
  <c r="O30" i="42"/>
  <c r="AN30" i="42" s="1"/>
  <c r="AR29" i="42"/>
  <c r="AS29" i="42" s="1"/>
  <c r="AT29" i="42" s="1"/>
  <c r="AQ29" i="42"/>
  <c r="AP29" i="42"/>
  <c r="AM29" i="42"/>
  <c r="AJ29" i="42"/>
  <c r="AH29" i="42"/>
  <c r="AF29" i="42"/>
  <c r="AD29" i="42"/>
  <c r="AB29" i="42"/>
  <c r="Z29" i="42"/>
  <c r="X29" i="42"/>
  <c r="U29" i="42"/>
  <c r="T29" i="42"/>
  <c r="O29" i="42"/>
  <c r="AL29" i="42" s="1"/>
  <c r="BA28" i="42"/>
  <c r="BD28" i="42" s="1"/>
  <c r="AR28" i="42"/>
  <c r="AU28" i="42" s="1"/>
  <c r="AQ28" i="42"/>
  <c r="AP28" i="42"/>
  <c r="AM28" i="42"/>
  <c r="AZ28" i="42" s="1"/>
  <c r="AL28" i="42"/>
  <c r="AJ28" i="42"/>
  <c r="AH28" i="42"/>
  <c r="AF28" i="42"/>
  <c r="AD28" i="42"/>
  <c r="AB28" i="42"/>
  <c r="Z28" i="42"/>
  <c r="X28" i="42"/>
  <c r="U28" i="42"/>
  <c r="T28" i="42"/>
  <c r="O28" i="42"/>
  <c r="AN28" i="42" s="1"/>
  <c r="AR27" i="42"/>
  <c r="AS27" i="42" s="1"/>
  <c r="AQ27" i="42"/>
  <c r="AP27" i="42"/>
  <c r="AM27" i="42"/>
  <c r="BA27" i="42" s="1"/>
  <c r="BD27" i="42" s="1"/>
  <c r="AZ27" i="42"/>
  <c r="AH27" i="42"/>
  <c r="AF27" i="42"/>
  <c r="AD27" i="42"/>
  <c r="AB27" i="42"/>
  <c r="Z27" i="42"/>
  <c r="X27" i="42"/>
  <c r="U27" i="42"/>
  <c r="T27" i="42"/>
  <c r="O27" i="42"/>
  <c r="AL27" i="42" s="1"/>
  <c r="AZ26" i="42"/>
  <c r="AR26" i="42"/>
  <c r="AQ26" i="42"/>
  <c r="AP26" i="42"/>
  <c r="AM26" i="42"/>
  <c r="AY26" i="42" s="1"/>
  <c r="AJ26" i="42"/>
  <c r="AH26" i="42"/>
  <c r="AF26" i="42"/>
  <c r="AD26" i="42"/>
  <c r="AB26" i="42"/>
  <c r="Z26" i="42"/>
  <c r="X26" i="42"/>
  <c r="U26" i="42"/>
  <c r="T26" i="42"/>
  <c r="O26" i="42"/>
  <c r="AN26" i="42" s="1"/>
  <c r="AR25" i="42"/>
  <c r="AS25" i="42" s="1"/>
  <c r="AQ25" i="42"/>
  <c r="AP25" i="42"/>
  <c r="AM25" i="42"/>
  <c r="BA25" i="42" s="1"/>
  <c r="BD25" i="42" s="1"/>
  <c r="AH25" i="42"/>
  <c r="AF25" i="42"/>
  <c r="AD25" i="42"/>
  <c r="AB25" i="42"/>
  <c r="Z25" i="42"/>
  <c r="X25" i="42"/>
  <c r="U25" i="42"/>
  <c r="T25" i="42"/>
  <c r="O25" i="42"/>
  <c r="BA24" i="42"/>
  <c r="BD24" i="42" s="1"/>
  <c r="BE24" i="42" s="1"/>
  <c r="AR24" i="42"/>
  <c r="AU24" i="42" s="1"/>
  <c r="AQ24" i="42"/>
  <c r="AP24" i="42"/>
  <c r="AM24" i="42"/>
  <c r="AZ24" i="42" s="1"/>
  <c r="AH24" i="42"/>
  <c r="AF24" i="42"/>
  <c r="AD24" i="42"/>
  <c r="AB24" i="42"/>
  <c r="Z24" i="42"/>
  <c r="X24" i="42"/>
  <c r="U24" i="42"/>
  <c r="T24" i="42"/>
  <c r="O24" i="42"/>
  <c r="AL24" i="42" s="1"/>
  <c r="AR23" i="42"/>
  <c r="AU23" i="42" s="1"/>
  <c r="AQ23" i="42"/>
  <c r="AP23" i="42"/>
  <c r="AM23" i="42"/>
  <c r="AN23" i="42" s="1"/>
  <c r="AJ23" i="42"/>
  <c r="AH23" i="42"/>
  <c r="AF23" i="42"/>
  <c r="AD23" i="42"/>
  <c r="AB23" i="42"/>
  <c r="Z23" i="42"/>
  <c r="X23" i="42"/>
  <c r="U23" i="42"/>
  <c r="T23" i="42"/>
  <c r="O23" i="42"/>
  <c r="AL23" i="42" s="1"/>
  <c r="AR22" i="42"/>
  <c r="AS22" i="42" s="1"/>
  <c r="AQ22" i="42"/>
  <c r="AP22" i="42"/>
  <c r="AM22" i="42"/>
  <c r="AN22" i="42" s="1"/>
  <c r="AJ22" i="42"/>
  <c r="AH22" i="42"/>
  <c r="AF22" i="42"/>
  <c r="AD22" i="42"/>
  <c r="AB22" i="42"/>
  <c r="Z22" i="42"/>
  <c r="X22" i="42"/>
  <c r="U22" i="42"/>
  <c r="T22" i="42"/>
  <c r="O22" i="42"/>
  <c r="AL22" i="42" s="1"/>
  <c r="AR21" i="42"/>
  <c r="AU21" i="42" s="1"/>
  <c r="AQ21" i="42"/>
  <c r="AP21" i="42"/>
  <c r="AM21" i="42"/>
  <c r="BA21" i="42"/>
  <c r="AH21" i="42"/>
  <c r="AF21" i="42"/>
  <c r="AD21" i="42"/>
  <c r="AB21" i="42"/>
  <c r="Z21" i="42"/>
  <c r="X21" i="42"/>
  <c r="U21" i="42"/>
  <c r="T21" i="42"/>
  <c r="O21" i="42"/>
  <c r="AR20" i="42"/>
  <c r="AU20" i="42" s="1"/>
  <c r="AQ20" i="42"/>
  <c r="AP20" i="42"/>
  <c r="AM20" i="42"/>
  <c r="AJ20" i="42"/>
  <c r="AY20" i="42"/>
  <c r="AH20" i="42"/>
  <c r="AF20" i="42"/>
  <c r="AD20" i="42"/>
  <c r="AB20" i="42"/>
  <c r="Z20" i="42"/>
  <c r="X20" i="42"/>
  <c r="U20" i="42"/>
  <c r="T20" i="42"/>
  <c r="O20" i="42"/>
  <c r="AL20" i="42" s="1"/>
  <c r="AR19" i="42"/>
  <c r="AS19" i="42" s="1"/>
  <c r="AQ19" i="42"/>
  <c r="AP19" i="42"/>
  <c r="AM19" i="42"/>
  <c r="AN19" i="42" s="1"/>
  <c r="AY19" i="42"/>
  <c r="AH19" i="42"/>
  <c r="AF19" i="42"/>
  <c r="AD19" i="42"/>
  <c r="AB19" i="42"/>
  <c r="Z19" i="42"/>
  <c r="X19" i="42"/>
  <c r="U19" i="42"/>
  <c r="T19" i="42"/>
  <c r="O19" i="42"/>
  <c r="AL19" i="42" s="1"/>
  <c r="AR18" i="42"/>
  <c r="AU18" i="42" s="1"/>
  <c r="AQ18" i="42"/>
  <c r="AP18" i="42"/>
  <c r="AM18" i="42"/>
  <c r="AH18" i="42"/>
  <c r="AF18" i="42"/>
  <c r="AD18" i="42"/>
  <c r="AB18" i="42"/>
  <c r="Z18" i="42"/>
  <c r="X18" i="42"/>
  <c r="U18" i="42"/>
  <c r="T18" i="42"/>
  <c r="O18" i="42"/>
  <c r="AL18" i="42" s="1"/>
  <c r="AY17" i="42"/>
  <c r="AR17" i="42"/>
  <c r="AU17" i="42" s="1"/>
  <c r="AQ17" i="42"/>
  <c r="AP17" i="42"/>
  <c r="AN17" i="42"/>
  <c r="AM17" i="42"/>
  <c r="AZ17" i="42"/>
  <c r="AH17" i="42"/>
  <c r="AF17" i="42"/>
  <c r="AD17" i="42"/>
  <c r="AB17" i="42"/>
  <c r="Z17" i="42"/>
  <c r="X17" i="42"/>
  <c r="U17" i="42"/>
  <c r="T17" i="42"/>
  <c r="O17" i="42"/>
  <c r="AL17" i="42" s="1"/>
  <c r="AY16" i="42"/>
  <c r="AR16" i="42"/>
  <c r="AQ16" i="42"/>
  <c r="AP16" i="42"/>
  <c r="AM16" i="42"/>
  <c r="AZ16" i="42" s="1"/>
  <c r="AH16" i="42"/>
  <c r="AF16" i="42"/>
  <c r="AD16" i="42"/>
  <c r="AB16" i="42"/>
  <c r="Z16" i="42"/>
  <c r="X16" i="42"/>
  <c r="U16" i="42"/>
  <c r="T16" i="42"/>
  <c r="O16" i="42"/>
  <c r="AR15" i="42"/>
  <c r="AU15" i="42" s="1"/>
  <c r="AQ15" i="42"/>
  <c r="AP15" i="42"/>
  <c r="AM15" i="42"/>
  <c r="AL15" i="42"/>
  <c r="AZ15" i="42"/>
  <c r="AH15" i="42"/>
  <c r="AF15" i="42"/>
  <c r="AD15" i="42"/>
  <c r="AB15" i="42"/>
  <c r="Z15" i="42"/>
  <c r="X15" i="42"/>
  <c r="U15" i="42"/>
  <c r="T15" i="42"/>
  <c r="O15" i="42"/>
  <c r="AR14" i="42"/>
  <c r="AU14" i="42" s="1"/>
  <c r="AQ14" i="42"/>
  <c r="AP14" i="42"/>
  <c r="AM14" i="42"/>
  <c r="AH14" i="42"/>
  <c r="AF14" i="42"/>
  <c r="AD14" i="42"/>
  <c r="AB14" i="42"/>
  <c r="Z14" i="42"/>
  <c r="X14" i="42"/>
  <c r="U14" i="42"/>
  <c r="T14" i="42"/>
  <c r="O14" i="42"/>
  <c r="AL14" i="42" s="1"/>
  <c r="AR13" i="42"/>
  <c r="AU13" i="42" s="1"/>
  <c r="AQ13" i="42"/>
  <c r="AP13" i="42"/>
  <c r="AM13" i="42"/>
  <c r="AZ13" i="42" s="1"/>
  <c r="AL13" i="42"/>
  <c r="AH13" i="42"/>
  <c r="AF13" i="42"/>
  <c r="AD13" i="42"/>
  <c r="AB13" i="42"/>
  <c r="Z13" i="42"/>
  <c r="X13" i="42"/>
  <c r="U13" i="42"/>
  <c r="T13" i="42"/>
  <c r="O13" i="42"/>
  <c r="AR12" i="42"/>
  <c r="AU12" i="42" s="1"/>
  <c r="AQ12" i="42"/>
  <c r="AP12" i="42"/>
  <c r="AM12" i="42"/>
  <c r="AL12" i="42"/>
  <c r="AZ12" i="42"/>
  <c r="AH12" i="42"/>
  <c r="AF12" i="42"/>
  <c r="AD12" i="42"/>
  <c r="AB12" i="42"/>
  <c r="Z12" i="42"/>
  <c r="X12" i="42"/>
  <c r="U12" i="42"/>
  <c r="T12" i="42"/>
  <c r="O12" i="42"/>
  <c r="AR11" i="42"/>
  <c r="AU11" i="42" s="1"/>
  <c r="AQ11" i="42"/>
  <c r="AP11" i="42"/>
  <c r="AM11" i="42"/>
  <c r="AZ11" i="42"/>
  <c r="AH11" i="42"/>
  <c r="AF11" i="42"/>
  <c r="AD11" i="42"/>
  <c r="AB11" i="42"/>
  <c r="Z11" i="42"/>
  <c r="X11" i="42"/>
  <c r="U11" i="42"/>
  <c r="T11" i="42"/>
  <c r="O11" i="42"/>
  <c r="AL11" i="42" s="1"/>
  <c r="AR10" i="42"/>
  <c r="AU10" i="42" s="1"/>
  <c r="AQ10" i="42"/>
  <c r="AP10" i="42"/>
  <c r="AM10" i="42"/>
  <c r="AN10" i="42" s="1"/>
  <c r="AL10" i="42"/>
  <c r="AH10" i="42"/>
  <c r="AF10" i="42"/>
  <c r="AD10" i="42"/>
  <c r="AB10" i="42"/>
  <c r="Z10" i="42"/>
  <c r="X10" i="42"/>
  <c r="U10" i="42"/>
  <c r="T10" i="42"/>
  <c r="O10" i="42"/>
  <c r="AM9" i="42"/>
  <c r="AJ9" i="42"/>
  <c r="AH9" i="42"/>
  <c r="AF9" i="42"/>
  <c r="AC9" i="42"/>
  <c r="AP9" i="42" s="1"/>
  <c r="AB9" i="42"/>
  <c r="Z9" i="42"/>
  <c r="X9" i="42"/>
  <c r="U9" i="42"/>
  <c r="T9" i="42"/>
  <c r="O9" i="42"/>
  <c r="AL9" i="42" s="1"/>
  <c r="AQ9" i="42" l="1"/>
  <c r="BA13" i="42"/>
  <c r="BD13" i="42" s="1"/>
  <c r="AN12" i="42"/>
  <c r="AN16" i="42"/>
  <c r="AY24" i="42"/>
  <c r="AZ25" i="42"/>
  <c r="AY23" i="42"/>
  <c r="AN25" i="42"/>
  <c r="AZ10" i="42"/>
  <c r="AN14" i="42"/>
  <c r="AN18" i="42"/>
  <c r="AZ18" i="42"/>
  <c r="AN20" i="42"/>
  <c r="AZ20" i="42"/>
  <c r="AL25" i="42"/>
  <c r="AL26" i="42"/>
  <c r="AN34" i="42"/>
  <c r="BD32" i="43"/>
  <c r="BE32" i="43" s="1"/>
  <c r="BC32" i="43"/>
  <c r="BD40" i="43"/>
  <c r="BE40" i="43" s="1"/>
  <c r="BD36" i="43"/>
  <c r="BE36" i="43" s="1"/>
  <c r="BC36" i="43"/>
  <c r="BD38" i="43"/>
  <c r="BE38" i="43" s="1"/>
  <c r="BD34" i="43"/>
  <c r="BE34" i="43" s="1"/>
  <c r="BC34" i="43"/>
  <c r="BD28" i="43"/>
  <c r="BE28" i="43" s="1"/>
  <c r="BC28" i="43"/>
  <c r="BD9" i="43"/>
  <c r="BE9" i="43" s="1"/>
  <c r="BB30" i="43"/>
  <c r="BC30" i="43" s="1"/>
  <c r="BD30" i="43"/>
  <c r="BE30" i="43" s="1"/>
  <c r="AS31" i="42"/>
  <c r="AT31" i="42" s="1"/>
  <c r="AU33" i="42"/>
  <c r="AV33" i="42" s="1"/>
  <c r="AS23" i="42"/>
  <c r="AT23" i="42" s="1"/>
  <c r="AU34" i="42"/>
  <c r="AU36" i="42"/>
  <c r="AV36" i="42" s="1"/>
  <c r="AS17" i="42"/>
  <c r="AT17" i="42" s="1"/>
  <c r="AS21" i="42"/>
  <c r="AT21" i="42" s="1"/>
  <c r="AS24" i="42"/>
  <c r="AT24" i="42" s="1"/>
  <c r="AJ49" i="42"/>
  <c r="AJ52" i="42"/>
  <c r="AN15" i="42"/>
  <c r="AS18" i="42"/>
  <c r="AT18" i="42" s="1"/>
  <c r="AU19" i="42"/>
  <c r="AV19" i="42" s="1"/>
  <c r="BA20" i="42"/>
  <c r="BB20" i="42" s="1"/>
  <c r="BC20" i="42" s="1"/>
  <c r="AT22" i="42"/>
  <c r="AZ23" i="42"/>
  <c r="AJ24" i="42"/>
  <c r="AS26" i="42"/>
  <c r="AT26" i="42" s="1"/>
  <c r="AY28" i="42"/>
  <c r="AT30" i="42"/>
  <c r="AZ31" i="42"/>
  <c r="AY32" i="42"/>
  <c r="BA32" i="42"/>
  <c r="BD32" i="42" s="1"/>
  <c r="AJ36" i="42"/>
  <c r="AZ39" i="42"/>
  <c r="AZ41" i="42"/>
  <c r="AZ44" i="42"/>
  <c r="AZ46" i="42"/>
  <c r="AZ51" i="42"/>
  <c r="AJ42" i="42"/>
  <c r="AN9" i="42"/>
  <c r="BA11" i="42"/>
  <c r="BD11" i="42" s="1"/>
  <c r="AZ19" i="42"/>
  <c r="AU22" i="42"/>
  <c r="AV22" i="42" s="1"/>
  <c r="BA23" i="42"/>
  <c r="BD23" i="42" s="1"/>
  <c r="BE23" i="42" s="1"/>
  <c r="AU30" i="42"/>
  <c r="BA31" i="42"/>
  <c r="BD31" i="42" s="1"/>
  <c r="AN33" i="42"/>
  <c r="AN21" i="42"/>
  <c r="AT27" i="42"/>
  <c r="AJ17" i="42"/>
  <c r="BA14" i="42"/>
  <c r="BD14" i="42" s="1"/>
  <c r="BA19" i="42"/>
  <c r="BD19" i="42" s="1"/>
  <c r="AZ22" i="42"/>
  <c r="AN24" i="42"/>
  <c r="BA22" i="42"/>
  <c r="AU29" i="42"/>
  <c r="AV29" i="42" s="1"/>
  <c r="AJ31" i="42"/>
  <c r="AY35" i="42"/>
  <c r="AJ38" i="42"/>
  <c r="AJ43" i="42"/>
  <c r="AJ45" i="42"/>
  <c r="AJ48" i="42"/>
  <c r="AJ50" i="42"/>
  <c r="AS16" i="42"/>
  <c r="AT16" i="42" s="1"/>
  <c r="AU27" i="42"/>
  <c r="AV27" i="42" s="1"/>
  <c r="AN29" i="42"/>
  <c r="AJ37" i="42"/>
  <c r="AU26" i="42"/>
  <c r="AV26" i="42" s="1"/>
  <c r="BA9" i="42"/>
  <c r="BD9" i="42" s="1"/>
  <c r="AT25" i="42"/>
  <c r="AY27" i="42"/>
  <c r="AZ34" i="42"/>
  <c r="BA12" i="42"/>
  <c r="BD12" i="42" s="1"/>
  <c r="AN13" i="42"/>
  <c r="AL16" i="42"/>
  <c r="AY18" i="42"/>
  <c r="BA18" i="42"/>
  <c r="BD18" i="42" s="1"/>
  <c r="BE18" i="42" s="1"/>
  <c r="AZ21" i="42"/>
  <c r="AU25" i="42"/>
  <c r="AV25" i="42" s="1"/>
  <c r="BA26" i="42"/>
  <c r="BD26" i="42" s="1"/>
  <c r="AJ27" i="42"/>
  <c r="AZ29" i="42"/>
  <c r="AY30" i="42"/>
  <c r="AL31" i="42"/>
  <c r="AJ35" i="42"/>
  <c r="AZ37" i="42"/>
  <c r="AZ40" i="42"/>
  <c r="AZ42" i="42"/>
  <c r="AZ47" i="42"/>
  <c r="AZ49" i="42"/>
  <c r="AZ52" i="42"/>
  <c r="AJ33" i="42"/>
  <c r="AJ40" i="42"/>
  <c r="AN36" i="42"/>
  <c r="AJ19" i="42"/>
  <c r="AY22" i="42"/>
  <c r="BA15" i="42"/>
  <c r="BB15" i="42" s="1"/>
  <c r="AJ18" i="42"/>
  <c r="BA29" i="42"/>
  <c r="BD29" i="42" s="1"/>
  <c r="AT33" i="42"/>
  <c r="AU35" i="42"/>
  <c r="AV35" i="42" s="1"/>
  <c r="AV18" i="42"/>
  <c r="AV28" i="42"/>
  <c r="AV20" i="42"/>
  <c r="BA17" i="42"/>
  <c r="BB17" i="42" s="1"/>
  <c r="AV30" i="42"/>
  <c r="AU16" i="42"/>
  <c r="AV16" i="42" s="1"/>
  <c r="AT19" i="42"/>
  <c r="AJ47" i="42"/>
  <c r="AY21" i="42"/>
  <c r="AN27" i="42"/>
  <c r="AN35" i="42"/>
  <c r="AZ14" i="42"/>
  <c r="AJ21" i="42"/>
  <c r="AY25" i="42"/>
  <c r="AS28" i="42"/>
  <c r="AT28" i="42" s="1"/>
  <c r="AV32" i="42"/>
  <c r="AZ33" i="42"/>
  <c r="AY34" i="42"/>
  <c r="AZ36" i="42"/>
  <c r="AJ39" i="42"/>
  <c r="AJ41" i="42"/>
  <c r="AJ44" i="42"/>
  <c r="AJ46" i="42"/>
  <c r="AJ51" i="42"/>
  <c r="AZ9" i="42"/>
  <c r="BA10" i="42"/>
  <c r="BD10" i="42" s="1"/>
  <c r="AN11" i="42"/>
  <c r="AS20" i="42"/>
  <c r="AT20" i="42" s="1"/>
  <c r="AL21" i="42"/>
  <c r="AJ25" i="42"/>
  <c r="AY29" i="42"/>
  <c r="AV31" i="42"/>
  <c r="AS32" i="42"/>
  <c r="AT32" i="42" s="1"/>
  <c r="BA33" i="42"/>
  <c r="BD33" i="42" s="1"/>
  <c r="AJ34" i="42"/>
  <c r="BA36" i="42"/>
  <c r="AZ38" i="42"/>
  <c r="AZ43" i="42"/>
  <c r="AZ45" i="42"/>
  <c r="AZ48" i="42"/>
  <c r="AZ50" i="42"/>
  <c r="BB64" i="43"/>
  <c r="BC64" i="43" s="1"/>
  <c r="BD64" i="43"/>
  <c r="BE64" i="43" s="1"/>
  <c r="BB44" i="43"/>
  <c r="BC44" i="43" s="1"/>
  <c r="BD44" i="43"/>
  <c r="BE44" i="43" s="1"/>
  <c r="BB54" i="43"/>
  <c r="BC54" i="43" s="1"/>
  <c r="BD54" i="43"/>
  <c r="BE54" i="43" s="1"/>
  <c r="BB57" i="43"/>
  <c r="BC57" i="43" s="1"/>
  <c r="BD57" i="43"/>
  <c r="BE57" i="43" s="1"/>
  <c r="BB41" i="43"/>
  <c r="BC41" i="43" s="1"/>
  <c r="BD41" i="43"/>
  <c r="BE41" i="43" s="1"/>
  <c r="BB27" i="43"/>
  <c r="BC27" i="43" s="1"/>
  <c r="BD27" i="43"/>
  <c r="BE27" i="43" s="1"/>
  <c r="BB26" i="43"/>
  <c r="BC26" i="43" s="1"/>
  <c r="BD26" i="43"/>
  <c r="BE26" i="43" s="1"/>
  <c r="BD25" i="43"/>
  <c r="BE25" i="43" s="1"/>
  <c r="BB25" i="43"/>
  <c r="BC25" i="43" s="1"/>
  <c r="BD24" i="43"/>
  <c r="BE24" i="43" s="1"/>
  <c r="BB24" i="43"/>
  <c r="BC24" i="43" s="1"/>
  <c r="BD23" i="43"/>
  <c r="BE23" i="43" s="1"/>
  <c r="BB23" i="43"/>
  <c r="BC23" i="43" s="1"/>
  <c r="BD22" i="43"/>
  <c r="BE22" i="43" s="1"/>
  <c r="BB22" i="43"/>
  <c r="BC22" i="43" s="1"/>
  <c r="BD21" i="43"/>
  <c r="BE21" i="43" s="1"/>
  <c r="BB21" i="43"/>
  <c r="BC21" i="43" s="1"/>
  <c r="BD20" i="43"/>
  <c r="BE20" i="43" s="1"/>
  <c r="BB20" i="43"/>
  <c r="BC20" i="43" s="1"/>
  <c r="BD19" i="43"/>
  <c r="BE19" i="43" s="1"/>
  <c r="BB19" i="43"/>
  <c r="BC19" i="43" s="1"/>
  <c r="BD18" i="43"/>
  <c r="BE18" i="43" s="1"/>
  <c r="BB18" i="43"/>
  <c r="BC18" i="43" s="1"/>
  <c r="BD17" i="43"/>
  <c r="BE17" i="43" s="1"/>
  <c r="BB17" i="43"/>
  <c r="BC17" i="43" s="1"/>
  <c r="BD16" i="43"/>
  <c r="BE16" i="43" s="1"/>
  <c r="BB16" i="43"/>
  <c r="BC16" i="43" s="1"/>
  <c r="BD15" i="43"/>
  <c r="BE15" i="43" s="1"/>
  <c r="BB15" i="43"/>
  <c r="BC15" i="43" s="1"/>
  <c r="BD14" i="43"/>
  <c r="BE14" i="43" s="1"/>
  <c r="BB14" i="43"/>
  <c r="BC14" i="43" s="1"/>
  <c r="BD13" i="43"/>
  <c r="BE13" i="43" s="1"/>
  <c r="BB13" i="43"/>
  <c r="BC13" i="43" s="1"/>
  <c r="BB33" i="43"/>
  <c r="BC33" i="43" s="1"/>
  <c r="BD33" i="43"/>
  <c r="BE33" i="43" s="1"/>
  <c r="BB37" i="43"/>
  <c r="BC37" i="43" s="1"/>
  <c r="BD37" i="43"/>
  <c r="BE37" i="43" s="1"/>
  <c r="BB31" i="43"/>
  <c r="BC31" i="43" s="1"/>
  <c r="BD31" i="43"/>
  <c r="BE31" i="43" s="1"/>
  <c r="BB66" i="43"/>
  <c r="BC66" i="43" s="1"/>
  <c r="BD66" i="43"/>
  <c r="BE66" i="43" s="1"/>
  <c r="BB58" i="43"/>
  <c r="BC58" i="43" s="1"/>
  <c r="BD58" i="43"/>
  <c r="BE58" i="43" s="1"/>
  <c r="BB59" i="43"/>
  <c r="BC59" i="43" s="1"/>
  <c r="BD59" i="43"/>
  <c r="BE59" i="43" s="1"/>
  <c r="BB48" i="43"/>
  <c r="BC48" i="43" s="1"/>
  <c r="BD48" i="43"/>
  <c r="BE48" i="43" s="1"/>
  <c r="BB42" i="43"/>
  <c r="BC42" i="43" s="1"/>
  <c r="BD42" i="43"/>
  <c r="BE42" i="43" s="1"/>
  <c r="BB65" i="43"/>
  <c r="BC65" i="43" s="1"/>
  <c r="BD65" i="43"/>
  <c r="BE65" i="43" s="1"/>
  <c r="BB45" i="43"/>
  <c r="BC45" i="43" s="1"/>
  <c r="BD45" i="43"/>
  <c r="BE45" i="43" s="1"/>
  <c r="BD12" i="43"/>
  <c r="BE12" i="43" s="1"/>
  <c r="BB12" i="43"/>
  <c r="BC12" i="43" s="1"/>
  <c r="BB29" i="43"/>
  <c r="BC29" i="43" s="1"/>
  <c r="BD29" i="43"/>
  <c r="BE29" i="43" s="1"/>
  <c r="BB39" i="43"/>
  <c r="BC39" i="43" s="1"/>
  <c r="BD39" i="43"/>
  <c r="BE39" i="43" s="1"/>
  <c r="BB68" i="43"/>
  <c r="BC68" i="43" s="1"/>
  <c r="BD68" i="43"/>
  <c r="BE68" i="43" s="1"/>
  <c r="BB60" i="43"/>
  <c r="BC60" i="43" s="1"/>
  <c r="BD60" i="43"/>
  <c r="BE60" i="43" s="1"/>
  <c r="BB67" i="43"/>
  <c r="BC67" i="43" s="1"/>
  <c r="BD67" i="43"/>
  <c r="BE67" i="43" s="1"/>
  <c r="BB52" i="43"/>
  <c r="BC52" i="43" s="1"/>
  <c r="BD52" i="43"/>
  <c r="BE52" i="43" s="1"/>
  <c r="BB63" i="43"/>
  <c r="BC63" i="43" s="1"/>
  <c r="BD63" i="43"/>
  <c r="BE63" i="43" s="1"/>
  <c r="BB46" i="43"/>
  <c r="BC46" i="43" s="1"/>
  <c r="BD46" i="43"/>
  <c r="BE46" i="43" s="1"/>
  <c r="BB49" i="43"/>
  <c r="BC49" i="43" s="1"/>
  <c r="BD49" i="43"/>
  <c r="BE49" i="43" s="1"/>
  <c r="BD11" i="43"/>
  <c r="BE11" i="43" s="1"/>
  <c r="BB11" i="43"/>
  <c r="BC11" i="43" s="1"/>
  <c r="AS9" i="43"/>
  <c r="AT9" i="43" s="1"/>
  <c r="AU9" i="43"/>
  <c r="AV9" i="43" s="1"/>
  <c r="BB61" i="43"/>
  <c r="BC61" i="43" s="1"/>
  <c r="BD61" i="43"/>
  <c r="BE61" i="43" s="1"/>
  <c r="BB35" i="43"/>
  <c r="BC35" i="43" s="1"/>
  <c r="BD35" i="43"/>
  <c r="BE35" i="43" s="1"/>
  <c r="BB62" i="43"/>
  <c r="BC62" i="43" s="1"/>
  <c r="BD62" i="43"/>
  <c r="BE62" i="43" s="1"/>
  <c r="BB56" i="43"/>
  <c r="BC56" i="43" s="1"/>
  <c r="BD56" i="43"/>
  <c r="BE56" i="43" s="1"/>
  <c r="BB50" i="43"/>
  <c r="BC50" i="43" s="1"/>
  <c r="BD50" i="43"/>
  <c r="BE50" i="43" s="1"/>
  <c r="BB53" i="43"/>
  <c r="BC53" i="43" s="1"/>
  <c r="BD53" i="43"/>
  <c r="BE53" i="43" s="1"/>
  <c r="BD10" i="43"/>
  <c r="BE10" i="43" s="1"/>
  <c r="BB10" i="43"/>
  <c r="BC10" i="43" s="1"/>
  <c r="BB55" i="43"/>
  <c r="BC55" i="43" s="1"/>
  <c r="BD55" i="43"/>
  <c r="BE55" i="43" s="1"/>
  <c r="BB51" i="43"/>
  <c r="BC51" i="43" s="1"/>
  <c r="BD51" i="43"/>
  <c r="BE51" i="43" s="1"/>
  <c r="BB47" i="43"/>
  <c r="BC47" i="43" s="1"/>
  <c r="BD47" i="43"/>
  <c r="BE47" i="43" s="1"/>
  <c r="BB43" i="43"/>
  <c r="BC43" i="43" s="1"/>
  <c r="BD43" i="43"/>
  <c r="BE43" i="43" s="1"/>
  <c r="BB21" i="42"/>
  <c r="BC21" i="42" s="1"/>
  <c r="AR9" i="42"/>
  <c r="AV10" i="42"/>
  <c r="AV11" i="42"/>
  <c r="AV13" i="42"/>
  <c r="AV15" i="42"/>
  <c r="BB18" i="42"/>
  <c r="BC18" i="42" s="1"/>
  <c r="BD21" i="42"/>
  <c r="BE21" i="42" s="1"/>
  <c r="AD9" i="42"/>
  <c r="AS10" i="42"/>
  <c r="AT10" i="42" s="1"/>
  <c r="AY11" i="42"/>
  <c r="AY12" i="42"/>
  <c r="AY13" i="42"/>
  <c r="AY14" i="42"/>
  <c r="AY15" i="42"/>
  <c r="AJ16" i="42"/>
  <c r="BA16" i="42"/>
  <c r="AV24" i="42"/>
  <c r="BE10" i="42"/>
  <c r="AV12" i="42"/>
  <c r="BB13" i="42"/>
  <c r="BC13" i="42" s="1"/>
  <c r="AV14" i="42"/>
  <c r="AY9" i="42"/>
  <c r="AY10" i="42"/>
  <c r="AS11" i="42"/>
  <c r="AT11" i="42" s="1"/>
  <c r="AS12" i="42"/>
  <c r="AT12" i="42" s="1"/>
  <c r="AS13" i="42"/>
  <c r="AT13" i="42" s="1"/>
  <c r="AS14" i="42"/>
  <c r="AT14" i="42" s="1"/>
  <c r="AS15" i="42"/>
  <c r="AT15" i="42" s="1"/>
  <c r="AV17" i="42"/>
  <c r="AJ10" i="42"/>
  <c r="AJ11" i="42"/>
  <c r="AJ12" i="42"/>
  <c r="AJ13" i="42"/>
  <c r="AJ14" i="42"/>
  <c r="AJ15" i="42"/>
  <c r="AV21" i="42"/>
  <c r="AV23" i="42"/>
  <c r="BB24" i="42"/>
  <c r="BC24" i="42" s="1"/>
  <c r="BE25" i="42"/>
  <c r="BE27" i="42"/>
  <c r="BE28" i="42"/>
  <c r="BE30" i="42"/>
  <c r="BE33" i="42"/>
  <c r="BE34" i="42"/>
  <c r="BE35" i="42"/>
  <c r="BB25" i="42"/>
  <c r="BC25" i="42" s="1"/>
  <c r="BB27" i="42"/>
  <c r="BC27" i="42" s="1"/>
  <c r="BB28" i="42"/>
  <c r="BC28" i="42" s="1"/>
  <c r="BB30" i="42"/>
  <c r="BC30" i="42" s="1"/>
  <c r="AV34" i="42"/>
  <c r="BB34" i="42"/>
  <c r="BC34" i="42" s="1"/>
  <c r="BB35" i="42"/>
  <c r="BC35" i="42" s="1"/>
  <c r="AU37" i="42"/>
  <c r="AV37" i="42" s="1"/>
  <c r="AS37" i="42"/>
  <c r="AT37" i="42" s="1"/>
  <c r="BB37" i="42"/>
  <c r="BC37" i="42" s="1"/>
  <c r="AU38" i="42"/>
  <c r="AV38" i="42" s="1"/>
  <c r="AS38" i="42"/>
  <c r="AT38" i="42" s="1"/>
  <c r="BB38" i="42"/>
  <c r="BC38" i="42" s="1"/>
  <c r="AU39" i="42"/>
  <c r="AV39" i="42" s="1"/>
  <c r="AS39" i="42"/>
  <c r="AT39" i="42" s="1"/>
  <c r="BB39" i="42"/>
  <c r="BC39" i="42" s="1"/>
  <c r="AU40" i="42"/>
  <c r="AV40" i="42" s="1"/>
  <c r="AS40" i="42"/>
  <c r="BB40" i="42"/>
  <c r="BC40" i="42" s="1"/>
  <c r="AU41" i="42"/>
  <c r="AV41" i="42" s="1"/>
  <c r="AS41" i="42"/>
  <c r="AT41" i="42" s="1"/>
  <c r="BB41" i="42"/>
  <c r="BC41" i="42" s="1"/>
  <c r="AU42" i="42"/>
  <c r="AV42" i="42" s="1"/>
  <c r="AS42" i="42"/>
  <c r="AT42" i="42" s="1"/>
  <c r="BB42" i="42"/>
  <c r="BC42" i="42" s="1"/>
  <c r="AU43" i="42"/>
  <c r="AV43" i="42" s="1"/>
  <c r="AS43" i="42"/>
  <c r="AT43" i="42" s="1"/>
  <c r="BB43" i="42"/>
  <c r="BC43" i="42" s="1"/>
  <c r="AU44" i="42"/>
  <c r="AV44" i="42" s="1"/>
  <c r="AS44" i="42"/>
  <c r="AT44" i="42" s="1"/>
  <c r="BB44" i="42"/>
  <c r="BC44" i="42" s="1"/>
  <c r="AU45" i="42"/>
  <c r="AV45" i="42" s="1"/>
  <c r="AS45" i="42"/>
  <c r="AT45" i="42" s="1"/>
  <c r="BB45" i="42"/>
  <c r="BC45" i="42" s="1"/>
  <c r="AU46" i="42"/>
  <c r="AV46" i="42" s="1"/>
  <c r="AS46" i="42"/>
  <c r="AT46" i="42" s="1"/>
  <c r="BB46" i="42"/>
  <c r="BC46" i="42" s="1"/>
  <c r="AU47" i="42"/>
  <c r="AV47" i="42" s="1"/>
  <c r="AS47" i="42"/>
  <c r="AT47" i="42" s="1"/>
  <c r="BB47" i="42"/>
  <c r="BC47" i="42" s="1"/>
  <c r="AU48" i="42"/>
  <c r="AV48" i="42" s="1"/>
  <c r="AS48" i="42"/>
  <c r="AT48" i="42" s="1"/>
  <c r="BB48" i="42"/>
  <c r="BC48" i="42" s="1"/>
  <c r="AU49" i="42"/>
  <c r="AV49" i="42" s="1"/>
  <c r="AS49" i="42"/>
  <c r="AT49" i="42" s="1"/>
  <c r="BB49" i="42"/>
  <c r="BC49" i="42" s="1"/>
  <c r="AU50" i="42"/>
  <c r="AV50" i="42" s="1"/>
  <c r="AS50" i="42"/>
  <c r="AT50" i="42" s="1"/>
  <c r="BB50" i="42"/>
  <c r="BC50" i="42" s="1"/>
  <c r="AU51" i="42"/>
  <c r="AV51" i="42" s="1"/>
  <c r="AS51" i="42"/>
  <c r="AT51" i="42" s="1"/>
  <c r="BB51" i="42"/>
  <c r="BC51" i="42" s="1"/>
  <c r="AU52" i="42"/>
  <c r="AV52" i="42" s="1"/>
  <c r="AS52" i="42"/>
  <c r="AT52" i="42" s="1"/>
  <c r="BB52" i="42"/>
  <c r="BC52" i="42" s="1"/>
  <c r="AN37" i="42"/>
  <c r="BD37" i="42"/>
  <c r="BE37" i="42" s="1"/>
  <c r="AN38" i="42"/>
  <c r="BD38" i="42"/>
  <c r="BE38" i="42" s="1"/>
  <c r="AN39" i="42"/>
  <c r="BD39" i="42"/>
  <c r="BE39" i="42" s="1"/>
  <c r="AN40" i="42"/>
  <c r="AT40" i="42"/>
  <c r="BD40" i="42"/>
  <c r="BE40" i="42" s="1"/>
  <c r="AN41" i="42"/>
  <c r="BD41" i="42"/>
  <c r="BE41" i="42" s="1"/>
  <c r="AN42" i="42"/>
  <c r="BD42" i="42"/>
  <c r="BE42" i="42" s="1"/>
  <c r="AN43" i="42"/>
  <c r="BD43" i="42"/>
  <c r="BE43" i="42" s="1"/>
  <c r="AN44" i="42"/>
  <c r="BD44" i="42"/>
  <c r="BE44" i="42" s="1"/>
  <c r="AN45" i="42"/>
  <c r="BD45" i="42"/>
  <c r="BE45" i="42" s="1"/>
  <c r="AN46" i="42"/>
  <c r="BD46" i="42"/>
  <c r="BE46" i="42" s="1"/>
  <c r="AN47" i="42"/>
  <c r="BD47" i="42"/>
  <c r="BE47" i="42" s="1"/>
  <c r="AN48" i="42"/>
  <c r="BD48" i="42"/>
  <c r="BE48" i="42" s="1"/>
  <c r="AN49" i="42"/>
  <c r="BD49" i="42"/>
  <c r="BE49" i="42" s="1"/>
  <c r="AN50" i="42"/>
  <c r="BD50" i="42"/>
  <c r="BE50" i="42" s="1"/>
  <c r="AN51" i="42"/>
  <c r="BD51" i="42"/>
  <c r="BE51" i="42" s="1"/>
  <c r="AN52" i="42"/>
  <c r="BD52" i="42"/>
  <c r="BE52" i="42" s="1"/>
  <c r="AY37" i="42"/>
  <c r="AY38" i="42"/>
  <c r="AY39" i="42"/>
  <c r="AY40" i="42"/>
  <c r="AY41" i="42"/>
  <c r="AY42" i="42"/>
  <c r="AY43" i="42"/>
  <c r="AY44" i="42"/>
  <c r="AY45" i="42"/>
  <c r="AY46" i="42"/>
  <c r="AY47" i="42"/>
  <c r="AY48" i="42"/>
  <c r="AY49" i="42"/>
  <c r="AY50" i="42"/>
  <c r="AY51" i="42"/>
  <c r="AY52" i="42"/>
  <c r="K35" i="38"/>
  <c r="I35" i="38"/>
  <c r="I36" i="38" s="1"/>
  <c r="I34" i="38"/>
  <c r="K34" i="38"/>
  <c r="M34" i="38"/>
  <c r="E33" i="38"/>
  <c r="K36" i="38"/>
  <c r="K32" i="38"/>
  <c r="E35" i="38"/>
  <c r="G32" i="38"/>
  <c r="G36" i="38" s="1"/>
  <c r="I32" i="38"/>
  <c r="E32" i="38"/>
  <c r="E34" i="38" s="1"/>
  <c r="AM56" i="39"/>
  <c r="AM55" i="39"/>
  <c r="AM54" i="39"/>
  <c r="AM53" i="39"/>
  <c r="AM52" i="39"/>
  <c r="AM51" i="39"/>
  <c r="AM50" i="39"/>
  <c r="AM49" i="39"/>
  <c r="AM48" i="39"/>
  <c r="AM47" i="39"/>
  <c r="AM46" i="39"/>
  <c r="AM45" i="39"/>
  <c r="AM44" i="39"/>
  <c r="AM43" i="39"/>
  <c r="AM42" i="39"/>
  <c r="AM41" i="39"/>
  <c r="AM40" i="39"/>
  <c r="AM39" i="39"/>
  <c r="AM38" i="39"/>
  <c r="AM37" i="39"/>
  <c r="AM36" i="39"/>
  <c r="AM35" i="39"/>
  <c r="AM34" i="39"/>
  <c r="AM33" i="39"/>
  <c r="AM32" i="39"/>
  <c r="AM31" i="39"/>
  <c r="AM30" i="39"/>
  <c r="AM29" i="39"/>
  <c r="AM28" i="39"/>
  <c r="AM27" i="39"/>
  <c r="AM26" i="39"/>
  <c r="AM25" i="39"/>
  <c r="AM24" i="39"/>
  <c r="AM23" i="39"/>
  <c r="AM22" i="39"/>
  <c r="AM21" i="39"/>
  <c r="AM20" i="39"/>
  <c r="AM19" i="39"/>
  <c r="AM18" i="39"/>
  <c r="AM17" i="39"/>
  <c r="AM16" i="39"/>
  <c r="AM15" i="39"/>
  <c r="AM14" i="39"/>
  <c r="AM13" i="39"/>
  <c r="AM12" i="39"/>
  <c r="AM11" i="39"/>
  <c r="AM10" i="39"/>
  <c r="AM9" i="39"/>
  <c r="AR56" i="39"/>
  <c r="AQ56" i="39"/>
  <c r="AP56" i="39"/>
  <c r="AR55" i="39"/>
  <c r="AQ55" i="39"/>
  <c r="AP55" i="39"/>
  <c r="AR54" i="39"/>
  <c r="AQ54" i="39"/>
  <c r="AP54" i="39"/>
  <c r="AR53" i="39"/>
  <c r="AQ53" i="39"/>
  <c r="AP53" i="39"/>
  <c r="AR52" i="39"/>
  <c r="AQ52" i="39"/>
  <c r="AP52" i="39"/>
  <c r="AR51" i="39"/>
  <c r="AQ51" i="39"/>
  <c r="AP51" i="39"/>
  <c r="AR50" i="39"/>
  <c r="AQ50" i="39"/>
  <c r="AP50" i="39"/>
  <c r="AR49" i="39"/>
  <c r="AQ49" i="39"/>
  <c r="AP49" i="39"/>
  <c r="AR48" i="39"/>
  <c r="AQ48" i="39"/>
  <c r="AP48" i="39"/>
  <c r="AR47" i="39"/>
  <c r="AQ47" i="39"/>
  <c r="AP47" i="39"/>
  <c r="AR46" i="39"/>
  <c r="AQ46" i="39"/>
  <c r="AP46" i="39"/>
  <c r="AR45" i="39"/>
  <c r="AQ45" i="39"/>
  <c r="AP45" i="39"/>
  <c r="AR44" i="39"/>
  <c r="AQ44" i="39"/>
  <c r="AP44" i="39"/>
  <c r="AR43" i="39"/>
  <c r="AQ43" i="39"/>
  <c r="AP43" i="39"/>
  <c r="AR42" i="39"/>
  <c r="AQ42" i="39"/>
  <c r="AP42" i="39"/>
  <c r="AR41" i="39"/>
  <c r="AQ41" i="39"/>
  <c r="AP41" i="39"/>
  <c r="AR40" i="39"/>
  <c r="AQ40" i="39"/>
  <c r="AP40" i="39"/>
  <c r="AR39" i="39"/>
  <c r="AQ39" i="39"/>
  <c r="AP39" i="39"/>
  <c r="AR38" i="39"/>
  <c r="AQ38" i="39"/>
  <c r="AP38" i="39"/>
  <c r="AR37" i="39"/>
  <c r="AQ37" i="39"/>
  <c r="AP37" i="39"/>
  <c r="AR36" i="39"/>
  <c r="AQ36" i="39"/>
  <c r="AP36" i="39"/>
  <c r="AR35" i="39"/>
  <c r="AQ35" i="39"/>
  <c r="AP35" i="39"/>
  <c r="AR34" i="39"/>
  <c r="AQ34" i="39"/>
  <c r="AP34" i="39"/>
  <c r="AR33" i="39"/>
  <c r="AQ33" i="39"/>
  <c r="AP33" i="39"/>
  <c r="AR32" i="39"/>
  <c r="AQ32" i="39"/>
  <c r="AP32" i="39"/>
  <c r="AR31" i="39"/>
  <c r="AQ31" i="39"/>
  <c r="AP31" i="39"/>
  <c r="AR30" i="39"/>
  <c r="AQ30" i="39"/>
  <c r="AP30" i="39"/>
  <c r="AR29" i="39"/>
  <c r="AQ29" i="39"/>
  <c r="AP29" i="39"/>
  <c r="AR28" i="39"/>
  <c r="AQ28" i="39"/>
  <c r="AP28" i="39"/>
  <c r="AR27" i="39"/>
  <c r="AQ27" i="39"/>
  <c r="AP27" i="39"/>
  <c r="AR26" i="39"/>
  <c r="AQ26" i="39"/>
  <c r="AP26" i="39"/>
  <c r="AR25" i="39"/>
  <c r="AQ25" i="39"/>
  <c r="AP25" i="39"/>
  <c r="AR24" i="39"/>
  <c r="AQ24" i="39"/>
  <c r="AP24" i="39"/>
  <c r="AR23" i="39"/>
  <c r="AQ23" i="39"/>
  <c r="AP23" i="39"/>
  <c r="AR22" i="39"/>
  <c r="AQ22" i="39"/>
  <c r="AP22" i="39"/>
  <c r="AR21" i="39"/>
  <c r="AQ21" i="39"/>
  <c r="AP21" i="39"/>
  <c r="AR20" i="39"/>
  <c r="AQ20" i="39"/>
  <c r="AP20" i="39"/>
  <c r="AR19" i="39"/>
  <c r="AQ19" i="39"/>
  <c r="AP19" i="39"/>
  <c r="AR18" i="39"/>
  <c r="AQ18" i="39"/>
  <c r="AP18" i="39"/>
  <c r="AR17" i="39"/>
  <c r="AQ17" i="39"/>
  <c r="AP17" i="39"/>
  <c r="AR16" i="39"/>
  <c r="AQ16" i="39"/>
  <c r="AP16" i="39"/>
  <c r="AR15" i="39"/>
  <c r="AQ15" i="39"/>
  <c r="AP15" i="39"/>
  <c r="AR14" i="39"/>
  <c r="AQ14" i="39"/>
  <c r="AP14" i="39"/>
  <c r="AR13" i="39"/>
  <c r="AQ13" i="39"/>
  <c r="AP13" i="39"/>
  <c r="AR12" i="39"/>
  <c r="AQ12" i="39"/>
  <c r="AP12" i="39"/>
  <c r="AR11" i="39"/>
  <c r="AQ11" i="39"/>
  <c r="AP11" i="39"/>
  <c r="AR10" i="39"/>
  <c r="AQ10" i="39"/>
  <c r="AP10" i="39"/>
  <c r="AH30" i="39"/>
  <c r="AH29" i="39"/>
  <c r="AH28" i="39"/>
  <c r="AH27" i="39"/>
  <c r="AH26" i="39"/>
  <c r="AH25" i="39"/>
  <c r="AH24" i="39"/>
  <c r="AH23" i="39"/>
  <c r="AH22" i="39"/>
  <c r="AH21" i="39"/>
  <c r="AH20" i="39"/>
  <c r="AH19" i="39"/>
  <c r="AH18" i="39"/>
  <c r="AH17" i="39"/>
  <c r="AH16" i="39"/>
  <c r="AH15" i="39"/>
  <c r="AH14" i="39"/>
  <c r="AH13" i="39"/>
  <c r="AH12" i="39"/>
  <c r="AH11" i="39"/>
  <c r="AH10" i="39"/>
  <c r="AH9" i="39"/>
  <c r="AH56" i="39"/>
  <c r="AH55" i="39"/>
  <c r="AH54" i="39"/>
  <c r="AH53" i="39"/>
  <c r="AH52" i="39"/>
  <c r="AH51" i="39"/>
  <c r="AH50" i="39"/>
  <c r="AH49" i="39"/>
  <c r="AH48" i="39"/>
  <c r="AH47" i="39"/>
  <c r="AH46" i="39"/>
  <c r="AH45" i="39"/>
  <c r="AH44" i="39"/>
  <c r="AH43" i="39"/>
  <c r="AH42" i="39"/>
  <c r="AH41" i="39"/>
  <c r="AH40" i="39"/>
  <c r="AH39" i="39"/>
  <c r="AH38" i="39"/>
  <c r="AH37" i="39"/>
  <c r="AH36" i="39"/>
  <c r="AH35" i="39"/>
  <c r="AH34" i="39"/>
  <c r="AH33" i="39"/>
  <c r="AH32" i="39"/>
  <c r="AH31" i="39"/>
  <c r="BD20" i="42" l="1"/>
  <c r="BE20" i="42" s="1"/>
  <c r="BE13" i="42"/>
  <c r="BE32" i="42"/>
  <c r="BE19" i="42"/>
  <c r="BC17" i="42"/>
  <c r="BB11" i="42"/>
  <c r="BC11" i="42" s="1"/>
  <c r="BE11" i="42"/>
  <c r="BB23" i="42"/>
  <c r="BC23" i="42" s="1"/>
  <c r="BC15" i="42"/>
  <c r="BE31" i="42"/>
  <c r="BE12" i="42"/>
  <c r="BB12" i="42"/>
  <c r="BC12" i="42" s="1"/>
  <c r="BD15" i="42"/>
  <c r="BE15" i="42" s="1"/>
  <c r="BB33" i="42"/>
  <c r="BC33" i="42" s="1"/>
  <c r="BB31" i="42"/>
  <c r="BC31" i="42" s="1"/>
  <c r="BB9" i="42"/>
  <c r="BC9" i="42" s="1"/>
  <c r="BB19" i="42"/>
  <c r="BC19" i="42" s="1"/>
  <c r="G34" i="38"/>
  <c r="BD17" i="42"/>
  <c r="BE17" i="42" s="1"/>
  <c r="BB14" i="42"/>
  <c r="BC14" i="42" s="1"/>
  <c r="BB26" i="42"/>
  <c r="BC26" i="42" s="1"/>
  <c r="BD36" i="42"/>
  <c r="BE36" i="42" s="1"/>
  <c r="BE29" i="42"/>
  <c r="BB32" i="42"/>
  <c r="BC32" i="42" s="1"/>
  <c r="BE9" i="42"/>
  <c r="E36" i="38"/>
  <c r="BB10" i="42"/>
  <c r="BC10" i="42" s="1"/>
  <c r="BE14" i="42"/>
  <c r="BD22" i="42"/>
  <c r="BE22" i="42" s="1"/>
  <c r="BB22" i="42"/>
  <c r="BC22" i="42" s="1"/>
  <c r="BB36" i="42"/>
  <c r="BC36" i="42" s="1"/>
  <c r="BB29" i="42"/>
  <c r="BC29" i="42" s="1"/>
  <c r="BE26" i="42"/>
  <c r="BB16" i="42"/>
  <c r="BC16" i="42" s="1"/>
  <c r="BD16" i="42"/>
  <c r="BE16" i="42" s="1"/>
  <c r="AU9" i="42"/>
  <c r="AV9" i="42" s="1"/>
  <c r="AS9" i="42"/>
  <c r="AT9" i="42" s="1"/>
  <c r="AY47" i="39" l="1"/>
  <c r="AJ44" i="39"/>
  <c r="AZ27" i="39"/>
  <c r="BA25" i="39"/>
  <c r="AC9" i="39"/>
  <c r="O56" i="39"/>
  <c r="AL56" i="39" s="1"/>
  <c r="O55" i="39"/>
  <c r="AL55" i="39" s="1"/>
  <c r="O54" i="39"/>
  <c r="AL54" i="39" s="1"/>
  <c r="O53" i="39"/>
  <c r="AL53" i="39" s="1"/>
  <c r="O52" i="39"/>
  <c r="AL52" i="39" s="1"/>
  <c r="O51" i="39"/>
  <c r="AL51" i="39" s="1"/>
  <c r="O50" i="39"/>
  <c r="AL50" i="39" s="1"/>
  <c r="O49" i="39"/>
  <c r="AL49" i="39" s="1"/>
  <c r="O48" i="39"/>
  <c r="AL48" i="39" s="1"/>
  <c r="O47" i="39"/>
  <c r="AL47" i="39" s="1"/>
  <c r="O46" i="39"/>
  <c r="AL46" i="39" s="1"/>
  <c r="O45" i="39"/>
  <c r="AL45" i="39" s="1"/>
  <c r="O44" i="39"/>
  <c r="AL44" i="39" s="1"/>
  <c r="O43" i="39"/>
  <c r="AL43" i="39" s="1"/>
  <c r="O42" i="39"/>
  <c r="AL42" i="39" s="1"/>
  <c r="O41" i="39"/>
  <c r="AL41" i="39" s="1"/>
  <c r="O40" i="39"/>
  <c r="AL40" i="39" s="1"/>
  <c r="O39" i="39"/>
  <c r="AL39" i="39" s="1"/>
  <c r="O38" i="39"/>
  <c r="AL38" i="39" s="1"/>
  <c r="O37" i="39"/>
  <c r="AL37" i="39" s="1"/>
  <c r="O36" i="39"/>
  <c r="AL36" i="39" s="1"/>
  <c r="O35" i="39"/>
  <c r="AL35" i="39" s="1"/>
  <c r="O34" i="39"/>
  <c r="AL34" i="39" s="1"/>
  <c r="O33" i="39"/>
  <c r="AL33" i="39" s="1"/>
  <c r="O32" i="39"/>
  <c r="AL32" i="39" s="1"/>
  <c r="O31" i="39"/>
  <c r="AL31" i="39" s="1"/>
  <c r="O30" i="39"/>
  <c r="AL30" i="39" s="1"/>
  <c r="O29" i="39"/>
  <c r="AL29" i="39" s="1"/>
  <c r="O28" i="39"/>
  <c r="AL28" i="39" s="1"/>
  <c r="O27" i="39"/>
  <c r="AN27" i="39" s="1"/>
  <c r="O26" i="39"/>
  <c r="AL26" i="39" s="1"/>
  <c r="O25" i="39"/>
  <c r="AL25" i="39" s="1"/>
  <c r="O24" i="39"/>
  <c r="AL24" i="39" s="1"/>
  <c r="O23" i="39"/>
  <c r="O22" i="39"/>
  <c r="AL22" i="39" s="1"/>
  <c r="O21" i="39"/>
  <c r="AL21" i="39" s="1"/>
  <c r="O20" i="39"/>
  <c r="AL20" i="39" s="1"/>
  <c r="O19" i="39"/>
  <c r="AL19" i="39" s="1"/>
  <c r="O18" i="39"/>
  <c r="O17" i="39"/>
  <c r="AL17" i="39" s="1"/>
  <c r="O16" i="39"/>
  <c r="AL16" i="39" s="1"/>
  <c r="O15" i="39"/>
  <c r="AL15" i="39" s="1"/>
  <c r="O14" i="39"/>
  <c r="AL14" i="39" s="1"/>
  <c r="O13" i="39"/>
  <c r="O12" i="39"/>
  <c r="AL12" i="39" s="1"/>
  <c r="O11" i="39"/>
  <c r="AL11" i="39" s="1"/>
  <c r="O10" i="39"/>
  <c r="AL10" i="39" s="1"/>
  <c r="O9" i="39"/>
  <c r="AL9" i="39" s="1"/>
  <c r="M81" i="38"/>
  <c r="O81" i="38" s="1"/>
  <c r="Q81" i="38" s="1"/>
  <c r="E83" i="38" s="1"/>
  <c r="G83" i="38" s="1"/>
  <c r="I83" i="38" s="1"/>
  <c r="K83" i="38" s="1"/>
  <c r="M83" i="38" s="1"/>
  <c r="O83" i="38" s="1"/>
  <c r="Q83" i="38" s="1"/>
  <c r="E85" i="38" s="1"/>
  <c r="G85" i="38" s="1"/>
  <c r="I85" i="38" s="1"/>
  <c r="K85" i="38" s="1"/>
  <c r="AQ9" i="39" l="1"/>
  <c r="AP9" i="39"/>
  <c r="AR9" i="39"/>
  <c r="AN33" i="39"/>
  <c r="BA16" i="39"/>
  <c r="BB16" i="39" s="1"/>
  <c r="BC16" i="39" s="1"/>
  <c r="AZ19" i="39"/>
  <c r="AN13" i="39"/>
  <c r="AN17" i="39"/>
  <c r="AN52" i="39"/>
  <c r="AN9" i="39"/>
  <c r="AN56" i="39"/>
  <c r="AY10" i="39"/>
  <c r="AZ18" i="39"/>
  <c r="BA22" i="39"/>
  <c r="BB22" i="39" s="1"/>
  <c r="AY23" i="39"/>
  <c r="AZ36" i="39"/>
  <c r="AN24" i="39"/>
  <c r="AL27" i="39"/>
  <c r="AN38" i="39"/>
  <c r="AN40" i="39"/>
  <c r="AZ12" i="39"/>
  <c r="AN22" i="39"/>
  <c r="AN23" i="39"/>
  <c r="AL23" i="39"/>
  <c r="AY15" i="39"/>
  <c r="AS15" i="39"/>
  <c r="AT15" i="39" s="1"/>
  <c r="BA15" i="39"/>
  <c r="BB15" i="39" s="1"/>
  <c r="BC15" i="39" s="1"/>
  <c r="AY17" i="39"/>
  <c r="BA17" i="39"/>
  <c r="BB17" i="39" s="1"/>
  <c r="AZ17" i="39"/>
  <c r="AS17" i="39"/>
  <c r="AT17" i="39" s="1"/>
  <c r="AU24" i="39"/>
  <c r="AV24" i="39" s="1"/>
  <c r="AJ24" i="39"/>
  <c r="AZ38" i="39"/>
  <c r="AY39" i="39"/>
  <c r="AN20" i="39"/>
  <c r="AS25" i="39"/>
  <c r="AT25" i="39" s="1"/>
  <c r="AU30" i="39"/>
  <c r="AZ32" i="39"/>
  <c r="BA32" i="39"/>
  <c r="BD32" i="39" s="1"/>
  <c r="BE32" i="39" s="1"/>
  <c r="AS32" i="39"/>
  <c r="AT32" i="39" s="1"/>
  <c r="AL13" i="39"/>
  <c r="AZ20" i="39"/>
  <c r="AZ28" i="39"/>
  <c r="AY31" i="39"/>
  <c r="BA31" i="39"/>
  <c r="BB31" i="39" s="1"/>
  <c r="AZ31" i="39"/>
  <c r="AZ15" i="39"/>
  <c r="AN37" i="39"/>
  <c r="AN44" i="39"/>
  <c r="AN54" i="39"/>
  <c r="AY16" i="39"/>
  <c r="AY18" i="39"/>
  <c r="AZ14" i="39"/>
  <c r="BA36" i="39"/>
  <c r="BB36" i="39" s="1"/>
  <c r="BC36" i="39" s="1"/>
  <c r="AN43" i="39"/>
  <c r="AN49" i="39"/>
  <c r="AU16" i="39"/>
  <c r="BA18" i="39"/>
  <c r="BD18" i="39" s="1"/>
  <c r="BE18" i="39" s="1"/>
  <c r="AY21" i="39"/>
  <c r="AN18" i="39"/>
  <c r="AN19" i="39"/>
  <c r="AN28" i="39"/>
  <c r="AN30" i="39"/>
  <c r="AN47" i="39"/>
  <c r="AN53" i="39"/>
  <c r="AZ16" i="39"/>
  <c r="AS22" i="39"/>
  <c r="AT22" i="39" s="1"/>
  <c r="AY49" i="39"/>
  <c r="BA49" i="39"/>
  <c r="BD49" i="39" s="1"/>
  <c r="AZ49" i="39"/>
  <c r="AU14" i="39"/>
  <c r="AV14" i="39" s="1"/>
  <c r="AS14" i="39"/>
  <c r="AT14" i="39" s="1"/>
  <c r="AJ9" i="39"/>
  <c r="AY9" i="39"/>
  <c r="AJ13" i="39"/>
  <c r="AY13" i="39"/>
  <c r="BA13" i="39"/>
  <c r="BD13" i="39" s="1"/>
  <c r="BE13" i="39" s="1"/>
  <c r="BA11" i="39"/>
  <c r="AN11" i="39"/>
  <c r="AZ13" i="39"/>
  <c r="AU10" i="39"/>
  <c r="AZ10" i="39"/>
  <c r="BA10" i="39"/>
  <c r="BB10" i="39" s="1"/>
  <c r="BC10" i="39" s="1"/>
  <c r="AJ10" i="39"/>
  <c r="AY14" i="39"/>
  <c r="BA53" i="39"/>
  <c r="BB53" i="39" s="1"/>
  <c r="BC53" i="39" s="1"/>
  <c r="AZ53" i="39"/>
  <c r="AY53" i="39"/>
  <c r="AN12" i="39"/>
  <c r="BA12" i="39"/>
  <c r="BB12" i="39" s="1"/>
  <c r="BC12" i="39" s="1"/>
  <c r="AN21" i="39"/>
  <c r="AZ21" i="39"/>
  <c r="AN26" i="39"/>
  <c r="AZ26" i="39"/>
  <c r="AZ30" i="39"/>
  <c r="AY44" i="39"/>
  <c r="AY11" i="39"/>
  <c r="AY12" i="39"/>
  <c r="AY20" i="39"/>
  <c r="BA20" i="39"/>
  <c r="BB20" i="39" s="1"/>
  <c r="BC20" i="39" s="1"/>
  <c r="BA23" i="39"/>
  <c r="BD23" i="39" s="1"/>
  <c r="BE23" i="39" s="1"/>
  <c r="AZ23" i="39"/>
  <c r="BA27" i="39"/>
  <c r="BB27" i="39" s="1"/>
  <c r="BC27" i="39" s="1"/>
  <c r="AY27" i="39"/>
  <c r="BA41" i="39"/>
  <c r="BD41" i="39" s="1"/>
  <c r="AY41" i="39"/>
  <c r="AZ41" i="39"/>
  <c r="BA45" i="39"/>
  <c r="BB45" i="39" s="1"/>
  <c r="BC45" i="39" s="1"/>
  <c r="AZ45" i="39"/>
  <c r="AY45" i="39"/>
  <c r="AU45" i="39"/>
  <c r="AV45" i="39" s="1"/>
  <c r="AZ50" i="39"/>
  <c r="AY50" i="39"/>
  <c r="AU50" i="39"/>
  <c r="AV50" i="39" s="1"/>
  <c r="BA50" i="39"/>
  <c r="BB50" i="39" s="1"/>
  <c r="BC50" i="39" s="1"/>
  <c r="AY54" i="39"/>
  <c r="BA54" i="39"/>
  <c r="BD54" i="39" s="1"/>
  <c r="AZ54" i="39"/>
  <c r="BA56" i="39"/>
  <c r="BD56" i="39" s="1"/>
  <c r="AZ56" i="39"/>
  <c r="AY56" i="39"/>
  <c r="AL18" i="39"/>
  <c r="AN34" i="39"/>
  <c r="AN48" i="39"/>
  <c r="AS18" i="39"/>
  <c r="AT18" i="39" s="1"/>
  <c r="AU18" i="39"/>
  <c r="AV18" i="39" s="1"/>
  <c r="BA24" i="39"/>
  <c r="BD24" i="39" s="1"/>
  <c r="BE24" i="39" s="1"/>
  <c r="BA9" i="39"/>
  <c r="BD9" i="39" s="1"/>
  <c r="AY19" i="39"/>
  <c r="BA19" i="39"/>
  <c r="BB19" i="39" s="1"/>
  <c r="BC19" i="39" s="1"/>
  <c r="BA29" i="39"/>
  <c r="BB29" i="39" s="1"/>
  <c r="BC29" i="39" s="1"/>
  <c r="AZ29" i="39"/>
  <c r="AY29" i="39"/>
  <c r="BA33" i="39"/>
  <c r="BD33" i="39" s="1"/>
  <c r="BE33" i="39" s="1"/>
  <c r="AZ33" i="39"/>
  <c r="AY33" i="39"/>
  <c r="AU37" i="39"/>
  <c r="AV37" i="39" s="1"/>
  <c r="BA37" i="39"/>
  <c r="AZ37" i="39"/>
  <c r="AY37" i="39"/>
  <c r="AU42" i="39"/>
  <c r="AV42" i="39" s="1"/>
  <c r="BA42" i="39"/>
  <c r="BB42" i="39" s="1"/>
  <c r="BC42" i="39" s="1"/>
  <c r="AZ42" i="39"/>
  <c r="AY42" i="39"/>
  <c r="AJ42" i="39"/>
  <c r="AN14" i="39"/>
  <c r="BA14" i="39"/>
  <c r="BD14" i="39" s="1"/>
  <c r="BE14" i="39" s="1"/>
  <c r="AZ11" i="39"/>
  <c r="AU15" i="39"/>
  <c r="AV15" i="39" s="1"/>
  <c r="AS20" i="39"/>
  <c r="AT20" i="39" s="1"/>
  <c r="AU20" i="39"/>
  <c r="AV20" i="39" s="1"/>
  <c r="AY26" i="39"/>
  <c r="AN32" i="39"/>
  <c r="AN51" i="39"/>
  <c r="AZ43" i="39"/>
  <c r="AN41" i="39"/>
  <c r="AN45" i="39"/>
  <c r="AN55" i="39"/>
  <c r="AY28" i="39"/>
  <c r="BA30" i="39"/>
  <c r="BD30" i="39" s="1"/>
  <c r="BE30" i="39" s="1"/>
  <c r="AY34" i="39"/>
  <c r="BA38" i="39"/>
  <c r="BD38" i="39" s="1"/>
  <c r="AY38" i="39"/>
  <c r="AZ40" i="39"/>
  <c r="BA40" i="39"/>
  <c r="BD40" i="39" s="1"/>
  <c r="AS44" i="39"/>
  <c r="AT44" i="39" s="1"/>
  <c r="BA44" i="39"/>
  <c r="BB44" i="39" s="1"/>
  <c r="BC44" i="39" s="1"/>
  <c r="AZ44" i="39"/>
  <c r="BA46" i="39"/>
  <c r="BD46" i="39" s="1"/>
  <c r="AZ46" i="39"/>
  <c r="AY46" i="39"/>
  <c r="AY48" i="39"/>
  <c r="BA48" i="39"/>
  <c r="BD48" i="39" s="1"/>
  <c r="AZ48" i="39"/>
  <c r="BA51" i="39"/>
  <c r="BD51" i="39" s="1"/>
  <c r="AZ51" i="39"/>
  <c r="AY51" i="39"/>
  <c r="BA52" i="39"/>
  <c r="BB52" i="39" s="1"/>
  <c r="BC52" i="39" s="1"/>
  <c r="AZ52" i="39"/>
  <c r="AY52" i="39"/>
  <c r="AZ55" i="39"/>
  <c r="AY55" i="39"/>
  <c r="AU55" i="39"/>
  <c r="BA55" i="39"/>
  <c r="BB55" i="39" s="1"/>
  <c r="BC55" i="39" s="1"/>
  <c r="AN25" i="39"/>
  <c r="AN29" i="39"/>
  <c r="AN31" i="39"/>
  <c r="AN35" i="39"/>
  <c r="AN39" i="39"/>
  <c r="AZ9" i="39"/>
  <c r="AS11" i="39"/>
  <c r="BA21" i="39"/>
  <c r="BB21" i="39" s="1"/>
  <c r="BC21" i="39" s="1"/>
  <c r="AY22" i="39"/>
  <c r="AY24" i="39"/>
  <c r="AY25" i="39"/>
  <c r="BA26" i="39"/>
  <c r="AY32" i="39"/>
  <c r="AZ34" i="39"/>
  <c r="AN36" i="39"/>
  <c r="AF9" i="39"/>
  <c r="BA28" i="39"/>
  <c r="BB28" i="39" s="1"/>
  <c r="BC28" i="39" s="1"/>
  <c r="BA35" i="39"/>
  <c r="AZ35" i="39"/>
  <c r="AY36" i="39"/>
  <c r="AS36" i="39"/>
  <c r="AT36" i="39" s="1"/>
  <c r="AU39" i="39"/>
  <c r="BA39" i="39"/>
  <c r="AZ39" i="39"/>
  <c r="BA43" i="39"/>
  <c r="BD43" i="39" s="1"/>
  <c r="AY43" i="39"/>
  <c r="AU47" i="39"/>
  <c r="AV47" i="39" s="1"/>
  <c r="BA47" i="39"/>
  <c r="BB47" i="39" s="1"/>
  <c r="BC47" i="39" s="1"/>
  <c r="AZ47" i="39"/>
  <c r="AN10" i="39"/>
  <c r="AN15" i="39"/>
  <c r="AN16" i="39"/>
  <c r="AN42" i="39"/>
  <c r="AN46" i="39"/>
  <c r="AN50" i="39"/>
  <c r="AZ22" i="39"/>
  <c r="AZ24" i="39"/>
  <c r="AZ25" i="39"/>
  <c r="AY30" i="39"/>
  <c r="AU31" i="39"/>
  <c r="BA34" i="39"/>
  <c r="AY35" i="39"/>
  <c r="AY40" i="39"/>
  <c r="BD25" i="39"/>
  <c r="BE25" i="39" s="1"/>
  <c r="BB25" i="39"/>
  <c r="BC25" i="39" s="1"/>
  <c r="AU53" i="39"/>
  <c r="AV53" i="39" s="1"/>
  <c r="AS53" i="39"/>
  <c r="AT53" i="39" s="1"/>
  <c r="AU34" i="39"/>
  <c r="AS34" i="39"/>
  <c r="AT34" i="39" s="1"/>
  <c r="AS52" i="39"/>
  <c r="AT52" i="39" s="1"/>
  <c r="AJ17" i="39"/>
  <c r="AJ27" i="39"/>
  <c r="AJ30" i="39"/>
  <c r="AJ43" i="39"/>
  <c r="AJ48" i="39"/>
  <c r="AJ54" i="39"/>
  <c r="AJ14" i="39"/>
  <c r="AJ33" i="39"/>
  <c r="AJ50" i="39"/>
  <c r="AJ56" i="39"/>
  <c r="AJ11" i="39"/>
  <c r="AJ12" i="39"/>
  <c r="AJ15" i="39"/>
  <c r="AJ16" i="39"/>
  <c r="AJ20" i="39"/>
  <c r="AJ22" i="39"/>
  <c r="AJ28" i="39"/>
  <c r="AJ32" i="39"/>
  <c r="AJ34" i="39"/>
  <c r="AJ37" i="39"/>
  <c r="AJ41" i="39"/>
  <c r="AJ47" i="39"/>
  <c r="AJ51" i="39"/>
  <c r="AJ52" i="39"/>
  <c r="AJ55" i="39"/>
  <c r="AD9" i="39"/>
  <c r="AJ18" i="39"/>
  <c r="AJ23" i="39"/>
  <c r="AJ25" i="39"/>
  <c r="AJ31" i="39"/>
  <c r="AJ35" i="39"/>
  <c r="AJ36" i="39"/>
  <c r="AJ38" i="39"/>
  <c r="AJ45" i="39"/>
  <c r="AJ19" i="39"/>
  <c r="AJ21" i="39"/>
  <c r="AJ26" i="39"/>
  <c r="AJ29" i="39"/>
  <c r="AJ39" i="39"/>
  <c r="AJ40" i="39"/>
  <c r="AJ46" i="39"/>
  <c r="AJ49" i="39"/>
  <c r="AJ53" i="39"/>
  <c r="BB18" i="39" l="1"/>
  <c r="BC18" i="39" s="1"/>
  <c r="BE38" i="39"/>
  <c r="BD27" i="39"/>
  <c r="BE27" i="39" s="1"/>
  <c r="BD10" i="39"/>
  <c r="BE10" i="39" s="1"/>
  <c r="BD50" i="39"/>
  <c r="BE50" i="39" s="1"/>
  <c r="BD42" i="39"/>
  <c r="BE42" i="39" s="1"/>
  <c r="BB23" i="39"/>
  <c r="BC23" i="39" s="1"/>
  <c r="BD29" i="39"/>
  <c r="BE29" i="39" s="1"/>
  <c r="BB46" i="39"/>
  <c r="BC46" i="39" s="1"/>
  <c r="BE43" i="39"/>
  <c r="AS10" i="39"/>
  <c r="AT10" i="39" s="1"/>
  <c r="AS45" i="39"/>
  <c r="AT45" i="39" s="1"/>
  <c r="BD16" i="39"/>
  <c r="BE16" i="39" s="1"/>
  <c r="AS16" i="39"/>
  <c r="AT16" i="39" s="1"/>
  <c r="BD45" i="39"/>
  <c r="BE45" i="39" s="1"/>
  <c r="BE51" i="39"/>
  <c r="AS47" i="39"/>
  <c r="AT47" i="39" s="1"/>
  <c r="BD21" i="39"/>
  <c r="BE21" i="39" s="1"/>
  <c r="BB51" i="39"/>
  <c r="BC51" i="39" s="1"/>
  <c r="BB43" i="39"/>
  <c r="BC43" i="39" s="1"/>
  <c r="BE49" i="39"/>
  <c r="AU36" i="39"/>
  <c r="AV36" i="39" s="1"/>
  <c r="AS24" i="39"/>
  <c r="AT24" i="39" s="1"/>
  <c r="BD19" i="39"/>
  <c r="BE19" i="39" s="1"/>
  <c r="AU32" i="39"/>
  <c r="AV32" i="39" s="1"/>
  <c r="BC22" i="39"/>
  <c r="BD55" i="39"/>
  <c r="BE55" i="39" s="1"/>
  <c r="BE54" i="39"/>
  <c r="AS50" i="39"/>
  <c r="AT50" i="39" s="1"/>
  <c r="BD12" i="39"/>
  <c r="BE12" i="39" s="1"/>
  <c r="BB30" i="39"/>
  <c r="BC30" i="39" s="1"/>
  <c r="BB24" i="39"/>
  <c r="BC24" i="39" s="1"/>
  <c r="BB54" i="39"/>
  <c r="BC54" i="39" s="1"/>
  <c r="BB49" i="39"/>
  <c r="BC49" i="39" s="1"/>
  <c r="BB32" i="39"/>
  <c r="BC32" i="39" s="1"/>
  <c r="BB33" i="39"/>
  <c r="BC33" i="39" s="1"/>
  <c r="AS30" i="39"/>
  <c r="AU22" i="39"/>
  <c r="AV22" i="39" s="1"/>
  <c r="BD36" i="39"/>
  <c r="BE36" i="39" s="1"/>
  <c r="AV34" i="39"/>
  <c r="BD22" i="39"/>
  <c r="BE22" i="39" s="1"/>
  <c r="BD44" i="39"/>
  <c r="BE44" i="39" s="1"/>
  <c r="BE41" i="39"/>
  <c r="BD20" i="39"/>
  <c r="BE20" i="39" s="1"/>
  <c r="AU11" i="39"/>
  <c r="AV11" i="39" s="1"/>
  <c r="AU17" i="39"/>
  <c r="AV17" i="39" s="1"/>
  <c r="AU25" i="39"/>
  <c r="AV25" i="39" s="1"/>
  <c r="BC17" i="39"/>
  <c r="BD53" i="39"/>
  <c r="BE53" i="39" s="1"/>
  <c r="BB40" i="39"/>
  <c r="BC40" i="39" s="1"/>
  <c r="BE48" i="39"/>
  <c r="BD15" i="39"/>
  <c r="BE15" i="39" s="1"/>
  <c r="BB48" i="39"/>
  <c r="BC48" i="39" s="1"/>
  <c r="BE46" i="39"/>
  <c r="AT11" i="39"/>
  <c r="BE9" i="39"/>
  <c r="AV39" i="39"/>
  <c r="AS39" i="39"/>
  <c r="AT39" i="39" s="1"/>
  <c r="BD28" i="39"/>
  <c r="BE28" i="39" s="1"/>
  <c r="BB14" i="39"/>
  <c r="BC14" i="39" s="1"/>
  <c r="AS37" i="39"/>
  <c r="AT37" i="39" s="1"/>
  <c r="AV10" i="39"/>
  <c r="BD47" i="39"/>
  <c r="BE47" i="39" s="1"/>
  <c r="BB38" i="39"/>
  <c r="BC38" i="39" s="1"/>
  <c r="AS42" i="39"/>
  <c r="AT42" i="39" s="1"/>
  <c r="AU52" i="39"/>
  <c r="AV52" i="39" s="1"/>
  <c r="BB13" i="39"/>
  <c r="BC13" i="39" s="1"/>
  <c r="BD17" i="39"/>
  <c r="BE17" i="39" s="1"/>
  <c r="BD31" i="39"/>
  <c r="BE31" i="39" s="1"/>
  <c r="BC31" i="39"/>
  <c r="AT30" i="39"/>
  <c r="BB9" i="39"/>
  <c r="BC9" i="39" s="1"/>
  <c r="BB56" i="39"/>
  <c r="BC56" i="39" s="1"/>
  <c r="BB41" i="39"/>
  <c r="BC41" i="39" s="1"/>
  <c r="BE40" i="39"/>
  <c r="AV30" i="39"/>
  <c r="AV16" i="39"/>
  <c r="AU26" i="39"/>
  <c r="AV26" i="39" s="1"/>
  <c r="AS26" i="39"/>
  <c r="AT26" i="39" s="1"/>
  <c r="AU54" i="39"/>
  <c r="AV54" i="39" s="1"/>
  <c r="AS54" i="39"/>
  <c r="AT54" i="39" s="1"/>
  <c r="AS41" i="39"/>
  <c r="AT41" i="39" s="1"/>
  <c r="AU41" i="39"/>
  <c r="AV41" i="39" s="1"/>
  <c r="AS9" i="39"/>
  <c r="AT9" i="39" s="1"/>
  <c r="AU9" i="39"/>
  <c r="AV9" i="39" s="1"/>
  <c r="AS49" i="39"/>
  <c r="AT49" i="39" s="1"/>
  <c r="AU49" i="39"/>
  <c r="AV49" i="39" s="1"/>
  <c r="AS43" i="39"/>
  <c r="AT43" i="39" s="1"/>
  <c r="AU43" i="39"/>
  <c r="AV43" i="39" s="1"/>
  <c r="BB26" i="39"/>
  <c r="BC26" i="39" s="1"/>
  <c r="AS29" i="39"/>
  <c r="AT29" i="39" s="1"/>
  <c r="AU29" i="39"/>
  <c r="AV29" i="39" s="1"/>
  <c r="AS56" i="39"/>
  <c r="AT56" i="39" s="1"/>
  <c r="AU56" i="39"/>
  <c r="AV56" i="39" s="1"/>
  <c r="AS31" i="39"/>
  <c r="AT31" i="39" s="1"/>
  <c r="AU44" i="39"/>
  <c r="AV44" i="39" s="1"/>
  <c r="BB35" i="39"/>
  <c r="BC35" i="39" s="1"/>
  <c r="BE56" i="39"/>
  <c r="AV55" i="39"/>
  <c r="AS55" i="39"/>
  <c r="AT55" i="39" s="1"/>
  <c r="BD35" i="39"/>
  <c r="BE35" i="39" s="1"/>
  <c r="AV31" i="39"/>
  <c r="BD26" i="39"/>
  <c r="BE26" i="39" s="1"/>
  <c r="AU51" i="39"/>
  <c r="AV51" i="39" s="1"/>
  <c r="AS51" i="39"/>
  <c r="AT51" i="39" s="1"/>
  <c r="AS46" i="39"/>
  <c r="AT46" i="39" s="1"/>
  <c r="AU46" i="39"/>
  <c r="AV46" i="39" s="1"/>
  <c r="AU13" i="39"/>
  <c r="AV13" i="39" s="1"/>
  <c r="AS13" i="39"/>
  <c r="AT13" i="39" s="1"/>
  <c r="AS33" i="39"/>
  <c r="AT33" i="39" s="1"/>
  <c r="AU33" i="39"/>
  <c r="AV33" i="39" s="1"/>
  <c r="AS27" i="39"/>
  <c r="AT27" i="39" s="1"/>
  <c r="AU27" i="39"/>
  <c r="AV27" i="39" s="1"/>
  <c r="BD11" i="39"/>
  <c r="BE11" i="39" s="1"/>
  <c r="BB11" i="39"/>
  <c r="BC11" i="39" s="1"/>
  <c r="BB34" i="39"/>
  <c r="BC34" i="39" s="1"/>
  <c r="BD34" i="39"/>
  <c r="BE34" i="39" s="1"/>
  <c r="AU12" i="39"/>
  <c r="AV12" i="39" s="1"/>
  <c r="AS12" i="39"/>
  <c r="AT12" i="39" s="1"/>
  <c r="AU21" i="39"/>
  <c r="AV21" i="39" s="1"/>
  <c r="AS21" i="39"/>
  <c r="AT21" i="39" s="1"/>
  <c r="AU48" i="39"/>
  <c r="AV48" i="39" s="1"/>
  <c r="AS48" i="39"/>
  <c r="AT48" i="39" s="1"/>
  <c r="AS38" i="39"/>
  <c r="AT38" i="39" s="1"/>
  <c r="AU38" i="39"/>
  <c r="AV38" i="39" s="1"/>
  <c r="AU23" i="39"/>
  <c r="AV23" i="39" s="1"/>
  <c r="AS23" i="39"/>
  <c r="AT23" i="39" s="1"/>
  <c r="BD52" i="39"/>
  <c r="BE52" i="39" s="1"/>
  <c r="AS28" i="39"/>
  <c r="AT28" i="39" s="1"/>
  <c r="AU28" i="39"/>
  <c r="AV28" i="39" s="1"/>
  <c r="BB39" i="39"/>
  <c r="BC39" i="39" s="1"/>
  <c r="BD39" i="39"/>
  <c r="BE39" i="39" s="1"/>
  <c r="AS35" i="39"/>
  <c r="AT35" i="39" s="1"/>
  <c r="AU35" i="39"/>
  <c r="AV35" i="39" s="1"/>
  <c r="AS40" i="39"/>
  <c r="AT40" i="39" s="1"/>
  <c r="AU40" i="39"/>
  <c r="AV40" i="39" s="1"/>
  <c r="BB37" i="39"/>
  <c r="BC37" i="39" s="1"/>
  <c r="BD37" i="39"/>
  <c r="BE37" i="39" s="1"/>
  <c r="AS19" i="39"/>
  <c r="AT19" i="39" s="1"/>
  <c r="AU19" i="39"/>
  <c r="AV19" i="39" s="1"/>
  <c r="AF12" i="39" l="1"/>
  <c r="AD12" i="39"/>
  <c r="AB12" i="39"/>
  <c r="Z12" i="39"/>
  <c r="X12" i="39"/>
  <c r="U12" i="39"/>
  <c r="T12" i="39"/>
  <c r="AF56" i="39" l="1"/>
  <c r="AD56" i="39"/>
  <c r="AB56" i="39"/>
  <c r="Z56" i="39"/>
  <c r="X56" i="39"/>
  <c r="U56" i="39"/>
  <c r="T56" i="39"/>
  <c r="AF52" i="39"/>
  <c r="AD52" i="39"/>
  <c r="AB52" i="39"/>
  <c r="Z52" i="39"/>
  <c r="X52" i="39"/>
  <c r="U52" i="39"/>
  <c r="T52" i="39"/>
  <c r="AF48" i="39"/>
  <c r="AD48" i="39"/>
  <c r="AB48" i="39"/>
  <c r="Z48" i="39"/>
  <c r="X48" i="39"/>
  <c r="U48" i="39"/>
  <c r="T48" i="39"/>
  <c r="AF44" i="39"/>
  <c r="AD44" i="39"/>
  <c r="AB44" i="39"/>
  <c r="Z44" i="39"/>
  <c r="X44" i="39"/>
  <c r="U44" i="39"/>
  <c r="T44" i="39"/>
  <c r="AF40" i="39"/>
  <c r="AD40" i="39"/>
  <c r="AB40" i="39"/>
  <c r="Z40" i="39"/>
  <c r="X40" i="39"/>
  <c r="U40" i="39"/>
  <c r="T40" i="39"/>
  <c r="AF36" i="39"/>
  <c r="AD36" i="39"/>
  <c r="AB36" i="39"/>
  <c r="Z36" i="39"/>
  <c r="X36" i="39"/>
  <c r="U36" i="39"/>
  <c r="T36" i="39"/>
  <c r="AF32" i="39" l="1"/>
  <c r="AD32" i="39"/>
  <c r="AB32" i="39"/>
  <c r="Z32" i="39"/>
  <c r="X32" i="39"/>
  <c r="U32" i="39"/>
  <c r="T32" i="39"/>
  <c r="AF28" i="39"/>
  <c r="AD28" i="39"/>
  <c r="AB28" i="39"/>
  <c r="Z28" i="39"/>
  <c r="X28" i="39"/>
  <c r="U28" i="39"/>
  <c r="T28" i="39"/>
  <c r="AF24" i="39"/>
  <c r="AD24" i="39"/>
  <c r="AB24" i="39"/>
  <c r="Z24" i="39"/>
  <c r="X24" i="39"/>
  <c r="U24" i="39"/>
  <c r="T24" i="39"/>
  <c r="AF20" i="39"/>
  <c r="AD20" i="39"/>
  <c r="AB20" i="39"/>
  <c r="Z20" i="39"/>
  <c r="X20" i="39"/>
  <c r="U20" i="39"/>
  <c r="T20" i="39"/>
  <c r="AF16" i="39"/>
  <c r="AD16" i="39"/>
  <c r="AB16" i="39"/>
  <c r="Z16" i="39"/>
  <c r="X16" i="39"/>
  <c r="U16" i="39"/>
  <c r="T16" i="39"/>
  <c r="AF23" i="39"/>
  <c r="AD23" i="39"/>
  <c r="AB23" i="39"/>
  <c r="Z23" i="39"/>
  <c r="X23" i="39"/>
  <c r="U23" i="39"/>
  <c r="T23" i="39"/>
  <c r="AF55" i="39" l="1"/>
  <c r="AD55" i="39"/>
  <c r="AB55" i="39"/>
  <c r="Z55" i="39"/>
  <c r="X55" i="39"/>
  <c r="U55" i="39"/>
  <c r="T55" i="39"/>
  <c r="AF54" i="39"/>
  <c r="AD54" i="39"/>
  <c r="AB54" i="39"/>
  <c r="Z54" i="39"/>
  <c r="X54" i="39"/>
  <c r="U54" i="39"/>
  <c r="T54" i="39"/>
  <c r="AF53" i="39"/>
  <c r="AD53" i="39"/>
  <c r="AB53" i="39"/>
  <c r="Z53" i="39"/>
  <c r="X53" i="39"/>
  <c r="U53" i="39"/>
  <c r="T53" i="39"/>
  <c r="AF51" i="39"/>
  <c r="AD51" i="39"/>
  <c r="AB51" i="39"/>
  <c r="Z51" i="39"/>
  <c r="X51" i="39"/>
  <c r="U51" i="39"/>
  <c r="T51" i="39"/>
  <c r="AF50" i="39"/>
  <c r="AD50" i="39"/>
  <c r="AB50" i="39"/>
  <c r="Z50" i="39"/>
  <c r="X50" i="39"/>
  <c r="U50" i="39"/>
  <c r="T50" i="39"/>
  <c r="AF49" i="39"/>
  <c r="AD49" i="39"/>
  <c r="AB49" i="39"/>
  <c r="Z49" i="39"/>
  <c r="X49" i="39"/>
  <c r="U49" i="39"/>
  <c r="T49" i="39"/>
  <c r="AF47" i="39"/>
  <c r="AD47" i="39"/>
  <c r="AB47" i="39"/>
  <c r="Z47" i="39"/>
  <c r="X47" i="39"/>
  <c r="U47" i="39"/>
  <c r="T47" i="39"/>
  <c r="AF46" i="39"/>
  <c r="AD46" i="39"/>
  <c r="AB46" i="39"/>
  <c r="Z46" i="39"/>
  <c r="X46" i="39"/>
  <c r="U46" i="39"/>
  <c r="T46" i="39"/>
  <c r="AF45" i="39"/>
  <c r="AD45" i="39"/>
  <c r="AB45" i="39"/>
  <c r="Z45" i="39"/>
  <c r="X45" i="39"/>
  <c r="U45" i="39"/>
  <c r="T45" i="39"/>
  <c r="AF43" i="39"/>
  <c r="AD43" i="39"/>
  <c r="AB43" i="39"/>
  <c r="Z43" i="39"/>
  <c r="X43" i="39"/>
  <c r="U43" i="39"/>
  <c r="T43" i="39"/>
  <c r="AF42" i="39"/>
  <c r="AD42" i="39"/>
  <c r="AB42" i="39"/>
  <c r="Z42" i="39"/>
  <c r="X42" i="39"/>
  <c r="U42" i="39"/>
  <c r="T42" i="39"/>
  <c r="AF41" i="39"/>
  <c r="AD41" i="39"/>
  <c r="AB41" i="39"/>
  <c r="Z41" i="39"/>
  <c r="X41" i="39"/>
  <c r="U41" i="39"/>
  <c r="T41" i="39"/>
  <c r="AF39" i="39"/>
  <c r="AD39" i="39"/>
  <c r="AB39" i="39"/>
  <c r="Z39" i="39"/>
  <c r="X39" i="39"/>
  <c r="U39" i="39"/>
  <c r="T39" i="39"/>
  <c r="AF38" i="39"/>
  <c r="AD38" i="39"/>
  <c r="AB38" i="39"/>
  <c r="Z38" i="39"/>
  <c r="X38" i="39"/>
  <c r="U38" i="39"/>
  <c r="T38" i="39"/>
  <c r="AF37" i="39"/>
  <c r="AD37" i="39"/>
  <c r="AB37" i="39"/>
  <c r="Z37" i="39"/>
  <c r="X37" i="39"/>
  <c r="U37" i="39"/>
  <c r="T37" i="39"/>
  <c r="AF35" i="39"/>
  <c r="AD35" i="39"/>
  <c r="AB35" i="39"/>
  <c r="Z35" i="39"/>
  <c r="X35" i="39"/>
  <c r="U35" i="39"/>
  <c r="T35" i="39"/>
  <c r="AF34" i="39"/>
  <c r="AD34" i="39"/>
  <c r="AB34" i="39"/>
  <c r="Z34" i="39"/>
  <c r="X34" i="39"/>
  <c r="U34" i="39"/>
  <c r="T34" i="39"/>
  <c r="AF33" i="39"/>
  <c r="AD33" i="39"/>
  <c r="AB33" i="39"/>
  <c r="Z33" i="39"/>
  <c r="X33" i="39"/>
  <c r="U33" i="39"/>
  <c r="T33" i="39"/>
  <c r="AF31" i="39"/>
  <c r="AD31" i="39"/>
  <c r="AB31" i="39"/>
  <c r="Z31" i="39"/>
  <c r="X31" i="39"/>
  <c r="U31" i="39"/>
  <c r="T31" i="39"/>
  <c r="AF30" i="39"/>
  <c r="AD30" i="39"/>
  <c r="AB30" i="39"/>
  <c r="Z30" i="39"/>
  <c r="X30" i="39"/>
  <c r="U30" i="39"/>
  <c r="T30" i="39"/>
  <c r="AF29" i="39"/>
  <c r="AD29" i="39"/>
  <c r="AB29" i="39"/>
  <c r="Z29" i="39"/>
  <c r="X29" i="39"/>
  <c r="T29" i="39"/>
  <c r="U29" i="39"/>
  <c r="AF27" i="39"/>
  <c r="AD27" i="39"/>
  <c r="AB27" i="39"/>
  <c r="Z27" i="39"/>
  <c r="X27" i="39"/>
  <c r="U27" i="39"/>
  <c r="T27" i="39"/>
  <c r="AF26" i="39"/>
  <c r="AD26" i="39"/>
  <c r="AB26" i="39"/>
  <c r="Z26" i="39"/>
  <c r="X26" i="39"/>
  <c r="U26" i="39"/>
  <c r="T26" i="39"/>
  <c r="AF25" i="39"/>
  <c r="AD25" i="39"/>
  <c r="AB25" i="39"/>
  <c r="Z25" i="39"/>
  <c r="X25" i="39"/>
  <c r="U25" i="39"/>
  <c r="T25" i="39"/>
  <c r="AF22" i="39"/>
  <c r="AD22" i="39"/>
  <c r="AB22" i="39"/>
  <c r="Z22" i="39"/>
  <c r="X22" i="39"/>
  <c r="U22" i="39"/>
  <c r="T22" i="39"/>
  <c r="AF21" i="39"/>
  <c r="AD21" i="39"/>
  <c r="AB21" i="39"/>
  <c r="Z21" i="39"/>
  <c r="X21" i="39"/>
  <c r="U21" i="39"/>
  <c r="T21" i="39"/>
  <c r="AF19" i="39"/>
  <c r="AD19" i="39"/>
  <c r="AB19" i="39"/>
  <c r="Z19" i="39"/>
  <c r="X19" i="39"/>
  <c r="U19" i="39"/>
  <c r="T19" i="39"/>
  <c r="AF18" i="39"/>
  <c r="AD18" i="39"/>
  <c r="AB18" i="39"/>
  <c r="Z18" i="39"/>
  <c r="X18" i="39"/>
  <c r="U18" i="39"/>
  <c r="T18" i="39"/>
  <c r="AF17" i="39"/>
  <c r="AD17" i="39"/>
  <c r="AB17" i="39"/>
  <c r="Z17" i="39"/>
  <c r="X17" i="39"/>
  <c r="U17" i="39"/>
  <c r="T17" i="39"/>
  <c r="AF15" i="39"/>
  <c r="AD15" i="39"/>
  <c r="AB15" i="39"/>
  <c r="Z15" i="39"/>
  <c r="X15" i="39"/>
  <c r="U15" i="39"/>
  <c r="T15" i="39"/>
  <c r="AF14" i="39"/>
  <c r="AD14" i="39"/>
  <c r="AB14" i="39"/>
  <c r="Z14" i="39"/>
  <c r="X14" i="39"/>
  <c r="U14" i="39"/>
  <c r="T14" i="39"/>
  <c r="AF13" i="39"/>
  <c r="AD13" i="39"/>
  <c r="AB13" i="39"/>
  <c r="Z13" i="39"/>
  <c r="X13" i="39"/>
  <c r="U13" i="39"/>
  <c r="T13" i="39"/>
  <c r="AF11" i="39"/>
  <c r="AD11" i="39"/>
  <c r="AB11" i="39"/>
  <c r="Z11" i="39"/>
  <c r="X11" i="39"/>
  <c r="U11" i="39"/>
  <c r="T11" i="39"/>
  <c r="AF10" i="39"/>
  <c r="AD10" i="39"/>
  <c r="AB10" i="39"/>
  <c r="X10" i="39"/>
  <c r="U10" i="39"/>
  <c r="T10" i="39"/>
  <c r="AB9" i="39"/>
  <c r="Z9" i="39"/>
  <c r="X9" i="39"/>
  <c r="U9" i="39"/>
  <c r="T9" i="39"/>
</calcChain>
</file>

<file path=xl/sharedStrings.xml><?xml version="1.0" encoding="utf-8"?>
<sst xmlns="http://schemas.openxmlformats.org/spreadsheetml/2006/main" count="630" uniqueCount="160">
  <si>
    <t>01. 상품정보</t>
    <phoneticPr fontId="4" type="noConversion"/>
  </si>
  <si>
    <t>구분</t>
    <phoneticPr fontId="4" type="noConversion"/>
  </si>
  <si>
    <t>내 용</t>
    <phoneticPr fontId="4" type="noConversion"/>
  </si>
  <si>
    <t>판매채널</t>
    <phoneticPr fontId="4" type="noConversion"/>
  </si>
  <si>
    <t>판매기간</t>
    <phoneticPr fontId="4" type="noConversion"/>
  </si>
  <si>
    <t>투숙기간</t>
    <phoneticPr fontId="4" type="noConversion"/>
  </si>
  <si>
    <t>상품구성</t>
    <phoneticPr fontId="4" type="noConversion"/>
  </si>
  <si>
    <t>구 분</t>
    <phoneticPr fontId="3" type="noConversion"/>
  </si>
  <si>
    <t>타 입</t>
    <phoneticPr fontId="3" type="noConversion"/>
  </si>
  <si>
    <t>시 즌</t>
    <phoneticPr fontId="3" type="noConversion"/>
  </si>
  <si>
    <t>정상가</t>
    <phoneticPr fontId="3" type="noConversion"/>
  </si>
  <si>
    <t>배분가</t>
    <phoneticPr fontId="3" type="noConversion"/>
  </si>
  <si>
    <t>판매가</t>
    <phoneticPr fontId="3" type="noConversion"/>
  </si>
  <si>
    <t>객실</t>
    <phoneticPr fontId="3" type="noConversion"/>
  </si>
  <si>
    <t>FIT</t>
    <phoneticPr fontId="3" type="noConversion"/>
  </si>
  <si>
    <t>수수료</t>
    <phoneticPr fontId="3" type="noConversion"/>
  </si>
  <si>
    <t>입금가</t>
    <phoneticPr fontId="3" type="noConversion"/>
  </si>
  <si>
    <t>기 명</t>
    <phoneticPr fontId="3" type="noConversion"/>
  </si>
  <si>
    <t>무기명</t>
    <phoneticPr fontId="3" type="noConversion"/>
  </si>
  <si>
    <t>조식뷔페</t>
    <phoneticPr fontId="3" type="noConversion"/>
  </si>
  <si>
    <t>할인율</t>
    <phoneticPr fontId="3" type="noConversion"/>
  </si>
  <si>
    <t>패밀리</t>
    <phoneticPr fontId="3" type="noConversion"/>
  </si>
  <si>
    <t>금요일</t>
    <phoneticPr fontId="3" type="noConversion"/>
  </si>
  <si>
    <t>토요일</t>
    <phoneticPr fontId="3" type="noConversion"/>
  </si>
  <si>
    <t>스위트</t>
    <phoneticPr fontId="3" type="noConversion"/>
  </si>
  <si>
    <t>주중</t>
    <phoneticPr fontId="3" type="noConversion"/>
  </si>
  <si>
    <t xml:space="preserve"> </t>
    <phoneticPr fontId="3" type="noConversion"/>
  </si>
  <si>
    <t>할인권</t>
    <phoneticPr fontId="4" type="noConversion"/>
  </si>
  <si>
    <t>기명</t>
    <phoneticPr fontId="3" type="noConversion"/>
  </si>
  <si>
    <t>02. 정보안내</t>
    <phoneticPr fontId="4" type="noConversion"/>
  </si>
  <si>
    <t>03. 부대시설 요금 가이드</t>
    <phoneticPr fontId="4" type="noConversion"/>
  </si>
  <si>
    <t>[단위: 원]</t>
    <phoneticPr fontId="3" type="noConversion"/>
  </si>
  <si>
    <t>정상가</t>
    <phoneticPr fontId="4" type="noConversion"/>
  </si>
  <si>
    <t>대인</t>
    <phoneticPr fontId="4" type="noConversion"/>
  </si>
  <si>
    <t>소인</t>
    <phoneticPr fontId="4" type="noConversion"/>
  </si>
  <si>
    <t>대인 2인+소인1인</t>
    <phoneticPr fontId="4" type="noConversion"/>
  </si>
  <si>
    <t>배분가</t>
    <phoneticPr fontId="4" type="noConversion"/>
  </si>
  <si>
    <t>할인율</t>
    <phoneticPr fontId="4" type="noConversion"/>
  </si>
  <si>
    <t>일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</si>
  <si>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</si>
  <si>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</si>
  <si>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</si>
  <si>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</si>
  <si>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</si>
  <si>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</si>
  <si>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주중</t>
  </si>
  <si>
    <t>■ 패키지번호(요청)</t>
    <phoneticPr fontId="4" type="noConversion"/>
  </si>
  <si>
    <t>자사</t>
    <phoneticPr fontId="3" type="noConversion"/>
  </si>
  <si>
    <t>국내OTA</t>
    <phoneticPr fontId="3" type="noConversion"/>
  </si>
  <si>
    <t>해외OTA</t>
    <phoneticPr fontId="3" type="noConversion"/>
  </si>
  <si>
    <t>D멤버스</t>
    <phoneticPr fontId="3" type="noConversion"/>
  </si>
  <si>
    <t>쿠팡</t>
    <phoneticPr fontId="3" type="noConversion"/>
  </si>
  <si>
    <t>일반OTA</t>
    <phoneticPr fontId="3" type="noConversion"/>
  </si>
  <si>
    <t>네이버</t>
    <phoneticPr fontId="3" type="noConversion"/>
  </si>
  <si>
    <t>트립비토즈</t>
    <phoneticPr fontId="3" type="noConversion"/>
  </si>
  <si>
    <t>일반GOTA</t>
    <phoneticPr fontId="3" type="noConversion"/>
  </si>
  <si>
    <t>익스, 부킹닷컴 등</t>
    <phoneticPr fontId="3" type="noConversion"/>
  </si>
  <si>
    <t>판매가 세팅</t>
    <phoneticPr fontId="3" type="noConversion"/>
  </si>
  <si>
    <t>직불</t>
    <phoneticPr fontId="3" type="noConversion"/>
  </si>
  <si>
    <t>패키지 형태</t>
    <phoneticPr fontId="3" type="noConversion"/>
  </si>
  <si>
    <t>20:회원PKG</t>
    <phoneticPr fontId="3" type="noConversion"/>
  </si>
  <si>
    <t>19:자사PKG</t>
    <phoneticPr fontId="3" type="noConversion"/>
  </si>
  <si>
    <t>02:대매점(객실패키지)</t>
    <phoneticPr fontId="3" type="noConversion"/>
  </si>
  <si>
    <t>13:직영패키지(해외OTA)</t>
    <phoneticPr fontId="3" type="noConversion"/>
  </si>
  <si>
    <t>패키지 구분</t>
    <phoneticPr fontId="3" type="noConversion"/>
  </si>
  <si>
    <t>03:후불</t>
  </si>
  <si>
    <t>03:후불</t>
    <phoneticPr fontId="3" type="noConversion"/>
  </si>
  <si>
    <t>01:직불</t>
    <phoneticPr fontId="3" type="noConversion"/>
  </si>
  <si>
    <t>패키지번호요청</t>
    <phoneticPr fontId="3" type="noConversion"/>
  </si>
  <si>
    <t>O</t>
    <phoneticPr fontId="3" type="noConversion"/>
  </si>
  <si>
    <t>X</t>
    <phoneticPr fontId="3" type="noConversion"/>
  </si>
  <si>
    <t>※ 요청사항(영업기획)</t>
    <phoneticPr fontId="3" type="noConversion"/>
  </si>
  <si>
    <r>
      <t xml:space="preserve">  └ 해당 파일에 패키지 번호 입력 후 </t>
    </r>
    <r>
      <rPr>
        <u/>
        <sz val="10"/>
        <color theme="1" tint="0.249977111117893"/>
        <rFont val="대명체 보통"/>
        <family val="3"/>
        <charset val="129"/>
      </rPr>
      <t>품의 기안 담당자 및 지원 담당자 분들께 꼭 회신 부탁</t>
    </r>
    <r>
      <rPr>
        <sz val="10"/>
        <color theme="1" tint="0.249977111117893"/>
        <rFont val="대명체 보통"/>
        <family val="3"/>
        <charset val="129"/>
      </rPr>
      <t>드립니다.</t>
    </r>
    <phoneticPr fontId="3" type="noConversion"/>
  </si>
  <si>
    <t>01. 요 금</t>
    <phoneticPr fontId="3" type="noConversion"/>
  </si>
  <si>
    <t>인플루언서</t>
    <phoneticPr fontId="3" type="noConversion"/>
  </si>
  <si>
    <t>`</t>
    <phoneticPr fontId="3" type="noConversion"/>
  </si>
  <si>
    <t>오션플레이</t>
    <phoneticPr fontId="3" type="noConversion"/>
  </si>
  <si>
    <r>
      <t xml:space="preserve">  └ 패키지 번호 생성 시 패키지명 뒤에 </t>
    </r>
    <r>
      <rPr>
        <sz val="10"/>
        <color rgb="FFFF0000"/>
        <rFont val="대명체 보통"/>
        <family val="3"/>
        <charset val="129"/>
      </rPr>
      <t>수수료 명기</t>
    </r>
    <r>
      <rPr>
        <sz val="10"/>
        <color theme="1" tint="0.249977111117893"/>
        <rFont val="대명체 보통"/>
        <family val="3"/>
        <charset val="129"/>
      </rPr>
      <t>부탁드립니다 (예시 : #양양#인플루언서_로제맘#</t>
    </r>
    <r>
      <rPr>
        <sz val="10"/>
        <color rgb="FFFF0000"/>
        <rFont val="대명체 보통"/>
        <family val="3"/>
        <charset val="129"/>
      </rPr>
      <t>G13</t>
    </r>
    <r>
      <rPr>
        <sz val="10"/>
        <color theme="1" tint="0.249977111117893"/>
        <rFont val="대명체 보통"/>
        <family val="3"/>
        <charset val="129"/>
      </rPr>
      <t>)</t>
    </r>
    <phoneticPr fontId="3" type="noConversion"/>
  </si>
  <si>
    <t>소노벨
단양</t>
    <phoneticPr fontId="3" type="noConversion"/>
  </si>
  <si>
    <t>스탠다드뷰</t>
    <phoneticPr fontId="3" type="noConversion"/>
  </si>
  <si>
    <t>레이크뷰</t>
    <phoneticPr fontId="3" type="noConversion"/>
  </si>
  <si>
    <t>EAST</t>
    <phoneticPr fontId="3" type="noConversion"/>
  </si>
  <si>
    <t>탑스탠다드뷰</t>
    <phoneticPr fontId="3" type="noConversion"/>
  </si>
  <si>
    <t>탑레이크뷰</t>
    <phoneticPr fontId="3" type="noConversion"/>
  </si>
  <si>
    <t>객 실</t>
    <phoneticPr fontId="3" type="noConversion"/>
  </si>
  <si>
    <t>구명조끼 미포함 / 박당제공</t>
    <phoneticPr fontId="3" type="noConversion"/>
  </si>
  <si>
    <t>장소: 셰프스키친 / 박당제공</t>
    <phoneticPr fontId="3" type="noConversion"/>
  </si>
  <si>
    <t>레전드히어로즈</t>
    <phoneticPr fontId="3" type="noConversion"/>
  </si>
  <si>
    <t>레전드(3회권)</t>
    <phoneticPr fontId="3" type="noConversion"/>
  </si>
  <si>
    <t>스마트요금</t>
    <phoneticPr fontId="3" type="noConversion"/>
  </si>
  <si>
    <t>조식뷔페 20% 할인권 1매, 오션플레이 50% 할인권 1매  (각 1매 4인까지 할인 적용)</t>
    <phoneticPr fontId="3" type="noConversion"/>
  </si>
  <si>
    <t>부대시설(성인2+소인1)</t>
    <phoneticPr fontId="3" type="noConversion"/>
  </si>
  <si>
    <t>인플루언서(민동)</t>
    <phoneticPr fontId="3" type="noConversion"/>
  </si>
  <si>
    <t>무기명 vs FIT</t>
    <phoneticPr fontId="3" type="noConversion"/>
  </si>
  <si>
    <t>비율</t>
    <phoneticPr fontId="3" type="noConversion"/>
  </si>
  <si>
    <t>요금</t>
    <phoneticPr fontId="3" type="noConversion"/>
  </si>
  <si>
    <t>상품①</t>
    <phoneticPr fontId="3" type="noConversion"/>
  </si>
  <si>
    <t>상품②</t>
    <phoneticPr fontId="3" type="noConversion"/>
  </si>
  <si>
    <t xml:space="preserve">비 고 </t>
    <phoneticPr fontId="3" type="noConversion"/>
  </si>
  <si>
    <t>기준인원</t>
    <phoneticPr fontId="3" type="noConversion"/>
  </si>
  <si>
    <t>기 준</t>
    <phoneticPr fontId="3" type="noConversion"/>
  </si>
  <si>
    <t>4월</t>
    <phoneticPr fontId="3" type="noConversion"/>
  </si>
  <si>
    <t>5월</t>
    <phoneticPr fontId="3" type="noConversion"/>
  </si>
  <si>
    <t>6월</t>
    <phoneticPr fontId="3" type="noConversion"/>
  </si>
  <si>
    <t xml:space="preserve">WEST
</t>
    <phoneticPr fontId="3" type="noConversion"/>
  </si>
  <si>
    <t>금요일</t>
  </si>
  <si>
    <t>토요일</t>
  </si>
  <si>
    <t>FIT - 골드</t>
    <phoneticPr fontId="3" type="noConversion"/>
  </si>
  <si>
    <t>회원 - 금　 1</t>
    <phoneticPr fontId="3" type="noConversion"/>
  </si>
  <si>
    <t>회원 - 토　 2</t>
    <phoneticPr fontId="3" type="noConversion"/>
  </si>
  <si>
    <t>회원 - 주중  3</t>
    <phoneticPr fontId="3" type="noConversion"/>
  </si>
  <si>
    <t>회원 - 토　 4</t>
    <phoneticPr fontId="3" type="noConversion"/>
  </si>
  <si>
    <t>전Seg. - 골드</t>
    <phoneticPr fontId="3" type="noConversion"/>
  </si>
  <si>
    <t>회원 - 토　 5</t>
    <phoneticPr fontId="3" type="noConversion"/>
  </si>
  <si>
    <t>회원 - 토　 6</t>
    <phoneticPr fontId="3" type="noConversion"/>
  </si>
  <si>
    <t>7월</t>
    <phoneticPr fontId="3" type="noConversion"/>
  </si>
  <si>
    <t>대인 2, 소인 1</t>
    <phoneticPr fontId="3" type="noConversion"/>
  </si>
  <si>
    <t>상품 ① 객실 + 조식뷔페 3인 + 오션플레이 3인 + 레전드 히어로즈 3회권 3매 + 웰컴티 3잔 + 할인권</t>
    <phoneticPr fontId="4" type="noConversion"/>
  </si>
  <si>
    <t>3회권 3매 제공 /배팅권 제외</t>
    <phoneticPr fontId="3" type="noConversion"/>
  </si>
  <si>
    <t>레전드3회권</t>
  </si>
  <si>
    <t>웰컴티</t>
    <phoneticPr fontId="3" type="noConversion"/>
  </si>
  <si>
    <t>부대시설</t>
    <phoneticPr fontId="3" type="noConversion"/>
  </si>
  <si>
    <t>상품 ①</t>
    <phoneticPr fontId="3" type="noConversion"/>
  </si>
  <si>
    <t>상품 ②</t>
    <phoneticPr fontId="3" type="noConversion"/>
  </si>
  <si>
    <t>웰컴티①</t>
    <phoneticPr fontId="3" type="noConversion"/>
  </si>
  <si>
    <t>웰컴티②</t>
    <phoneticPr fontId="3" type="noConversion"/>
  </si>
  <si>
    <t>회원 / OTA</t>
    <phoneticPr fontId="4" type="noConversion"/>
  </si>
  <si>
    <t>레전드 ①</t>
    <phoneticPr fontId="3" type="noConversion"/>
  </si>
  <si>
    <t>웰컴티①</t>
    <phoneticPr fontId="3" type="noConversion"/>
  </si>
  <si>
    <t>레전드 ②</t>
    <phoneticPr fontId="3" type="noConversion"/>
  </si>
  <si>
    <t>최고가 적용 (주말 요금)</t>
    <phoneticPr fontId="3" type="noConversion"/>
  </si>
  <si>
    <t>웰컴티</t>
    <phoneticPr fontId="3" type="noConversion"/>
  </si>
  <si>
    <t>상품 ①</t>
    <phoneticPr fontId="3" type="noConversion"/>
  </si>
  <si>
    <t>상품 ②</t>
    <phoneticPr fontId="3" type="noConversion"/>
  </si>
  <si>
    <t>■ 소노벨 단양 6월 판매 프로모션 요금(안) _ 6월</t>
    <phoneticPr fontId="4" type="noConversion"/>
  </si>
  <si>
    <t>06.01 ~ 06.28</t>
    <phoneticPr fontId="3" type="noConversion"/>
  </si>
  <si>
    <t>06.01 ~ 07.16</t>
    <phoneticPr fontId="4" type="noConversion"/>
  </si>
  <si>
    <t>06.01 ~ 06.04 인플루언서 (쪼기)</t>
    <phoneticPr fontId="3" type="noConversion"/>
  </si>
  <si>
    <t xml:space="preserve">06.05 ~ 06.17 카카오예약하기 </t>
    <phoneticPr fontId="3" type="noConversion"/>
  </si>
  <si>
    <t>06.18 ~ 06.21 인플루언서 (서하네)</t>
    <phoneticPr fontId="3" type="noConversion"/>
  </si>
  <si>
    <t>06.22 ~ 06.28 마이리얼트립</t>
    <phoneticPr fontId="3" type="noConversion"/>
  </si>
  <si>
    <t>※레이트체크아웃 13시(입실일 1박 기준 월~목 적용, 연휴,골드제외)</t>
    <phoneticPr fontId="3" type="noConversion"/>
  </si>
  <si>
    <t>주중혜택</t>
    <phoneticPr fontId="3" type="noConversion"/>
  </si>
  <si>
    <t xml:space="preserve">■ 소노벨 단양 6월 판매 프로모션 요금(안) </t>
    <phoneticPr fontId="4" type="noConversion"/>
  </si>
  <si>
    <t>상품 ② 객실 + 오션플레이 3인 + 레전드 히어로즈 3회권 3매 + 웰컴티 3잔 + 할인권</t>
    <phoneticPr fontId="3" type="noConversion"/>
  </si>
  <si>
    <t>■ 소노벨 단양 6월 판매 프로모션 요금(안) _ 7/17~8/22월</t>
    <phoneticPr fontId="4" type="noConversion"/>
  </si>
  <si>
    <t>스페셜</t>
  </si>
  <si>
    <t>※6/6 WEST&amp;EAST  전체 미판매,      7/6~7/25 WEST 미판매※</t>
    <phoneticPr fontId="3" type="noConversion"/>
  </si>
  <si>
    <r>
      <t xml:space="preserve">■ 소노벨 단양 6월 판매 프로모션 요금(안) _ 7/1~7/16월      </t>
    </r>
    <r>
      <rPr>
        <b/>
        <sz val="16"/>
        <color rgb="FFFF0000"/>
        <rFont val="대명체 보통"/>
        <family val="3"/>
        <charset val="129"/>
      </rPr>
      <t>※7/6~7/25 WEST 미판매※</t>
    </r>
    <phoneticPr fontId="4" type="noConversion"/>
  </si>
  <si>
    <t>골드 1</t>
    <phoneticPr fontId="3" type="noConversion"/>
  </si>
  <si>
    <t>골드 2</t>
    <phoneticPr fontId="3" type="noConversion"/>
  </si>
  <si>
    <t>골드1 - 7/17, 8/21</t>
    <phoneticPr fontId="3" type="noConversion"/>
  </si>
  <si>
    <t>골드2 - 7/18, 8/7~8, 8/14~8/16, 8/22</t>
    <phoneticPr fontId="3" type="noConversion"/>
  </si>
  <si>
    <t>하이1 - 7/19~7/23, 8/17~20</t>
    <phoneticPr fontId="3" type="noConversion"/>
  </si>
  <si>
    <t>하이2 - 8/2~6, 8/9~8/13</t>
    <phoneticPr fontId="3" type="noConversion"/>
  </si>
  <si>
    <t>스페셜 - 7/24~8/1</t>
    <phoneticPr fontId="3" type="noConversion"/>
  </si>
  <si>
    <t>하이 1</t>
    <phoneticPr fontId="3" type="noConversion"/>
  </si>
  <si>
    <t>하이 2</t>
    <phoneticPr fontId="3" type="noConversion"/>
  </si>
  <si>
    <t>6/6 미판매</t>
    <phoneticPr fontId="3" type="noConversion"/>
  </si>
  <si>
    <t>*6월 한정 레전드 comp제공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</si>
</sst>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.0%"/>
    <numFmt numFmtId="177" formatCode="m&quot;/&quot;d;@"/>
  </numFmts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6"/>
      <color theme="1" tint="0.249977111117893"/>
      <name val="대명체 굵게"/>
      <family val="3"/>
      <charset val="129"/>
    </font>
    <font>
      <sz val="8"/>
      <name val="맑은 고딕"/>
      <family val="2"/>
      <charset val="129"/>
      <scheme val="minor"/>
    </font>
    <font>
      <sz val="8"/>
      <name val="나눔스퀘어"/>
      <family val="2"/>
      <charset val="129"/>
    </font>
    <font>
      <sz val="9"/>
      <color theme="1" tint="0.249977111117893"/>
      <name val="대명체 보통"/>
      <family val="3"/>
      <charset val="129"/>
    </font>
    <font>
      <sz val="10"/>
      <color theme="1" tint="0.249977111117893"/>
      <name val="대명체 보통"/>
      <family val="3"/>
      <charset val="129"/>
    </font>
    <font>
      <sz val="11"/>
      <color theme="1"/>
      <name val="대명체 보통"/>
      <family val="3"/>
      <charset val="129"/>
    </font>
    <font>
      <sz val="10"/>
      <color theme="1"/>
      <name val="나눔스퀘어"/>
      <family val="2"/>
      <charset val="129"/>
    </font>
    <font>
      <sz val="10"/>
      <color theme="1"/>
      <name val="대명체 보통"/>
      <family val="3"/>
      <charset val="129"/>
    </font>
    <font>
      <sz val="9"/>
      <color theme="1"/>
      <name val="대명체 보통"/>
      <family val="3"/>
      <charset val="129"/>
    </font>
    <font>
      <sz val="10"/>
      <color rgb="FFC00000"/>
      <name val="대명체 보통"/>
      <family val="3"/>
      <charset val="129"/>
    </font>
    <font>
      <sz val="10"/>
      <color theme="1" tint="0.249977111117893"/>
      <name val="대명체 굵게"/>
      <family val="3"/>
      <charset val="129"/>
    </font>
    <font>
      <sz val="8"/>
      <color theme="1" tint="0.249977111117893"/>
      <name val="대명체 보통"/>
      <family val="3"/>
      <charset val="129"/>
    </font>
    <font>
      <sz val="9"/>
      <color rgb="FFC00000"/>
      <name val="대명체 보통"/>
      <family val="3"/>
      <charset val="129"/>
    </font>
    <font>
      <u/>
      <sz val="10"/>
      <color theme="1" tint="0.249977111117893"/>
      <name val="대명체 보통"/>
      <family val="3"/>
      <charset val="129"/>
    </font>
    <font>
      <sz val="10"/>
      <color rgb="FFFF0000"/>
      <name val="대명체 보통"/>
      <family val="3"/>
      <charset val="129"/>
    </font>
    <font>
      <sz val="8"/>
      <color theme="1"/>
      <name val="대명체 보통"/>
      <family val="3"/>
      <charset val="129"/>
    </font>
    <font>
      <sz val="16"/>
      <color theme="1" tint="0.249977111117893"/>
      <name val="대명체 보통"/>
      <family val="3"/>
      <charset val="129"/>
    </font>
    <font>
      <sz val="9"/>
      <name val="대명체 보통"/>
      <family val="3"/>
      <charset val="129"/>
    </font>
    <font>
      <sz val="10"/>
      <color theme="0" tint="-0.34998626667073579"/>
      <name val="대명체 보통"/>
      <family val="3"/>
      <charset val="129"/>
    </font>
    <font>
      <sz val="11"/>
      <color rgb="FFC00000"/>
      <name val="맑은 고딕"/>
      <family val="2"/>
      <charset val="129"/>
      <scheme val="minor"/>
    </font>
    <font>
      <sz val="9"/>
      <color rgb="FF0070C0"/>
      <name val="대명체 보통"/>
      <family val="3"/>
      <charset val="129"/>
    </font>
    <font>
      <b/>
      <sz val="9"/>
      <color rgb="FFFF0000"/>
      <name val="대명체 보통"/>
      <family val="3"/>
      <charset val="129"/>
    </font>
    <font>
      <sz val="10"/>
      <color rgb="FF0000FF"/>
      <name val="대명체 보통"/>
      <family val="3"/>
      <charset val="129"/>
    </font>
    <font>
      <sz val="9"/>
      <color rgb="FF0000FF"/>
      <name val="대명체 보통"/>
      <family val="3"/>
      <charset val="129"/>
    </font>
    <font>
      <sz val="9"/>
      <color rgb="FFFF0000"/>
      <name val="대명체 보통"/>
      <family val="3"/>
      <charset val="129"/>
    </font>
    <font>
      <b/>
      <sz val="10"/>
      <color rgb="FFFF0000"/>
      <name val="대명체 보통"/>
      <family val="3"/>
      <charset val="129"/>
    </font>
    <font>
      <b/>
      <sz val="16"/>
      <color rgb="FFFF0000"/>
      <name val="대명체 보통"/>
      <family val="3"/>
      <charset val="129"/>
    </font>
    <font>
      <b/>
      <sz val="12"/>
      <color rgb="FFFF0000"/>
      <name val="대명체 보통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17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/>
      <bottom style="double">
        <color theme="0" tint="-0.24994659260841701"/>
      </bottom>
      <diagonal/>
    </border>
    <border>
      <left/>
      <right/>
      <top/>
      <bottom style="double">
        <color theme="0" tint="-0.24994659260841701"/>
      </bottom>
      <diagonal/>
    </border>
    <border>
      <left/>
      <right style="thin">
        <color theme="0" tint="-0.24994659260841701"/>
      </right>
      <top/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double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hair">
        <color theme="0" tint="-0.24994659260841701"/>
      </bottom>
      <diagonal/>
    </border>
    <border>
      <left style="hair">
        <color indexed="64"/>
      </left>
      <right style="thin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double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auto="1"/>
      </left>
      <right style="thin">
        <color theme="0" tint="-0.24994659260841701"/>
      </right>
      <top style="hair">
        <color theme="0" tint="-0.24994659260841701"/>
      </top>
      <bottom/>
      <diagonal/>
    </border>
    <border>
      <left/>
      <right style="thin">
        <color theme="0" tint="-0.24994659260841701"/>
      </right>
      <top style="hair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 style="thin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hair">
        <color indexed="64"/>
      </left>
      <right style="thin">
        <color theme="0" tint="-0.24994659260841701"/>
      </right>
      <top/>
      <bottom style="hair">
        <color theme="0" tint="-0.24994659260841701"/>
      </bottom>
      <diagonal/>
    </border>
    <border>
      <left/>
      <right style="thin">
        <color theme="0" tint="-0.24994659260841701"/>
      </right>
      <top/>
      <bottom style="hair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double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double">
        <color theme="0" tint="-0.24994659260841701"/>
      </top>
      <bottom/>
      <diagonal/>
    </border>
    <border>
      <left/>
      <right style="double">
        <color theme="0" tint="-0.24994659260841701"/>
      </right>
      <top style="double">
        <color theme="0" tint="-0.24994659260841701"/>
      </top>
      <bottom/>
      <diagonal/>
    </border>
    <border>
      <left/>
      <right style="thin">
        <color theme="0" tint="-0.24994659260841701"/>
      </right>
      <top style="double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indexed="64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/>
      <diagonal/>
    </border>
    <border>
      <left style="hair">
        <color theme="1" tint="0.499984740745262"/>
      </left>
      <right/>
      <top style="thin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/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/>
      <top/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/>
      <bottom/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/>
      <bottom style="thin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/>
      <diagonal/>
    </border>
    <border>
      <left style="hair">
        <color theme="1" tint="0.499984740745262"/>
      </left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theme="1" tint="0.499984740745262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theme="1" tint="0.499984740745262"/>
      </right>
      <top/>
      <bottom/>
      <diagonal/>
    </border>
    <border>
      <left/>
      <right style="hair">
        <color theme="1" tint="0.499984740745262"/>
      </right>
      <top/>
      <bottom style="hair">
        <color theme="1" tint="0.499984740745262"/>
      </bottom>
      <diagonal/>
    </border>
    <border>
      <left style="double">
        <color theme="0" tint="-0.24994659260841701"/>
      </left>
      <right style="thin">
        <color theme="0" tint="-0.24994659260841701"/>
      </right>
      <top style="double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theme="0" tint="-0.24994659260841701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24994659260841701"/>
      </top>
      <bottom/>
      <diagonal/>
    </border>
    <border>
      <left style="double">
        <color theme="0" tint="-0.24994659260841701"/>
      </left>
      <right style="thin">
        <color theme="0" tint="-0.24994659260841701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24994659260841701"/>
      </bottom>
      <diagonal/>
    </border>
    <border>
      <left style="double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hair">
        <color theme="1" tint="0.499984740745262"/>
      </right>
      <top style="thin">
        <color theme="1" tint="0.499984740745262"/>
      </top>
      <bottom/>
      <diagonal/>
    </border>
    <border>
      <left style="hair">
        <color theme="1" tint="0.499984740745262"/>
      </left>
      <right/>
      <top style="hair">
        <color auto="1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4659260841701"/>
      </top>
      <bottom/>
      <diagonal/>
    </border>
    <border>
      <left/>
      <right style="thin">
        <color theme="0" tint="-0.249977111117893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24994659260841701"/>
      </bottom>
      <diagonal/>
    </border>
    <border>
      <left style="thin">
        <color theme="0" tint="-0.24994659260841701"/>
      </left>
      <right style="hair">
        <color theme="0" tint="-0.499984740745262"/>
      </right>
      <top/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0" tint="-0.499984740745262"/>
      </right>
      <top style="hair">
        <color theme="0" tint="-0.24994659260841701"/>
      </top>
      <bottom/>
      <diagonal/>
    </border>
    <border>
      <left style="thin">
        <color theme="0" tint="-0.24994659260841701"/>
      </left>
      <right style="hair">
        <color theme="0" tint="-0.499984740745262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0" tint="-0.499984740745262"/>
      </right>
      <top style="hair">
        <color theme="0" tint="-0.24994659260841701"/>
      </top>
      <bottom style="thin">
        <color theme="0" tint="-0.2499465926084170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hair">
        <color theme="0" tint="-0.499984740745262"/>
      </right>
      <top style="thin">
        <color theme="0" tint="-0.24994659260841701"/>
      </top>
      <bottom style="double">
        <color theme="0" tint="-0.24994659260841701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24994659260841701"/>
      </top>
      <bottom style="double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theme="1" tint="0.499984740745262"/>
      </right>
      <top style="hair">
        <color auto="1"/>
      </top>
      <bottom/>
      <diagonal/>
    </border>
    <border>
      <left style="medium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hair">
        <color theme="0" tint="-0.24994659260841701"/>
      </bottom>
      <diagonal/>
    </border>
    <border>
      <left/>
      <right style="medium">
        <color theme="1" tint="0.499984740745262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theme="1" tint="0.499984740745262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318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7" fillId="0" borderId="1" xfId="0" applyFont="1" applyBorder="1">
      <alignment vertical="center"/>
    </xf>
    <xf numFmtId="41" fontId="9" fillId="0" borderId="0" xfId="0" applyNumberFormat="1" applyFont="1">
      <alignment vertical="center"/>
    </xf>
    <xf numFmtId="41" fontId="9" fillId="0" borderId="47" xfId="0" applyNumberFormat="1" applyFont="1" applyBorder="1">
      <alignment vertical="center"/>
    </xf>
    <xf numFmtId="0" fontId="11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12" fillId="0" borderId="0" xfId="0" applyFont="1">
      <alignment vertical="center"/>
    </xf>
    <xf numFmtId="0" fontId="5" fillId="0" borderId="3" xfId="0" applyFont="1" applyBorder="1" applyAlignment="1">
      <alignment horizontal="left" vertical="center"/>
    </xf>
    <xf numFmtId="41" fontId="5" fillId="0" borderId="3" xfId="1" applyFont="1" applyBorder="1" applyAlignment="1">
      <alignment horizontal="left" vertical="center"/>
    </xf>
    <xf numFmtId="41" fontId="5" fillId="0" borderId="0" xfId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>
      <alignment vertical="center"/>
    </xf>
    <xf numFmtId="0" fontId="6" fillId="3" borderId="0" xfId="0" applyFont="1" applyFill="1">
      <alignment vertical="center"/>
    </xf>
    <xf numFmtId="0" fontId="11" fillId="3" borderId="4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177" fontId="6" fillId="0" borderId="0" xfId="0" applyNumberFormat="1" applyFont="1">
      <alignment vertical="center"/>
    </xf>
    <xf numFmtId="177" fontId="6" fillId="0" borderId="1" xfId="0" applyNumberFormat="1" applyFont="1" applyBorder="1">
      <alignment vertical="center"/>
    </xf>
    <xf numFmtId="177" fontId="6" fillId="0" borderId="0" xfId="0" applyNumberFormat="1" applyFont="1" applyAlignment="1">
      <alignment horizontal="left" vertical="center"/>
    </xf>
    <xf numFmtId="177" fontId="6" fillId="0" borderId="1" xfId="0" applyNumberFormat="1" applyFont="1" applyBorder="1" applyAlignment="1">
      <alignment horizontal="left" vertical="center"/>
    </xf>
    <xf numFmtId="9" fontId="5" fillId="0" borderId="0" xfId="0" applyNumberFormat="1" applyFont="1" applyAlignment="1">
      <alignment horizontal="center" vertical="center"/>
    </xf>
    <xf numFmtId="9" fontId="7" fillId="0" borderId="0" xfId="0" applyNumberFormat="1" applyFont="1">
      <alignment vertical="center"/>
    </xf>
    <xf numFmtId="41" fontId="7" fillId="0" borderId="0" xfId="1" applyFont="1">
      <alignment vertical="center"/>
    </xf>
    <xf numFmtId="41" fontId="9" fillId="0" borderId="0" xfId="1" applyFont="1">
      <alignment vertical="center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9" fontId="9" fillId="0" borderId="0" xfId="2" applyFont="1" applyBorder="1">
      <alignment vertical="center"/>
    </xf>
    <xf numFmtId="9" fontId="5" fillId="0" borderId="85" xfId="0" applyNumberFormat="1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17" fillId="0" borderId="1" xfId="0" applyFont="1" applyBorder="1">
      <alignment vertical="center"/>
    </xf>
    <xf numFmtId="0" fontId="18" fillId="0" borderId="0" xfId="0" applyFont="1" applyAlignment="1">
      <alignment vertical="center" wrapText="1"/>
    </xf>
    <xf numFmtId="41" fontId="18" fillId="0" borderId="0" xfId="1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1" fontId="18" fillId="0" borderId="0" xfId="1" applyFont="1" applyBorder="1" applyAlignment="1">
      <alignment horizontal="left" vertical="center" wrapText="1"/>
    </xf>
    <xf numFmtId="0" fontId="18" fillId="0" borderId="85" xfId="0" applyFont="1" applyBorder="1" applyAlignment="1">
      <alignment horizontal="left" vertical="center" wrapText="1"/>
    </xf>
    <xf numFmtId="0" fontId="19" fillId="0" borderId="0" xfId="0" applyFont="1">
      <alignment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41" fontId="19" fillId="0" borderId="23" xfId="1" applyFont="1" applyFill="1" applyBorder="1" applyAlignment="1">
      <alignment horizontal="right" vertical="center"/>
    </xf>
    <xf numFmtId="41" fontId="19" fillId="0" borderId="22" xfId="1" applyFont="1" applyBorder="1">
      <alignment vertical="center"/>
    </xf>
    <xf numFmtId="9" fontId="19" fillId="0" borderId="37" xfId="2" applyFont="1" applyFill="1" applyBorder="1" applyAlignment="1">
      <alignment vertical="center"/>
    </xf>
    <xf numFmtId="41" fontId="19" fillId="0" borderId="22" xfId="1" applyFont="1" applyFill="1" applyBorder="1" applyAlignment="1">
      <alignment horizontal="right" vertical="center"/>
    </xf>
    <xf numFmtId="9" fontId="19" fillId="0" borderId="24" xfId="2" applyFont="1" applyFill="1" applyBorder="1" applyAlignment="1">
      <alignment vertical="center"/>
    </xf>
    <xf numFmtId="0" fontId="19" fillId="0" borderId="29" xfId="0" applyFont="1" applyBorder="1" applyAlignment="1">
      <alignment horizontal="center" vertical="center"/>
    </xf>
    <xf numFmtId="41" fontId="19" fillId="0" borderId="29" xfId="1" applyFont="1" applyFill="1" applyBorder="1" applyAlignment="1">
      <alignment horizontal="right" vertical="center"/>
    </xf>
    <xf numFmtId="41" fontId="19" fillId="0" borderId="29" xfId="1" applyFont="1" applyBorder="1">
      <alignment vertical="center"/>
    </xf>
    <xf numFmtId="9" fontId="19" fillId="0" borderId="46" xfId="2" applyFont="1" applyFill="1" applyBorder="1" applyAlignment="1">
      <alignment vertical="center"/>
    </xf>
    <xf numFmtId="9" fontId="19" fillId="0" borderId="30" xfId="2" applyFont="1" applyFill="1" applyBorder="1" applyAlignment="1">
      <alignment vertical="center"/>
    </xf>
    <xf numFmtId="0" fontId="19" fillId="0" borderId="28" xfId="0" applyFont="1" applyBorder="1" applyAlignment="1">
      <alignment horizontal="center" vertical="center"/>
    </xf>
    <xf numFmtId="41" fontId="19" fillId="0" borderId="28" xfId="1" applyFont="1" applyFill="1" applyBorder="1" applyAlignment="1">
      <alignment horizontal="right" vertical="center"/>
    </xf>
    <xf numFmtId="0" fontId="7" fillId="0" borderId="8" xfId="0" applyFont="1" applyBorder="1">
      <alignment vertical="center"/>
    </xf>
    <xf numFmtId="41" fontId="19" fillId="0" borderId="8" xfId="1" applyFont="1" applyFill="1" applyBorder="1" applyAlignment="1">
      <alignment horizontal="right" vertical="center"/>
    </xf>
    <xf numFmtId="0" fontId="19" fillId="0" borderId="22" xfId="0" applyFont="1" applyBorder="1" applyAlignment="1">
      <alignment horizontal="center" vertical="center"/>
    </xf>
    <xf numFmtId="41" fontId="19" fillId="0" borderId="33" xfId="1" applyFont="1" applyFill="1" applyBorder="1" applyAlignment="1">
      <alignment horizontal="right" vertical="center"/>
    </xf>
    <xf numFmtId="41" fontId="19" fillId="0" borderId="33" xfId="1" applyFont="1" applyBorder="1">
      <alignment vertical="center"/>
    </xf>
    <xf numFmtId="9" fontId="19" fillId="0" borderId="34" xfId="2" applyFont="1" applyFill="1" applyBorder="1" applyAlignment="1">
      <alignment vertical="center"/>
    </xf>
    <xf numFmtId="9" fontId="19" fillId="0" borderId="22" xfId="2" applyFont="1" applyFill="1" applyBorder="1" applyAlignment="1">
      <alignment vertical="center"/>
    </xf>
    <xf numFmtId="0" fontId="19" fillId="6" borderId="90" xfId="0" applyFont="1" applyFill="1" applyBorder="1" applyAlignment="1">
      <alignment horizontal="center" vertical="center"/>
    </xf>
    <xf numFmtId="9" fontId="18" fillId="0" borderId="0" xfId="2" applyFont="1" applyAlignment="1">
      <alignment vertical="center" wrapText="1"/>
    </xf>
    <xf numFmtId="9" fontId="18" fillId="0" borderId="0" xfId="2" applyFont="1" applyBorder="1" applyAlignment="1">
      <alignment horizontal="left" vertical="center" wrapText="1"/>
    </xf>
    <xf numFmtId="9" fontId="9" fillId="0" borderId="0" xfId="2" applyFont="1">
      <alignment vertical="center"/>
    </xf>
    <xf numFmtId="9" fontId="19" fillId="0" borderId="22" xfId="2" applyFont="1" applyBorder="1">
      <alignment vertical="center"/>
    </xf>
    <xf numFmtId="9" fontId="19" fillId="0" borderId="29" xfId="2" applyFont="1" applyBorder="1">
      <alignment vertical="center"/>
    </xf>
    <xf numFmtId="9" fontId="19" fillId="0" borderId="33" xfId="2" applyFont="1" applyBorder="1">
      <alignment vertical="center"/>
    </xf>
    <xf numFmtId="9" fontId="7" fillId="0" borderId="0" xfId="2" applyFont="1">
      <alignment vertical="center"/>
    </xf>
    <xf numFmtId="41" fontId="19" fillId="0" borderId="23" xfId="1" applyFont="1" applyBorder="1">
      <alignment vertical="center"/>
    </xf>
    <xf numFmtId="9" fontId="19" fillId="0" borderId="23" xfId="2" applyFont="1" applyBorder="1">
      <alignment vertical="center"/>
    </xf>
    <xf numFmtId="41" fontId="19" fillId="5" borderId="15" xfId="1" applyFont="1" applyFill="1" applyBorder="1" applyAlignment="1">
      <alignment horizontal="center" vertical="center"/>
    </xf>
    <xf numFmtId="9" fontId="19" fillId="6" borderId="93" xfId="2" applyFont="1" applyFill="1" applyBorder="1" applyAlignment="1">
      <alignment horizontal="center" vertical="center"/>
    </xf>
    <xf numFmtId="0" fontId="19" fillId="0" borderId="26" xfId="0" applyFont="1" applyBorder="1">
      <alignment vertical="center"/>
    </xf>
    <xf numFmtId="41" fontId="19" fillId="0" borderId="94" xfId="1" applyFont="1" applyFill="1" applyBorder="1" applyAlignment="1">
      <alignment horizontal="right" vertical="center"/>
    </xf>
    <xf numFmtId="41" fontId="19" fillId="0" borderId="38" xfId="1" applyFont="1" applyFill="1" applyBorder="1" applyAlignment="1">
      <alignment horizontal="right" vertical="center"/>
    </xf>
    <xf numFmtId="41" fontId="19" fillId="0" borderId="95" xfId="1" applyFont="1" applyFill="1" applyBorder="1" applyAlignment="1">
      <alignment horizontal="right" vertical="center"/>
    </xf>
    <xf numFmtId="41" fontId="19" fillId="0" borderId="31" xfId="1" applyFont="1" applyFill="1" applyBorder="1" applyAlignment="1">
      <alignment horizontal="right" vertical="center"/>
    </xf>
    <xf numFmtId="0" fontId="19" fillId="2" borderId="99" xfId="0" applyFont="1" applyFill="1" applyBorder="1" applyAlignment="1">
      <alignment horizontal="center" vertical="center"/>
    </xf>
    <xf numFmtId="0" fontId="19" fillId="2" borderId="100" xfId="0" applyFont="1" applyFill="1" applyBorder="1" applyAlignment="1">
      <alignment horizontal="center" vertical="center"/>
    </xf>
    <xf numFmtId="0" fontId="19" fillId="2" borderId="10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20" fillId="0" borderId="102" xfId="0" applyFont="1" applyBorder="1">
      <alignment vertical="center"/>
    </xf>
    <xf numFmtId="41" fontId="13" fillId="0" borderId="3" xfId="1" applyFont="1" applyBorder="1" applyAlignment="1">
      <alignment vertical="center"/>
    </xf>
    <xf numFmtId="41" fontId="13" fillId="0" borderId="0" xfId="1" applyFont="1" applyBorder="1" applyAlignment="1">
      <alignment vertical="center"/>
    </xf>
    <xf numFmtId="0" fontId="21" fillId="0" borderId="0" xfId="0" applyFont="1">
      <alignment vertical="center"/>
    </xf>
    <xf numFmtId="0" fontId="5" fillId="3" borderId="0" xfId="0" applyFont="1" applyFill="1" applyAlignment="1">
      <alignment horizontal="left" vertical="center"/>
    </xf>
    <xf numFmtId="177" fontId="19" fillId="0" borderId="29" xfId="0" applyNumberFormat="1" applyFont="1" applyBorder="1" applyAlignment="1">
      <alignment horizontal="center" vertical="center"/>
    </xf>
    <xf numFmtId="9" fontId="19" fillId="0" borderId="31" xfId="2" applyFont="1" applyFill="1" applyBorder="1" applyAlignment="1">
      <alignment vertical="center"/>
    </xf>
    <xf numFmtId="9" fontId="19" fillId="0" borderId="45" xfId="2" applyFont="1" applyFill="1" applyBorder="1" applyAlignment="1">
      <alignment vertical="center"/>
    </xf>
    <xf numFmtId="9" fontId="19" fillId="0" borderId="35" xfId="2" applyFont="1" applyFill="1" applyBorder="1" applyAlignment="1">
      <alignment vertical="center"/>
    </xf>
    <xf numFmtId="41" fontId="19" fillId="0" borderId="31" xfId="1" applyFont="1" applyFill="1" applyBorder="1" applyAlignment="1">
      <alignment vertical="center"/>
    </xf>
    <xf numFmtId="41" fontId="19" fillId="0" borderId="45" xfId="1" applyFont="1" applyFill="1" applyBorder="1" applyAlignment="1">
      <alignment vertical="center"/>
    </xf>
    <xf numFmtId="41" fontId="19" fillId="0" borderId="35" xfId="1" applyFont="1" applyFill="1" applyBorder="1" applyAlignment="1">
      <alignment vertical="center"/>
    </xf>
    <xf numFmtId="41" fontId="19" fillId="8" borderId="94" xfId="1" applyFont="1" applyFill="1" applyBorder="1" applyAlignment="1">
      <alignment horizontal="right" vertical="center"/>
    </xf>
    <xf numFmtId="41" fontId="19" fillId="8" borderId="80" xfId="1" applyFont="1" applyFill="1" applyBorder="1" applyAlignment="1">
      <alignment horizontal="right" vertical="center"/>
    </xf>
    <xf numFmtId="41" fontId="19" fillId="8" borderId="31" xfId="1" applyFont="1" applyFill="1" applyBorder="1" applyAlignment="1">
      <alignment horizontal="right" vertical="center"/>
    </xf>
    <xf numFmtId="41" fontId="19" fillId="8" borderId="96" xfId="1" applyFont="1" applyFill="1" applyBorder="1" applyAlignment="1">
      <alignment horizontal="right" vertical="center"/>
    </xf>
    <xf numFmtId="41" fontId="19" fillId="8" borderId="88" xfId="1" applyFont="1" applyFill="1" applyBorder="1" applyAlignment="1">
      <alignment horizontal="right" vertical="center"/>
    </xf>
    <xf numFmtId="41" fontId="19" fillId="8" borderId="45" xfId="1" applyFont="1" applyFill="1" applyBorder="1" applyAlignment="1">
      <alignment horizontal="right" vertical="center"/>
    </xf>
    <xf numFmtId="41" fontId="19" fillId="8" borderId="95" xfId="1" applyFont="1" applyFill="1" applyBorder="1" applyAlignment="1">
      <alignment horizontal="right" vertical="center"/>
    </xf>
    <xf numFmtId="41" fontId="19" fillId="8" borderId="97" xfId="1" applyFont="1" applyFill="1" applyBorder="1" applyAlignment="1">
      <alignment horizontal="right" vertical="center"/>
    </xf>
    <xf numFmtId="41" fontId="19" fillId="8" borderId="98" xfId="1" applyFont="1" applyFill="1" applyBorder="1" applyAlignment="1">
      <alignment horizontal="right" vertical="center"/>
    </xf>
    <xf numFmtId="41" fontId="19" fillId="8" borderId="35" xfId="1" applyFont="1" applyFill="1" applyBorder="1" applyAlignment="1">
      <alignment horizontal="right" vertical="center"/>
    </xf>
    <xf numFmtId="41" fontId="19" fillId="4" borderId="94" xfId="1" applyFont="1" applyFill="1" applyBorder="1" applyAlignment="1">
      <alignment horizontal="right" vertical="center"/>
    </xf>
    <xf numFmtId="41" fontId="19" fillId="4" borderId="82" xfId="1" applyFont="1" applyFill="1" applyBorder="1" applyAlignment="1">
      <alignment horizontal="right" vertical="center"/>
    </xf>
    <xf numFmtId="41" fontId="19" fillId="4" borderId="38" xfId="1" applyFont="1" applyFill="1" applyBorder="1" applyAlignment="1">
      <alignment horizontal="right" vertical="center"/>
    </xf>
    <xf numFmtId="41" fontId="19" fillId="4" borderId="95" xfId="1" applyFont="1" applyFill="1" applyBorder="1" applyAlignment="1">
      <alignment horizontal="right" vertical="center"/>
    </xf>
    <xf numFmtId="41" fontId="19" fillId="4" borderId="80" xfId="1" applyFont="1" applyFill="1" applyBorder="1" applyAlignment="1">
      <alignment horizontal="right" vertical="center"/>
    </xf>
    <xf numFmtId="41" fontId="19" fillId="4" borderId="31" xfId="1" applyFont="1" applyFill="1" applyBorder="1" applyAlignment="1">
      <alignment horizontal="right" vertical="center"/>
    </xf>
    <xf numFmtId="41" fontId="19" fillId="4" borderId="96" xfId="1" applyFont="1" applyFill="1" applyBorder="1" applyAlignment="1">
      <alignment horizontal="right" vertical="center"/>
    </xf>
    <xf numFmtId="41" fontId="19" fillId="4" borderId="88" xfId="1" applyFont="1" applyFill="1" applyBorder="1" applyAlignment="1">
      <alignment horizontal="right" vertical="center"/>
    </xf>
    <xf numFmtId="41" fontId="19" fillId="4" borderId="45" xfId="1" applyFont="1" applyFill="1" applyBorder="1" applyAlignment="1">
      <alignment horizontal="right" vertical="center"/>
    </xf>
    <xf numFmtId="41" fontId="19" fillId="4" borderId="97" xfId="1" applyFont="1" applyFill="1" applyBorder="1" applyAlignment="1">
      <alignment horizontal="right" vertical="center"/>
    </xf>
    <xf numFmtId="41" fontId="19" fillId="4" borderId="98" xfId="1" applyFont="1" applyFill="1" applyBorder="1" applyAlignment="1">
      <alignment horizontal="right" vertical="center"/>
    </xf>
    <xf numFmtId="41" fontId="19" fillId="4" borderId="35" xfId="1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left" vertical="center"/>
    </xf>
    <xf numFmtId="177" fontId="19" fillId="0" borderId="33" xfId="0" applyNumberFormat="1" applyFont="1" applyBorder="1" applyAlignment="1">
      <alignment horizontal="center" vertical="center"/>
    </xf>
    <xf numFmtId="41" fontId="19" fillId="0" borderId="32" xfId="1" applyFont="1" applyFill="1" applyBorder="1" applyAlignment="1">
      <alignment horizontal="right" vertical="center"/>
    </xf>
    <xf numFmtId="9" fontId="19" fillId="0" borderId="116" xfId="2" applyFont="1" applyFill="1" applyBorder="1" applyAlignment="1">
      <alignment vertical="center"/>
    </xf>
    <xf numFmtId="41" fontId="5" fillId="0" borderId="3" xfId="1" applyFont="1" applyFill="1" applyBorder="1" applyAlignment="1">
      <alignment vertical="center"/>
    </xf>
    <xf numFmtId="41" fontId="26" fillId="0" borderId="3" xfId="1" applyFont="1" applyFill="1" applyBorder="1" applyAlignment="1">
      <alignment vertical="center"/>
    </xf>
    <xf numFmtId="0" fontId="26" fillId="2" borderId="20" xfId="0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horizontal="center" vertical="center"/>
    </xf>
    <xf numFmtId="9" fontId="19" fillId="0" borderId="23" xfId="2" applyFont="1" applyFill="1" applyBorder="1" applyAlignment="1">
      <alignment vertical="center"/>
    </xf>
    <xf numFmtId="41" fontId="19" fillId="0" borderId="23" xfId="1" applyFont="1" applyFill="1" applyBorder="1">
      <alignment vertical="center"/>
    </xf>
    <xf numFmtId="41" fontId="19" fillId="0" borderId="29" xfId="1" applyFont="1" applyFill="1" applyBorder="1">
      <alignment vertical="center"/>
    </xf>
    <xf numFmtId="41" fontId="19" fillId="0" borderId="22" xfId="1" applyFont="1" applyFill="1" applyBorder="1">
      <alignment vertical="center"/>
    </xf>
    <xf numFmtId="49" fontId="5" fillId="9" borderId="0" xfId="0" applyNumberFormat="1" applyFont="1" applyFill="1" applyAlignment="1">
      <alignment horizontal="left" vertical="center"/>
    </xf>
    <xf numFmtId="0" fontId="18" fillId="9" borderId="0" xfId="0" applyFont="1" applyFill="1" applyAlignment="1">
      <alignment horizontal="left" vertical="center" wrapText="1"/>
    </xf>
    <xf numFmtId="41" fontId="18" fillId="9" borderId="0" xfId="1" applyFont="1" applyFill="1" applyBorder="1" applyAlignment="1">
      <alignment horizontal="left" vertical="center" wrapText="1"/>
    </xf>
    <xf numFmtId="49" fontId="10" fillId="9" borderId="0" xfId="0" applyNumberFormat="1" applyFont="1" applyFill="1" applyAlignment="1">
      <alignment horizontal="left" vertical="center"/>
    </xf>
    <xf numFmtId="41" fontId="9" fillId="9" borderId="0" xfId="0" applyNumberFormat="1" applyFont="1" applyFill="1">
      <alignment vertical="center"/>
    </xf>
    <xf numFmtId="0" fontId="9" fillId="9" borderId="0" xfId="0" applyFont="1" applyFill="1">
      <alignment vertical="center"/>
    </xf>
    <xf numFmtId="41" fontId="9" fillId="9" borderId="47" xfId="0" applyNumberFormat="1" applyFont="1" applyFill="1" applyBorder="1">
      <alignment vertical="center"/>
    </xf>
    <xf numFmtId="41" fontId="9" fillId="9" borderId="0" xfId="1" applyFont="1" applyFill="1">
      <alignment vertical="center"/>
    </xf>
    <xf numFmtId="0" fontId="6" fillId="0" borderId="51" xfId="0" applyFont="1" applyBorder="1" applyAlignment="1">
      <alignment horizontal="right" vertical="center"/>
    </xf>
    <xf numFmtId="0" fontId="6" fillId="0" borderId="53" xfId="0" applyFont="1" applyBorder="1" applyAlignment="1">
      <alignment horizontal="right" vertical="center"/>
    </xf>
    <xf numFmtId="0" fontId="6" fillId="0" borderId="52" xfId="0" applyFont="1" applyBorder="1" applyAlignment="1">
      <alignment horizontal="right" vertical="center"/>
    </xf>
    <xf numFmtId="0" fontId="5" fillId="0" borderId="57" xfId="0" applyFont="1" applyBorder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6" fillId="0" borderId="54" xfId="0" applyFont="1" applyBorder="1" applyAlignment="1">
      <alignment horizontal="right" vertical="center"/>
    </xf>
    <xf numFmtId="0" fontId="5" fillId="0" borderId="55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6" fillId="0" borderId="76" xfId="0" applyFont="1" applyBorder="1" applyAlignment="1">
      <alignment horizontal="right" vertical="center"/>
    </xf>
    <xf numFmtId="0" fontId="5" fillId="0" borderId="51" xfId="0" applyFont="1" applyBorder="1" applyAlignment="1">
      <alignment horizontal="center" vertical="center"/>
    </xf>
    <xf numFmtId="0" fontId="6" fillId="0" borderId="87" xfId="0" applyFont="1" applyBorder="1" applyAlignment="1">
      <alignment horizontal="right" vertical="center"/>
    </xf>
    <xf numFmtId="0" fontId="6" fillId="0" borderId="109" xfId="0" applyFont="1" applyBorder="1" applyAlignment="1">
      <alignment horizontal="right" vertical="center"/>
    </xf>
    <xf numFmtId="0" fontId="5" fillId="0" borderId="73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0" fontId="14" fillId="0" borderId="72" xfId="0" applyFont="1" applyBorder="1" applyAlignment="1">
      <alignment horizontal="center" vertical="center"/>
    </xf>
    <xf numFmtId="0" fontId="14" fillId="0" borderId="75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9" fillId="2" borderId="50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0" xfId="0" applyFont="1" applyBorder="1" applyAlignment="1">
      <alignment horizontal="right" vertical="center"/>
    </xf>
    <xf numFmtId="0" fontId="6" fillId="0" borderId="86" xfId="0" applyFont="1" applyBorder="1" applyAlignment="1">
      <alignment horizontal="right" vertical="center"/>
    </xf>
    <xf numFmtId="0" fontId="6" fillId="0" borderId="49" xfId="0" applyFont="1" applyBorder="1" applyAlignment="1">
      <alignment horizontal="right" vertical="center"/>
    </xf>
    <xf numFmtId="0" fontId="14" fillId="0" borderId="51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6" fillId="0" borderId="103" xfId="0" applyFont="1" applyBorder="1" applyAlignment="1">
      <alignment horizontal="right" vertical="center"/>
    </xf>
    <xf numFmtId="0" fontId="16" fillId="7" borderId="49" xfId="0" applyFont="1" applyFill="1" applyBorder="1" applyAlignment="1">
      <alignment horizontal="right" vertical="center"/>
    </xf>
    <xf numFmtId="0" fontId="16" fillId="7" borderId="50" xfId="0" applyFont="1" applyFill="1" applyBorder="1" applyAlignment="1">
      <alignment horizontal="right" vertical="center"/>
    </xf>
    <xf numFmtId="0" fontId="23" fillId="7" borderId="108" xfId="0" applyFont="1" applyFill="1" applyBorder="1" applyAlignment="1">
      <alignment horizontal="center" vertical="center"/>
    </xf>
    <xf numFmtId="0" fontId="23" fillId="7" borderId="7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6" fillId="7" borderId="53" xfId="0" applyFont="1" applyFill="1" applyBorder="1" applyAlignment="1">
      <alignment horizontal="right" vertical="center"/>
    </xf>
    <xf numFmtId="0" fontId="16" fillId="7" borderId="54" xfId="0" applyFont="1" applyFill="1" applyBorder="1" applyAlignment="1">
      <alignment horizontal="right" vertical="center"/>
    </xf>
    <xf numFmtId="0" fontId="24" fillId="7" borderId="53" xfId="0" applyFont="1" applyFill="1" applyBorder="1" applyAlignment="1">
      <alignment horizontal="right" vertical="center"/>
    </xf>
    <xf numFmtId="0" fontId="6" fillId="0" borderId="63" xfId="0" applyFont="1" applyBorder="1" applyAlignment="1">
      <alignment horizontal="right" vertical="center"/>
    </xf>
    <xf numFmtId="0" fontId="16" fillId="7" borderId="51" xfId="0" applyFont="1" applyFill="1" applyBorder="1" applyAlignment="1">
      <alignment horizontal="right" vertical="center"/>
    </xf>
    <xf numFmtId="0" fontId="6" fillId="7" borderId="51" xfId="0" applyFont="1" applyFill="1" applyBorder="1" applyAlignment="1">
      <alignment horizontal="right" vertical="center"/>
    </xf>
    <xf numFmtId="0" fontId="5" fillId="0" borderId="58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6" fillId="0" borderId="71" xfId="0" applyFont="1" applyBorder="1" applyAlignment="1">
      <alignment horizontal="right" vertical="center"/>
    </xf>
    <xf numFmtId="0" fontId="5" fillId="0" borderId="52" xfId="0" applyFont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right" vertical="center"/>
    </xf>
    <xf numFmtId="9" fontId="5" fillId="0" borderId="1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/>
    </xf>
    <xf numFmtId="41" fontId="13" fillId="4" borderId="3" xfId="1" applyFont="1" applyFill="1" applyBorder="1" applyAlignment="1">
      <alignment horizontal="center" vertical="center"/>
    </xf>
    <xf numFmtId="41" fontId="5" fillId="4" borderId="3" xfId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41" fontId="13" fillId="0" borderId="0" xfId="1" applyFont="1" applyBorder="1" applyAlignment="1">
      <alignment horizontal="center" vertical="center"/>
    </xf>
    <xf numFmtId="41" fontId="5" fillId="0" borderId="0" xfId="1" applyFont="1" applyBorder="1" applyAlignment="1">
      <alignment horizontal="center" vertical="center"/>
    </xf>
    <xf numFmtId="41" fontId="13" fillId="0" borderId="0" xfId="1" applyFont="1" applyBorder="1" applyAlignment="1">
      <alignment horizontal="left" vertical="center"/>
    </xf>
    <xf numFmtId="41" fontId="13" fillId="0" borderId="3" xfId="1" applyFont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13" fillId="0" borderId="1" xfId="0" applyFont="1" applyBorder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right" vertical="center"/>
    </xf>
    <xf numFmtId="0" fontId="16" fillId="0" borderId="51" xfId="0" applyFont="1" applyBorder="1" applyAlignment="1">
      <alignment horizontal="right" vertical="center"/>
    </xf>
    <xf numFmtId="0" fontId="16" fillId="0" borderId="52" xfId="0" applyFont="1" applyBorder="1" applyAlignment="1">
      <alignment horizontal="right" vertical="center"/>
    </xf>
    <xf numFmtId="0" fontId="10" fillId="0" borderId="108" xfId="0" applyFont="1" applyBorder="1" applyAlignment="1">
      <alignment horizontal="center" vertical="center"/>
    </xf>
    <xf numFmtId="0" fontId="25" fillId="0" borderId="108" xfId="0" applyFont="1" applyBorder="1" applyAlignment="1">
      <alignment horizontal="center" vertical="center"/>
    </xf>
    <xf numFmtId="0" fontId="26" fillId="0" borderId="108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9" fontId="19" fillId="2" borderId="21" xfId="0" applyNumberFormat="1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26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19" fillId="2" borderId="91" xfId="0" applyFont="1" applyFill="1" applyBorder="1" applyAlignment="1">
      <alignment horizontal="center" vertical="center"/>
    </xf>
    <xf numFmtId="0" fontId="19" fillId="2" borderId="92" xfId="0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2" borderId="21" xfId="0" applyFont="1" applyFill="1" applyBorder="1" applyAlignment="1">
      <alignment horizontal="center" vertical="center"/>
    </xf>
    <xf numFmtId="41" fontId="19" fillId="5" borderId="5" xfId="1" applyFont="1" applyFill="1" applyBorder="1" applyAlignment="1">
      <alignment horizontal="center" vertical="center"/>
    </xf>
    <xf numFmtId="0" fontId="19" fillId="6" borderId="89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19" fillId="0" borderId="78" xfId="0" applyFont="1" applyBorder="1" applyAlignment="1">
      <alignment horizontal="center" vertical="center" wrapText="1"/>
    </xf>
    <xf numFmtId="0" fontId="19" fillId="0" borderId="81" xfId="0" applyFont="1" applyBorder="1" applyAlignment="1">
      <alignment horizontal="center" vertical="center" wrapText="1"/>
    </xf>
    <xf numFmtId="0" fontId="19" fillId="0" borderId="79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0" borderId="84" xfId="0" applyFont="1" applyBorder="1" applyAlignment="1">
      <alignment horizontal="center" vertical="center" wrapText="1"/>
    </xf>
    <xf numFmtId="0" fontId="19" fillId="0" borderId="83" xfId="0" applyFont="1" applyBorder="1" applyAlignment="1">
      <alignment horizontal="center" vertical="center" wrapText="1"/>
    </xf>
    <xf numFmtId="0" fontId="6" fillId="3" borderId="114" xfId="0" applyFont="1" applyFill="1" applyBorder="1" applyAlignment="1">
      <alignment horizontal="center" vertical="center"/>
    </xf>
    <xf numFmtId="0" fontId="6" fillId="3" borderId="115" xfId="0" applyFont="1" applyFill="1" applyBorder="1" applyAlignment="1">
      <alignment horizontal="center" vertical="center"/>
    </xf>
    <xf numFmtId="0" fontId="6" fillId="3" borderId="111" xfId="0" applyFont="1" applyFill="1" applyBorder="1" applyAlignment="1">
      <alignment horizontal="center" vertical="center"/>
    </xf>
    <xf numFmtId="0" fontId="5" fillId="3" borderId="107" xfId="0" applyFont="1" applyFill="1" applyBorder="1" applyAlignment="1">
      <alignment horizontal="center" vertical="center"/>
    </xf>
    <xf numFmtId="0" fontId="5" fillId="3" borderId="114" xfId="0" applyFont="1" applyFill="1" applyBorder="1" applyAlignment="1">
      <alignment horizontal="center" vertical="center"/>
    </xf>
    <xf numFmtId="0" fontId="6" fillId="3" borderId="105" xfId="0" applyFont="1" applyFill="1" applyBorder="1" applyAlignment="1">
      <alignment horizontal="center" vertical="center"/>
    </xf>
    <xf numFmtId="0" fontId="6" fillId="3" borderId="104" xfId="0" applyFont="1" applyFill="1" applyBorder="1" applyAlignment="1">
      <alignment horizontal="center" vertical="center"/>
    </xf>
    <xf numFmtId="0" fontId="6" fillId="3" borderId="112" xfId="0" applyFont="1" applyFill="1" applyBorder="1" applyAlignment="1">
      <alignment horizontal="center" vertical="center"/>
    </xf>
    <xf numFmtId="0" fontId="5" fillId="3" borderId="112" xfId="0" applyFont="1" applyFill="1" applyBorder="1" applyAlignment="1">
      <alignment horizontal="center" vertical="center"/>
    </xf>
    <xf numFmtId="0" fontId="6" fillId="3" borderId="113" xfId="0" applyFont="1" applyFill="1" applyBorder="1" applyAlignment="1">
      <alignment horizontal="center" vertical="center"/>
    </xf>
    <xf numFmtId="0" fontId="6" fillId="3" borderId="110" xfId="0" applyFont="1" applyFill="1" applyBorder="1" applyAlignment="1">
      <alignment horizontal="center" vertical="center"/>
    </xf>
    <xf numFmtId="0" fontId="5" fillId="3" borderId="106" xfId="0" applyFont="1" applyFill="1" applyBorder="1" applyAlignment="1">
      <alignment horizontal="center" vertical="center"/>
    </xf>
    <xf numFmtId="0" fontId="6" fillId="2" borderId="59" xfId="0" applyFont="1" applyFill="1" applyBorder="1" applyAlignment="1">
      <alignment horizontal="center" vertical="center"/>
    </xf>
    <xf numFmtId="0" fontId="6" fillId="2" borderId="60" xfId="0" applyFont="1" applyFill="1" applyBorder="1" applyAlignment="1">
      <alignment horizontal="center" vertical="center"/>
    </xf>
    <xf numFmtId="0" fontId="6" fillId="2" borderId="62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/>
    </xf>
    <xf numFmtId="0" fontId="6" fillId="2" borderId="66" xfId="0" applyFont="1" applyFill="1" applyBorder="1" applyAlignment="1">
      <alignment horizontal="center" vertical="center"/>
    </xf>
    <xf numFmtId="0" fontId="6" fillId="2" borderId="67" xfId="0" applyFont="1" applyFill="1" applyBorder="1" applyAlignment="1">
      <alignment horizontal="center" vertical="center"/>
    </xf>
    <xf numFmtId="9" fontId="6" fillId="2" borderId="60" xfId="0" applyNumberFormat="1" applyFont="1" applyFill="1" applyBorder="1" applyAlignment="1">
      <alignment horizontal="center" vertical="center"/>
    </xf>
    <xf numFmtId="9" fontId="6" fillId="2" borderId="61" xfId="0" applyNumberFormat="1" applyFont="1" applyFill="1" applyBorder="1" applyAlignment="1">
      <alignment horizontal="center" vertical="center"/>
    </xf>
    <xf numFmtId="0" fontId="6" fillId="2" borderId="54" xfId="0" applyFont="1" applyFill="1" applyBorder="1" applyAlignment="1">
      <alignment horizontal="center" vertical="center"/>
    </xf>
    <xf numFmtId="0" fontId="6" fillId="2" borderId="63" xfId="0" applyFont="1" applyFill="1" applyBorder="1" applyAlignment="1">
      <alignment horizontal="center" vertical="center"/>
    </xf>
    <xf numFmtId="0" fontId="6" fillId="2" borderId="58" xfId="0" applyFont="1" applyFill="1" applyBorder="1" applyAlignment="1">
      <alignment horizontal="center" vertical="center"/>
    </xf>
    <xf numFmtId="0" fontId="6" fillId="2" borderId="68" xfId="0" applyFont="1" applyFill="1" applyBorder="1" applyAlignment="1">
      <alignment horizontal="center" vertical="center"/>
    </xf>
    <xf numFmtId="176" fontId="6" fillId="2" borderId="64" xfId="0" applyNumberFormat="1" applyFont="1" applyFill="1" applyBorder="1" applyAlignment="1">
      <alignment horizontal="center" vertical="center"/>
    </xf>
    <xf numFmtId="9" fontId="6" fillId="2" borderId="64" xfId="0" applyNumberFormat="1" applyFont="1" applyFill="1" applyBorder="1" applyAlignment="1">
      <alignment horizontal="center" vertical="center"/>
    </xf>
    <xf numFmtId="0" fontId="6" fillId="2" borderId="64" xfId="0" applyFont="1" applyFill="1" applyBorder="1" applyAlignment="1">
      <alignment horizontal="center" vertical="center"/>
    </xf>
    <xf numFmtId="0" fontId="6" fillId="2" borderId="65" xfId="0" applyFont="1" applyFill="1" applyBorder="1" applyAlignment="1">
      <alignment horizontal="center" vertical="center"/>
    </xf>
    <xf numFmtId="9" fontId="6" fillId="2" borderId="57" xfId="0" applyNumberFormat="1" applyFont="1" applyFill="1" applyBorder="1" applyAlignment="1">
      <alignment horizontal="center" vertical="center"/>
    </xf>
    <xf numFmtId="0" fontId="6" fillId="2" borderId="57" xfId="0" applyFont="1" applyFill="1" applyBorder="1" applyAlignment="1">
      <alignment horizontal="center" vertical="center"/>
    </xf>
    <xf numFmtId="0" fontId="6" fillId="3" borderId="59" xfId="0" applyFont="1" applyFill="1" applyBorder="1" applyAlignment="1">
      <alignment horizontal="center" vertical="center"/>
    </xf>
    <xf numFmtId="0" fontId="6" fillId="3" borderId="60" xfId="0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center" vertical="center"/>
    </xf>
    <xf numFmtId="0" fontId="5" fillId="3" borderId="61" xfId="0" applyFont="1" applyFill="1" applyBorder="1" applyAlignment="1">
      <alignment horizontal="center" vertical="center"/>
    </xf>
    <xf numFmtId="176" fontId="6" fillId="2" borderId="57" xfId="0" applyNumberFormat="1" applyFont="1" applyFill="1" applyBorder="1" applyAlignment="1">
      <alignment horizontal="center" vertical="center"/>
    </xf>
    <xf numFmtId="0" fontId="6" fillId="3" borderId="63" xfId="0" applyFont="1" applyFill="1" applyBorder="1" applyAlignment="1">
      <alignment horizontal="center" vertical="center"/>
    </xf>
    <xf numFmtId="0" fontId="6" fillId="3" borderId="53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/>
    </xf>
    <xf numFmtId="0" fontId="6" fillId="3" borderId="54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 vertical="center"/>
    </xf>
    <xf numFmtId="0" fontId="5" fillId="3" borderId="65" xfId="0" applyFont="1" applyFill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0" fontId="6" fillId="3" borderId="69" xfId="0" applyFont="1" applyFill="1" applyBorder="1" applyAlignment="1">
      <alignment horizontal="center" vertical="center"/>
    </xf>
    <xf numFmtId="0" fontId="29" fillId="9" borderId="0" xfId="0" applyFont="1" applyFill="1" applyAlignment="1">
      <alignment horizontal="left" vertical="center" wrapText="1"/>
    </xf>
  </cellXfs>
  <cellStyles count="4">
    <cellStyle name="백분율" xfId="2" builtinId="5"/>
    <cellStyle name="쉼표 [0]" xfId="1" builtinId="6"/>
    <cellStyle name="표준" xfId="0" builtinId="0"/>
    <cellStyle name="표준 2" xfId="3"/>
  </cellStyles>
  <dxfs count="0"/>
  <tableStyles count="0" defaultTableStyle="TableStyleMedium2" defaultPivotStyle="PivotStyleLight16"/>
  <colors>
    <mruColors>
      <color rgb="FF0000CC"/>
      <color rgb="FF00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2"/>
  <sheetViews>
    <sheetView showGridLines="0" tabSelected="1" zoomScaleNormal="100" workbookViewId="0">
      <selection activeCell="H15" sqref="H15"/>
    </sheetView>
  </sheetViews>
  <sheetFormatPr defaultRowHeight="16.5"/>
  <cols>
    <col min="1" max="1" width="1.125" customWidth="1"/>
    <col min="2" max="70" width="6.125" customWidth="1"/>
  </cols>
  <sheetData>
    <row r="1" spans="1:18" ht="10.5" customHeight="1">
      <c r="A1" t="s">
        <v>26</v>
      </c>
    </row>
    <row r="2" spans="1:18" s="1" customFormat="1" ht="15" customHeight="1">
      <c r="B2" s="215" t="s">
        <v>143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</row>
    <row r="3" spans="1:18" s="1" customFormat="1" ht="15" customHeight="1"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</row>
    <row r="4" spans="1:18" s="1" customFormat="1" ht="15" customHeight="1">
      <c r="R4" s="4"/>
    </row>
    <row r="5" spans="1:18" s="1" customFormat="1" ht="18" customHeight="1">
      <c r="B5" s="11" t="s">
        <v>0</v>
      </c>
      <c r="M5" s="2"/>
    </row>
    <row r="6" spans="1:18" s="1" customFormat="1" ht="18" customHeight="1">
      <c r="B6" s="213" t="s">
        <v>1</v>
      </c>
      <c r="C6" s="213"/>
      <c r="D6" s="213" t="s">
        <v>2</v>
      </c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</row>
    <row r="7" spans="1:18" s="1" customFormat="1" ht="18" customHeight="1">
      <c r="B7" s="217" t="s">
        <v>3</v>
      </c>
      <c r="C7" s="217"/>
      <c r="D7" s="20" t="s">
        <v>126</v>
      </c>
      <c r="E7" s="10"/>
      <c r="F7" s="10"/>
      <c r="G7" s="10"/>
      <c r="H7" s="10"/>
      <c r="I7" s="10"/>
      <c r="J7" s="10"/>
      <c r="K7" s="10"/>
      <c r="L7" s="10"/>
      <c r="M7" s="2"/>
    </row>
    <row r="8" spans="1:18" s="1" customFormat="1" ht="18" customHeight="1">
      <c r="B8" s="212" t="s">
        <v>4</v>
      </c>
      <c r="C8" s="212"/>
      <c r="D8" s="10" t="s">
        <v>135</v>
      </c>
      <c r="E8" s="10"/>
      <c r="F8" s="10"/>
      <c r="G8" s="10"/>
      <c r="H8" s="10"/>
      <c r="I8" s="10"/>
      <c r="J8" s="10"/>
      <c r="K8" s="10"/>
      <c r="L8" s="10"/>
      <c r="M8" s="2"/>
    </row>
    <row r="9" spans="1:18" s="1" customFormat="1" ht="18" customHeight="1">
      <c r="B9" s="119"/>
      <c r="C9" s="119"/>
      <c r="D9" s="119" t="s">
        <v>137</v>
      </c>
      <c r="E9" s="119"/>
      <c r="F9" s="119"/>
      <c r="G9" s="119"/>
      <c r="H9" s="119"/>
      <c r="I9" s="119"/>
      <c r="J9" s="119"/>
      <c r="K9" s="119"/>
      <c r="L9" s="119"/>
      <c r="M9" s="120"/>
      <c r="N9" s="121"/>
      <c r="O9" s="121"/>
      <c r="P9" s="121"/>
      <c r="Q9" s="121"/>
      <c r="R9" s="121"/>
    </row>
    <row r="10" spans="1:18" s="1" customFormat="1" ht="18" customHeight="1">
      <c r="B10" s="119"/>
      <c r="C10" s="119"/>
      <c r="D10" s="119" t="s">
        <v>138</v>
      </c>
      <c r="E10" s="119"/>
      <c r="F10" s="119"/>
      <c r="G10" s="119"/>
      <c r="H10" s="119"/>
      <c r="I10" s="119"/>
      <c r="J10" s="119"/>
      <c r="K10" s="119"/>
      <c r="L10" s="119"/>
      <c r="M10" s="120"/>
      <c r="N10" s="121"/>
      <c r="O10" s="121"/>
      <c r="P10" s="121"/>
      <c r="Q10" s="121"/>
      <c r="R10" s="121"/>
    </row>
    <row r="11" spans="1:18" s="1" customFormat="1" ht="18" customHeight="1">
      <c r="B11" s="119"/>
      <c r="C11" s="119"/>
      <c r="D11" s="119" t="s">
        <v>139</v>
      </c>
      <c r="E11" s="119"/>
      <c r="F11" s="119"/>
      <c r="G11" s="119"/>
      <c r="H11" s="119"/>
      <c r="I11" s="119"/>
      <c r="J11" s="119"/>
      <c r="K11" s="119"/>
      <c r="L11" s="119"/>
      <c r="M11" s="120"/>
      <c r="N11" s="121"/>
      <c r="O11" s="121"/>
      <c r="P11" s="121"/>
      <c r="Q11" s="121"/>
      <c r="R11" s="121"/>
    </row>
    <row r="12" spans="1:18" s="1" customFormat="1" ht="18" customHeight="1">
      <c r="B12" s="119"/>
      <c r="C12" s="119"/>
      <c r="D12" s="119" t="s">
        <v>140</v>
      </c>
      <c r="E12" s="119"/>
      <c r="F12" s="119"/>
      <c r="G12" s="119"/>
      <c r="H12" s="119"/>
      <c r="I12" s="119"/>
      <c r="J12" s="119"/>
      <c r="K12" s="119"/>
      <c r="L12" s="119"/>
      <c r="M12" s="120"/>
      <c r="N12" s="121"/>
      <c r="O12" s="121"/>
      <c r="P12" s="121"/>
      <c r="Q12" s="121"/>
      <c r="R12" s="121"/>
    </row>
    <row r="13" spans="1:18" s="1" customFormat="1" ht="18" customHeight="1">
      <c r="B13" s="212" t="s">
        <v>5</v>
      </c>
      <c r="C13" s="212"/>
      <c r="D13" s="10" t="s">
        <v>136</v>
      </c>
      <c r="E13" s="10"/>
      <c r="F13" s="10"/>
      <c r="G13" s="122" t="s">
        <v>147</v>
      </c>
      <c r="H13" s="10"/>
      <c r="I13" s="10"/>
      <c r="J13" s="10"/>
      <c r="K13" s="10"/>
      <c r="L13" s="10"/>
      <c r="M13" s="2"/>
    </row>
    <row r="14" spans="1:18" s="1" customFormat="1" ht="18" customHeight="1">
      <c r="B14" s="212" t="s">
        <v>6</v>
      </c>
      <c r="C14" s="212"/>
      <c r="D14" s="10" t="s">
        <v>117</v>
      </c>
      <c r="E14" s="10"/>
      <c r="F14" s="10"/>
      <c r="G14" s="10"/>
      <c r="H14" s="10"/>
      <c r="I14" s="10"/>
      <c r="J14" s="10"/>
      <c r="K14" s="10"/>
      <c r="L14" s="10"/>
      <c r="M14" s="2"/>
    </row>
    <row r="15" spans="1:18" s="1" customFormat="1" ht="18" customHeight="1">
      <c r="B15" s="10"/>
      <c r="C15" s="10"/>
      <c r="D15" s="10" t="s">
        <v>144</v>
      </c>
      <c r="E15" s="10"/>
      <c r="F15" s="10"/>
      <c r="G15" s="10"/>
      <c r="H15" s="10"/>
      <c r="I15" s="10"/>
      <c r="J15" s="10"/>
      <c r="K15" s="10"/>
      <c r="L15" s="10"/>
      <c r="M15" s="2"/>
    </row>
    <row r="16" spans="1:18" s="1" customFormat="1" ht="18" customHeight="1">
      <c r="B16" s="10" t="s">
        <v>99</v>
      </c>
      <c r="C16" s="10"/>
      <c r="D16" s="10" t="s">
        <v>116</v>
      </c>
      <c r="E16" s="10"/>
      <c r="F16" s="10"/>
      <c r="G16" s="10"/>
      <c r="H16" s="10"/>
      <c r="I16" s="10"/>
      <c r="J16" s="10"/>
      <c r="K16" s="10"/>
      <c r="L16" s="10"/>
      <c r="M16" s="2"/>
    </row>
    <row r="17" spans="2:20" s="3" customFormat="1" ht="18" customHeight="1">
      <c r="B17" s="212" t="s">
        <v>27</v>
      </c>
      <c r="C17" s="212"/>
      <c r="D17" s="10" t="s">
        <v>90</v>
      </c>
      <c r="E17" s="10"/>
      <c r="F17" s="10"/>
      <c r="G17" s="10"/>
      <c r="H17" s="10"/>
      <c r="I17" s="10"/>
      <c r="J17" s="10"/>
      <c r="K17" s="10"/>
      <c r="L17" s="10"/>
    </row>
    <row r="18" spans="2:20" s="5" customFormat="1" ht="18" customHeight="1">
      <c r="B18" s="5" t="s">
        <v>142</v>
      </c>
      <c r="D18" s="9" t="s">
        <v>141</v>
      </c>
    </row>
    <row r="19" spans="2:20" s="3" customFormat="1" ht="18" customHeight="1">
      <c r="B19" s="6"/>
      <c r="C19" s="6"/>
      <c r="D19" s="19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2:20">
      <c r="T20" s="3"/>
    </row>
    <row r="21" spans="2:20" s="1" customFormat="1" ht="18" customHeight="1">
      <c r="B21" s="11" t="s">
        <v>29</v>
      </c>
      <c r="M21" s="2"/>
    </row>
    <row r="22" spans="2:20" s="1" customFormat="1" ht="18" customHeight="1">
      <c r="B22" s="213" t="s">
        <v>1</v>
      </c>
      <c r="C22" s="213"/>
      <c r="D22" s="213" t="s">
        <v>2</v>
      </c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</row>
    <row r="23" spans="2:20" s="1" customFormat="1" ht="18" customHeight="1">
      <c r="B23" s="214" t="s">
        <v>19</v>
      </c>
      <c r="C23" s="214"/>
      <c r="D23" s="89" t="s">
        <v>86</v>
      </c>
      <c r="E23" s="89"/>
      <c r="F23" s="89"/>
      <c r="G23" s="89"/>
      <c r="H23" s="89"/>
      <c r="I23" s="89"/>
      <c r="J23" s="84"/>
      <c r="K23" s="10"/>
      <c r="L23" s="10"/>
      <c r="M23" s="2"/>
    </row>
    <row r="24" spans="2:20" s="1" customFormat="1" ht="18" customHeight="1">
      <c r="B24" s="207" t="s">
        <v>76</v>
      </c>
      <c r="C24" s="207"/>
      <c r="D24" s="89" t="s">
        <v>85</v>
      </c>
      <c r="E24" s="89"/>
      <c r="F24" s="89"/>
      <c r="G24" s="89"/>
      <c r="H24" s="89"/>
      <c r="I24" s="89"/>
      <c r="J24" s="84"/>
      <c r="K24" s="10"/>
      <c r="L24" s="10"/>
      <c r="M24" s="2"/>
    </row>
    <row r="25" spans="2:20" s="1" customFormat="1" ht="18" customHeight="1">
      <c r="B25" s="207" t="s">
        <v>87</v>
      </c>
      <c r="C25" s="207"/>
      <c r="D25" s="89" t="s">
        <v>118</v>
      </c>
      <c r="E25" s="89"/>
      <c r="F25" s="89"/>
      <c r="G25" s="89"/>
      <c r="H25" s="89"/>
      <c r="I25" s="89"/>
      <c r="J25" s="84"/>
      <c r="K25" s="10"/>
      <c r="L25" s="10"/>
      <c r="M25" s="2"/>
    </row>
    <row r="26" spans="2:20" s="3" customFormat="1" ht="18" customHeight="1">
      <c r="B26" s="6"/>
      <c r="C26" s="6"/>
      <c r="D26" s="35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6"/>
    </row>
    <row r="27" spans="2:20">
      <c r="T27" s="3"/>
    </row>
    <row r="28" spans="2:20">
      <c r="B28" s="11" t="s">
        <v>30</v>
      </c>
      <c r="C28" s="1"/>
      <c r="D28" s="1"/>
      <c r="E28" s="1"/>
      <c r="F28" s="1"/>
      <c r="G28" s="1"/>
      <c r="H28" s="1"/>
      <c r="I28" s="1"/>
      <c r="J28" s="1"/>
      <c r="K28" s="1"/>
      <c r="Q28" s="208" t="s">
        <v>31</v>
      </c>
      <c r="R28" s="208"/>
      <c r="T28" s="3"/>
    </row>
    <row r="29" spans="2:20">
      <c r="B29" s="209" t="s">
        <v>1</v>
      </c>
      <c r="C29" s="209"/>
      <c r="D29" s="209"/>
      <c r="E29" s="210" t="s">
        <v>19</v>
      </c>
      <c r="F29" s="210"/>
      <c r="G29" s="210" t="s">
        <v>76</v>
      </c>
      <c r="H29" s="210"/>
      <c r="I29" s="210" t="s">
        <v>88</v>
      </c>
      <c r="J29" s="210"/>
      <c r="K29" s="210" t="s">
        <v>131</v>
      </c>
      <c r="L29" s="210"/>
      <c r="M29" s="210"/>
      <c r="N29" s="210"/>
      <c r="O29" s="211" t="s">
        <v>98</v>
      </c>
      <c r="P29" s="211"/>
      <c r="Q29" s="211"/>
      <c r="R29" s="211"/>
      <c r="T29" s="3"/>
    </row>
    <row r="30" spans="2:20">
      <c r="B30" s="12" t="s">
        <v>32</v>
      </c>
      <c r="C30" s="12"/>
      <c r="D30" s="13" t="s">
        <v>33</v>
      </c>
      <c r="E30" s="203">
        <v>39000</v>
      </c>
      <c r="F30" s="203"/>
      <c r="G30" s="203">
        <v>40000</v>
      </c>
      <c r="H30" s="203"/>
      <c r="I30" s="203">
        <v>10500</v>
      </c>
      <c r="J30" s="203"/>
      <c r="K30" s="206">
        <v>5000</v>
      </c>
      <c r="L30" s="206"/>
      <c r="M30" s="206"/>
      <c r="N30" s="206"/>
      <c r="O30" s="86"/>
      <c r="P30" s="86"/>
      <c r="Q30" s="86" t="s">
        <v>130</v>
      </c>
      <c r="R30" s="86"/>
      <c r="T30" s="3"/>
    </row>
    <row r="31" spans="2:20">
      <c r="B31" s="16"/>
      <c r="C31" s="16"/>
      <c r="D31" s="14" t="s">
        <v>34</v>
      </c>
      <c r="E31" s="203">
        <v>23000</v>
      </c>
      <c r="F31" s="203"/>
      <c r="G31" s="203">
        <v>35000</v>
      </c>
      <c r="H31" s="203"/>
      <c r="I31" s="203">
        <v>10500</v>
      </c>
      <c r="J31" s="203"/>
      <c r="K31" s="203">
        <v>5000</v>
      </c>
      <c r="L31" s="203"/>
      <c r="M31" s="203"/>
      <c r="N31" s="203"/>
      <c r="O31" s="205"/>
      <c r="P31" s="205"/>
      <c r="Q31" s="205"/>
      <c r="R31" s="205"/>
      <c r="T31" s="3"/>
    </row>
    <row r="32" spans="2:20">
      <c r="B32" s="16" t="s">
        <v>100</v>
      </c>
      <c r="C32" s="202" t="s">
        <v>35</v>
      </c>
      <c r="D32" s="202"/>
      <c r="E32" s="203">
        <f>E30*2+E31</f>
        <v>101000</v>
      </c>
      <c r="F32" s="203"/>
      <c r="G32" s="203">
        <f t="shared" ref="G32" si="0">G30*2+G31</f>
        <v>115000</v>
      </c>
      <c r="H32" s="203"/>
      <c r="I32" s="203">
        <f t="shared" ref="I32" si="1">I30*2+I31</f>
        <v>31500</v>
      </c>
      <c r="J32" s="203"/>
      <c r="K32" s="203">
        <f t="shared" ref="K32" si="2">K30*2+K31</f>
        <v>15000</v>
      </c>
      <c r="L32" s="203"/>
      <c r="M32" s="203"/>
      <c r="N32" s="203"/>
      <c r="O32" s="204"/>
      <c r="P32" s="204"/>
      <c r="Q32" s="87"/>
      <c r="R32" s="87"/>
    </row>
    <row r="33" spans="2:19">
      <c r="B33" s="16" t="s">
        <v>36</v>
      </c>
      <c r="C33" s="199" t="s">
        <v>35</v>
      </c>
      <c r="D33" s="199"/>
      <c r="E33" s="200">
        <f>27000*2</f>
        <v>54000</v>
      </c>
      <c r="F33" s="200"/>
      <c r="G33" s="200">
        <v>30000</v>
      </c>
      <c r="H33" s="200"/>
      <c r="I33" s="200">
        <v>0</v>
      </c>
      <c r="J33" s="200"/>
      <c r="K33" s="200">
        <v>0</v>
      </c>
      <c r="L33" s="200"/>
      <c r="M33" s="200"/>
      <c r="N33" s="200"/>
      <c r="O33" s="201">
        <v>0</v>
      </c>
      <c r="P33" s="201"/>
      <c r="Q33" s="127" t="s">
        <v>132</v>
      </c>
      <c r="R33" s="126"/>
    </row>
    <row r="34" spans="2:19">
      <c r="B34" s="31" t="s">
        <v>37</v>
      </c>
      <c r="C34" s="15"/>
      <c r="D34" s="15"/>
      <c r="E34" s="197">
        <f>1-E33/E32</f>
        <v>0.46534653465346532</v>
      </c>
      <c r="F34" s="197"/>
      <c r="G34" s="197">
        <f t="shared" ref="G34" si="3">1-G33/G32</f>
        <v>0.73913043478260865</v>
      </c>
      <c r="H34" s="197"/>
      <c r="I34" s="197">
        <f t="shared" ref="I34" si="4">1-I33/I32</f>
        <v>1</v>
      </c>
      <c r="J34" s="197"/>
      <c r="K34" s="197">
        <f t="shared" ref="K34" si="5">1-K33/K32</f>
        <v>1</v>
      </c>
      <c r="L34" s="197"/>
      <c r="M34" s="197" t="e">
        <f t="shared" ref="M34" si="6">1-M33/M32</f>
        <v>#DIV/0!</v>
      </c>
      <c r="N34" s="197"/>
      <c r="O34" s="198"/>
      <c r="P34" s="198"/>
      <c r="Q34" s="196"/>
      <c r="R34" s="196"/>
    </row>
    <row r="35" spans="2:19">
      <c r="B35" s="16" t="s">
        <v>36</v>
      </c>
      <c r="C35" s="199" t="s">
        <v>35</v>
      </c>
      <c r="D35" s="199"/>
      <c r="E35" s="200">
        <f>27000*2</f>
        <v>54000</v>
      </c>
      <c r="F35" s="200"/>
      <c r="G35" s="200">
        <v>30000</v>
      </c>
      <c r="H35" s="200"/>
      <c r="I35" s="200">
        <f>3000*3</f>
        <v>9000</v>
      </c>
      <c r="J35" s="200"/>
      <c r="K35" s="200">
        <f>4000*3</f>
        <v>12000</v>
      </c>
      <c r="L35" s="200"/>
      <c r="M35" s="200"/>
      <c r="N35" s="200"/>
      <c r="O35" s="201">
        <v>0</v>
      </c>
      <c r="P35" s="201"/>
      <c r="Q35" s="127" t="s">
        <v>133</v>
      </c>
      <c r="R35" s="126"/>
    </row>
    <row r="36" spans="2:19">
      <c r="B36" s="31" t="s">
        <v>37</v>
      </c>
      <c r="C36" s="15"/>
      <c r="D36" s="15"/>
      <c r="E36" s="197">
        <f>1-E35/E32</f>
        <v>0.46534653465346532</v>
      </c>
      <c r="F36" s="197"/>
      <c r="G36" s="197">
        <f t="shared" ref="G36" si="7">1-G35/G32</f>
        <v>0.73913043478260865</v>
      </c>
      <c r="H36" s="197"/>
      <c r="I36" s="197">
        <f t="shared" ref="I36" si="8">1-I35/I32</f>
        <v>0.7142857142857143</v>
      </c>
      <c r="J36" s="197"/>
      <c r="K36" s="197">
        <f t="shared" ref="K36" si="9">1-K35/K32</f>
        <v>0.19999999999999996</v>
      </c>
      <c r="L36" s="197"/>
      <c r="M36" s="197"/>
      <c r="N36" s="197"/>
      <c r="O36" s="198"/>
      <c r="P36" s="198"/>
      <c r="Q36" s="196"/>
      <c r="R36" s="196"/>
    </row>
    <row r="38" spans="2:19" hidden="1">
      <c r="B38" s="2"/>
      <c r="C38" s="2"/>
      <c r="D38" s="2"/>
      <c r="E38" s="23"/>
      <c r="F38" s="23"/>
      <c r="G38" s="2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9" hidden="1">
      <c r="B39" s="2"/>
      <c r="C39" s="2"/>
      <c r="D39" s="2"/>
      <c r="E39" s="23"/>
      <c r="F39" s="23"/>
      <c r="G39" s="2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9" hidden="1">
      <c r="B40" s="17"/>
      <c r="C40" s="17"/>
      <c r="D40" s="17"/>
      <c r="E40" s="24"/>
      <c r="F40" s="24"/>
      <c r="G40" s="22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</row>
    <row r="41" spans="2:19" hidden="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9" hidden="1">
      <c r="B42" s="167" t="s">
        <v>7</v>
      </c>
      <c r="C42" s="167"/>
      <c r="D42" s="167"/>
      <c r="E42" s="195" t="s">
        <v>38</v>
      </c>
      <c r="F42" s="195"/>
      <c r="G42" s="195" t="s">
        <v>39</v>
      </c>
      <c r="H42" s="195"/>
      <c r="I42" s="195" t="s">
        <v>40</v>
      </c>
      <c r="J42" s="195"/>
      <c r="K42" s="195" t="s">
        <v>41</v>
      </c>
      <c r="L42" s="195"/>
      <c r="M42" s="168" t="s">
        <v>42</v>
      </c>
      <c r="N42" s="168"/>
      <c r="O42" s="168" t="s">
        <v>43</v>
      </c>
      <c r="P42" s="168"/>
      <c r="Q42" s="168" t="s">
        <v>44</v>
      </c>
      <c r="R42" s="169"/>
    </row>
    <row r="43" spans="2:19" hidden="1">
      <c r="B43" s="170" t="s">
        <v>101</v>
      </c>
      <c r="C43" s="171"/>
      <c r="D43" s="171"/>
      <c r="E43" s="176"/>
      <c r="F43" s="176"/>
      <c r="G43" s="176"/>
      <c r="H43" s="176"/>
      <c r="I43" s="176"/>
      <c r="J43" s="176"/>
      <c r="K43" s="176"/>
      <c r="L43" s="174"/>
      <c r="M43" s="176"/>
      <c r="N43" s="176"/>
      <c r="O43" s="176"/>
      <c r="P43" s="176"/>
      <c r="Q43" s="176"/>
      <c r="R43" s="174"/>
      <c r="S43" s="5"/>
    </row>
    <row r="44" spans="2:19" hidden="1">
      <c r="B44" s="172"/>
      <c r="C44" s="172"/>
      <c r="D44" s="172"/>
      <c r="E44" s="155"/>
      <c r="F44" s="155"/>
      <c r="G44" s="155"/>
      <c r="H44" s="155"/>
      <c r="I44" s="155"/>
      <c r="J44" s="155"/>
      <c r="K44" s="155"/>
      <c r="L44" s="194"/>
      <c r="M44" s="155"/>
      <c r="N44" s="155"/>
      <c r="O44" s="155"/>
      <c r="P44" s="155"/>
      <c r="Q44" s="150"/>
      <c r="R44" s="162"/>
      <c r="S44" s="5"/>
    </row>
    <row r="45" spans="2:19" hidden="1">
      <c r="B45" s="172"/>
      <c r="C45" s="172"/>
      <c r="D45" s="172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9"/>
      <c r="S45" s="5"/>
    </row>
    <row r="46" spans="2:19" hidden="1">
      <c r="B46" s="172"/>
      <c r="C46" s="172"/>
      <c r="D46" s="172"/>
      <c r="E46" s="150"/>
      <c r="F46" s="150"/>
      <c r="G46" s="162"/>
      <c r="H46" s="163"/>
      <c r="I46" s="162"/>
      <c r="J46" s="163"/>
      <c r="K46" s="162"/>
      <c r="L46" s="163"/>
      <c r="M46" s="162"/>
      <c r="N46" s="163"/>
      <c r="O46" s="150"/>
      <c r="P46" s="150"/>
      <c r="Q46" s="150"/>
      <c r="R46" s="162"/>
      <c r="S46" s="5"/>
    </row>
    <row r="47" spans="2:19" hidden="1">
      <c r="B47" s="172"/>
      <c r="C47" s="172"/>
      <c r="D47" s="172"/>
      <c r="E47" s="142">
        <v>12</v>
      </c>
      <c r="F47" s="142"/>
      <c r="G47" s="142">
        <v>13</v>
      </c>
      <c r="H47" s="142"/>
      <c r="I47" s="142">
        <v>14</v>
      </c>
      <c r="J47" s="142"/>
      <c r="K47" s="142">
        <v>15</v>
      </c>
      <c r="L47" s="142"/>
      <c r="M47" s="142">
        <v>16</v>
      </c>
      <c r="N47" s="142"/>
      <c r="O47" s="142">
        <v>17</v>
      </c>
      <c r="P47" s="142"/>
      <c r="Q47" s="142">
        <v>18</v>
      </c>
      <c r="R47" s="144"/>
      <c r="S47" s="5"/>
    </row>
    <row r="48" spans="2:19" hidden="1">
      <c r="B48" s="172"/>
      <c r="C48" s="172"/>
      <c r="D48" s="172"/>
      <c r="E48" s="150" t="s">
        <v>25</v>
      </c>
      <c r="F48" s="150"/>
      <c r="G48" s="162" t="s">
        <v>25</v>
      </c>
      <c r="H48" s="163"/>
      <c r="I48" s="162" t="s">
        <v>25</v>
      </c>
      <c r="J48" s="163"/>
      <c r="K48" s="162" t="s">
        <v>25</v>
      </c>
      <c r="L48" s="163"/>
      <c r="M48" s="162" t="s">
        <v>25</v>
      </c>
      <c r="N48" s="163"/>
      <c r="O48" s="151" t="s">
        <v>43</v>
      </c>
      <c r="P48" s="151"/>
      <c r="Q48" s="177" t="s">
        <v>44</v>
      </c>
      <c r="R48" s="178"/>
      <c r="S48" s="5"/>
    </row>
    <row r="49" spans="2:26" hidden="1">
      <c r="B49" s="172"/>
      <c r="C49" s="172"/>
      <c r="D49" s="172"/>
      <c r="E49" s="143">
        <v>19</v>
      </c>
      <c r="F49" s="143"/>
      <c r="G49" s="149">
        <v>20</v>
      </c>
      <c r="H49" s="188"/>
      <c r="I49" s="149">
        <v>21</v>
      </c>
      <c r="J49" s="188"/>
      <c r="K49" s="149">
        <v>22</v>
      </c>
      <c r="L49" s="188"/>
      <c r="M49" s="149">
        <v>23</v>
      </c>
      <c r="N49" s="188"/>
      <c r="O49" s="149">
        <v>24</v>
      </c>
      <c r="P49" s="188"/>
      <c r="Q49" s="149">
        <v>25</v>
      </c>
      <c r="R49" s="193"/>
      <c r="S49" s="5"/>
    </row>
    <row r="50" spans="2:26" hidden="1">
      <c r="B50" s="172"/>
      <c r="C50" s="172"/>
      <c r="D50" s="172"/>
      <c r="E50" s="150" t="s">
        <v>25</v>
      </c>
      <c r="F50" s="150"/>
      <c r="G50" s="162" t="s">
        <v>25</v>
      </c>
      <c r="H50" s="163"/>
      <c r="I50" s="162" t="s">
        <v>25</v>
      </c>
      <c r="J50" s="163"/>
      <c r="K50" s="162" t="s">
        <v>25</v>
      </c>
      <c r="L50" s="163"/>
      <c r="M50" s="162" t="s">
        <v>25</v>
      </c>
      <c r="N50" s="163"/>
      <c r="O50" s="164" t="s">
        <v>43</v>
      </c>
      <c r="P50" s="164"/>
      <c r="Q50" s="152" t="s">
        <v>44</v>
      </c>
      <c r="R50" s="153"/>
      <c r="S50" s="5"/>
    </row>
    <row r="51" spans="2:26" hidden="1">
      <c r="B51" s="172"/>
      <c r="C51" s="172"/>
      <c r="D51" s="172"/>
      <c r="E51" s="142">
        <v>26</v>
      </c>
      <c r="F51" s="142"/>
      <c r="G51" s="149">
        <v>27</v>
      </c>
      <c r="H51" s="188"/>
      <c r="I51" s="149">
        <v>28</v>
      </c>
      <c r="J51" s="188"/>
      <c r="K51" s="149">
        <v>29</v>
      </c>
      <c r="L51" s="188"/>
      <c r="M51" s="149">
        <v>30</v>
      </c>
      <c r="N51" s="188"/>
      <c r="O51" s="149"/>
      <c r="P51" s="188"/>
      <c r="Q51" s="149"/>
      <c r="R51" s="193"/>
      <c r="S51" s="5"/>
    </row>
    <row r="52" spans="2:26" hidden="1">
      <c r="B52" s="173"/>
      <c r="C52" s="173"/>
      <c r="D52" s="173"/>
      <c r="E52" s="191" t="s">
        <v>45</v>
      </c>
      <c r="F52" s="192"/>
      <c r="G52" s="191" t="s">
        <v>45</v>
      </c>
      <c r="H52" s="192"/>
      <c r="I52" s="191" t="s">
        <v>45</v>
      </c>
      <c r="J52" s="192"/>
      <c r="K52" s="191" t="s">
        <v>45</v>
      </c>
      <c r="L52" s="192"/>
      <c r="M52" s="191" t="s">
        <v>45</v>
      </c>
      <c r="N52" s="192"/>
      <c r="O52" s="145"/>
      <c r="P52" s="145"/>
      <c r="Q52" s="145"/>
      <c r="R52" s="191"/>
      <c r="S52" s="5"/>
    </row>
    <row r="53" spans="2:26" hidden="1"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5"/>
    </row>
    <row r="54" spans="2:26" ht="16.5" hidden="1" customHeight="1">
      <c r="B54" s="167" t="s">
        <v>7</v>
      </c>
      <c r="C54" s="167"/>
      <c r="D54" s="167"/>
      <c r="E54" s="168" t="s">
        <v>38</v>
      </c>
      <c r="F54" s="168"/>
      <c r="G54" s="168" t="s">
        <v>39</v>
      </c>
      <c r="H54" s="168"/>
      <c r="I54" s="168" t="s">
        <v>40</v>
      </c>
      <c r="J54" s="168"/>
      <c r="K54" s="168" t="s">
        <v>41</v>
      </c>
      <c r="L54" s="168"/>
      <c r="M54" s="168" t="s">
        <v>42</v>
      </c>
      <c r="N54" s="168"/>
      <c r="O54" s="168" t="s">
        <v>43</v>
      </c>
      <c r="P54" s="168"/>
      <c r="Q54" s="168" t="s">
        <v>44</v>
      </c>
      <c r="R54" s="169"/>
      <c r="S54" s="5"/>
    </row>
    <row r="55" spans="2:26" hidden="1">
      <c r="B55" s="170" t="s">
        <v>102</v>
      </c>
      <c r="C55" s="171"/>
      <c r="D55" s="171"/>
      <c r="E55" s="176"/>
      <c r="F55" s="176"/>
      <c r="G55" s="174"/>
      <c r="H55" s="175"/>
      <c r="I55" s="174"/>
      <c r="J55" s="175"/>
      <c r="K55" s="174"/>
      <c r="L55" s="175"/>
      <c r="M55" s="174"/>
      <c r="N55" s="175"/>
      <c r="O55" s="180" t="s">
        <v>108</v>
      </c>
      <c r="P55" s="180"/>
      <c r="Q55" s="180" t="s">
        <v>109</v>
      </c>
      <c r="R55" s="181"/>
      <c r="S55" s="5"/>
    </row>
    <row r="56" spans="2:26" hidden="1">
      <c r="B56" s="172"/>
      <c r="C56" s="172"/>
      <c r="D56" s="172"/>
      <c r="E56" s="150"/>
      <c r="F56" s="150"/>
      <c r="G56" s="160"/>
      <c r="H56" s="159"/>
      <c r="I56" s="160"/>
      <c r="J56" s="159"/>
      <c r="K56" s="160"/>
      <c r="L56" s="161"/>
      <c r="M56" s="162"/>
      <c r="N56" s="163"/>
      <c r="O56" s="182" t="s">
        <v>107</v>
      </c>
      <c r="P56" s="182"/>
      <c r="Q56" s="182" t="s">
        <v>107</v>
      </c>
      <c r="R56" s="183"/>
      <c r="S56" s="5"/>
    </row>
    <row r="57" spans="2:26" hidden="1">
      <c r="B57" s="172"/>
      <c r="C57" s="172"/>
      <c r="D57" s="172"/>
      <c r="E57" s="189" t="s">
        <v>110</v>
      </c>
      <c r="F57" s="189"/>
      <c r="G57" s="189" t="s">
        <v>111</v>
      </c>
      <c r="H57" s="189"/>
      <c r="I57" s="154">
        <v>5</v>
      </c>
      <c r="J57" s="142"/>
      <c r="K57" s="149">
        <v>6</v>
      </c>
      <c r="L57" s="188"/>
      <c r="M57" s="154">
        <v>7</v>
      </c>
      <c r="N57" s="142"/>
      <c r="O57" s="149">
        <v>8</v>
      </c>
      <c r="P57" s="188"/>
      <c r="Q57" s="179">
        <v>9</v>
      </c>
      <c r="R57" s="156"/>
      <c r="S57" s="5"/>
    </row>
    <row r="58" spans="2:26" hidden="1">
      <c r="B58" s="172"/>
      <c r="C58" s="172"/>
      <c r="D58" s="172"/>
      <c r="E58" s="182" t="s">
        <v>107</v>
      </c>
      <c r="F58" s="182"/>
      <c r="G58" s="182" t="s">
        <v>107</v>
      </c>
      <c r="H58" s="183"/>
      <c r="I58" s="160" t="s">
        <v>45</v>
      </c>
      <c r="J58" s="159"/>
      <c r="K58" s="160" t="s">
        <v>45</v>
      </c>
      <c r="L58" s="161"/>
      <c r="M58" s="162" t="s">
        <v>45</v>
      </c>
      <c r="N58" s="163"/>
      <c r="O58" s="164" t="s">
        <v>43</v>
      </c>
      <c r="P58" s="164"/>
      <c r="Q58" s="165" t="s">
        <v>44</v>
      </c>
      <c r="R58" s="166"/>
      <c r="S58" s="5"/>
    </row>
    <row r="59" spans="2:26" hidden="1">
      <c r="B59" s="172"/>
      <c r="C59" s="172"/>
      <c r="D59" s="172"/>
      <c r="E59" s="142">
        <v>10</v>
      </c>
      <c r="F59" s="142"/>
      <c r="G59" s="142">
        <v>11</v>
      </c>
      <c r="H59" s="142"/>
      <c r="I59" s="142">
        <v>12</v>
      </c>
      <c r="J59" s="142"/>
      <c r="K59" s="142">
        <v>13</v>
      </c>
      <c r="L59" s="142"/>
      <c r="M59" s="142">
        <v>14</v>
      </c>
      <c r="N59" s="142"/>
      <c r="O59" s="142">
        <v>15</v>
      </c>
      <c r="P59" s="142"/>
      <c r="Q59" s="142">
        <v>16</v>
      </c>
      <c r="R59" s="144"/>
      <c r="S59" s="5"/>
    </row>
    <row r="60" spans="2:26" hidden="1">
      <c r="B60" s="172"/>
      <c r="C60" s="172"/>
      <c r="D60" s="172"/>
      <c r="E60" s="155" t="s">
        <v>25</v>
      </c>
      <c r="F60" s="155"/>
      <c r="G60" s="155" t="s">
        <v>25</v>
      </c>
      <c r="H60" s="155"/>
      <c r="I60" s="155" t="s">
        <v>25</v>
      </c>
      <c r="J60" s="155"/>
      <c r="K60" s="155" t="s">
        <v>25</v>
      </c>
      <c r="L60" s="155"/>
      <c r="M60" s="155" t="s">
        <v>25</v>
      </c>
      <c r="N60" s="155"/>
      <c r="O60" s="151" t="s">
        <v>43</v>
      </c>
      <c r="P60" s="151"/>
      <c r="Q60" s="177" t="s">
        <v>44</v>
      </c>
      <c r="R60" s="178"/>
      <c r="S60" s="5"/>
    </row>
    <row r="61" spans="2:26" hidden="1">
      <c r="B61" s="172"/>
      <c r="C61" s="172"/>
      <c r="D61" s="172"/>
      <c r="E61" s="143">
        <v>17</v>
      </c>
      <c r="F61" s="143"/>
      <c r="G61" s="143">
        <v>18</v>
      </c>
      <c r="H61" s="143"/>
      <c r="I61" s="143">
        <v>19</v>
      </c>
      <c r="J61" s="143"/>
      <c r="K61" s="143">
        <v>20</v>
      </c>
      <c r="L61" s="143"/>
      <c r="M61" s="143">
        <v>21</v>
      </c>
      <c r="N61" s="143"/>
      <c r="O61" s="187">
        <v>22</v>
      </c>
      <c r="P61" s="187"/>
      <c r="Q61" s="185">
        <v>23</v>
      </c>
      <c r="R61" s="186"/>
      <c r="S61" s="5"/>
    </row>
    <row r="62" spans="2:26" hidden="1">
      <c r="B62" s="172"/>
      <c r="C62" s="172"/>
      <c r="D62" s="172"/>
      <c r="E62" s="150" t="s">
        <v>25</v>
      </c>
      <c r="F62" s="150"/>
      <c r="G62" s="150" t="s">
        <v>25</v>
      </c>
      <c r="H62" s="150"/>
      <c r="I62" s="150" t="s">
        <v>25</v>
      </c>
      <c r="J62" s="150"/>
      <c r="K62" s="150" t="s">
        <v>25</v>
      </c>
      <c r="L62" s="150"/>
      <c r="M62" s="150" t="s">
        <v>25</v>
      </c>
      <c r="N62" s="150"/>
      <c r="O62" s="182" t="s">
        <v>112</v>
      </c>
      <c r="P62" s="182"/>
      <c r="Q62" s="182" t="s">
        <v>112</v>
      </c>
      <c r="R62" s="183"/>
      <c r="S62" s="5"/>
      <c r="Z62" s="88"/>
    </row>
    <row r="63" spans="2:26" hidden="1">
      <c r="B63" s="172"/>
      <c r="C63" s="172"/>
      <c r="D63" s="172"/>
      <c r="E63" s="190">
        <v>24</v>
      </c>
      <c r="F63" s="190"/>
      <c r="G63" s="142">
        <v>25</v>
      </c>
      <c r="H63" s="142"/>
      <c r="I63" s="142">
        <v>26</v>
      </c>
      <c r="J63" s="142"/>
      <c r="K63" s="142">
        <v>27</v>
      </c>
      <c r="L63" s="142"/>
      <c r="M63" s="142">
        <v>28</v>
      </c>
      <c r="N63" s="142"/>
      <c r="O63" s="218">
        <v>29</v>
      </c>
      <c r="P63" s="218"/>
      <c r="Q63" s="219">
        <v>30</v>
      </c>
      <c r="R63" s="220"/>
      <c r="S63" s="5"/>
      <c r="Z63" s="88"/>
    </row>
    <row r="64" spans="2:26" hidden="1">
      <c r="B64" s="172"/>
      <c r="C64" s="172"/>
      <c r="D64" s="172"/>
      <c r="E64" s="182" t="s">
        <v>112</v>
      </c>
      <c r="F64" s="182"/>
      <c r="G64" s="221" t="s">
        <v>25</v>
      </c>
      <c r="H64" s="221"/>
      <c r="I64" s="221" t="s">
        <v>25</v>
      </c>
      <c r="J64" s="221"/>
      <c r="K64" s="221" t="s">
        <v>25</v>
      </c>
      <c r="L64" s="221"/>
      <c r="M64" s="221" t="s">
        <v>25</v>
      </c>
      <c r="N64" s="221"/>
      <c r="O64" s="222" t="s">
        <v>43</v>
      </c>
      <c r="P64" s="222"/>
      <c r="Q64" s="223" t="s">
        <v>44</v>
      </c>
      <c r="R64" s="224"/>
      <c r="S64" s="5"/>
      <c r="Z64" s="88"/>
    </row>
    <row r="65" spans="2:26" hidden="1">
      <c r="B65" s="172"/>
      <c r="C65" s="172"/>
      <c r="D65" s="172"/>
      <c r="E65" s="142">
        <v>31</v>
      </c>
      <c r="F65" s="142"/>
      <c r="G65" s="142"/>
      <c r="H65" s="142"/>
      <c r="I65" s="142"/>
      <c r="J65" s="142"/>
      <c r="K65" s="142"/>
      <c r="L65" s="142"/>
      <c r="M65" s="142"/>
      <c r="N65" s="142"/>
      <c r="O65" s="143"/>
      <c r="P65" s="143"/>
      <c r="Q65" s="142"/>
      <c r="R65" s="144"/>
      <c r="S65" s="5"/>
    </row>
    <row r="66" spans="2:26" hidden="1">
      <c r="B66" s="173"/>
      <c r="C66" s="173"/>
      <c r="D66" s="173"/>
      <c r="E66" s="145" t="s">
        <v>25</v>
      </c>
      <c r="F66" s="145"/>
      <c r="G66" s="145"/>
      <c r="H66" s="145"/>
      <c r="I66" s="145"/>
      <c r="J66" s="145"/>
      <c r="K66" s="145"/>
      <c r="L66" s="145"/>
      <c r="M66" s="145"/>
      <c r="N66" s="145"/>
      <c r="O66" s="146"/>
      <c r="P66" s="146"/>
      <c r="Q66" s="147"/>
      <c r="R66" s="148"/>
      <c r="S66" s="5"/>
    </row>
    <row r="67" spans="2:26" hidden="1"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5"/>
    </row>
    <row r="68" spans="2:26" ht="16.5" hidden="1" customHeight="1">
      <c r="B68" s="167" t="s">
        <v>7</v>
      </c>
      <c r="C68" s="167"/>
      <c r="D68" s="167"/>
      <c r="E68" s="168" t="s">
        <v>38</v>
      </c>
      <c r="F68" s="168"/>
      <c r="G68" s="168" t="s">
        <v>39</v>
      </c>
      <c r="H68" s="168"/>
      <c r="I68" s="168" t="s">
        <v>40</v>
      </c>
      <c r="J68" s="168"/>
      <c r="K68" s="168" t="s">
        <v>41</v>
      </c>
      <c r="L68" s="168"/>
      <c r="M68" s="168" t="s">
        <v>42</v>
      </c>
      <c r="N68" s="168"/>
      <c r="O68" s="168" t="s">
        <v>43</v>
      </c>
      <c r="P68" s="168"/>
      <c r="Q68" s="168" t="s">
        <v>44</v>
      </c>
      <c r="R68" s="169"/>
      <c r="S68" s="5"/>
    </row>
    <row r="69" spans="2:26" hidden="1">
      <c r="B69" s="170" t="s">
        <v>103</v>
      </c>
      <c r="C69" s="171"/>
      <c r="D69" s="171"/>
      <c r="E69" s="176"/>
      <c r="F69" s="176"/>
      <c r="G69" s="174">
        <v>1</v>
      </c>
      <c r="H69" s="175"/>
      <c r="I69" s="174">
        <v>2</v>
      </c>
      <c r="J69" s="175"/>
      <c r="K69" s="174">
        <v>3</v>
      </c>
      <c r="L69" s="175"/>
      <c r="M69" s="174">
        <v>4</v>
      </c>
      <c r="N69" s="175"/>
      <c r="O69" s="180" t="s">
        <v>113</v>
      </c>
      <c r="P69" s="180"/>
      <c r="Q69" s="180" t="s">
        <v>114</v>
      </c>
      <c r="R69" s="181"/>
      <c r="S69" s="5"/>
    </row>
    <row r="70" spans="2:26" hidden="1">
      <c r="B70" s="172"/>
      <c r="C70" s="172"/>
      <c r="D70" s="172"/>
      <c r="E70" s="150"/>
      <c r="F70" s="150"/>
      <c r="G70" s="160" t="s">
        <v>45</v>
      </c>
      <c r="H70" s="159"/>
      <c r="I70" s="160" t="s">
        <v>45</v>
      </c>
      <c r="J70" s="159"/>
      <c r="K70" s="160" t="s">
        <v>45</v>
      </c>
      <c r="L70" s="161"/>
      <c r="M70" s="162" t="s">
        <v>45</v>
      </c>
      <c r="N70" s="163"/>
      <c r="O70" s="182" t="s">
        <v>107</v>
      </c>
      <c r="P70" s="182"/>
      <c r="Q70" s="182" t="s">
        <v>107</v>
      </c>
      <c r="R70" s="183"/>
      <c r="S70" s="5"/>
    </row>
    <row r="71" spans="2:26" hidden="1">
      <c r="B71" s="172"/>
      <c r="C71" s="172"/>
      <c r="D71" s="172"/>
      <c r="E71" s="154">
        <v>7</v>
      </c>
      <c r="F71" s="142"/>
      <c r="G71" s="154">
        <v>8</v>
      </c>
      <c r="H71" s="142"/>
      <c r="I71" s="154">
        <v>9</v>
      </c>
      <c r="J71" s="142"/>
      <c r="K71" s="154">
        <v>10</v>
      </c>
      <c r="L71" s="142"/>
      <c r="M71" s="154">
        <v>11</v>
      </c>
      <c r="N71" s="142"/>
      <c r="O71" s="154">
        <v>12</v>
      </c>
      <c r="P71" s="142"/>
      <c r="Q71" s="179">
        <v>13</v>
      </c>
      <c r="R71" s="156"/>
      <c r="S71" s="5"/>
    </row>
    <row r="72" spans="2:26" hidden="1">
      <c r="B72" s="172"/>
      <c r="C72" s="172"/>
      <c r="D72" s="172"/>
      <c r="E72" s="158" t="s">
        <v>45</v>
      </c>
      <c r="F72" s="159"/>
      <c r="G72" s="160" t="s">
        <v>45</v>
      </c>
      <c r="H72" s="159"/>
      <c r="I72" s="160" t="s">
        <v>45</v>
      </c>
      <c r="J72" s="159"/>
      <c r="K72" s="160" t="s">
        <v>45</v>
      </c>
      <c r="L72" s="161"/>
      <c r="M72" s="162" t="s">
        <v>45</v>
      </c>
      <c r="N72" s="163"/>
      <c r="O72" s="164" t="s">
        <v>43</v>
      </c>
      <c r="P72" s="164"/>
      <c r="Q72" s="165" t="s">
        <v>44</v>
      </c>
      <c r="R72" s="166"/>
      <c r="S72" s="5"/>
    </row>
    <row r="73" spans="2:26" hidden="1">
      <c r="B73" s="172"/>
      <c r="C73" s="172"/>
      <c r="D73" s="172"/>
      <c r="E73" s="142">
        <v>14</v>
      </c>
      <c r="F73" s="142"/>
      <c r="G73" s="142">
        <v>15</v>
      </c>
      <c r="H73" s="142"/>
      <c r="I73" s="142">
        <v>16</v>
      </c>
      <c r="J73" s="142"/>
      <c r="K73" s="142">
        <v>17</v>
      </c>
      <c r="L73" s="142"/>
      <c r="M73" s="142">
        <v>18</v>
      </c>
      <c r="N73" s="142"/>
      <c r="O73" s="142">
        <v>19</v>
      </c>
      <c r="P73" s="142"/>
      <c r="Q73" s="142">
        <v>20</v>
      </c>
      <c r="R73" s="144"/>
      <c r="S73" s="5"/>
    </row>
    <row r="74" spans="2:26" hidden="1">
      <c r="B74" s="172"/>
      <c r="C74" s="172"/>
      <c r="D74" s="172"/>
      <c r="E74" s="155" t="s">
        <v>25</v>
      </c>
      <c r="F74" s="155"/>
      <c r="G74" s="155" t="s">
        <v>25</v>
      </c>
      <c r="H74" s="155"/>
      <c r="I74" s="155" t="s">
        <v>25</v>
      </c>
      <c r="J74" s="155"/>
      <c r="K74" s="155" t="s">
        <v>25</v>
      </c>
      <c r="L74" s="155"/>
      <c r="M74" s="155" t="s">
        <v>25</v>
      </c>
      <c r="N74" s="155"/>
      <c r="O74" s="151" t="s">
        <v>43</v>
      </c>
      <c r="P74" s="151"/>
      <c r="Q74" s="177" t="s">
        <v>44</v>
      </c>
      <c r="R74" s="178"/>
      <c r="S74" s="5"/>
    </row>
    <row r="75" spans="2:26" hidden="1">
      <c r="B75" s="172"/>
      <c r="C75" s="172"/>
      <c r="D75" s="172"/>
      <c r="E75" s="143">
        <v>21</v>
      </c>
      <c r="F75" s="143"/>
      <c r="G75" s="143">
        <v>22</v>
      </c>
      <c r="H75" s="143"/>
      <c r="I75" s="143">
        <v>23</v>
      </c>
      <c r="J75" s="143"/>
      <c r="K75" s="143">
        <v>24</v>
      </c>
      <c r="L75" s="143"/>
      <c r="M75" s="143">
        <v>25</v>
      </c>
      <c r="N75" s="143"/>
      <c r="O75" s="143">
        <v>26</v>
      </c>
      <c r="P75" s="143"/>
      <c r="Q75" s="143">
        <v>27</v>
      </c>
      <c r="R75" s="149"/>
      <c r="S75" s="5"/>
    </row>
    <row r="76" spans="2:26" hidden="1">
      <c r="B76" s="172"/>
      <c r="C76" s="172"/>
      <c r="D76" s="172"/>
      <c r="E76" s="150" t="s">
        <v>25</v>
      </c>
      <c r="F76" s="150"/>
      <c r="G76" s="150" t="s">
        <v>25</v>
      </c>
      <c r="H76" s="150"/>
      <c r="I76" s="150" t="s">
        <v>25</v>
      </c>
      <c r="J76" s="150"/>
      <c r="K76" s="150" t="s">
        <v>25</v>
      </c>
      <c r="L76" s="150"/>
      <c r="M76" s="150" t="s">
        <v>25</v>
      </c>
      <c r="N76" s="150"/>
      <c r="O76" s="151" t="s">
        <v>43</v>
      </c>
      <c r="P76" s="151"/>
      <c r="Q76" s="152" t="s">
        <v>44</v>
      </c>
      <c r="R76" s="153"/>
      <c r="S76" s="5"/>
      <c r="Z76" s="88"/>
    </row>
    <row r="77" spans="2:26" hidden="1">
      <c r="B77" s="172"/>
      <c r="C77" s="172"/>
      <c r="D77" s="172"/>
      <c r="E77" s="142">
        <v>28</v>
      </c>
      <c r="F77" s="142"/>
      <c r="G77" s="142">
        <v>29</v>
      </c>
      <c r="H77" s="142"/>
      <c r="I77" s="142">
        <v>30</v>
      </c>
      <c r="J77" s="142"/>
      <c r="K77" s="142"/>
      <c r="L77" s="142"/>
      <c r="M77" s="142"/>
      <c r="N77" s="142"/>
      <c r="O77" s="143"/>
      <c r="P77" s="143"/>
      <c r="Q77" s="142"/>
      <c r="R77" s="144"/>
      <c r="S77" s="5"/>
    </row>
    <row r="78" spans="2:26" hidden="1">
      <c r="B78" s="173"/>
      <c r="C78" s="173"/>
      <c r="D78" s="173"/>
      <c r="E78" s="145" t="s">
        <v>25</v>
      </c>
      <c r="F78" s="145"/>
      <c r="G78" s="145" t="s">
        <v>25</v>
      </c>
      <c r="H78" s="145"/>
      <c r="I78" s="145" t="s">
        <v>25</v>
      </c>
      <c r="J78" s="145"/>
      <c r="K78" s="145"/>
      <c r="L78" s="145"/>
      <c r="M78" s="145"/>
      <c r="N78" s="145"/>
      <c r="O78" s="146"/>
      <c r="P78" s="146"/>
      <c r="Q78" s="147"/>
      <c r="R78" s="148"/>
      <c r="S78" s="5"/>
    </row>
    <row r="79" spans="2:26" hidden="1"/>
    <row r="80" spans="2:26" ht="16.5" hidden="1" customHeight="1">
      <c r="B80" s="167" t="s">
        <v>7</v>
      </c>
      <c r="C80" s="167"/>
      <c r="D80" s="167"/>
      <c r="E80" s="168" t="s">
        <v>38</v>
      </c>
      <c r="F80" s="168"/>
      <c r="G80" s="168" t="s">
        <v>39</v>
      </c>
      <c r="H80" s="168"/>
      <c r="I80" s="168" t="s">
        <v>40</v>
      </c>
      <c r="J80" s="168"/>
      <c r="K80" s="168" t="s">
        <v>41</v>
      </c>
      <c r="L80" s="168"/>
      <c r="M80" s="168" t="s">
        <v>42</v>
      </c>
      <c r="N80" s="168"/>
      <c r="O80" s="168" t="s">
        <v>43</v>
      </c>
      <c r="P80" s="168"/>
      <c r="Q80" s="168" t="s">
        <v>44</v>
      </c>
      <c r="R80" s="169"/>
      <c r="S80" s="5"/>
    </row>
    <row r="81" spans="2:26" hidden="1">
      <c r="B81" s="170" t="s">
        <v>115</v>
      </c>
      <c r="C81" s="171"/>
      <c r="D81" s="171"/>
      <c r="E81" s="174"/>
      <c r="F81" s="175"/>
      <c r="G81" s="174"/>
      <c r="H81" s="175"/>
      <c r="I81" s="174"/>
      <c r="J81" s="175"/>
      <c r="K81" s="174">
        <v>1</v>
      </c>
      <c r="L81" s="175"/>
      <c r="M81" s="174">
        <f t="shared" ref="M81" si="10">K81+1</f>
        <v>2</v>
      </c>
      <c r="N81" s="175"/>
      <c r="O81" s="174">
        <f t="shared" ref="O81" si="11">M81+1</f>
        <v>3</v>
      </c>
      <c r="P81" s="175"/>
      <c r="Q81" s="176">
        <f t="shared" ref="Q81" si="12">O81+1</f>
        <v>4</v>
      </c>
      <c r="R81" s="174"/>
      <c r="S81" s="5"/>
    </row>
    <row r="82" spans="2:26" hidden="1">
      <c r="B82" s="172"/>
      <c r="C82" s="172"/>
      <c r="D82" s="172"/>
      <c r="E82" s="160"/>
      <c r="F82" s="159"/>
      <c r="G82" s="160"/>
      <c r="H82" s="159"/>
      <c r="I82" s="160"/>
      <c r="J82" s="159"/>
      <c r="K82" s="160" t="s">
        <v>45</v>
      </c>
      <c r="L82" s="161"/>
      <c r="M82" s="162" t="s">
        <v>45</v>
      </c>
      <c r="N82" s="163"/>
      <c r="O82" s="164" t="s">
        <v>43</v>
      </c>
      <c r="P82" s="164"/>
      <c r="Q82" s="165" t="s">
        <v>44</v>
      </c>
      <c r="R82" s="166"/>
      <c r="S82" s="5"/>
    </row>
    <row r="83" spans="2:26" hidden="1">
      <c r="B83" s="172"/>
      <c r="C83" s="172"/>
      <c r="D83" s="172"/>
      <c r="E83" s="154">
        <f>Q81+1</f>
        <v>5</v>
      </c>
      <c r="F83" s="142"/>
      <c r="G83" s="154">
        <f t="shared" ref="G83" si="13">E83+1</f>
        <v>6</v>
      </c>
      <c r="H83" s="142"/>
      <c r="I83" s="154">
        <f t="shared" ref="I83" si="14">G83+1</f>
        <v>7</v>
      </c>
      <c r="J83" s="142"/>
      <c r="K83" s="154">
        <f t="shared" ref="K83" si="15">I83+1</f>
        <v>8</v>
      </c>
      <c r="L83" s="142"/>
      <c r="M83" s="154">
        <f t="shared" ref="M83" si="16">K83+1</f>
        <v>9</v>
      </c>
      <c r="N83" s="142"/>
      <c r="O83" s="154">
        <f t="shared" ref="O83" si="17">M83+1</f>
        <v>10</v>
      </c>
      <c r="P83" s="142"/>
      <c r="Q83" s="156">
        <f t="shared" ref="Q83" si="18">O83+1</f>
        <v>11</v>
      </c>
      <c r="R83" s="157"/>
      <c r="S83" s="5"/>
    </row>
    <row r="84" spans="2:26" hidden="1">
      <c r="B84" s="172"/>
      <c r="C84" s="172"/>
      <c r="D84" s="172"/>
      <c r="E84" s="158" t="s">
        <v>45</v>
      </c>
      <c r="F84" s="159"/>
      <c r="G84" s="160" t="s">
        <v>45</v>
      </c>
      <c r="H84" s="159"/>
      <c r="I84" s="160" t="s">
        <v>45</v>
      </c>
      <c r="J84" s="159"/>
      <c r="K84" s="160" t="s">
        <v>45</v>
      </c>
      <c r="L84" s="161"/>
      <c r="M84" s="162" t="s">
        <v>45</v>
      </c>
      <c r="N84" s="163"/>
      <c r="O84" s="164" t="s">
        <v>43</v>
      </c>
      <c r="P84" s="164"/>
      <c r="Q84" s="165" t="s">
        <v>44</v>
      </c>
      <c r="R84" s="166"/>
      <c r="S84" s="5"/>
    </row>
    <row r="85" spans="2:26" hidden="1">
      <c r="B85" s="172"/>
      <c r="C85" s="172"/>
      <c r="D85" s="172"/>
      <c r="E85" s="154">
        <f>Q83+1</f>
        <v>12</v>
      </c>
      <c r="F85" s="142"/>
      <c r="G85" s="154">
        <f t="shared" ref="G85" si="19">E85+1</f>
        <v>13</v>
      </c>
      <c r="H85" s="142"/>
      <c r="I85" s="154">
        <f t="shared" ref="I85" si="20">G85+1</f>
        <v>14</v>
      </c>
      <c r="J85" s="142"/>
      <c r="K85" s="154">
        <f t="shared" ref="K85" si="21">I85+1</f>
        <v>15</v>
      </c>
      <c r="L85" s="142"/>
      <c r="M85" s="154"/>
      <c r="N85" s="142"/>
      <c r="O85" s="154"/>
      <c r="P85" s="142"/>
      <c r="Q85" s="143"/>
      <c r="R85" s="149"/>
      <c r="S85" s="5"/>
    </row>
    <row r="86" spans="2:26" hidden="1">
      <c r="B86" s="172"/>
      <c r="C86" s="172"/>
      <c r="D86" s="172"/>
      <c r="E86" s="155" t="s">
        <v>25</v>
      </c>
      <c r="F86" s="155"/>
      <c r="G86" s="155" t="s">
        <v>25</v>
      </c>
      <c r="H86" s="155"/>
      <c r="I86" s="155" t="s">
        <v>25</v>
      </c>
      <c r="J86" s="155"/>
      <c r="K86" s="155" t="s">
        <v>25</v>
      </c>
      <c r="L86" s="155"/>
      <c r="M86" s="155"/>
      <c r="N86" s="155"/>
      <c r="O86" s="151"/>
      <c r="P86" s="151"/>
      <c r="Q86" s="152"/>
      <c r="R86" s="153"/>
      <c r="S86" s="5"/>
    </row>
    <row r="87" spans="2:26" hidden="1">
      <c r="B87" s="172"/>
      <c r="C87" s="172"/>
      <c r="D87" s="172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9"/>
      <c r="S87" s="5"/>
    </row>
    <row r="88" spans="2:26" hidden="1">
      <c r="B88" s="172"/>
      <c r="C88" s="172"/>
      <c r="D88" s="172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1"/>
      <c r="P88" s="151"/>
      <c r="Q88" s="152"/>
      <c r="R88" s="153"/>
      <c r="S88" s="5"/>
      <c r="Z88" s="88"/>
    </row>
    <row r="89" spans="2:26" hidden="1">
      <c r="B89" s="172"/>
      <c r="C89" s="172"/>
      <c r="D89" s="17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3"/>
      <c r="P89" s="143"/>
      <c r="Q89" s="142"/>
      <c r="R89" s="144"/>
      <c r="S89" s="5"/>
    </row>
    <row r="90" spans="2:26" hidden="1">
      <c r="B90" s="173"/>
      <c r="C90" s="173"/>
      <c r="D90" s="173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6"/>
      <c r="P90" s="146"/>
      <c r="Q90" s="147"/>
      <c r="R90" s="148"/>
      <c r="S90" s="5"/>
    </row>
    <row r="91" spans="2:26" hidden="1"/>
    <row r="92" spans="2:26">
      <c r="J92" t="s">
        <v>159</v>
      </c>
    </row>
  </sheetData>
  <mergeCells count="399">
    <mergeCell ref="O63:P63"/>
    <mergeCell ref="Q63:R63"/>
    <mergeCell ref="E64:F64"/>
    <mergeCell ref="G64:H64"/>
    <mergeCell ref="I64:J64"/>
    <mergeCell ref="K64:L64"/>
    <mergeCell ref="M64:N64"/>
    <mergeCell ref="O64:P64"/>
    <mergeCell ref="Q64:R64"/>
    <mergeCell ref="B14:C14"/>
    <mergeCell ref="B17:C17"/>
    <mergeCell ref="B22:C22"/>
    <mergeCell ref="D22:R22"/>
    <mergeCell ref="B23:C23"/>
    <mergeCell ref="B24:C24"/>
    <mergeCell ref="B2:R3"/>
    <mergeCell ref="B6:C6"/>
    <mergeCell ref="D6:R6"/>
    <mergeCell ref="B7:C7"/>
    <mergeCell ref="B8:C8"/>
    <mergeCell ref="B13:C13"/>
    <mergeCell ref="B25:C25"/>
    <mergeCell ref="Q28:R28"/>
    <mergeCell ref="B29:D29"/>
    <mergeCell ref="E29:F29"/>
    <mergeCell ref="G29:H29"/>
    <mergeCell ref="I29:J29"/>
    <mergeCell ref="K29:L29"/>
    <mergeCell ref="M29:N29"/>
    <mergeCell ref="O29:R29"/>
    <mergeCell ref="E30:F30"/>
    <mergeCell ref="G30:H30"/>
    <mergeCell ref="I30:J30"/>
    <mergeCell ref="K30:L30"/>
    <mergeCell ref="M30:N30"/>
    <mergeCell ref="E31:F31"/>
    <mergeCell ref="G31:H31"/>
    <mergeCell ref="I31:J31"/>
    <mergeCell ref="K31:L31"/>
    <mergeCell ref="M31:N31"/>
    <mergeCell ref="Q34:R34"/>
    <mergeCell ref="C32:D32"/>
    <mergeCell ref="E32:F32"/>
    <mergeCell ref="G32:H32"/>
    <mergeCell ref="I32:J32"/>
    <mergeCell ref="K32:L32"/>
    <mergeCell ref="M32:N32"/>
    <mergeCell ref="O32:P32"/>
    <mergeCell ref="O31:R31"/>
    <mergeCell ref="O33:P33"/>
    <mergeCell ref="C35:D35"/>
    <mergeCell ref="E35:F35"/>
    <mergeCell ref="G35:H35"/>
    <mergeCell ref="I35:J35"/>
    <mergeCell ref="K35:L35"/>
    <mergeCell ref="M35:N35"/>
    <mergeCell ref="O35:P35"/>
    <mergeCell ref="C33:D33"/>
    <mergeCell ref="E33:F33"/>
    <mergeCell ref="G33:H33"/>
    <mergeCell ref="I33:J33"/>
    <mergeCell ref="K33:L33"/>
    <mergeCell ref="M33:N33"/>
    <mergeCell ref="E34:F34"/>
    <mergeCell ref="G34:H34"/>
    <mergeCell ref="I34:J34"/>
    <mergeCell ref="K34:L34"/>
    <mergeCell ref="M34:N34"/>
    <mergeCell ref="O34:P34"/>
    <mergeCell ref="B42:D42"/>
    <mergeCell ref="E42:F42"/>
    <mergeCell ref="G42:H42"/>
    <mergeCell ref="I42:J42"/>
    <mergeCell ref="K42:L42"/>
    <mergeCell ref="M42:N42"/>
    <mergeCell ref="O42:P42"/>
    <mergeCell ref="Q42:R42"/>
    <mergeCell ref="Q36:R36"/>
    <mergeCell ref="E36:F36"/>
    <mergeCell ref="G36:H36"/>
    <mergeCell ref="I36:J36"/>
    <mergeCell ref="K36:L36"/>
    <mergeCell ref="M36:N36"/>
    <mergeCell ref="O36:P36"/>
    <mergeCell ref="Q44:R44"/>
    <mergeCell ref="E45:F45"/>
    <mergeCell ref="G45:H45"/>
    <mergeCell ref="I45:J45"/>
    <mergeCell ref="K45:L45"/>
    <mergeCell ref="M45:N45"/>
    <mergeCell ref="O45:P45"/>
    <mergeCell ref="Q45:R45"/>
    <mergeCell ref="E44:F44"/>
    <mergeCell ref="G44:H44"/>
    <mergeCell ref="I44:J44"/>
    <mergeCell ref="K44:L44"/>
    <mergeCell ref="M44:N44"/>
    <mergeCell ref="O44:P44"/>
    <mergeCell ref="G47:H47"/>
    <mergeCell ref="I47:J47"/>
    <mergeCell ref="K47:L47"/>
    <mergeCell ref="M47:N47"/>
    <mergeCell ref="O47:P47"/>
    <mergeCell ref="Q47:R47"/>
    <mergeCell ref="E46:F46"/>
    <mergeCell ref="G46:H46"/>
    <mergeCell ref="I46:J46"/>
    <mergeCell ref="K46:L46"/>
    <mergeCell ref="M46:N46"/>
    <mergeCell ref="O46:P46"/>
    <mergeCell ref="Q46:R46"/>
    <mergeCell ref="E47:F47"/>
    <mergeCell ref="Q48:R48"/>
    <mergeCell ref="E49:F49"/>
    <mergeCell ref="G49:H49"/>
    <mergeCell ref="I49:J49"/>
    <mergeCell ref="K49:L49"/>
    <mergeCell ref="M49:N49"/>
    <mergeCell ref="O49:P49"/>
    <mergeCell ref="Q49:R49"/>
    <mergeCell ref="E48:F48"/>
    <mergeCell ref="G48:H48"/>
    <mergeCell ref="I48:J48"/>
    <mergeCell ref="K48:L48"/>
    <mergeCell ref="M48:N48"/>
    <mergeCell ref="O48:P48"/>
    <mergeCell ref="Q50:R50"/>
    <mergeCell ref="E51:F51"/>
    <mergeCell ref="G51:H51"/>
    <mergeCell ref="I51:J51"/>
    <mergeCell ref="K51:L51"/>
    <mergeCell ref="M51:N51"/>
    <mergeCell ref="O51:P51"/>
    <mergeCell ref="Q51:R51"/>
    <mergeCell ref="E50:F50"/>
    <mergeCell ref="G50:H50"/>
    <mergeCell ref="I50:J50"/>
    <mergeCell ref="K50:L50"/>
    <mergeCell ref="M50:N50"/>
    <mergeCell ref="O50:P50"/>
    <mergeCell ref="B54:D54"/>
    <mergeCell ref="E54:F54"/>
    <mergeCell ref="G54:H54"/>
    <mergeCell ref="I54:J54"/>
    <mergeCell ref="K54:L54"/>
    <mergeCell ref="M54:N54"/>
    <mergeCell ref="O54:P54"/>
    <mergeCell ref="Q54:R54"/>
    <mergeCell ref="Q52:R52"/>
    <mergeCell ref="B53:R53"/>
    <mergeCell ref="E52:F52"/>
    <mergeCell ref="G52:H52"/>
    <mergeCell ref="I52:J52"/>
    <mergeCell ref="K52:L52"/>
    <mergeCell ref="M52:N52"/>
    <mergeCell ref="O52:P52"/>
    <mergeCell ref="B43:D52"/>
    <mergeCell ref="E43:F43"/>
    <mergeCell ref="G43:H43"/>
    <mergeCell ref="I43:J43"/>
    <mergeCell ref="K43:L43"/>
    <mergeCell ref="M43:N43"/>
    <mergeCell ref="O43:P43"/>
    <mergeCell ref="Q43:R43"/>
    <mergeCell ref="B55:D66"/>
    <mergeCell ref="E55:F55"/>
    <mergeCell ref="G55:H55"/>
    <mergeCell ref="I55:J55"/>
    <mergeCell ref="K55:L55"/>
    <mergeCell ref="M55:N55"/>
    <mergeCell ref="E57:F57"/>
    <mergeCell ref="G57:H57"/>
    <mergeCell ref="I57:J57"/>
    <mergeCell ref="K57:L57"/>
    <mergeCell ref="E63:F63"/>
    <mergeCell ref="G63:H63"/>
    <mergeCell ref="I63:J63"/>
    <mergeCell ref="K63:L63"/>
    <mergeCell ref="M63:N63"/>
    <mergeCell ref="M57:N57"/>
    <mergeCell ref="O55:P55"/>
    <mergeCell ref="Q55:R55"/>
    <mergeCell ref="E56:F56"/>
    <mergeCell ref="G56:H56"/>
    <mergeCell ref="I56:J56"/>
    <mergeCell ref="K56:L56"/>
    <mergeCell ref="M56:N56"/>
    <mergeCell ref="O56:P56"/>
    <mergeCell ref="Q56:R56"/>
    <mergeCell ref="O57:P57"/>
    <mergeCell ref="Q57:R57"/>
    <mergeCell ref="E58:F58"/>
    <mergeCell ref="G58:H58"/>
    <mergeCell ref="I58:J58"/>
    <mergeCell ref="K58:L58"/>
    <mergeCell ref="M58:N58"/>
    <mergeCell ref="O58:P58"/>
    <mergeCell ref="Q58:R58"/>
    <mergeCell ref="Q59:R59"/>
    <mergeCell ref="E60:F60"/>
    <mergeCell ref="G60:H60"/>
    <mergeCell ref="I60:J60"/>
    <mergeCell ref="K60:L60"/>
    <mergeCell ref="M60:N60"/>
    <mergeCell ref="O60:P60"/>
    <mergeCell ref="Q60:R60"/>
    <mergeCell ref="E59:F59"/>
    <mergeCell ref="G59:H59"/>
    <mergeCell ref="I59:J59"/>
    <mergeCell ref="K59:L59"/>
    <mergeCell ref="M59:N59"/>
    <mergeCell ref="O59:P59"/>
    <mergeCell ref="Q61:R61"/>
    <mergeCell ref="E62:F62"/>
    <mergeCell ref="G62:H62"/>
    <mergeCell ref="I62:J62"/>
    <mergeCell ref="K62:L62"/>
    <mergeCell ref="M62:N62"/>
    <mergeCell ref="O62:P62"/>
    <mergeCell ref="Q62:R62"/>
    <mergeCell ref="E61:F61"/>
    <mergeCell ref="G61:H61"/>
    <mergeCell ref="I61:J61"/>
    <mergeCell ref="K61:L61"/>
    <mergeCell ref="M61:N61"/>
    <mergeCell ref="O61:P61"/>
    <mergeCell ref="Q65:R65"/>
    <mergeCell ref="E66:F66"/>
    <mergeCell ref="G66:H66"/>
    <mergeCell ref="I66:J66"/>
    <mergeCell ref="K66:L66"/>
    <mergeCell ref="M66:N66"/>
    <mergeCell ref="O66:P66"/>
    <mergeCell ref="Q66:R66"/>
    <mergeCell ref="E65:F65"/>
    <mergeCell ref="G65:H65"/>
    <mergeCell ref="I65:J65"/>
    <mergeCell ref="K65:L65"/>
    <mergeCell ref="M65:N65"/>
    <mergeCell ref="O65:P65"/>
    <mergeCell ref="B67:R67"/>
    <mergeCell ref="B68:D68"/>
    <mergeCell ref="E68:F68"/>
    <mergeCell ref="G68:H68"/>
    <mergeCell ref="I68:J68"/>
    <mergeCell ref="K68:L68"/>
    <mergeCell ref="M68:N68"/>
    <mergeCell ref="O68:P68"/>
    <mergeCell ref="Q68:R68"/>
    <mergeCell ref="B69:D78"/>
    <mergeCell ref="E69:F69"/>
    <mergeCell ref="G69:H69"/>
    <mergeCell ref="I69:J69"/>
    <mergeCell ref="K69:L69"/>
    <mergeCell ref="M69:N69"/>
    <mergeCell ref="E71:F71"/>
    <mergeCell ref="G71:H71"/>
    <mergeCell ref="I71:J71"/>
    <mergeCell ref="K71:L71"/>
    <mergeCell ref="M71:N71"/>
    <mergeCell ref="O69:P69"/>
    <mergeCell ref="Q69:R69"/>
    <mergeCell ref="E70:F70"/>
    <mergeCell ref="G70:H70"/>
    <mergeCell ref="I70:J70"/>
    <mergeCell ref="K70:L70"/>
    <mergeCell ref="M70:N70"/>
    <mergeCell ref="O70:P70"/>
    <mergeCell ref="Q70:R70"/>
    <mergeCell ref="O71:P71"/>
    <mergeCell ref="Q71:R71"/>
    <mergeCell ref="E72:F72"/>
    <mergeCell ref="G72:H72"/>
    <mergeCell ref="I72:J72"/>
    <mergeCell ref="K72:L72"/>
    <mergeCell ref="M72:N72"/>
    <mergeCell ref="O72:P72"/>
    <mergeCell ref="Q72:R72"/>
    <mergeCell ref="Q73:R73"/>
    <mergeCell ref="E74:F74"/>
    <mergeCell ref="G74:H74"/>
    <mergeCell ref="I74:J74"/>
    <mergeCell ref="K74:L74"/>
    <mergeCell ref="M74:N74"/>
    <mergeCell ref="O74:P74"/>
    <mergeCell ref="Q74:R74"/>
    <mergeCell ref="E73:F73"/>
    <mergeCell ref="G73:H73"/>
    <mergeCell ref="I73:J73"/>
    <mergeCell ref="K73:L73"/>
    <mergeCell ref="M73:N73"/>
    <mergeCell ref="O73:P73"/>
    <mergeCell ref="Q75:R75"/>
    <mergeCell ref="E76:F76"/>
    <mergeCell ref="G76:H76"/>
    <mergeCell ref="I76:J76"/>
    <mergeCell ref="K76:L76"/>
    <mergeCell ref="M76:N76"/>
    <mergeCell ref="O76:P76"/>
    <mergeCell ref="Q76:R76"/>
    <mergeCell ref="E75:F75"/>
    <mergeCell ref="G75:H75"/>
    <mergeCell ref="I75:J75"/>
    <mergeCell ref="K75:L75"/>
    <mergeCell ref="M75:N75"/>
    <mergeCell ref="O75:P75"/>
    <mergeCell ref="Q77:R77"/>
    <mergeCell ref="E78:F78"/>
    <mergeCell ref="G78:H78"/>
    <mergeCell ref="I78:J78"/>
    <mergeCell ref="K78:L78"/>
    <mergeCell ref="M78:N78"/>
    <mergeCell ref="O78:P78"/>
    <mergeCell ref="Q78:R78"/>
    <mergeCell ref="E77:F77"/>
    <mergeCell ref="G77:H77"/>
    <mergeCell ref="I77:J77"/>
    <mergeCell ref="K77:L77"/>
    <mergeCell ref="M77:N77"/>
    <mergeCell ref="O77:P77"/>
    <mergeCell ref="B80:D80"/>
    <mergeCell ref="E80:F80"/>
    <mergeCell ref="G80:H80"/>
    <mergeCell ref="I80:J80"/>
    <mergeCell ref="K80:L80"/>
    <mergeCell ref="M80:N80"/>
    <mergeCell ref="O80:P80"/>
    <mergeCell ref="Q80:R80"/>
    <mergeCell ref="B81:D90"/>
    <mergeCell ref="E81:F81"/>
    <mergeCell ref="G81:H81"/>
    <mergeCell ref="I81:J81"/>
    <mergeCell ref="K81:L81"/>
    <mergeCell ref="M81:N81"/>
    <mergeCell ref="O81:P81"/>
    <mergeCell ref="Q81:R81"/>
    <mergeCell ref="E82:F82"/>
    <mergeCell ref="G82:H82"/>
    <mergeCell ref="I82:J82"/>
    <mergeCell ref="K82:L82"/>
    <mergeCell ref="M82:N82"/>
    <mergeCell ref="O82:P82"/>
    <mergeCell ref="Q82:R82"/>
    <mergeCell ref="E83:F83"/>
    <mergeCell ref="G83:H83"/>
    <mergeCell ref="I83:J83"/>
    <mergeCell ref="K83:L83"/>
    <mergeCell ref="M83:N83"/>
    <mergeCell ref="O83:P83"/>
    <mergeCell ref="Q83:R83"/>
    <mergeCell ref="E84:F84"/>
    <mergeCell ref="G84:H84"/>
    <mergeCell ref="I84:J84"/>
    <mergeCell ref="K84:L84"/>
    <mergeCell ref="M84:N84"/>
    <mergeCell ref="O84:P84"/>
    <mergeCell ref="Q84:R84"/>
    <mergeCell ref="E85:F85"/>
    <mergeCell ref="G85:H85"/>
    <mergeCell ref="I85:J85"/>
    <mergeCell ref="K85:L85"/>
    <mergeCell ref="M85:N85"/>
    <mergeCell ref="O85:P85"/>
    <mergeCell ref="Q85:R85"/>
    <mergeCell ref="E86:F86"/>
    <mergeCell ref="G86:H86"/>
    <mergeCell ref="I86:J86"/>
    <mergeCell ref="K86:L86"/>
    <mergeCell ref="M86:N86"/>
    <mergeCell ref="O86:P86"/>
    <mergeCell ref="Q86:R86"/>
    <mergeCell ref="E87:F87"/>
    <mergeCell ref="G87:H87"/>
    <mergeCell ref="I87:J87"/>
    <mergeCell ref="K87:L87"/>
    <mergeCell ref="M87:N87"/>
    <mergeCell ref="O87:P87"/>
    <mergeCell ref="Q87:R87"/>
    <mergeCell ref="E88:F88"/>
    <mergeCell ref="G88:H88"/>
    <mergeCell ref="I88:J88"/>
    <mergeCell ref="K88:L88"/>
    <mergeCell ref="M88:N88"/>
    <mergeCell ref="O88:P88"/>
    <mergeCell ref="Q88:R88"/>
    <mergeCell ref="E89:F89"/>
    <mergeCell ref="G89:H89"/>
    <mergeCell ref="I89:J89"/>
    <mergeCell ref="K89:L89"/>
    <mergeCell ref="M89:N89"/>
    <mergeCell ref="O89:P89"/>
    <mergeCell ref="Q89:R89"/>
    <mergeCell ref="E90:F90"/>
    <mergeCell ref="G90:H90"/>
    <mergeCell ref="I90:J90"/>
    <mergeCell ref="K90:L90"/>
    <mergeCell ref="M90:N90"/>
    <mergeCell ref="O90:P90"/>
    <mergeCell ref="Q90:R90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E57"/>
  <sheetViews>
    <sheetView showGridLines="0" zoomScale="90" zoomScaleNormal="90" workbookViewId="0">
      <pane xSplit="8" ySplit="8" topLeftCell="I9" activePane="bottomRight" state="frozen"/>
      <selection activeCell="R28" sqref="R28"/>
      <selection pane="topRight" activeCell="R28" sqref="R28"/>
      <selection pane="bottomLeft" activeCell="R28" sqref="R28"/>
      <selection pane="bottomRight" activeCell="N10" sqref="N10"/>
    </sheetView>
  </sheetViews>
  <sheetFormatPr defaultRowHeight="14.25"/>
  <cols>
    <col min="1" max="1" width="1.125" style="3" customWidth="1"/>
    <col min="2" max="3" width="3.625" style="3" customWidth="1"/>
    <col min="4" max="4" width="5.5" style="3" bestFit="1" customWidth="1"/>
    <col min="5" max="5" width="5.875" style="3" bestFit="1" customWidth="1"/>
    <col min="6" max="7" width="5.375" style="3" customWidth="1"/>
    <col min="8" max="8" width="10.75" style="3" customWidth="1"/>
    <col min="9" max="15" width="8.875" style="3" customWidth="1"/>
    <col min="16" max="16" width="1.25" style="3" customWidth="1"/>
    <col min="17" max="19" width="8.25" style="27" customWidth="1"/>
    <col min="20" max="20" width="8.25" style="71" customWidth="1"/>
    <col min="21" max="21" width="8.25" style="27" customWidth="1"/>
    <col min="22" max="22" width="1.375" style="3" customWidth="1"/>
    <col min="23" max="28" width="7.375" style="3" customWidth="1"/>
    <col min="29" max="40" width="7.875" style="3" customWidth="1"/>
    <col min="41" max="41" width="1.125" style="3" customWidth="1"/>
    <col min="42" max="48" width="7.75" style="3" customWidth="1"/>
    <col min="49" max="49" width="0.75" style="3" customWidth="1"/>
    <col min="50" max="50" width="0.625" style="3" customWidth="1"/>
    <col min="51" max="59" width="7.75" style="3" customWidth="1"/>
    <col min="60" max="16384" width="9" style="3"/>
  </cols>
  <sheetData>
    <row r="1" spans="2:57" s="1" customFormat="1" ht="15" customHeight="1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8"/>
      <c r="R1" s="38"/>
      <c r="S1" s="38"/>
      <c r="T1" s="65"/>
      <c r="U1" s="38"/>
      <c r="V1" s="37"/>
      <c r="W1" s="37"/>
    </row>
    <row r="2" spans="2:57" s="1" customFormat="1" ht="15" customHeight="1">
      <c r="B2" s="229" t="s">
        <v>134</v>
      </c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39"/>
      <c r="AH2" s="39"/>
      <c r="AI2" s="39"/>
      <c r="AJ2" s="39"/>
      <c r="AK2" s="39"/>
      <c r="AL2" s="39"/>
      <c r="AM2" s="39"/>
      <c r="AN2" s="39"/>
      <c r="AO2" s="25"/>
    </row>
    <row r="3" spans="2:57" s="1" customFormat="1" ht="15" customHeight="1"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29"/>
      <c r="AG3" s="39"/>
      <c r="AH3" s="39"/>
      <c r="AI3" s="39"/>
      <c r="AJ3" s="39"/>
      <c r="AK3" s="39"/>
      <c r="AL3" s="39"/>
      <c r="AM3" s="39"/>
      <c r="AN3" s="39"/>
      <c r="AO3" s="25"/>
    </row>
    <row r="4" spans="2:57" s="1" customFormat="1" ht="15" customHeight="1">
      <c r="B4" s="39"/>
      <c r="C4" s="39"/>
      <c r="D4" s="39"/>
      <c r="E4" s="39"/>
      <c r="F4" s="39"/>
      <c r="G4" s="39"/>
      <c r="H4" s="317" t="s">
        <v>158</v>
      </c>
      <c r="I4" s="39"/>
      <c r="J4" s="39"/>
      <c r="K4" s="39"/>
      <c r="L4" s="39"/>
      <c r="M4" s="39"/>
      <c r="N4" s="39"/>
      <c r="O4" s="39"/>
      <c r="P4" s="39"/>
      <c r="Q4" s="40"/>
      <c r="R4" s="40"/>
      <c r="S4" s="40"/>
      <c r="T4" s="66"/>
      <c r="U4" s="40"/>
      <c r="V4" s="39"/>
      <c r="W4" s="39"/>
      <c r="X4" s="39"/>
      <c r="Y4" s="39"/>
      <c r="Z4" s="39"/>
      <c r="AA4" s="39"/>
      <c r="AB4" s="39"/>
      <c r="AC4" s="39"/>
      <c r="AD4" s="39"/>
      <c r="AE4" s="39"/>
      <c r="AF4" s="41"/>
      <c r="AG4" s="41"/>
      <c r="AH4" s="41"/>
      <c r="AI4" s="41"/>
      <c r="AJ4" s="41"/>
      <c r="AK4" s="41"/>
      <c r="AL4" s="41"/>
      <c r="AM4" s="41"/>
      <c r="AN4" s="41"/>
      <c r="AO4" s="33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85"/>
      <c r="BC4" s="34"/>
      <c r="BD4" s="85"/>
      <c r="BE4" s="34"/>
    </row>
    <row r="5" spans="2:57" s="5" customFormat="1" ht="15" customHeight="1">
      <c r="B5" s="5" t="s">
        <v>73</v>
      </c>
      <c r="H5" s="7"/>
      <c r="I5" s="7"/>
      <c r="J5" s="7"/>
      <c r="M5" s="8"/>
      <c r="N5" s="8"/>
      <c r="O5" s="8"/>
      <c r="Q5" s="28"/>
      <c r="R5" s="28"/>
      <c r="S5" s="28"/>
      <c r="T5" s="67"/>
      <c r="U5" s="28"/>
      <c r="W5" s="7"/>
      <c r="X5" s="32"/>
      <c r="Y5" s="7"/>
      <c r="Z5" s="32"/>
      <c r="AO5" s="26"/>
    </row>
    <row r="6" spans="2:57" s="42" customFormat="1" ht="15" customHeight="1">
      <c r="B6" s="231" t="s">
        <v>7</v>
      </c>
      <c r="C6" s="232"/>
      <c r="D6" s="236" t="s">
        <v>8</v>
      </c>
      <c r="E6" s="237"/>
      <c r="F6" s="237"/>
      <c r="G6" s="226"/>
      <c r="H6" s="233" t="s">
        <v>9</v>
      </c>
      <c r="I6" s="243" t="s">
        <v>10</v>
      </c>
      <c r="J6" s="244"/>
      <c r="K6" s="244"/>
      <c r="L6" s="244"/>
      <c r="M6" s="244"/>
      <c r="N6" s="244"/>
      <c r="O6" s="245"/>
      <c r="Q6" s="246" t="s">
        <v>89</v>
      </c>
      <c r="R6" s="237"/>
      <c r="S6" s="237"/>
      <c r="T6" s="237"/>
      <c r="U6" s="247"/>
      <c r="W6" s="243" t="s">
        <v>11</v>
      </c>
      <c r="X6" s="244"/>
      <c r="Y6" s="244"/>
      <c r="Z6" s="244"/>
      <c r="AA6" s="244"/>
      <c r="AB6" s="244"/>
      <c r="AC6" s="244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5"/>
      <c r="AP6" s="255" t="s">
        <v>122</v>
      </c>
      <c r="AQ6" s="237"/>
      <c r="AR6" s="226"/>
      <c r="AS6" s="225">
        <v>0.11</v>
      </c>
      <c r="AT6" s="226"/>
      <c r="AU6" s="225">
        <v>0.13</v>
      </c>
      <c r="AV6" s="226"/>
      <c r="AY6" s="255" t="s">
        <v>123</v>
      </c>
      <c r="AZ6" s="237"/>
      <c r="BA6" s="226"/>
      <c r="BB6" s="225">
        <v>0.11</v>
      </c>
      <c r="BC6" s="226"/>
      <c r="BD6" s="225">
        <v>0.13</v>
      </c>
      <c r="BE6" s="226"/>
    </row>
    <row r="7" spans="2:57" s="42" customFormat="1" ht="15" customHeight="1">
      <c r="B7" s="233"/>
      <c r="C7" s="232"/>
      <c r="D7" s="238"/>
      <c r="E7" s="239"/>
      <c r="F7" s="239"/>
      <c r="G7" s="228"/>
      <c r="H7" s="233"/>
      <c r="I7" s="243" t="s">
        <v>13</v>
      </c>
      <c r="J7" s="244"/>
      <c r="K7" s="245"/>
      <c r="L7" s="243" t="s">
        <v>91</v>
      </c>
      <c r="M7" s="244"/>
      <c r="N7" s="244"/>
      <c r="O7" s="245"/>
      <c r="Q7" s="256" t="s">
        <v>13</v>
      </c>
      <c r="R7" s="256"/>
      <c r="S7" s="256"/>
      <c r="T7" s="257" t="s">
        <v>93</v>
      </c>
      <c r="U7" s="257"/>
      <c r="W7" s="243" t="s">
        <v>84</v>
      </c>
      <c r="X7" s="244"/>
      <c r="Y7" s="244"/>
      <c r="Z7" s="244"/>
      <c r="AA7" s="244"/>
      <c r="AB7" s="245"/>
      <c r="AC7" s="258" t="s">
        <v>121</v>
      </c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9"/>
      <c r="AP7" s="255" t="s">
        <v>12</v>
      </c>
      <c r="AQ7" s="237"/>
      <c r="AR7" s="226"/>
      <c r="AS7" s="227"/>
      <c r="AT7" s="228"/>
      <c r="AU7" s="227"/>
      <c r="AV7" s="228"/>
      <c r="AY7" s="255" t="s">
        <v>12</v>
      </c>
      <c r="AZ7" s="237"/>
      <c r="BA7" s="226"/>
      <c r="BB7" s="227"/>
      <c r="BC7" s="228"/>
      <c r="BD7" s="227"/>
      <c r="BE7" s="228"/>
    </row>
    <row r="8" spans="2:57" s="42" customFormat="1" ht="15" customHeight="1" thickBot="1">
      <c r="B8" s="234"/>
      <c r="C8" s="235"/>
      <c r="D8" s="240"/>
      <c r="E8" s="241"/>
      <c r="F8" s="241"/>
      <c r="G8" s="242"/>
      <c r="H8" s="234"/>
      <c r="I8" s="43" t="s">
        <v>17</v>
      </c>
      <c r="J8" s="43" t="s">
        <v>18</v>
      </c>
      <c r="K8" s="43" t="s">
        <v>14</v>
      </c>
      <c r="L8" s="43" t="s">
        <v>19</v>
      </c>
      <c r="M8" s="43" t="s">
        <v>76</v>
      </c>
      <c r="N8" s="43" t="s">
        <v>119</v>
      </c>
      <c r="O8" s="43" t="s">
        <v>120</v>
      </c>
      <c r="Q8" s="74" t="s">
        <v>28</v>
      </c>
      <c r="R8" s="74" t="s">
        <v>18</v>
      </c>
      <c r="S8" s="74" t="s">
        <v>14</v>
      </c>
      <c r="T8" s="75" t="s">
        <v>94</v>
      </c>
      <c r="U8" s="64" t="s">
        <v>95</v>
      </c>
      <c r="W8" s="43" t="s">
        <v>28</v>
      </c>
      <c r="X8" s="43" t="s">
        <v>20</v>
      </c>
      <c r="Y8" s="43" t="s">
        <v>18</v>
      </c>
      <c r="Z8" s="43" t="s">
        <v>20</v>
      </c>
      <c r="AA8" s="43" t="s">
        <v>14</v>
      </c>
      <c r="AB8" s="43" t="s">
        <v>20</v>
      </c>
      <c r="AC8" s="44" t="s">
        <v>19</v>
      </c>
      <c r="AD8" s="43" t="s">
        <v>20</v>
      </c>
      <c r="AE8" s="44" t="s">
        <v>76</v>
      </c>
      <c r="AF8" s="43" t="s">
        <v>20</v>
      </c>
      <c r="AG8" s="128" t="s">
        <v>127</v>
      </c>
      <c r="AH8" s="129" t="s">
        <v>20</v>
      </c>
      <c r="AI8" s="128" t="s">
        <v>129</v>
      </c>
      <c r="AJ8" s="129" t="s">
        <v>20</v>
      </c>
      <c r="AK8" s="128" t="s">
        <v>128</v>
      </c>
      <c r="AL8" s="129" t="s">
        <v>20</v>
      </c>
      <c r="AM8" s="128" t="s">
        <v>125</v>
      </c>
      <c r="AN8" s="129" t="s">
        <v>20</v>
      </c>
      <c r="AP8" s="81" t="s">
        <v>28</v>
      </c>
      <c r="AQ8" s="82" t="s">
        <v>18</v>
      </c>
      <c r="AR8" s="83" t="s">
        <v>14</v>
      </c>
      <c r="AS8" s="81" t="s">
        <v>15</v>
      </c>
      <c r="AT8" s="83" t="s">
        <v>16</v>
      </c>
      <c r="AU8" s="81" t="s">
        <v>15</v>
      </c>
      <c r="AV8" s="83" t="s">
        <v>16</v>
      </c>
      <c r="AY8" s="81" t="s">
        <v>28</v>
      </c>
      <c r="AZ8" s="82" t="s">
        <v>18</v>
      </c>
      <c r="BA8" s="83" t="s">
        <v>14</v>
      </c>
      <c r="BB8" s="81" t="s">
        <v>15</v>
      </c>
      <c r="BC8" s="83" t="s">
        <v>16</v>
      </c>
      <c r="BD8" s="81" t="s">
        <v>15</v>
      </c>
      <c r="BE8" s="83" t="s">
        <v>16</v>
      </c>
    </row>
    <row r="9" spans="2:57" s="42" customFormat="1" ht="15" customHeight="1" thickTop="1">
      <c r="B9" s="260" t="s">
        <v>78</v>
      </c>
      <c r="C9" s="261"/>
      <c r="D9" s="265" t="s">
        <v>104</v>
      </c>
      <c r="E9" s="267" t="s">
        <v>21</v>
      </c>
      <c r="F9" s="260" t="s">
        <v>79</v>
      </c>
      <c r="G9" s="268"/>
      <c r="H9" s="59" t="s">
        <v>25</v>
      </c>
      <c r="I9" s="45">
        <v>83000</v>
      </c>
      <c r="J9" s="45">
        <v>93000</v>
      </c>
      <c r="K9" s="45">
        <v>121000</v>
      </c>
      <c r="L9" s="45">
        <v>101000</v>
      </c>
      <c r="M9" s="45">
        <v>115000</v>
      </c>
      <c r="N9" s="45">
        <v>27000</v>
      </c>
      <c r="O9" s="45">
        <f>5000*3</f>
        <v>15000</v>
      </c>
      <c r="Q9" s="131">
        <v>83000</v>
      </c>
      <c r="R9" s="131">
        <v>93000</v>
      </c>
      <c r="S9" s="131">
        <v>121000</v>
      </c>
      <c r="T9" s="73">
        <f>S9/R9</f>
        <v>1.3010752688172043</v>
      </c>
      <c r="U9" s="46">
        <f>S9-R9</f>
        <v>28000</v>
      </c>
      <c r="W9" s="45">
        <f>Q9-10000</f>
        <v>73000</v>
      </c>
      <c r="X9" s="47">
        <f t="shared" ref="X9:X55" si="0">1-(W9/I9)</f>
        <v>0.12048192771084343</v>
      </c>
      <c r="Y9" s="45">
        <f>R9-10000</f>
        <v>83000</v>
      </c>
      <c r="Z9" s="47">
        <f t="shared" ref="Z9:Z55" si="1">1-(Y9/J9)</f>
        <v>0.10752688172043012</v>
      </c>
      <c r="AA9" s="45">
        <f>S9-10000</f>
        <v>111000</v>
      </c>
      <c r="AB9" s="47">
        <f t="shared" ref="AB9:AB55" si="2">1-(AA9/K9)</f>
        <v>8.2644628099173501E-2</v>
      </c>
      <c r="AC9" s="45">
        <f>27000*2</f>
        <v>54000</v>
      </c>
      <c r="AD9" s="47">
        <f t="shared" ref="AD9" si="3">1-(AC9/L9)</f>
        <v>0.46534653465346532</v>
      </c>
      <c r="AE9" s="45">
        <f>12000*2</f>
        <v>24000</v>
      </c>
      <c r="AF9" s="47">
        <f t="shared" ref="AF9" si="4">1-(AE9/M9)</f>
        <v>0.79130434782608694</v>
      </c>
      <c r="AG9" s="45">
        <v>0</v>
      </c>
      <c r="AH9" s="47">
        <f t="shared" ref="AH9:AH30" si="5">1-(AG9/N9)</f>
        <v>1</v>
      </c>
      <c r="AI9" s="45"/>
      <c r="AJ9" s="47">
        <f>1-(AI9/N9)</f>
        <v>1</v>
      </c>
      <c r="AK9" s="45">
        <v>0</v>
      </c>
      <c r="AL9" s="47">
        <f>1-(AK9/O9)</f>
        <v>1</v>
      </c>
      <c r="AM9" s="45">
        <f>4000*3</f>
        <v>12000</v>
      </c>
      <c r="AN9" s="47">
        <f t="shared" ref="AN9" si="6">1-(AM9/O9)</f>
        <v>0.19999999999999996</v>
      </c>
      <c r="AO9" s="76"/>
      <c r="AP9" s="107">
        <f>SUM(W9,AC9,AE9,AG9,AK9)</f>
        <v>151000</v>
      </c>
      <c r="AQ9" s="108">
        <f>SUM(R9,AC9,AE9,AG9,AK9)</f>
        <v>171000</v>
      </c>
      <c r="AR9" s="109">
        <f>SUM(S9,AC9,AE9,AG9,AK9)</f>
        <v>199000</v>
      </c>
      <c r="AS9" s="77">
        <f>AR9*11%</f>
        <v>21890</v>
      </c>
      <c r="AT9" s="78">
        <f>AR9-AS9</f>
        <v>177110</v>
      </c>
      <c r="AU9" s="77">
        <f t="shared" ref="AU9:AU10" si="7">AR9*13%</f>
        <v>25870</v>
      </c>
      <c r="AV9" s="78">
        <f t="shared" ref="AV9:AV10" si="8">AR9-AU9</f>
        <v>173130</v>
      </c>
      <c r="AY9" s="97">
        <f>SUM(W9,AE9,AI9,AM9)</f>
        <v>109000</v>
      </c>
      <c r="AZ9" s="97">
        <f>SUM(Y9,AE9,AI9,AM9)</f>
        <v>119000</v>
      </c>
      <c r="BA9" s="97">
        <f>SUM(AA9,AE9,AI9,AM9)</f>
        <v>147000</v>
      </c>
      <c r="BB9" s="77">
        <f>BA9*11%</f>
        <v>16170</v>
      </c>
      <c r="BC9" s="78">
        <f>BA9-BB9</f>
        <v>130830</v>
      </c>
      <c r="BD9" s="77">
        <f t="shared" ref="BD9:BD10" si="9">BA9*13%</f>
        <v>19110</v>
      </c>
      <c r="BE9" s="78">
        <f t="shared" ref="BE9:BE10" si="10">BA9-BD9</f>
        <v>127890</v>
      </c>
    </row>
    <row r="10" spans="2:57" s="42" customFormat="1" ht="15" customHeight="1">
      <c r="B10" s="250"/>
      <c r="C10" s="262"/>
      <c r="D10" s="266"/>
      <c r="E10" s="253"/>
      <c r="F10" s="250"/>
      <c r="G10" s="251"/>
      <c r="H10" s="55" t="s">
        <v>22</v>
      </c>
      <c r="I10" s="51">
        <v>100000</v>
      </c>
      <c r="J10" s="51">
        <v>111000</v>
      </c>
      <c r="K10" s="51">
        <v>156000</v>
      </c>
      <c r="L10" s="51">
        <v>101000</v>
      </c>
      <c r="M10" s="51">
        <v>115000</v>
      </c>
      <c r="N10" s="51">
        <v>27000</v>
      </c>
      <c r="O10" s="51">
        <f t="shared" ref="O10:O46" si="11">5000*3</f>
        <v>15000</v>
      </c>
      <c r="Q10" s="132">
        <v>100000</v>
      </c>
      <c r="R10" s="132">
        <v>111000</v>
      </c>
      <c r="S10" s="132">
        <v>156000</v>
      </c>
      <c r="T10" s="69">
        <f t="shared" ref="T10:T55" si="12">S10/R10</f>
        <v>1.4054054054054055</v>
      </c>
      <c r="U10" s="52">
        <f t="shared" ref="U10:U55" si="13">S10-R10</f>
        <v>45000</v>
      </c>
      <c r="W10" s="51">
        <f>Q10-10000</f>
        <v>90000</v>
      </c>
      <c r="X10" s="53">
        <f t="shared" si="0"/>
        <v>9.9999999999999978E-2</v>
      </c>
      <c r="Y10" s="51">
        <f>R10-10000</f>
        <v>101000</v>
      </c>
      <c r="Z10" s="53">
        <f t="shared" si="1"/>
        <v>9.0090090090090058E-2</v>
      </c>
      <c r="AA10" s="51">
        <f>S10-20000</f>
        <v>136000</v>
      </c>
      <c r="AB10" s="53">
        <f t="shared" si="2"/>
        <v>0.12820512820512819</v>
      </c>
      <c r="AC10" s="51">
        <v>54000</v>
      </c>
      <c r="AD10" s="54">
        <f t="shared" ref="AD10:AD55" si="14">1-(AC10/L10)</f>
        <v>0.46534653465346532</v>
      </c>
      <c r="AE10" s="51">
        <f t="shared" ref="AE10:AE56" si="15">12000*2</f>
        <v>24000</v>
      </c>
      <c r="AF10" s="54">
        <f t="shared" ref="AF10:AF55" si="16">1-(AE10/M10)</f>
        <v>0.79130434782608694</v>
      </c>
      <c r="AG10" s="94">
        <v>0</v>
      </c>
      <c r="AH10" s="91">
        <f t="shared" si="5"/>
        <v>1</v>
      </c>
      <c r="AI10" s="94"/>
      <c r="AJ10" s="91">
        <f t="shared" ref="AJ10:AJ46" si="17">1-(AI10/N10)</f>
        <v>1</v>
      </c>
      <c r="AK10" s="45">
        <v>0</v>
      </c>
      <c r="AL10" s="47">
        <f t="shared" ref="AL10:AL46" si="18">1-(AK10/O10)</f>
        <v>1</v>
      </c>
      <c r="AM10" s="45">
        <f t="shared" ref="AM10:AM56" si="19">4000*3</f>
        <v>12000</v>
      </c>
      <c r="AN10" s="47">
        <f t="shared" ref="AN10:AN46" si="20">1-(AM10/O10)</f>
        <v>0.19999999999999996</v>
      </c>
      <c r="AP10" s="110">
        <f t="shared" ref="AP10:AP56" si="21">SUM(W10,AC10,AE10,AG10,AK10)</f>
        <v>168000</v>
      </c>
      <c r="AQ10" s="111">
        <f t="shared" ref="AQ10:AQ56" si="22">SUM(R10,AC10,AE10,AG10,AK10)</f>
        <v>189000</v>
      </c>
      <c r="AR10" s="112">
        <f t="shared" ref="AR10:AR56" si="23">SUM(S10,AC10,AE10,AG10,AK10)</f>
        <v>234000</v>
      </c>
      <c r="AS10" s="79">
        <f t="shared" ref="AS10:AS46" si="24">AR10*11%</f>
        <v>25740</v>
      </c>
      <c r="AT10" s="80">
        <f t="shared" ref="AT10" si="25">AR10-AS10</f>
        <v>208260</v>
      </c>
      <c r="AU10" s="79">
        <f t="shared" si="7"/>
        <v>30420</v>
      </c>
      <c r="AV10" s="80">
        <f t="shared" si="8"/>
        <v>203580</v>
      </c>
      <c r="AY10" s="97">
        <f t="shared" ref="AY10" si="26">SUM(W10,AE10,AI10,AM10)</f>
        <v>126000</v>
      </c>
      <c r="AZ10" s="98">
        <f t="shared" ref="AZ10" si="27">SUM(Y10,AE10,AI10,AM10)</f>
        <v>137000</v>
      </c>
      <c r="BA10" s="99">
        <f t="shared" ref="BA10" si="28">SUM(AA10,AE10,AI10,AM10)</f>
        <v>172000</v>
      </c>
      <c r="BB10" s="77">
        <f t="shared" ref="BB10:BB46" si="29">BA10*11%</f>
        <v>18920</v>
      </c>
      <c r="BC10" s="78">
        <f t="shared" ref="BC10" si="30">BA10-BB10</f>
        <v>153080</v>
      </c>
      <c r="BD10" s="77">
        <f t="shared" si="9"/>
        <v>22360</v>
      </c>
      <c r="BE10" s="78">
        <f t="shared" si="10"/>
        <v>149640</v>
      </c>
    </row>
    <row r="11" spans="2:57" s="42" customFormat="1" ht="15" customHeight="1">
      <c r="B11" s="250"/>
      <c r="C11" s="262"/>
      <c r="D11" s="266"/>
      <c r="E11" s="253"/>
      <c r="F11" s="250"/>
      <c r="G11" s="251"/>
      <c r="H11" s="50" t="s">
        <v>23</v>
      </c>
      <c r="I11" s="51">
        <v>126000</v>
      </c>
      <c r="J11" s="51">
        <v>137000</v>
      </c>
      <c r="K11" s="51">
        <v>209000</v>
      </c>
      <c r="L11" s="51">
        <v>101000</v>
      </c>
      <c r="M11" s="51">
        <v>115000</v>
      </c>
      <c r="N11" s="51">
        <v>27000</v>
      </c>
      <c r="O11" s="51">
        <f t="shared" si="11"/>
        <v>15000</v>
      </c>
      <c r="Q11" s="132">
        <v>126000</v>
      </c>
      <c r="R11" s="132">
        <v>137000</v>
      </c>
      <c r="S11" s="132">
        <v>209000</v>
      </c>
      <c r="T11" s="69">
        <f t="shared" si="12"/>
        <v>1.5255474452554745</v>
      </c>
      <c r="U11" s="52">
        <f t="shared" si="13"/>
        <v>72000</v>
      </c>
      <c r="W11" s="51">
        <f>Q11</f>
        <v>126000</v>
      </c>
      <c r="X11" s="53">
        <f t="shared" si="0"/>
        <v>0</v>
      </c>
      <c r="Y11" s="51">
        <f>R11</f>
        <v>137000</v>
      </c>
      <c r="Z11" s="53">
        <f t="shared" si="1"/>
        <v>0</v>
      </c>
      <c r="AA11" s="51">
        <f>S11</f>
        <v>209000</v>
      </c>
      <c r="AB11" s="53">
        <f t="shared" si="2"/>
        <v>0</v>
      </c>
      <c r="AC11" s="51">
        <v>54000</v>
      </c>
      <c r="AD11" s="54">
        <f t="shared" si="14"/>
        <v>0.46534653465346532</v>
      </c>
      <c r="AE11" s="51">
        <f t="shared" si="15"/>
        <v>24000</v>
      </c>
      <c r="AF11" s="54">
        <f t="shared" si="16"/>
        <v>0.79130434782608694</v>
      </c>
      <c r="AG11" s="94">
        <v>0</v>
      </c>
      <c r="AH11" s="91">
        <f t="shared" si="5"/>
        <v>1</v>
      </c>
      <c r="AI11" s="94"/>
      <c r="AJ11" s="91">
        <f t="shared" si="17"/>
        <v>1</v>
      </c>
      <c r="AK11" s="45">
        <v>0</v>
      </c>
      <c r="AL11" s="47">
        <f t="shared" si="18"/>
        <v>1</v>
      </c>
      <c r="AM11" s="45">
        <f t="shared" si="19"/>
        <v>12000</v>
      </c>
      <c r="AN11" s="47">
        <f t="shared" si="20"/>
        <v>0.19999999999999996</v>
      </c>
      <c r="AP11" s="110">
        <f t="shared" si="21"/>
        <v>204000</v>
      </c>
      <c r="AQ11" s="111">
        <f t="shared" si="22"/>
        <v>215000</v>
      </c>
      <c r="AR11" s="112">
        <f t="shared" si="23"/>
        <v>287000</v>
      </c>
      <c r="AS11" s="77">
        <f t="shared" si="24"/>
        <v>31570</v>
      </c>
      <c r="AT11" s="78">
        <f t="shared" ref="AT11:AT47" si="31">AR11-AS11</f>
        <v>255430</v>
      </c>
      <c r="AU11" s="77">
        <f t="shared" ref="AU11:AU47" si="32">AR11*13%</f>
        <v>37310</v>
      </c>
      <c r="AV11" s="78">
        <f t="shared" ref="AV11:AV47" si="33">AR11-AU11</f>
        <v>249690</v>
      </c>
      <c r="AY11" s="97">
        <f t="shared" ref="AY11:AY47" si="34">SUM(W11,AE11,AI11,AM11)</f>
        <v>162000</v>
      </c>
      <c r="AZ11" s="98">
        <f t="shared" ref="AZ11:AZ47" si="35">SUM(Y11,AE11,AI11,AM11)</f>
        <v>173000</v>
      </c>
      <c r="BA11" s="99">
        <f t="shared" ref="BA11:BA47" si="36">SUM(AA11,AE11,AI11,AM11)</f>
        <v>245000</v>
      </c>
      <c r="BB11" s="77">
        <f t="shared" si="29"/>
        <v>26950</v>
      </c>
      <c r="BC11" s="78">
        <f t="shared" ref="BC11:BC47" si="37">BA11-BB11</f>
        <v>218050</v>
      </c>
      <c r="BD11" s="77">
        <f t="shared" ref="BD11:BD47" si="38">BA11*13%</f>
        <v>31850</v>
      </c>
      <c r="BE11" s="78">
        <f t="shared" ref="BE11:BE47" si="39">BA11-BD11</f>
        <v>213150</v>
      </c>
    </row>
    <row r="12" spans="2:57" s="42" customFormat="1" ht="15" customHeight="1">
      <c r="B12" s="250"/>
      <c r="C12" s="262"/>
      <c r="D12" s="266"/>
      <c r="E12" s="253"/>
      <c r="F12" s="250"/>
      <c r="G12" s="251"/>
      <c r="H12" s="90">
        <v>46178</v>
      </c>
      <c r="I12" s="56">
        <v>126000</v>
      </c>
      <c r="J12" s="56">
        <v>137000</v>
      </c>
      <c r="K12" s="56">
        <v>245000</v>
      </c>
      <c r="L12" s="56">
        <v>101000</v>
      </c>
      <c r="M12" s="56">
        <v>115000</v>
      </c>
      <c r="N12" s="56">
        <v>27000</v>
      </c>
      <c r="O12" s="51">
        <f t="shared" si="11"/>
        <v>15000</v>
      </c>
      <c r="Q12" s="132">
        <v>126000</v>
      </c>
      <c r="R12" s="132">
        <v>137000</v>
      </c>
      <c r="S12" s="132">
        <v>245000</v>
      </c>
      <c r="T12" s="69">
        <f t="shared" ref="T12" si="40">S12/R12</f>
        <v>1.7883211678832116</v>
      </c>
      <c r="U12" s="52">
        <f t="shared" ref="U12" si="41">S12-R12</f>
        <v>108000</v>
      </c>
      <c r="W12" s="51">
        <f>Q12-10000</f>
        <v>116000</v>
      </c>
      <c r="X12" s="53">
        <f t="shared" ref="X12" si="42">1-(W12/I12)</f>
        <v>7.9365079365079416E-2</v>
      </c>
      <c r="Y12" s="51">
        <f>R12-10000</f>
        <v>127000</v>
      </c>
      <c r="Z12" s="53">
        <f t="shared" ref="Z12" si="43">1-(Y12/J12)</f>
        <v>7.2992700729927029E-2</v>
      </c>
      <c r="AA12" s="51">
        <f>S12-30000</f>
        <v>215000</v>
      </c>
      <c r="AB12" s="53">
        <f t="shared" ref="AB12" si="44">1-(AA12/K12)</f>
        <v>0.12244897959183676</v>
      </c>
      <c r="AC12" s="51">
        <v>54000</v>
      </c>
      <c r="AD12" s="54">
        <f t="shared" ref="AD12" si="45">1-(AC12/L12)</f>
        <v>0.46534653465346532</v>
      </c>
      <c r="AE12" s="51">
        <f t="shared" si="15"/>
        <v>24000</v>
      </c>
      <c r="AF12" s="54">
        <f t="shared" ref="AF12" si="46">1-(AE12/M12)</f>
        <v>0.79130434782608694</v>
      </c>
      <c r="AG12" s="94">
        <v>0</v>
      </c>
      <c r="AH12" s="91">
        <f t="shared" si="5"/>
        <v>1</v>
      </c>
      <c r="AI12" s="94"/>
      <c r="AJ12" s="91">
        <f t="shared" si="17"/>
        <v>1</v>
      </c>
      <c r="AK12" s="45">
        <v>0</v>
      </c>
      <c r="AL12" s="47">
        <f t="shared" si="18"/>
        <v>1</v>
      </c>
      <c r="AM12" s="45">
        <f t="shared" si="19"/>
        <v>12000</v>
      </c>
      <c r="AN12" s="47">
        <f t="shared" si="20"/>
        <v>0.19999999999999996</v>
      </c>
      <c r="AP12" s="110">
        <f t="shared" si="21"/>
        <v>194000</v>
      </c>
      <c r="AQ12" s="111">
        <f t="shared" si="22"/>
        <v>215000</v>
      </c>
      <c r="AR12" s="112">
        <f t="shared" si="23"/>
        <v>323000</v>
      </c>
      <c r="AS12" s="77">
        <f t="shared" si="24"/>
        <v>35530</v>
      </c>
      <c r="AT12" s="78">
        <f t="shared" si="31"/>
        <v>287470</v>
      </c>
      <c r="AU12" s="77">
        <f t="shared" si="32"/>
        <v>41990</v>
      </c>
      <c r="AV12" s="78">
        <f t="shared" si="33"/>
        <v>281010</v>
      </c>
      <c r="AY12" s="97">
        <f t="shared" si="34"/>
        <v>152000</v>
      </c>
      <c r="AZ12" s="98">
        <f t="shared" si="35"/>
        <v>163000</v>
      </c>
      <c r="BA12" s="99">
        <f t="shared" si="36"/>
        <v>251000</v>
      </c>
      <c r="BB12" s="77">
        <f t="shared" si="29"/>
        <v>27610</v>
      </c>
      <c r="BC12" s="78">
        <f t="shared" si="37"/>
        <v>223390</v>
      </c>
      <c r="BD12" s="77">
        <f t="shared" si="38"/>
        <v>32630</v>
      </c>
      <c r="BE12" s="78">
        <f t="shared" si="39"/>
        <v>218370</v>
      </c>
    </row>
    <row r="13" spans="2:57" s="42" customFormat="1" ht="15" customHeight="1">
      <c r="B13" s="250"/>
      <c r="C13" s="262"/>
      <c r="D13" s="266"/>
      <c r="E13" s="253"/>
      <c r="F13" s="248" t="s">
        <v>80</v>
      </c>
      <c r="G13" s="249"/>
      <c r="H13" s="59" t="s">
        <v>45</v>
      </c>
      <c r="I13" s="48">
        <v>105000</v>
      </c>
      <c r="J13" s="48">
        <v>115000</v>
      </c>
      <c r="K13" s="48">
        <v>143000</v>
      </c>
      <c r="L13" s="48">
        <v>101000</v>
      </c>
      <c r="M13" s="48">
        <v>115000</v>
      </c>
      <c r="N13" s="48">
        <v>27000</v>
      </c>
      <c r="O13" s="48">
        <f t="shared" si="11"/>
        <v>15000</v>
      </c>
      <c r="Q13" s="133">
        <v>105000</v>
      </c>
      <c r="R13" s="133">
        <v>115000</v>
      </c>
      <c r="S13" s="133">
        <v>143000</v>
      </c>
      <c r="T13" s="68">
        <f t="shared" si="12"/>
        <v>1.2434782608695651</v>
      </c>
      <c r="U13" s="46">
        <f t="shared" si="13"/>
        <v>28000</v>
      </c>
      <c r="W13" s="45">
        <f>Q13-10000</f>
        <v>95000</v>
      </c>
      <c r="X13" s="47">
        <f t="shared" si="0"/>
        <v>9.5238095238095233E-2</v>
      </c>
      <c r="Y13" s="45">
        <f>R13-10000</f>
        <v>105000</v>
      </c>
      <c r="Z13" s="47">
        <f t="shared" si="1"/>
        <v>8.6956521739130488E-2</v>
      </c>
      <c r="AA13" s="45">
        <f>S13-10000</f>
        <v>133000</v>
      </c>
      <c r="AB13" s="47">
        <f t="shared" si="2"/>
        <v>6.9930069930069894E-2</v>
      </c>
      <c r="AC13" s="45">
        <v>54000</v>
      </c>
      <c r="AD13" s="130">
        <f t="shared" si="14"/>
        <v>0.46534653465346532</v>
      </c>
      <c r="AE13" s="45">
        <f t="shared" si="15"/>
        <v>24000</v>
      </c>
      <c r="AF13" s="49">
        <f t="shared" si="16"/>
        <v>0.79130434782608694</v>
      </c>
      <c r="AG13" s="95">
        <v>0</v>
      </c>
      <c r="AH13" s="92">
        <f t="shared" si="5"/>
        <v>1</v>
      </c>
      <c r="AI13" s="95"/>
      <c r="AJ13" s="92">
        <f t="shared" si="17"/>
        <v>1</v>
      </c>
      <c r="AK13" s="45">
        <v>0</v>
      </c>
      <c r="AL13" s="47">
        <f t="shared" si="18"/>
        <v>1</v>
      </c>
      <c r="AM13" s="45">
        <f t="shared" si="19"/>
        <v>12000</v>
      </c>
      <c r="AN13" s="47">
        <f t="shared" si="20"/>
        <v>0.19999999999999996</v>
      </c>
      <c r="AP13" s="113">
        <f t="shared" si="21"/>
        <v>173000</v>
      </c>
      <c r="AQ13" s="114">
        <f t="shared" si="22"/>
        <v>193000</v>
      </c>
      <c r="AR13" s="115">
        <f t="shared" si="23"/>
        <v>221000</v>
      </c>
      <c r="AS13" s="77">
        <f t="shared" si="24"/>
        <v>24310</v>
      </c>
      <c r="AT13" s="78">
        <f t="shared" si="31"/>
        <v>196690</v>
      </c>
      <c r="AU13" s="77">
        <f t="shared" si="32"/>
        <v>28730</v>
      </c>
      <c r="AV13" s="78">
        <f t="shared" si="33"/>
        <v>192270</v>
      </c>
      <c r="AY13" s="100">
        <f t="shared" si="34"/>
        <v>131000</v>
      </c>
      <c r="AZ13" s="101">
        <f t="shared" si="35"/>
        <v>141000</v>
      </c>
      <c r="BA13" s="102">
        <f t="shared" si="36"/>
        <v>169000</v>
      </c>
      <c r="BB13" s="77">
        <f t="shared" si="29"/>
        <v>18590</v>
      </c>
      <c r="BC13" s="78">
        <f t="shared" si="37"/>
        <v>150410</v>
      </c>
      <c r="BD13" s="77">
        <f t="shared" si="38"/>
        <v>21970</v>
      </c>
      <c r="BE13" s="78">
        <f t="shared" si="39"/>
        <v>147030</v>
      </c>
    </row>
    <row r="14" spans="2:57" s="42" customFormat="1" ht="15" customHeight="1">
      <c r="B14" s="250"/>
      <c r="C14" s="262"/>
      <c r="D14" s="266"/>
      <c r="E14" s="253"/>
      <c r="F14" s="250"/>
      <c r="G14" s="251"/>
      <c r="H14" s="55" t="s">
        <v>105</v>
      </c>
      <c r="I14" s="51">
        <v>122000</v>
      </c>
      <c r="J14" s="51">
        <v>133000</v>
      </c>
      <c r="K14" s="51">
        <v>178000</v>
      </c>
      <c r="L14" s="51">
        <v>101000</v>
      </c>
      <c r="M14" s="51">
        <v>115000</v>
      </c>
      <c r="N14" s="51">
        <v>27000</v>
      </c>
      <c r="O14" s="51">
        <f t="shared" si="11"/>
        <v>15000</v>
      </c>
      <c r="Q14" s="132">
        <v>122000</v>
      </c>
      <c r="R14" s="132">
        <v>133000</v>
      </c>
      <c r="S14" s="132">
        <v>178000</v>
      </c>
      <c r="T14" s="69">
        <f t="shared" si="12"/>
        <v>1.3383458646616542</v>
      </c>
      <c r="U14" s="52">
        <f t="shared" si="13"/>
        <v>45000</v>
      </c>
      <c r="W14" s="51">
        <f>Q14-10000</f>
        <v>112000</v>
      </c>
      <c r="X14" s="53">
        <f t="shared" si="0"/>
        <v>8.1967213114754078E-2</v>
      </c>
      <c r="Y14" s="51">
        <f>R14-10000</f>
        <v>123000</v>
      </c>
      <c r="Z14" s="53">
        <f t="shared" si="1"/>
        <v>7.5187969924812026E-2</v>
      </c>
      <c r="AA14" s="51">
        <f>S14-20000</f>
        <v>158000</v>
      </c>
      <c r="AB14" s="53">
        <f t="shared" si="2"/>
        <v>0.11235955056179781</v>
      </c>
      <c r="AC14" s="51">
        <v>54000</v>
      </c>
      <c r="AD14" s="54">
        <f t="shared" si="14"/>
        <v>0.46534653465346532</v>
      </c>
      <c r="AE14" s="51">
        <f t="shared" si="15"/>
        <v>24000</v>
      </c>
      <c r="AF14" s="54">
        <f t="shared" si="16"/>
        <v>0.79130434782608694</v>
      </c>
      <c r="AG14" s="94">
        <v>0</v>
      </c>
      <c r="AH14" s="91">
        <f t="shared" si="5"/>
        <v>1</v>
      </c>
      <c r="AI14" s="94"/>
      <c r="AJ14" s="91">
        <f t="shared" si="17"/>
        <v>1</v>
      </c>
      <c r="AK14" s="45">
        <v>0</v>
      </c>
      <c r="AL14" s="47">
        <f t="shared" si="18"/>
        <v>1</v>
      </c>
      <c r="AM14" s="45">
        <f t="shared" si="19"/>
        <v>12000</v>
      </c>
      <c r="AN14" s="47">
        <f t="shared" si="20"/>
        <v>0.19999999999999996</v>
      </c>
      <c r="AP14" s="110">
        <f t="shared" si="21"/>
        <v>190000</v>
      </c>
      <c r="AQ14" s="111">
        <f t="shared" si="22"/>
        <v>211000</v>
      </c>
      <c r="AR14" s="112">
        <f t="shared" si="23"/>
        <v>256000</v>
      </c>
      <c r="AS14" s="77">
        <f t="shared" si="24"/>
        <v>28160</v>
      </c>
      <c r="AT14" s="78">
        <f t="shared" si="31"/>
        <v>227840</v>
      </c>
      <c r="AU14" s="77">
        <f t="shared" si="32"/>
        <v>33280</v>
      </c>
      <c r="AV14" s="78">
        <f t="shared" si="33"/>
        <v>222720</v>
      </c>
      <c r="AY14" s="103">
        <f t="shared" si="34"/>
        <v>148000</v>
      </c>
      <c r="AZ14" s="98">
        <f t="shared" si="35"/>
        <v>159000</v>
      </c>
      <c r="BA14" s="99">
        <f t="shared" si="36"/>
        <v>194000</v>
      </c>
      <c r="BB14" s="77">
        <f t="shared" si="29"/>
        <v>21340</v>
      </c>
      <c r="BC14" s="78">
        <f t="shared" si="37"/>
        <v>172660</v>
      </c>
      <c r="BD14" s="77">
        <f t="shared" si="38"/>
        <v>25220</v>
      </c>
      <c r="BE14" s="78">
        <f t="shared" si="39"/>
        <v>168780</v>
      </c>
    </row>
    <row r="15" spans="2:57" s="42" customFormat="1" ht="15" customHeight="1">
      <c r="B15" s="250"/>
      <c r="C15" s="262"/>
      <c r="D15" s="266"/>
      <c r="E15" s="253"/>
      <c r="F15" s="250"/>
      <c r="G15" s="251"/>
      <c r="H15" s="50" t="s">
        <v>106</v>
      </c>
      <c r="I15" s="51">
        <v>148000</v>
      </c>
      <c r="J15" s="51">
        <v>159000</v>
      </c>
      <c r="K15" s="51">
        <v>231000</v>
      </c>
      <c r="L15" s="51">
        <v>101000</v>
      </c>
      <c r="M15" s="51">
        <v>115000</v>
      </c>
      <c r="N15" s="51">
        <v>27000</v>
      </c>
      <c r="O15" s="51">
        <f t="shared" si="11"/>
        <v>15000</v>
      </c>
      <c r="Q15" s="132">
        <v>148000</v>
      </c>
      <c r="R15" s="132">
        <v>159000</v>
      </c>
      <c r="S15" s="132">
        <v>231000</v>
      </c>
      <c r="T15" s="69">
        <f t="shared" si="12"/>
        <v>1.4528301886792452</v>
      </c>
      <c r="U15" s="52">
        <f t="shared" si="13"/>
        <v>72000</v>
      </c>
      <c r="W15" s="51">
        <f>Q15</f>
        <v>148000</v>
      </c>
      <c r="X15" s="53">
        <f t="shared" si="0"/>
        <v>0</v>
      </c>
      <c r="Y15" s="51">
        <f>R15</f>
        <v>159000</v>
      </c>
      <c r="Z15" s="53">
        <f t="shared" si="1"/>
        <v>0</v>
      </c>
      <c r="AA15" s="51">
        <f>S15</f>
        <v>231000</v>
      </c>
      <c r="AB15" s="53">
        <f t="shared" si="2"/>
        <v>0</v>
      </c>
      <c r="AC15" s="51">
        <v>54000</v>
      </c>
      <c r="AD15" s="54">
        <f t="shared" si="14"/>
        <v>0.46534653465346532</v>
      </c>
      <c r="AE15" s="51">
        <f t="shared" si="15"/>
        <v>24000</v>
      </c>
      <c r="AF15" s="54">
        <f t="shared" si="16"/>
        <v>0.79130434782608694</v>
      </c>
      <c r="AG15" s="94">
        <v>0</v>
      </c>
      <c r="AH15" s="91">
        <f t="shared" si="5"/>
        <v>1</v>
      </c>
      <c r="AI15" s="94"/>
      <c r="AJ15" s="91">
        <f t="shared" si="17"/>
        <v>1</v>
      </c>
      <c r="AK15" s="45">
        <v>0</v>
      </c>
      <c r="AL15" s="47">
        <f t="shared" si="18"/>
        <v>1</v>
      </c>
      <c r="AM15" s="45">
        <f t="shared" si="19"/>
        <v>12000</v>
      </c>
      <c r="AN15" s="47">
        <f t="shared" si="20"/>
        <v>0.19999999999999996</v>
      </c>
      <c r="AP15" s="110">
        <f t="shared" si="21"/>
        <v>226000</v>
      </c>
      <c r="AQ15" s="111">
        <f t="shared" si="22"/>
        <v>237000</v>
      </c>
      <c r="AR15" s="112">
        <f t="shared" si="23"/>
        <v>309000</v>
      </c>
      <c r="AS15" s="77">
        <f t="shared" si="24"/>
        <v>33990</v>
      </c>
      <c r="AT15" s="78">
        <f t="shared" si="31"/>
        <v>275010</v>
      </c>
      <c r="AU15" s="77">
        <f t="shared" si="32"/>
        <v>40170</v>
      </c>
      <c r="AV15" s="78">
        <f t="shared" si="33"/>
        <v>268830</v>
      </c>
      <c r="AY15" s="103">
        <f t="shared" si="34"/>
        <v>184000</v>
      </c>
      <c r="AZ15" s="98">
        <f t="shared" si="35"/>
        <v>195000</v>
      </c>
      <c r="BA15" s="99">
        <f t="shared" si="36"/>
        <v>267000</v>
      </c>
      <c r="BB15" s="77">
        <f t="shared" si="29"/>
        <v>29370</v>
      </c>
      <c r="BC15" s="78">
        <f t="shared" si="37"/>
        <v>237630</v>
      </c>
      <c r="BD15" s="77">
        <f t="shared" si="38"/>
        <v>34710</v>
      </c>
      <c r="BE15" s="78">
        <f t="shared" si="39"/>
        <v>232290</v>
      </c>
    </row>
    <row r="16" spans="2:57" s="42" customFormat="1" ht="15" customHeight="1">
      <c r="B16" s="250"/>
      <c r="C16" s="262"/>
      <c r="D16" s="266"/>
      <c r="E16" s="253"/>
      <c r="F16" s="250"/>
      <c r="G16" s="251"/>
      <c r="H16" s="90">
        <v>46178</v>
      </c>
      <c r="I16" s="56">
        <v>148000</v>
      </c>
      <c r="J16" s="56">
        <v>159000</v>
      </c>
      <c r="K16" s="56">
        <v>267000</v>
      </c>
      <c r="L16" s="56">
        <v>101000</v>
      </c>
      <c r="M16" s="56">
        <v>115000</v>
      </c>
      <c r="N16" s="56">
        <v>27000</v>
      </c>
      <c r="O16" s="51">
        <f t="shared" si="11"/>
        <v>15000</v>
      </c>
      <c r="Q16" s="132">
        <v>148000</v>
      </c>
      <c r="R16" s="132">
        <v>159000</v>
      </c>
      <c r="S16" s="132">
        <v>267000</v>
      </c>
      <c r="T16" s="69">
        <f t="shared" ref="T16" si="47">S16/R16</f>
        <v>1.679245283018868</v>
      </c>
      <c r="U16" s="52">
        <f t="shared" ref="U16" si="48">S16-R16</f>
        <v>108000</v>
      </c>
      <c r="W16" s="51">
        <f>Q16-10000</f>
        <v>138000</v>
      </c>
      <c r="X16" s="53">
        <f t="shared" ref="X16" si="49">1-(W16/I16)</f>
        <v>6.7567567567567544E-2</v>
      </c>
      <c r="Y16" s="51">
        <f>R16-10000</f>
        <v>149000</v>
      </c>
      <c r="Z16" s="53">
        <f t="shared" ref="Z16" si="50">1-(Y16/J16)</f>
        <v>6.2893081761006275E-2</v>
      </c>
      <c r="AA16" s="51">
        <f>S16-30000</f>
        <v>237000</v>
      </c>
      <c r="AB16" s="53">
        <f t="shared" ref="AB16" si="51">1-(AA16/K16)</f>
        <v>0.11235955056179781</v>
      </c>
      <c r="AC16" s="51">
        <v>54000</v>
      </c>
      <c r="AD16" s="54">
        <f t="shared" ref="AD16" si="52">1-(AC16/L16)</f>
        <v>0.46534653465346532</v>
      </c>
      <c r="AE16" s="51">
        <f t="shared" si="15"/>
        <v>24000</v>
      </c>
      <c r="AF16" s="54">
        <f t="shared" ref="AF16" si="53">1-(AE16/M16)</f>
        <v>0.79130434782608694</v>
      </c>
      <c r="AG16" s="94">
        <v>0</v>
      </c>
      <c r="AH16" s="91">
        <f t="shared" si="5"/>
        <v>1</v>
      </c>
      <c r="AI16" s="94"/>
      <c r="AJ16" s="91">
        <f t="shared" si="17"/>
        <v>1</v>
      </c>
      <c r="AK16" s="45">
        <v>0</v>
      </c>
      <c r="AL16" s="47">
        <f t="shared" si="18"/>
        <v>1</v>
      </c>
      <c r="AM16" s="45">
        <f t="shared" si="19"/>
        <v>12000</v>
      </c>
      <c r="AN16" s="47">
        <f t="shared" si="20"/>
        <v>0.19999999999999996</v>
      </c>
      <c r="AP16" s="110">
        <f t="shared" si="21"/>
        <v>216000</v>
      </c>
      <c r="AQ16" s="111">
        <f t="shared" si="22"/>
        <v>237000</v>
      </c>
      <c r="AR16" s="112">
        <f t="shared" si="23"/>
        <v>345000</v>
      </c>
      <c r="AS16" s="77">
        <f t="shared" si="24"/>
        <v>37950</v>
      </c>
      <c r="AT16" s="78">
        <f t="shared" si="31"/>
        <v>307050</v>
      </c>
      <c r="AU16" s="77">
        <f t="shared" si="32"/>
        <v>44850</v>
      </c>
      <c r="AV16" s="78">
        <f t="shared" si="33"/>
        <v>300150</v>
      </c>
      <c r="AY16" s="97">
        <f t="shared" si="34"/>
        <v>174000</v>
      </c>
      <c r="AZ16" s="98">
        <f t="shared" si="35"/>
        <v>185000</v>
      </c>
      <c r="BA16" s="99">
        <f t="shared" si="36"/>
        <v>273000</v>
      </c>
      <c r="BB16" s="77">
        <f t="shared" si="29"/>
        <v>30030</v>
      </c>
      <c r="BC16" s="78">
        <f t="shared" si="37"/>
        <v>242970</v>
      </c>
      <c r="BD16" s="77">
        <f t="shared" si="38"/>
        <v>35490</v>
      </c>
      <c r="BE16" s="78">
        <f t="shared" si="39"/>
        <v>237510</v>
      </c>
    </row>
    <row r="17" spans="2:57" s="42" customFormat="1" ht="15" customHeight="1">
      <c r="B17" s="250"/>
      <c r="C17" s="262"/>
      <c r="D17" s="266"/>
      <c r="E17" s="252" t="s">
        <v>24</v>
      </c>
      <c r="F17" s="248" t="s">
        <v>79</v>
      </c>
      <c r="G17" s="249"/>
      <c r="H17" s="59" t="s">
        <v>45</v>
      </c>
      <c r="I17" s="48">
        <v>106000</v>
      </c>
      <c r="J17" s="48">
        <v>120000</v>
      </c>
      <c r="K17" s="48">
        <v>147000</v>
      </c>
      <c r="L17" s="48">
        <v>101000</v>
      </c>
      <c r="M17" s="48">
        <v>115000</v>
      </c>
      <c r="N17" s="48">
        <v>27000</v>
      </c>
      <c r="O17" s="48">
        <f t="shared" si="11"/>
        <v>15000</v>
      </c>
      <c r="Q17" s="133">
        <v>106000</v>
      </c>
      <c r="R17" s="133">
        <v>120000</v>
      </c>
      <c r="S17" s="133">
        <v>147000</v>
      </c>
      <c r="T17" s="68">
        <f t="shared" si="12"/>
        <v>1.2250000000000001</v>
      </c>
      <c r="U17" s="46">
        <f t="shared" si="13"/>
        <v>27000</v>
      </c>
      <c r="W17" s="45">
        <f>Q17-10000</f>
        <v>96000</v>
      </c>
      <c r="X17" s="47">
        <f t="shared" si="0"/>
        <v>9.4339622641509413E-2</v>
      </c>
      <c r="Y17" s="45">
        <f>R17-10000</f>
        <v>110000</v>
      </c>
      <c r="Z17" s="47">
        <f t="shared" si="1"/>
        <v>8.333333333333337E-2</v>
      </c>
      <c r="AA17" s="45">
        <f>S17-10000</f>
        <v>137000</v>
      </c>
      <c r="AB17" s="47">
        <f t="shared" si="2"/>
        <v>6.8027210884353706E-2</v>
      </c>
      <c r="AC17" s="45">
        <v>54000</v>
      </c>
      <c r="AD17" s="130">
        <f t="shared" si="14"/>
        <v>0.46534653465346532</v>
      </c>
      <c r="AE17" s="48">
        <f t="shared" si="15"/>
        <v>24000</v>
      </c>
      <c r="AF17" s="49">
        <f t="shared" si="16"/>
        <v>0.79130434782608694</v>
      </c>
      <c r="AG17" s="95">
        <v>0</v>
      </c>
      <c r="AH17" s="92">
        <f t="shared" si="5"/>
        <v>1</v>
      </c>
      <c r="AI17" s="95"/>
      <c r="AJ17" s="92">
        <f t="shared" si="17"/>
        <v>1</v>
      </c>
      <c r="AK17" s="45">
        <v>0</v>
      </c>
      <c r="AL17" s="47">
        <f t="shared" si="18"/>
        <v>1</v>
      </c>
      <c r="AM17" s="45">
        <f t="shared" si="19"/>
        <v>12000</v>
      </c>
      <c r="AN17" s="47">
        <f t="shared" si="20"/>
        <v>0.19999999999999996</v>
      </c>
      <c r="AP17" s="113">
        <f t="shared" si="21"/>
        <v>174000</v>
      </c>
      <c r="AQ17" s="114">
        <f t="shared" si="22"/>
        <v>198000</v>
      </c>
      <c r="AR17" s="115">
        <f t="shared" si="23"/>
        <v>225000</v>
      </c>
      <c r="AS17" s="77">
        <f t="shared" si="24"/>
        <v>24750</v>
      </c>
      <c r="AT17" s="78">
        <f t="shared" si="31"/>
        <v>200250</v>
      </c>
      <c r="AU17" s="77">
        <f t="shared" si="32"/>
        <v>29250</v>
      </c>
      <c r="AV17" s="78">
        <f t="shared" si="33"/>
        <v>195750</v>
      </c>
      <c r="AY17" s="100">
        <f t="shared" si="34"/>
        <v>132000</v>
      </c>
      <c r="AZ17" s="101">
        <f t="shared" si="35"/>
        <v>146000</v>
      </c>
      <c r="BA17" s="102">
        <f t="shared" si="36"/>
        <v>173000</v>
      </c>
      <c r="BB17" s="77">
        <f t="shared" si="29"/>
        <v>19030</v>
      </c>
      <c r="BC17" s="78">
        <f t="shared" si="37"/>
        <v>153970</v>
      </c>
      <c r="BD17" s="77">
        <f t="shared" si="38"/>
        <v>22490</v>
      </c>
      <c r="BE17" s="78">
        <f t="shared" si="39"/>
        <v>150510</v>
      </c>
    </row>
    <row r="18" spans="2:57" s="42" customFormat="1" ht="15" customHeight="1">
      <c r="B18" s="250"/>
      <c r="C18" s="262"/>
      <c r="D18" s="266"/>
      <c r="E18" s="253"/>
      <c r="F18" s="250"/>
      <c r="G18" s="251"/>
      <c r="H18" s="55" t="s">
        <v>105</v>
      </c>
      <c r="I18" s="51">
        <v>127000</v>
      </c>
      <c r="J18" s="51">
        <v>141000</v>
      </c>
      <c r="K18" s="51">
        <v>187000</v>
      </c>
      <c r="L18" s="51">
        <v>101000</v>
      </c>
      <c r="M18" s="51">
        <v>115000</v>
      </c>
      <c r="N18" s="51">
        <v>27000</v>
      </c>
      <c r="O18" s="51">
        <f t="shared" si="11"/>
        <v>15000</v>
      </c>
      <c r="Q18" s="132">
        <v>127000</v>
      </c>
      <c r="R18" s="132">
        <v>141000</v>
      </c>
      <c r="S18" s="132">
        <v>187000</v>
      </c>
      <c r="T18" s="69">
        <f t="shared" si="12"/>
        <v>1.3262411347517731</v>
      </c>
      <c r="U18" s="52">
        <f t="shared" si="13"/>
        <v>46000</v>
      </c>
      <c r="W18" s="51">
        <f>Q18-10000</f>
        <v>117000</v>
      </c>
      <c r="X18" s="53">
        <f t="shared" si="0"/>
        <v>7.8740157480314932E-2</v>
      </c>
      <c r="Y18" s="51">
        <f>R18-10000</f>
        <v>131000</v>
      </c>
      <c r="Z18" s="53">
        <f t="shared" si="1"/>
        <v>7.0921985815602828E-2</v>
      </c>
      <c r="AA18" s="51">
        <f>S18-20000</f>
        <v>167000</v>
      </c>
      <c r="AB18" s="53">
        <f t="shared" si="2"/>
        <v>0.10695187165775399</v>
      </c>
      <c r="AC18" s="51">
        <v>54000</v>
      </c>
      <c r="AD18" s="54">
        <f t="shared" si="14"/>
        <v>0.46534653465346532</v>
      </c>
      <c r="AE18" s="51">
        <f t="shared" si="15"/>
        <v>24000</v>
      </c>
      <c r="AF18" s="54">
        <f t="shared" si="16"/>
        <v>0.79130434782608694</v>
      </c>
      <c r="AG18" s="94">
        <v>0</v>
      </c>
      <c r="AH18" s="91">
        <f t="shared" si="5"/>
        <v>1</v>
      </c>
      <c r="AI18" s="94"/>
      <c r="AJ18" s="91">
        <f t="shared" si="17"/>
        <v>1</v>
      </c>
      <c r="AK18" s="45">
        <v>0</v>
      </c>
      <c r="AL18" s="47">
        <f t="shared" si="18"/>
        <v>1</v>
      </c>
      <c r="AM18" s="45">
        <f t="shared" si="19"/>
        <v>12000</v>
      </c>
      <c r="AN18" s="47">
        <f t="shared" si="20"/>
        <v>0.19999999999999996</v>
      </c>
      <c r="AP18" s="110">
        <f t="shared" si="21"/>
        <v>195000</v>
      </c>
      <c r="AQ18" s="111">
        <f t="shared" si="22"/>
        <v>219000</v>
      </c>
      <c r="AR18" s="112">
        <f t="shared" si="23"/>
        <v>265000</v>
      </c>
      <c r="AS18" s="77">
        <f t="shared" si="24"/>
        <v>29150</v>
      </c>
      <c r="AT18" s="78">
        <f t="shared" si="31"/>
        <v>235850</v>
      </c>
      <c r="AU18" s="77">
        <f t="shared" si="32"/>
        <v>34450</v>
      </c>
      <c r="AV18" s="78">
        <f t="shared" si="33"/>
        <v>230550</v>
      </c>
      <c r="AY18" s="103">
        <f t="shared" si="34"/>
        <v>153000</v>
      </c>
      <c r="AZ18" s="98">
        <f t="shared" si="35"/>
        <v>167000</v>
      </c>
      <c r="BA18" s="99">
        <f t="shared" si="36"/>
        <v>203000</v>
      </c>
      <c r="BB18" s="77">
        <f t="shared" si="29"/>
        <v>22330</v>
      </c>
      <c r="BC18" s="78">
        <f t="shared" si="37"/>
        <v>180670</v>
      </c>
      <c r="BD18" s="77">
        <f t="shared" si="38"/>
        <v>26390</v>
      </c>
      <c r="BE18" s="78">
        <f t="shared" si="39"/>
        <v>176610</v>
      </c>
    </row>
    <row r="19" spans="2:57" s="42" customFormat="1" ht="15" customHeight="1">
      <c r="B19" s="250"/>
      <c r="C19" s="262"/>
      <c r="D19" s="266"/>
      <c r="E19" s="253"/>
      <c r="F19" s="250"/>
      <c r="G19" s="251"/>
      <c r="H19" s="50" t="s">
        <v>106</v>
      </c>
      <c r="I19" s="51">
        <v>156000</v>
      </c>
      <c r="J19" s="51">
        <v>171000</v>
      </c>
      <c r="K19" s="51">
        <v>246000</v>
      </c>
      <c r="L19" s="51">
        <v>101000</v>
      </c>
      <c r="M19" s="51">
        <v>115000</v>
      </c>
      <c r="N19" s="51">
        <v>27000</v>
      </c>
      <c r="O19" s="51">
        <f t="shared" si="11"/>
        <v>15000</v>
      </c>
      <c r="Q19" s="132">
        <v>156000</v>
      </c>
      <c r="R19" s="132">
        <v>171000</v>
      </c>
      <c r="S19" s="132">
        <v>246000</v>
      </c>
      <c r="T19" s="69">
        <f t="shared" si="12"/>
        <v>1.4385964912280702</v>
      </c>
      <c r="U19" s="52">
        <f t="shared" si="13"/>
        <v>75000</v>
      </c>
      <c r="W19" s="51">
        <f>Q19</f>
        <v>156000</v>
      </c>
      <c r="X19" s="53">
        <f t="shared" si="0"/>
        <v>0</v>
      </c>
      <c r="Y19" s="51">
        <f>R19</f>
        <v>171000</v>
      </c>
      <c r="Z19" s="53">
        <f t="shared" si="1"/>
        <v>0</v>
      </c>
      <c r="AA19" s="51">
        <f>S19</f>
        <v>246000</v>
      </c>
      <c r="AB19" s="53">
        <f t="shared" si="2"/>
        <v>0</v>
      </c>
      <c r="AC19" s="51">
        <v>54000</v>
      </c>
      <c r="AD19" s="54">
        <f t="shared" si="14"/>
        <v>0.46534653465346532</v>
      </c>
      <c r="AE19" s="51">
        <f t="shared" si="15"/>
        <v>24000</v>
      </c>
      <c r="AF19" s="54">
        <f t="shared" si="16"/>
        <v>0.79130434782608694</v>
      </c>
      <c r="AG19" s="94">
        <v>0</v>
      </c>
      <c r="AH19" s="91">
        <f t="shared" si="5"/>
        <v>1</v>
      </c>
      <c r="AI19" s="94"/>
      <c r="AJ19" s="91">
        <f t="shared" si="17"/>
        <v>1</v>
      </c>
      <c r="AK19" s="45">
        <v>0</v>
      </c>
      <c r="AL19" s="47">
        <f t="shared" si="18"/>
        <v>1</v>
      </c>
      <c r="AM19" s="45">
        <f t="shared" si="19"/>
        <v>12000</v>
      </c>
      <c r="AN19" s="47">
        <f t="shared" si="20"/>
        <v>0.19999999999999996</v>
      </c>
      <c r="AP19" s="110">
        <f t="shared" si="21"/>
        <v>234000</v>
      </c>
      <c r="AQ19" s="111">
        <f t="shared" si="22"/>
        <v>249000</v>
      </c>
      <c r="AR19" s="112">
        <f t="shared" si="23"/>
        <v>324000</v>
      </c>
      <c r="AS19" s="77">
        <f t="shared" si="24"/>
        <v>35640</v>
      </c>
      <c r="AT19" s="78">
        <f t="shared" si="31"/>
        <v>288360</v>
      </c>
      <c r="AU19" s="77">
        <f t="shared" si="32"/>
        <v>42120</v>
      </c>
      <c r="AV19" s="78">
        <f t="shared" si="33"/>
        <v>281880</v>
      </c>
      <c r="AY19" s="103">
        <f t="shared" si="34"/>
        <v>192000</v>
      </c>
      <c r="AZ19" s="98">
        <f t="shared" si="35"/>
        <v>207000</v>
      </c>
      <c r="BA19" s="99">
        <f t="shared" si="36"/>
        <v>282000</v>
      </c>
      <c r="BB19" s="77">
        <f t="shared" si="29"/>
        <v>31020</v>
      </c>
      <c r="BC19" s="78">
        <f t="shared" si="37"/>
        <v>250980</v>
      </c>
      <c r="BD19" s="77">
        <f t="shared" si="38"/>
        <v>36660</v>
      </c>
      <c r="BE19" s="78">
        <f t="shared" si="39"/>
        <v>245340</v>
      </c>
    </row>
    <row r="20" spans="2:57" s="42" customFormat="1" ht="15" customHeight="1">
      <c r="B20" s="250"/>
      <c r="C20" s="262"/>
      <c r="D20" s="266"/>
      <c r="E20" s="253"/>
      <c r="F20" s="250"/>
      <c r="G20" s="251"/>
      <c r="H20" s="90">
        <v>46178</v>
      </c>
      <c r="I20" s="56">
        <v>156000</v>
      </c>
      <c r="J20" s="56">
        <v>171000</v>
      </c>
      <c r="K20" s="56">
        <v>297000</v>
      </c>
      <c r="L20" s="56">
        <v>101000</v>
      </c>
      <c r="M20" s="56">
        <v>115000</v>
      </c>
      <c r="N20" s="56">
        <v>27000</v>
      </c>
      <c r="O20" s="51">
        <f t="shared" si="11"/>
        <v>15000</v>
      </c>
      <c r="Q20" s="132">
        <v>156000</v>
      </c>
      <c r="R20" s="132">
        <v>171000</v>
      </c>
      <c r="S20" s="132">
        <v>297000</v>
      </c>
      <c r="T20" s="69">
        <f t="shared" ref="T20" si="54">S20/R20</f>
        <v>1.736842105263158</v>
      </c>
      <c r="U20" s="52">
        <f t="shared" ref="U20" si="55">S20-R20</f>
        <v>126000</v>
      </c>
      <c r="W20" s="51">
        <f>Q20-10000</f>
        <v>146000</v>
      </c>
      <c r="X20" s="53">
        <f t="shared" ref="X20" si="56">1-(W20/I20)</f>
        <v>6.4102564102564097E-2</v>
      </c>
      <c r="Y20" s="51">
        <f>R20-10000</f>
        <v>161000</v>
      </c>
      <c r="Z20" s="53">
        <f t="shared" ref="Z20" si="57">1-(Y20/J20)</f>
        <v>5.8479532163742687E-2</v>
      </c>
      <c r="AA20" s="51">
        <f>S20-30000</f>
        <v>267000</v>
      </c>
      <c r="AB20" s="53">
        <f t="shared" ref="AB20" si="58">1-(AA20/K20)</f>
        <v>0.10101010101010099</v>
      </c>
      <c r="AC20" s="51">
        <v>54000</v>
      </c>
      <c r="AD20" s="54">
        <f t="shared" ref="AD20" si="59">1-(AC20/L20)</f>
        <v>0.46534653465346532</v>
      </c>
      <c r="AE20" s="51">
        <f t="shared" si="15"/>
        <v>24000</v>
      </c>
      <c r="AF20" s="54">
        <f t="shared" ref="AF20" si="60">1-(AE20/M20)</f>
        <v>0.79130434782608694</v>
      </c>
      <c r="AG20" s="94">
        <v>0</v>
      </c>
      <c r="AH20" s="91">
        <f t="shared" si="5"/>
        <v>1</v>
      </c>
      <c r="AI20" s="94"/>
      <c r="AJ20" s="91">
        <f t="shared" si="17"/>
        <v>1</v>
      </c>
      <c r="AK20" s="45">
        <v>0</v>
      </c>
      <c r="AL20" s="47">
        <f t="shared" si="18"/>
        <v>1</v>
      </c>
      <c r="AM20" s="45">
        <f t="shared" si="19"/>
        <v>12000</v>
      </c>
      <c r="AN20" s="47">
        <f t="shared" si="20"/>
        <v>0.19999999999999996</v>
      </c>
      <c r="AP20" s="110">
        <f t="shared" si="21"/>
        <v>224000</v>
      </c>
      <c r="AQ20" s="111">
        <f t="shared" si="22"/>
        <v>249000</v>
      </c>
      <c r="AR20" s="112">
        <f t="shared" si="23"/>
        <v>375000</v>
      </c>
      <c r="AS20" s="77">
        <f t="shared" si="24"/>
        <v>41250</v>
      </c>
      <c r="AT20" s="78">
        <f t="shared" si="31"/>
        <v>333750</v>
      </c>
      <c r="AU20" s="77">
        <f t="shared" si="32"/>
        <v>48750</v>
      </c>
      <c r="AV20" s="78">
        <f t="shared" si="33"/>
        <v>326250</v>
      </c>
      <c r="AY20" s="97">
        <f t="shared" si="34"/>
        <v>182000</v>
      </c>
      <c r="AZ20" s="98">
        <f t="shared" si="35"/>
        <v>197000</v>
      </c>
      <c r="BA20" s="99">
        <f t="shared" si="36"/>
        <v>303000</v>
      </c>
      <c r="BB20" s="77">
        <f t="shared" si="29"/>
        <v>33330</v>
      </c>
      <c r="BC20" s="78">
        <f t="shared" si="37"/>
        <v>269670</v>
      </c>
      <c r="BD20" s="77">
        <f t="shared" si="38"/>
        <v>39390</v>
      </c>
      <c r="BE20" s="78">
        <f t="shared" si="39"/>
        <v>263610</v>
      </c>
    </row>
    <row r="21" spans="2:57" s="42" customFormat="1" ht="15" customHeight="1">
      <c r="B21" s="250"/>
      <c r="C21" s="262"/>
      <c r="D21" s="266"/>
      <c r="E21" s="253"/>
      <c r="F21" s="248" t="s">
        <v>80</v>
      </c>
      <c r="G21" s="249"/>
      <c r="H21" s="59" t="s">
        <v>45</v>
      </c>
      <c r="I21" s="48">
        <v>128000</v>
      </c>
      <c r="J21" s="48">
        <v>142000</v>
      </c>
      <c r="K21" s="48">
        <v>169000</v>
      </c>
      <c r="L21" s="48">
        <v>101000</v>
      </c>
      <c r="M21" s="48">
        <v>115000</v>
      </c>
      <c r="N21" s="48">
        <v>27000</v>
      </c>
      <c r="O21" s="48">
        <f t="shared" si="11"/>
        <v>15000</v>
      </c>
      <c r="Q21" s="133">
        <v>128000</v>
      </c>
      <c r="R21" s="133">
        <v>142000</v>
      </c>
      <c r="S21" s="133">
        <v>169000</v>
      </c>
      <c r="T21" s="68">
        <f t="shared" si="12"/>
        <v>1.1901408450704225</v>
      </c>
      <c r="U21" s="46">
        <f t="shared" si="13"/>
        <v>27000</v>
      </c>
      <c r="W21" s="45">
        <f>Q21-10000</f>
        <v>118000</v>
      </c>
      <c r="X21" s="47">
        <f t="shared" si="0"/>
        <v>7.8125E-2</v>
      </c>
      <c r="Y21" s="45">
        <f>R21-10000</f>
        <v>132000</v>
      </c>
      <c r="Z21" s="47">
        <f t="shared" si="1"/>
        <v>7.0422535211267623E-2</v>
      </c>
      <c r="AA21" s="45">
        <f>S21-10000</f>
        <v>159000</v>
      </c>
      <c r="AB21" s="47">
        <f t="shared" si="2"/>
        <v>5.9171597633136064E-2</v>
      </c>
      <c r="AC21" s="45">
        <v>54000</v>
      </c>
      <c r="AD21" s="63">
        <f t="shared" si="14"/>
        <v>0.46534653465346532</v>
      </c>
      <c r="AE21" s="48">
        <f t="shared" si="15"/>
        <v>24000</v>
      </c>
      <c r="AF21" s="49">
        <f t="shared" si="16"/>
        <v>0.79130434782608694</v>
      </c>
      <c r="AG21" s="95">
        <v>0</v>
      </c>
      <c r="AH21" s="92">
        <f t="shared" si="5"/>
        <v>1</v>
      </c>
      <c r="AI21" s="95"/>
      <c r="AJ21" s="92">
        <f t="shared" si="17"/>
        <v>1</v>
      </c>
      <c r="AK21" s="45">
        <v>0</v>
      </c>
      <c r="AL21" s="47">
        <f t="shared" si="18"/>
        <v>1</v>
      </c>
      <c r="AM21" s="45">
        <f t="shared" si="19"/>
        <v>12000</v>
      </c>
      <c r="AN21" s="47">
        <f t="shared" si="20"/>
        <v>0.19999999999999996</v>
      </c>
      <c r="AP21" s="113">
        <f t="shared" si="21"/>
        <v>196000</v>
      </c>
      <c r="AQ21" s="114">
        <f t="shared" si="22"/>
        <v>220000</v>
      </c>
      <c r="AR21" s="115">
        <f t="shared" si="23"/>
        <v>247000</v>
      </c>
      <c r="AS21" s="77">
        <f t="shared" si="24"/>
        <v>27170</v>
      </c>
      <c r="AT21" s="78">
        <f t="shared" si="31"/>
        <v>219830</v>
      </c>
      <c r="AU21" s="77">
        <f t="shared" si="32"/>
        <v>32110</v>
      </c>
      <c r="AV21" s="78">
        <f t="shared" si="33"/>
        <v>214890</v>
      </c>
      <c r="AY21" s="100">
        <f t="shared" si="34"/>
        <v>154000</v>
      </c>
      <c r="AZ21" s="101">
        <f t="shared" si="35"/>
        <v>168000</v>
      </c>
      <c r="BA21" s="102">
        <f t="shared" si="36"/>
        <v>195000</v>
      </c>
      <c r="BB21" s="77">
        <f t="shared" si="29"/>
        <v>21450</v>
      </c>
      <c r="BC21" s="78">
        <f t="shared" si="37"/>
        <v>173550</v>
      </c>
      <c r="BD21" s="77">
        <f t="shared" si="38"/>
        <v>25350</v>
      </c>
      <c r="BE21" s="78">
        <f t="shared" si="39"/>
        <v>169650</v>
      </c>
    </row>
    <row r="22" spans="2:57" s="42" customFormat="1" ht="15" customHeight="1">
      <c r="B22" s="250"/>
      <c r="C22" s="262"/>
      <c r="D22" s="266"/>
      <c r="E22" s="253"/>
      <c r="F22" s="250"/>
      <c r="G22" s="251"/>
      <c r="H22" s="55" t="s">
        <v>105</v>
      </c>
      <c r="I22" s="51">
        <v>149000</v>
      </c>
      <c r="J22" s="51">
        <v>163000</v>
      </c>
      <c r="K22" s="51">
        <v>209000</v>
      </c>
      <c r="L22" s="51">
        <v>101000</v>
      </c>
      <c r="M22" s="51">
        <v>115000</v>
      </c>
      <c r="N22" s="51">
        <v>27000</v>
      </c>
      <c r="O22" s="51">
        <f t="shared" si="11"/>
        <v>15000</v>
      </c>
      <c r="Q22" s="132">
        <v>149000</v>
      </c>
      <c r="R22" s="132">
        <v>163000</v>
      </c>
      <c r="S22" s="132">
        <v>209000</v>
      </c>
      <c r="T22" s="69">
        <f t="shared" si="12"/>
        <v>1.2822085889570551</v>
      </c>
      <c r="U22" s="52">
        <f t="shared" si="13"/>
        <v>46000</v>
      </c>
      <c r="W22" s="51">
        <f>Q22-10000</f>
        <v>139000</v>
      </c>
      <c r="X22" s="54">
        <f t="shared" si="0"/>
        <v>6.7114093959731558E-2</v>
      </c>
      <c r="Y22" s="51">
        <f>R22-10000</f>
        <v>153000</v>
      </c>
      <c r="Z22" s="54">
        <f t="shared" si="1"/>
        <v>6.1349693251533721E-2</v>
      </c>
      <c r="AA22" s="51">
        <f>S22-20000</f>
        <v>189000</v>
      </c>
      <c r="AB22" s="53">
        <f t="shared" si="2"/>
        <v>9.5693779904306275E-2</v>
      </c>
      <c r="AC22" s="51">
        <v>54000</v>
      </c>
      <c r="AD22" s="54">
        <f t="shared" si="14"/>
        <v>0.46534653465346532</v>
      </c>
      <c r="AE22" s="51">
        <f t="shared" si="15"/>
        <v>24000</v>
      </c>
      <c r="AF22" s="54">
        <f t="shared" si="16"/>
        <v>0.79130434782608694</v>
      </c>
      <c r="AG22" s="94">
        <v>0</v>
      </c>
      <c r="AH22" s="91">
        <f t="shared" si="5"/>
        <v>1</v>
      </c>
      <c r="AI22" s="94"/>
      <c r="AJ22" s="91">
        <f t="shared" si="17"/>
        <v>1</v>
      </c>
      <c r="AK22" s="45">
        <v>0</v>
      </c>
      <c r="AL22" s="47">
        <f t="shared" si="18"/>
        <v>1</v>
      </c>
      <c r="AM22" s="45">
        <f t="shared" si="19"/>
        <v>12000</v>
      </c>
      <c r="AN22" s="47">
        <f t="shared" si="20"/>
        <v>0.19999999999999996</v>
      </c>
      <c r="AP22" s="110">
        <f t="shared" si="21"/>
        <v>217000</v>
      </c>
      <c r="AQ22" s="111">
        <f t="shared" si="22"/>
        <v>241000</v>
      </c>
      <c r="AR22" s="112">
        <f t="shared" si="23"/>
        <v>287000</v>
      </c>
      <c r="AS22" s="77">
        <f t="shared" si="24"/>
        <v>31570</v>
      </c>
      <c r="AT22" s="78">
        <f t="shared" si="31"/>
        <v>255430</v>
      </c>
      <c r="AU22" s="77">
        <f t="shared" si="32"/>
        <v>37310</v>
      </c>
      <c r="AV22" s="78">
        <f t="shared" si="33"/>
        <v>249690</v>
      </c>
      <c r="AY22" s="103">
        <f t="shared" si="34"/>
        <v>175000</v>
      </c>
      <c r="AZ22" s="98">
        <f t="shared" si="35"/>
        <v>189000</v>
      </c>
      <c r="BA22" s="99">
        <f t="shared" si="36"/>
        <v>225000</v>
      </c>
      <c r="BB22" s="77">
        <f t="shared" si="29"/>
        <v>24750</v>
      </c>
      <c r="BC22" s="78">
        <f t="shared" si="37"/>
        <v>200250</v>
      </c>
      <c r="BD22" s="77">
        <f t="shared" si="38"/>
        <v>29250</v>
      </c>
      <c r="BE22" s="78">
        <f t="shared" si="39"/>
        <v>195750</v>
      </c>
    </row>
    <row r="23" spans="2:57" s="42" customFormat="1" ht="15" customHeight="1">
      <c r="B23" s="250"/>
      <c r="C23" s="262"/>
      <c r="D23" s="266"/>
      <c r="E23" s="253"/>
      <c r="F23" s="250"/>
      <c r="G23" s="251"/>
      <c r="H23" s="50" t="s">
        <v>106</v>
      </c>
      <c r="I23" s="51">
        <v>178000</v>
      </c>
      <c r="J23" s="51">
        <v>193000</v>
      </c>
      <c r="K23" s="51">
        <v>268000</v>
      </c>
      <c r="L23" s="51">
        <v>101000</v>
      </c>
      <c r="M23" s="51">
        <v>115000</v>
      </c>
      <c r="N23" s="51">
        <v>27000</v>
      </c>
      <c r="O23" s="51">
        <f t="shared" si="11"/>
        <v>15000</v>
      </c>
      <c r="Q23" s="132">
        <v>178000</v>
      </c>
      <c r="R23" s="132">
        <v>193000</v>
      </c>
      <c r="S23" s="132">
        <v>268000</v>
      </c>
      <c r="T23" s="69">
        <f t="shared" ref="T23" si="61">S23/R23</f>
        <v>1.3886010362694301</v>
      </c>
      <c r="U23" s="52">
        <f t="shared" ref="U23" si="62">S23-R23</f>
        <v>75000</v>
      </c>
      <c r="W23" s="51">
        <f>Q23</f>
        <v>178000</v>
      </c>
      <c r="X23" s="53">
        <f t="shared" ref="X23" si="63">1-(W23/I23)</f>
        <v>0</v>
      </c>
      <c r="Y23" s="51">
        <f>R23</f>
        <v>193000</v>
      </c>
      <c r="Z23" s="53">
        <f t="shared" ref="Z23" si="64">1-(Y23/J23)</f>
        <v>0</v>
      </c>
      <c r="AA23" s="51">
        <f>S23</f>
        <v>268000</v>
      </c>
      <c r="AB23" s="53">
        <f t="shared" ref="AB23" si="65">1-(AA23/K23)</f>
        <v>0</v>
      </c>
      <c r="AC23" s="51">
        <v>54000</v>
      </c>
      <c r="AD23" s="54">
        <f t="shared" ref="AD23" si="66">1-(AC23/L23)</f>
        <v>0.46534653465346532</v>
      </c>
      <c r="AE23" s="51">
        <f t="shared" si="15"/>
        <v>24000</v>
      </c>
      <c r="AF23" s="54">
        <f t="shared" ref="AF23" si="67">1-(AE23/M23)</f>
        <v>0.79130434782608694</v>
      </c>
      <c r="AG23" s="94">
        <v>0</v>
      </c>
      <c r="AH23" s="91">
        <f t="shared" si="5"/>
        <v>1</v>
      </c>
      <c r="AI23" s="94"/>
      <c r="AJ23" s="91">
        <f t="shared" si="17"/>
        <v>1</v>
      </c>
      <c r="AK23" s="45">
        <v>0</v>
      </c>
      <c r="AL23" s="47">
        <f t="shared" si="18"/>
        <v>1</v>
      </c>
      <c r="AM23" s="45">
        <f t="shared" si="19"/>
        <v>12000</v>
      </c>
      <c r="AN23" s="47">
        <f t="shared" si="20"/>
        <v>0.19999999999999996</v>
      </c>
      <c r="AP23" s="110">
        <f t="shared" si="21"/>
        <v>256000</v>
      </c>
      <c r="AQ23" s="111">
        <f t="shared" si="22"/>
        <v>271000</v>
      </c>
      <c r="AR23" s="112">
        <f t="shared" si="23"/>
        <v>346000</v>
      </c>
      <c r="AS23" s="77">
        <f t="shared" si="24"/>
        <v>38060</v>
      </c>
      <c r="AT23" s="78">
        <f t="shared" si="31"/>
        <v>307940</v>
      </c>
      <c r="AU23" s="77">
        <f t="shared" si="32"/>
        <v>44980</v>
      </c>
      <c r="AV23" s="78">
        <f t="shared" si="33"/>
        <v>301020</v>
      </c>
      <c r="AY23" s="97">
        <f t="shared" si="34"/>
        <v>214000</v>
      </c>
      <c r="AZ23" s="98">
        <f t="shared" si="35"/>
        <v>229000</v>
      </c>
      <c r="BA23" s="99">
        <f t="shared" si="36"/>
        <v>304000</v>
      </c>
      <c r="BB23" s="77">
        <f t="shared" si="29"/>
        <v>33440</v>
      </c>
      <c r="BC23" s="78">
        <f t="shared" si="37"/>
        <v>270560</v>
      </c>
      <c r="BD23" s="77">
        <f t="shared" si="38"/>
        <v>39520</v>
      </c>
      <c r="BE23" s="78">
        <f t="shared" si="39"/>
        <v>264480</v>
      </c>
    </row>
    <row r="24" spans="2:57" s="42" customFormat="1" ht="15" customHeight="1">
      <c r="B24" s="250"/>
      <c r="C24" s="262"/>
      <c r="D24" s="266"/>
      <c r="E24" s="253"/>
      <c r="F24" s="250"/>
      <c r="G24" s="251"/>
      <c r="H24" s="90">
        <v>46178</v>
      </c>
      <c r="I24" s="56">
        <v>178000</v>
      </c>
      <c r="J24" s="56">
        <v>193000</v>
      </c>
      <c r="K24" s="56">
        <v>319000</v>
      </c>
      <c r="L24" s="56">
        <v>101000</v>
      </c>
      <c r="M24" s="56">
        <v>115000</v>
      </c>
      <c r="N24" s="56">
        <v>27000</v>
      </c>
      <c r="O24" s="51">
        <f t="shared" si="11"/>
        <v>15000</v>
      </c>
      <c r="Q24" s="132">
        <v>178000</v>
      </c>
      <c r="R24" s="132">
        <v>193000</v>
      </c>
      <c r="S24" s="132">
        <v>319000</v>
      </c>
      <c r="T24" s="69">
        <f t="shared" ref="T24" si="68">S24/R24</f>
        <v>1.6528497409326426</v>
      </c>
      <c r="U24" s="52">
        <f t="shared" ref="U24" si="69">S24-R24</f>
        <v>126000</v>
      </c>
      <c r="W24" s="51">
        <f>Q24-10000</f>
        <v>168000</v>
      </c>
      <c r="X24" s="53">
        <f t="shared" ref="X24" si="70">1-(W24/I24)</f>
        <v>5.6179775280898903E-2</v>
      </c>
      <c r="Y24" s="51">
        <f>R24-10000</f>
        <v>183000</v>
      </c>
      <c r="Z24" s="53">
        <f t="shared" ref="Z24" si="71">1-(Y24/J24)</f>
        <v>5.1813471502590636E-2</v>
      </c>
      <c r="AA24" s="51">
        <f>S24-30000</f>
        <v>289000</v>
      </c>
      <c r="AB24" s="53">
        <f t="shared" ref="AB24" si="72">1-(AA24/K24)</f>
        <v>9.404388714733547E-2</v>
      </c>
      <c r="AC24" s="51">
        <v>54000</v>
      </c>
      <c r="AD24" s="54">
        <f t="shared" ref="AD24" si="73">1-(AC24/L24)</f>
        <v>0.46534653465346532</v>
      </c>
      <c r="AE24" s="51">
        <f t="shared" si="15"/>
        <v>24000</v>
      </c>
      <c r="AF24" s="54">
        <f t="shared" ref="AF24" si="74">1-(AE24/M24)</f>
        <v>0.79130434782608694</v>
      </c>
      <c r="AG24" s="94">
        <v>0</v>
      </c>
      <c r="AH24" s="91">
        <f t="shared" si="5"/>
        <v>1</v>
      </c>
      <c r="AI24" s="94"/>
      <c r="AJ24" s="91">
        <f t="shared" si="17"/>
        <v>1</v>
      </c>
      <c r="AK24" s="45">
        <v>0</v>
      </c>
      <c r="AL24" s="47">
        <f t="shared" si="18"/>
        <v>1</v>
      </c>
      <c r="AM24" s="45">
        <f t="shared" si="19"/>
        <v>12000</v>
      </c>
      <c r="AN24" s="47">
        <f t="shared" si="20"/>
        <v>0.19999999999999996</v>
      </c>
      <c r="AP24" s="110">
        <f t="shared" si="21"/>
        <v>246000</v>
      </c>
      <c r="AQ24" s="111">
        <f t="shared" si="22"/>
        <v>271000</v>
      </c>
      <c r="AR24" s="112">
        <f t="shared" si="23"/>
        <v>397000</v>
      </c>
      <c r="AS24" s="77">
        <f t="shared" si="24"/>
        <v>43670</v>
      </c>
      <c r="AT24" s="78">
        <f t="shared" si="31"/>
        <v>353330</v>
      </c>
      <c r="AU24" s="77">
        <f t="shared" si="32"/>
        <v>51610</v>
      </c>
      <c r="AV24" s="78">
        <f t="shared" si="33"/>
        <v>345390</v>
      </c>
      <c r="AY24" s="97">
        <f t="shared" si="34"/>
        <v>204000</v>
      </c>
      <c r="AZ24" s="98">
        <f t="shared" si="35"/>
        <v>219000</v>
      </c>
      <c r="BA24" s="99">
        <f t="shared" si="36"/>
        <v>325000</v>
      </c>
      <c r="BB24" s="77">
        <f t="shared" si="29"/>
        <v>35750</v>
      </c>
      <c r="BC24" s="78">
        <f t="shared" si="37"/>
        <v>289250</v>
      </c>
      <c r="BD24" s="77">
        <f t="shared" si="38"/>
        <v>42250</v>
      </c>
      <c r="BE24" s="78">
        <f t="shared" si="39"/>
        <v>282750</v>
      </c>
    </row>
    <row r="25" spans="2:57" s="42" customFormat="1" ht="15" customHeight="1">
      <c r="B25" s="250"/>
      <c r="C25" s="262"/>
      <c r="D25" s="270" t="s">
        <v>81</v>
      </c>
      <c r="E25" s="252" t="s">
        <v>21</v>
      </c>
      <c r="F25" s="248" t="s">
        <v>79</v>
      </c>
      <c r="G25" s="249"/>
      <c r="H25" s="59" t="s">
        <v>45</v>
      </c>
      <c r="I25" s="48">
        <v>98000</v>
      </c>
      <c r="J25" s="48">
        <v>108000</v>
      </c>
      <c r="K25" s="48">
        <v>136000</v>
      </c>
      <c r="L25" s="48">
        <v>101000</v>
      </c>
      <c r="M25" s="48">
        <v>115000</v>
      </c>
      <c r="N25" s="48">
        <v>27000</v>
      </c>
      <c r="O25" s="48">
        <f t="shared" si="11"/>
        <v>15000</v>
      </c>
      <c r="Q25" s="133">
        <v>98000</v>
      </c>
      <c r="R25" s="133">
        <v>108000</v>
      </c>
      <c r="S25" s="133">
        <v>136000</v>
      </c>
      <c r="T25" s="68">
        <f t="shared" si="12"/>
        <v>1.2592592592592593</v>
      </c>
      <c r="U25" s="46">
        <f t="shared" si="13"/>
        <v>28000</v>
      </c>
      <c r="W25" s="45">
        <f>Q25-10000</f>
        <v>88000</v>
      </c>
      <c r="X25" s="47">
        <f t="shared" si="0"/>
        <v>0.10204081632653061</v>
      </c>
      <c r="Y25" s="45">
        <f>R25-10000</f>
        <v>98000</v>
      </c>
      <c r="Z25" s="47">
        <f t="shared" si="1"/>
        <v>9.259259259259256E-2</v>
      </c>
      <c r="AA25" s="45">
        <f>S25-10000</f>
        <v>126000</v>
      </c>
      <c r="AB25" s="47">
        <f t="shared" si="2"/>
        <v>7.3529411764705843E-2</v>
      </c>
      <c r="AC25" s="45">
        <v>54000</v>
      </c>
      <c r="AD25" s="63">
        <f t="shared" si="14"/>
        <v>0.46534653465346532</v>
      </c>
      <c r="AE25" s="48">
        <f t="shared" si="15"/>
        <v>24000</v>
      </c>
      <c r="AF25" s="49">
        <f t="shared" si="16"/>
        <v>0.79130434782608694</v>
      </c>
      <c r="AG25" s="95">
        <v>0</v>
      </c>
      <c r="AH25" s="92">
        <f t="shared" si="5"/>
        <v>1</v>
      </c>
      <c r="AI25" s="95"/>
      <c r="AJ25" s="92">
        <f t="shared" si="17"/>
        <v>1</v>
      </c>
      <c r="AK25" s="45">
        <v>0</v>
      </c>
      <c r="AL25" s="47">
        <f t="shared" si="18"/>
        <v>1</v>
      </c>
      <c r="AM25" s="45">
        <f t="shared" si="19"/>
        <v>12000</v>
      </c>
      <c r="AN25" s="47">
        <f t="shared" si="20"/>
        <v>0.19999999999999996</v>
      </c>
      <c r="AP25" s="113">
        <f t="shared" si="21"/>
        <v>166000</v>
      </c>
      <c r="AQ25" s="114">
        <f t="shared" si="22"/>
        <v>186000</v>
      </c>
      <c r="AR25" s="115">
        <f t="shared" si="23"/>
        <v>214000</v>
      </c>
      <c r="AS25" s="77">
        <f t="shared" si="24"/>
        <v>23540</v>
      </c>
      <c r="AT25" s="78">
        <f t="shared" si="31"/>
        <v>190460</v>
      </c>
      <c r="AU25" s="77">
        <f t="shared" si="32"/>
        <v>27820</v>
      </c>
      <c r="AV25" s="78">
        <f t="shared" si="33"/>
        <v>186180</v>
      </c>
      <c r="AY25" s="100">
        <f t="shared" si="34"/>
        <v>124000</v>
      </c>
      <c r="AZ25" s="101">
        <f t="shared" si="35"/>
        <v>134000</v>
      </c>
      <c r="BA25" s="102">
        <f t="shared" si="36"/>
        <v>162000</v>
      </c>
      <c r="BB25" s="77">
        <f t="shared" si="29"/>
        <v>17820</v>
      </c>
      <c r="BC25" s="78">
        <f t="shared" si="37"/>
        <v>144180</v>
      </c>
      <c r="BD25" s="77">
        <f t="shared" si="38"/>
        <v>21060</v>
      </c>
      <c r="BE25" s="78">
        <f t="shared" si="39"/>
        <v>140940</v>
      </c>
    </row>
    <row r="26" spans="2:57" s="42" customFormat="1" ht="15" customHeight="1">
      <c r="B26" s="250"/>
      <c r="C26" s="262"/>
      <c r="D26" s="266"/>
      <c r="E26" s="253"/>
      <c r="F26" s="250"/>
      <c r="G26" s="251"/>
      <c r="H26" s="55" t="s">
        <v>105</v>
      </c>
      <c r="I26" s="51">
        <v>115000</v>
      </c>
      <c r="J26" s="51">
        <v>126000</v>
      </c>
      <c r="K26" s="51">
        <v>171000</v>
      </c>
      <c r="L26" s="51">
        <v>101000</v>
      </c>
      <c r="M26" s="51">
        <v>115000</v>
      </c>
      <c r="N26" s="51">
        <v>27000</v>
      </c>
      <c r="O26" s="51">
        <f t="shared" si="11"/>
        <v>15000</v>
      </c>
      <c r="Q26" s="132">
        <v>115000</v>
      </c>
      <c r="R26" s="132">
        <v>126000</v>
      </c>
      <c r="S26" s="132">
        <v>171000</v>
      </c>
      <c r="T26" s="69">
        <f t="shared" si="12"/>
        <v>1.3571428571428572</v>
      </c>
      <c r="U26" s="52">
        <f t="shared" si="13"/>
        <v>45000</v>
      </c>
      <c r="W26" s="51">
        <f>Q26-10000</f>
        <v>105000</v>
      </c>
      <c r="X26" s="54">
        <f t="shared" si="0"/>
        <v>8.6956521739130488E-2</v>
      </c>
      <c r="Y26" s="51">
        <f>R26-10000</f>
        <v>116000</v>
      </c>
      <c r="Z26" s="54">
        <f t="shared" si="1"/>
        <v>7.9365079365079416E-2</v>
      </c>
      <c r="AA26" s="51">
        <f>S26-20000</f>
        <v>151000</v>
      </c>
      <c r="AB26" s="53">
        <f t="shared" si="2"/>
        <v>0.11695906432748537</v>
      </c>
      <c r="AC26" s="51">
        <v>54000</v>
      </c>
      <c r="AD26" s="54">
        <f t="shared" si="14"/>
        <v>0.46534653465346532</v>
      </c>
      <c r="AE26" s="51">
        <f t="shared" si="15"/>
        <v>24000</v>
      </c>
      <c r="AF26" s="54">
        <f t="shared" si="16"/>
        <v>0.79130434782608694</v>
      </c>
      <c r="AG26" s="94">
        <v>0</v>
      </c>
      <c r="AH26" s="91">
        <f t="shared" si="5"/>
        <v>1</v>
      </c>
      <c r="AI26" s="94"/>
      <c r="AJ26" s="91">
        <f t="shared" si="17"/>
        <v>1</v>
      </c>
      <c r="AK26" s="45">
        <v>0</v>
      </c>
      <c r="AL26" s="47">
        <f t="shared" si="18"/>
        <v>1</v>
      </c>
      <c r="AM26" s="45">
        <f t="shared" si="19"/>
        <v>12000</v>
      </c>
      <c r="AN26" s="47">
        <f t="shared" si="20"/>
        <v>0.19999999999999996</v>
      </c>
      <c r="AP26" s="110">
        <f t="shared" si="21"/>
        <v>183000</v>
      </c>
      <c r="AQ26" s="111">
        <f t="shared" si="22"/>
        <v>204000</v>
      </c>
      <c r="AR26" s="112">
        <f t="shared" si="23"/>
        <v>249000</v>
      </c>
      <c r="AS26" s="77">
        <f t="shared" si="24"/>
        <v>27390</v>
      </c>
      <c r="AT26" s="78">
        <f t="shared" si="31"/>
        <v>221610</v>
      </c>
      <c r="AU26" s="77">
        <f t="shared" si="32"/>
        <v>32370</v>
      </c>
      <c r="AV26" s="78">
        <f t="shared" si="33"/>
        <v>216630</v>
      </c>
      <c r="AY26" s="103">
        <f t="shared" si="34"/>
        <v>141000</v>
      </c>
      <c r="AZ26" s="98">
        <f t="shared" si="35"/>
        <v>152000</v>
      </c>
      <c r="BA26" s="99">
        <f t="shared" si="36"/>
        <v>187000</v>
      </c>
      <c r="BB26" s="77">
        <f t="shared" si="29"/>
        <v>20570</v>
      </c>
      <c r="BC26" s="78">
        <f t="shared" si="37"/>
        <v>166430</v>
      </c>
      <c r="BD26" s="77">
        <f t="shared" si="38"/>
        <v>24310</v>
      </c>
      <c r="BE26" s="78">
        <f t="shared" si="39"/>
        <v>162690</v>
      </c>
    </row>
    <row r="27" spans="2:57" s="42" customFormat="1" ht="15" customHeight="1">
      <c r="B27" s="250"/>
      <c r="C27" s="262"/>
      <c r="D27" s="266"/>
      <c r="E27" s="253"/>
      <c r="F27" s="250"/>
      <c r="G27" s="251"/>
      <c r="H27" s="50" t="s">
        <v>106</v>
      </c>
      <c r="I27" s="51">
        <v>141000</v>
      </c>
      <c r="J27" s="51">
        <v>152000</v>
      </c>
      <c r="K27" s="51">
        <v>224000</v>
      </c>
      <c r="L27" s="51">
        <v>101000</v>
      </c>
      <c r="M27" s="51">
        <v>115000</v>
      </c>
      <c r="N27" s="51">
        <v>27000</v>
      </c>
      <c r="O27" s="51">
        <f t="shared" si="11"/>
        <v>15000</v>
      </c>
      <c r="Q27" s="132">
        <v>141000</v>
      </c>
      <c r="R27" s="132">
        <v>152000</v>
      </c>
      <c r="S27" s="132">
        <v>224000</v>
      </c>
      <c r="T27" s="69">
        <f t="shared" si="12"/>
        <v>1.4736842105263157</v>
      </c>
      <c r="U27" s="52">
        <f t="shared" si="13"/>
        <v>72000</v>
      </c>
      <c r="W27" s="51">
        <f>Q27</f>
        <v>141000</v>
      </c>
      <c r="X27" s="54">
        <f t="shared" si="0"/>
        <v>0</v>
      </c>
      <c r="Y27" s="51">
        <f>R27</f>
        <v>152000</v>
      </c>
      <c r="Z27" s="54">
        <f t="shared" si="1"/>
        <v>0</v>
      </c>
      <c r="AA27" s="51">
        <f>S27</f>
        <v>224000</v>
      </c>
      <c r="AB27" s="53">
        <f t="shared" si="2"/>
        <v>0</v>
      </c>
      <c r="AC27" s="51">
        <v>54000</v>
      </c>
      <c r="AD27" s="54">
        <f t="shared" si="14"/>
        <v>0.46534653465346532</v>
      </c>
      <c r="AE27" s="51">
        <f t="shared" si="15"/>
        <v>24000</v>
      </c>
      <c r="AF27" s="54">
        <f t="shared" si="16"/>
        <v>0.79130434782608694</v>
      </c>
      <c r="AG27" s="94">
        <v>0</v>
      </c>
      <c r="AH27" s="91">
        <f t="shared" si="5"/>
        <v>1</v>
      </c>
      <c r="AI27" s="94"/>
      <c r="AJ27" s="91">
        <f t="shared" si="17"/>
        <v>1</v>
      </c>
      <c r="AK27" s="45">
        <v>0</v>
      </c>
      <c r="AL27" s="47">
        <f t="shared" si="18"/>
        <v>1</v>
      </c>
      <c r="AM27" s="45">
        <f t="shared" si="19"/>
        <v>12000</v>
      </c>
      <c r="AN27" s="47">
        <f t="shared" si="20"/>
        <v>0.19999999999999996</v>
      </c>
      <c r="AP27" s="110">
        <f t="shared" si="21"/>
        <v>219000</v>
      </c>
      <c r="AQ27" s="111">
        <f t="shared" si="22"/>
        <v>230000</v>
      </c>
      <c r="AR27" s="112">
        <f t="shared" si="23"/>
        <v>302000</v>
      </c>
      <c r="AS27" s="77">
        <f t="shared" si="24"/>
        <v>33220</v>
      </c>
      <c r="AT27" s="78">
        <f t="shared" si="31"/>
        <v>268780</v>
      </c>
      <c r="AU27" s="77">
        <f t="shared" si="32"/>
        <v>39260</v>
      </c>
      <c r="AV27" s="78">
        <f t="shared" si="33"/>
        <v>262740</v>
      </c>
      <c r="AY27" s="103">
        <f t="shared" si="34"/>
        <v>177000</v>
      </c>
      <c r="AZ27" s="98">
        <f t="shared" si="35"/>
        <v>188000</v>
      </c>
      <c r="BA27" s="99">
        <f t="shared" si="36"/>
        <v>260000</v>
      </c>
      <c r="BB27" s="77">
        <f t="shared" si="29"/>
        <v>28600</v>
      </c>
      <c r="BC27" s="78">
        <f t="shared" si="37"/>
        <v>231400</v>
      </c>
      <c r="BD27" s="77">
        <f t="shared" si="38"/>
        <v>33800</v>
      </c>
      <c r="BE27" s="78">
        <f t="shared" si="39"/>
        <v>226200</v>
      </c>
    </row>
    <row r="28" spans="2:57" s="42" customFormat="1" ht="15" customHeight="1">
      <c r="B28" s="250"/>
      <c r="C28" s="262"/>
      <c r="D28" s="266"/>
      <c r="E28" s="253"/>
      <c r="F28" s="250"/>
      <c r="G28" s="251"/>
      <c r="H28" s="90">
        <v>46178</v>
      </c>
      <c r="I28" s="51">
        <v>141000</v>
      </c>
      <c r="J28" s="51">
        <v>152000</v>
      </c>
      <c r="K28" s="51">
        <v>260000</v>
      </c>
      <c r="L28" s="51">
        <v>101000</v>
      </c>
      <c r="M28" s="51">
        <v>115000</v>
      </c>
      <c r="N28" s="51">
        <v>27000</v>
      </c>
      <c r="O28" s="51">
        <f t="shared" si="11"/>
        <v>15000</v>
      </c>
      <c r="Q28" s="132">
        <v>141000</v>
      </c>
      <c r="R28" s="132">
        <v>152000</v>
      </c>
      <c r="S28" s="132">
        <v>260000</v>
      </c>
      <c r="T28" s="69">
        <f t="shared" ref="T28" si="75">S28/R28</f>
        <v>1.7105263157894737</v>
      </c>
      <c r="U28" s="52">
        <f t="shared" ref="U28" si="76">S28-R28</f>
        <v>108000</v>
      </c>
      <c r="W28" s="51">
        <f>Q28-10000</f>
        <v>131000</v>
      </c>
      <c r="X28" s="54">
        <f t="shared" ref="X28" si="77">1-(W28/I28)</f>
        <v>7.0921985815602828E-2</v>
      </c>
      <c r="Y28" s="51">
        <f>R28-10000</f>
        <v>142000</v>
      </c>
      <c r="Z28" s="54">
        <f t="shared" ref="Z28" si="78">1-(Y28/J28)</f>
        <v>6.5789473684210509E-2</v>
      </c>
      <c r="AA28" s="51">
        <f>S28-30000</f>
        <v>230000</v>
      </c>
      <c r="AB28" s="53">
        <f t="shared" ref="AB28" si="79">1-(AA28/K28)</f>
        <v>0.11538461538461542</v>
      </c>
      <c r="AC28" s="51">
        <v>54000</v>
      </c>
      <c r="AD28" s="54">
        <f t="shared" ref="AD28" si="80">1-(AC28/L28)</f>
        <v>0.46534653465346532</v>
      </c>
      <c r="AE28" s="51">
        <f t="shared" si="15"/>
        <v>24000</v>
      </c>
      <c r="AF28" s="54">
        <f t="shared" ref="AF28" si="81">1-(AE28/M28)</f>
        <v>0.79130434782608694</v>
      </c>
      <c r="AG28" s="94">
        <v>0</v>
      </c>
      <c r="AH28" s="91">
        <f t="shared" si="5"/>
        <v>1</v>
      </c>
      <c r="AI28" s="94"/>
      <c r="AJ28" s="91">
        <f t="shared" si="17"/>
        <v>1</v>
      </c>
      <c r="AK28" s="45">
        <v>0</v>
      </c>
      <c r="AL28" s="47">
        <f t="shared" si="18"/>
        <v>1</v>
      </c>
      <c r="AM28" s="45">
        <f t="shared" si="19"/>
        <v>12000</v>
      </c>
      <c r="AN28" s="47">
        <f t="shared" si="20"/>
        <v>0.19999999999999996</v>
      </c>
      <c r="AP28" s="110">
        <f t="shared" si="21"/>
        <v>209000</v>
      </c>
      <c r="AQ28" s="111">
        <f t="shared" si="22"/>
        <v>230000</v>
      </c>
      <c r="AR28" s="112">
        <f t="shared" si="23"/>
        <v>338000</v>
      </c>
      <c r="AS28" s="77">
        <f t="shared" si="24"/>
        <v>37180</v>
      </c>
      <c r="AT28" s="78">
        <f t="shared" si="31"/>
        <v>300820</v>
      </c>
      <c r="AU28" s="77">
        <f t="shared" si="32"/>
        <v>43940</v>
      </c>
      <c r="AV28" s="78">
        <f t="shared" si="33"/>
        <v>294060</v>
      </c>
      <c r="AY28" s="103">
        <f t="shared" si="34"/>
        <v>167000</v>
      </c>
      <c r="AZ28" s="98">
        <f t="shared" si="35"/>
        <v>178000</v>
      </c>
      <c r="BA28" s="99">
        <f t="shared" si="36"/>
        <v>266000</v>
      </c>
      <c r="BB28" s="77">
        <f t="shared" si="29"/>
        <v>29260</v>
      </c>
      <c r="BC28" s="78">
        <f t="shared" si="37"/>
        <v>236740</v>
      </c>
      <c r="BD28" s="77">
        <f t="shared" si="38"/>
        <v>34580</v>
      </c>
      <c r="BE28" s="78">
        <f t="shared" si="39"/>
        <v>231420</v>
      </c>
    </row>
    <row r="29" spans="2:57" s="42" customFormat="1" ht="15" customHeight="1">
      <c r="B29" s="250"/>
      <c r="C29" s="262"/>
      <c r="D29" s="266"/>
      <c r="E29" s="253"/>
      <c r="F29" s="248" t="s">
        <v>82</v>
      </c>
      <c r="G29" s="249"/>
      <c r="H29" s="59" t="s">
        <v>45</v>
      </c>
      <c r="I29" s="48">
        <v>109000</v>
      </c>
      <c r="J29" s="48">
        <v>119000</v>
      </c>
      <c r="K29" s="48">
        <v>147000</v>
      </c>
      <c r="L29" s="48">
        <v>101000</v>
      </c>
      <c r="M29" s="48">
        <v>115000</v>
      </c>
      <c r="N29" s="48">
        <v>27000</v>
      </c>
      <c r="O29" s="48">
        <f t="shared" si="11"/>
        <v>15000</v>
      </c>
      <c r="Q29" s="133">
        <v>109000</v>
      </c>
      <c r="R29" s="133">
        <v>119000</v>
      </c>
      <c r="S29" s="133">
        <v>147000</v>
      </c>
      <c r="T29" s="68">
        <f t="shared" si="12"/>
        <v>1.2352941176470589</v>
      </c>
      <c r="U29" s="46">
        <f t="shared" si="13"/>
        <v>28000</v>
      </c>
      <c r="W29" s="45">
        <f>Q29-10000</f>
        <v>99000</v>
      </c>
      <c r="X29" s="47">
        <f t="shared" si="0"/>
        <v>9.1743119266055051E-2</v>
      </c>
      <c r="Y29" s="45">
        <f>R29-10000</f>
        <v>109000</v>
      </c>
      <c r="Z29" s="47">
        <f t="shared" si="1"/>
        <v>8.4033613445378186E-2</v>
      </c>
      <c r="AA29" s="45">
        <f>S29-10000</f>
        <v>137000</v>
      </c>
      <c r="AB29" s="47">
        <f t="shared" si="2"/>
        <v>6.8027210884353706E-2</v>
      </c>
      <c r="AC29" s="45">
        <v>54000</v>
      </c>
      <c r="AD29" s="130">
        <f t="shared" si="14"/>
        <v>0.46534653465346532</v>
      </c>
      <c r="AE29" s="48">
        <f t="shared" si="15"/>
        <v>24000</v>
      </c>
      <c r="AF29" s="49">
        <f t="shared" si="16"/>
        <v>0.79130434782608694</v>
      </c>
      <c r="AG29" s="95">
        <v>0</v>
      </c>
      <c r="AH29" s="92">
        <f t="shared" si="5"/>
        <v>1</v>
      </c>
      <c r="AI29" s="95"/>
      <c r="AJ29" s="92">
        <f t="shared" si="17"/>
        <v>1</v>
      </c>
      <c r="AK29" s="45">
        <v>0</v>
      </c>
      <c r="AL29" s="47">
        <f t="shared" si="18"/>
        <v>1</v>
      </c>
      <c r="AM29" s="45">
        <f t="shared" si="19"/>
        <v>12000</v>
      </c>
      <c r="AN29" s="47">
        <f t="shared" si="20"/>
        <v>0.19999999999999996</v>
      </c>
      <c r="AP29" s="113">
        <f t="shared" si="21"/>
        <v>177000</v>
      </c>
      <c r="AQ29" s="114">
        <f t="shared" si="22"/>
        <v>197000</v>
      </c>
      <c r="AR29" s="115">
        <f t="shared" si="23"/>
        <v>225000</v>
      </c>
      <c r="AS29" s="77">
        <f t="shared" si="24"/>
        <v>24750</v>
      </c>
      <c r="AT29" s="78">
        <f t="shared" si="31"/>
        <v>200250</v>
      </c>
      <c r="AU29" s="77">
        <f t="shared" si="32"/>
        <v>29250</v>
      </c>
      <c r="AV29" s="78">
        <f t="shared" si="33"/>
        <v>195750</v>
      </c>
      <c r="AY29" s="100">
        <f t="shared" si="34"/>
        <v>135000</v>
      </c>
      <c r="AZ29" s="101">
        <f t="shared" si="35"/>
        <v>145000</v>
      </c>
      <c r="BA29" s="102">
        <f t="shared" si="36"/>
        <v>173000</v>
      </c>
      <c r="BB29" s="77">
        <f t="shared" si="29"/>
        <v>19030</v>
      </c>
      <c r="BC29" s="78">
        <f t="shared" si="37"/>
        <v>153970</v>
      </c>
      <c r="BD29" s="77">
        <f t="shared" si="38"/>
        <v>22490</v>
      </c>
      <c r="BE29" s="78">
        <f t="shared" si="39"/>
        <v>150510</v>
      </c>
    </row>
    <row r="30" spans="2:57" s="42" customFormat="1" ht="15" customHeight="1">
      <c r="B30" s="250"/>
      <c r="C30" s="262"/>
      <c r="D30" s="266"/>
      <c r="E30" s="253"/>
      <c r="F30" s="250"/>
      <c r="G30" s="251"/>
      <c r="H30" s="55" t="s">
        <v>105</v>
      </c>
      <c r="I30" s="51">
        <v>126000</v>
      </c>
      <c r="J30" s="51">
        <v>137000</v>
      </c>
      <c r="K30" s="51">
        <v>182000</v>
      </c>
      <c r="L30" s="51">
        <v>101000</v>
      </c>
      <c r="M30" s="51">
        <v>115000</v>
      </c>
      <c r="N30" s="51">
        <v>27000</v>
      </c>
      <c r="O30" s="51">
        <f t="shared" si="11"/>
        <v>15000</v>
      </c>
      <c r="Q30" s="132">
        <v>126000</v>
      </c>
      <c r="R30" s="132">
        <v>137000</v>
      </c>
      <c r="S30" s="132">
        <v>182000</v>
      </c>
      <c r="T30" s="69">
        <f t="shared" si="12"/>
        <v>1.3284671532846715</v>
      </c>
      <c r="U30" s="52">
        <f t="shared" si="13"/>
        <v>45000</v>
      </c>
      <c r="W30" s="51">
        <f>Q30-10000</f>
        <v>116000</v>
      </c>
      <c r="X30" s="54">
        <f t="shared" si="0"/>
        <v>7.9365079365079416E-2</v>
      </c>
      <c r="Y30" s="51">
        <f>R30-10000</f>
        <v>127000</v>
      </c>
      <c r="Z30" s="54">
        <f t="shared" si="1"/>
        <v>7.2992700729927029E-2</v>
      </c>
      <c r="AA30" s="51">
        <f>S30-20000</f>
        <v>162000</v>
      </c>
      <c r="AB30" s="54">
        <f t="shared" si="2"/>
        <v>0.10989010989010994</v>
      </c>
      <c r="AC30" s="51">
        <v>54000</v>
      </c>
      <c r="AD30" s="54">
        <f t="shared" si="14"/>
        <v>0.46534653465346532</v>
      </c>
      <c r="AE30" s="51">
        <f t="shared" si="15"/>
        <v>24000</v>
      </c>
      <c r="AF30" s="54">
        <f t="shared" si="16"/>
        <v>0.79130434782608694</v>
      </c>
      <c r="AG30" s="94">
        <v>0</v>
      </c>
      <c r="AH30" s="91">
        <f t="shared" si="5"/>
        <v>1</v>
      </c>
      <c r="AI30" s="94"/>
      <c r="AJ30" s="91">
        <f t="shared" si="17"/>
        <v>1</v>
      </c>
      <c r="AK30" s="45">
        <v>0</v>
      </c>
      <c r="AL30" s="47">
        <f t="shared" si="18"/>
        <v>1</v>
      </c>
      <c r="AM30" s="45">
        <f t="shared" si="19"/>
        <v>12000</v>
      </c>
      <c r="AN30" s="47">
        <f t="shared" si="20"/>
        <v>0.19999999999999996</v>
      </c>
      <c r="AP30" s="110">
        <f t="shared" si="21"/>
        <v>194000</v>
      </c>
      <c r="AQ30" s="111">
        <f t="shared" si="22"/>
        <v>215000</v>
      </c>
      <c r="AR30" s="112">
        <f t="shared" si="23"/>
        <v>260000</v>
      </c>
      <c r="AS30" s="77">
        <f t="shared" si="24"/>
        <v>28600</v>
      </c>
      <c r="AT30" s="78">
        <f t="shared" si="31"/>
        <v>231400</v>
      </c>
      <c r="AU30" s="77">
        <f t="shared" si="32"/>
        <v>33800</v>
      </c>
      <c r="AV30" s="78">
        <f t="shared" si="33"/>
        <v>226200</v>
      </c>
      <c r="AY30" s="103">
        <f t="shared" si="34"/>
        <v>152000</v>
      </c>
      <c r="AZ30" s="98">
        <f t="shared" si="35"/>
        <v>163000</v>
      </c>
      <c r="BA30" s="99">
        <f t="shared" si="36"/>
        <v>198000</v>
      </c>
      <c r="BB30" s="77">
        <f t="shared" si="29"/>
        <v>21780</v>
      </c>
      <c r="BC30" s="78">
        <f t="shared" si="37"/>
        <v>176220</v>
      </c>
      <c r="BD30" s="77">
        <f t="shared" si="38"/>
        <v>25740</v>
      </c>
      <c r="BE30" s="78">
        <f t="shared" si="39"/>
        <v>172260</v>
      </c>
    </row>
    <row r="31" spans="2:57" s="42" customFormat="1" ht="15" customHeight="1">
      <c r="B31" s="250"/>
      <c r="C31" s="262"/>
      <c r="D31" s="266"/>
      <c r="E31" s="253"/>
      <c r="F31" s="250"/>
      <c r="G31" s="251"/>
      <c r="H31" s="50" t="s">
        <v>106</v>
      </c>
      <c r="I31" s="51">
        <v>152000</v>
      </c>
      <c r="J31" s="51">
        <v>163000</v>
      </c>
      <c r="K31" s="51">
        <v>235000</v>
      </c>
      <c r="L31" s="51">
        <v>101000</v>
      </c>
      <c r="M31" s="51">
        <v>115000</v>
      </c>
      <c r="N31" s="51">
        <v>27000</v>
      </c>
      <c r="O31" s="51">
        <f t="shared" si="11"/>
        <v>15000</v>
      </c>
      <c r="Q31" s="132">
        <v>152000</v>
      </c>
      <c r="R31" s="132">
        <v>163000</v>
      </c>
      <c r="S31" s="132">
        <v>235000</v>
      </c>
      <c r="T31" s="69">
        <f t="shared" si="12"/>
        <v>1.4417177914110428</v>
      </c>
      <c r="U31" s="52">
        <f t="shared" si="13"/>
        <v>72000</v>
      </c>
      <c r="W31" s="51">
        <f>Q31</f>
        <v>152000</v>
      </c>
      <c r="X31" s="54">
        <f t="shared" si="0"/>
        <v>0</v>
      </c>
      <c r="Y31" s="51">
        <f>R31</f>
        <v>163000</v>
      </c>
      <c r="Z31" s="54">
        <f t="shared" si="1"/>
        <v>0</v>
      </c>
      <c r="AA31" s="51">
        <f>S31</f>
        <v>235000</v>
      </c>
      <c r="AB31" s="54">
        <f t="shared" si="2"/>
        <v>0</v>
      </c>
      <c r="AC31" s="51">
        <v>54000</v>
      </c>
      <c r="AD31" s="54">
        <f t="shared" si="14"/>
        <v>0.46534653465346532</v>
      </c>
      <c r="AE31" s="51">
        <f t="shared" si="15"/>
        <v>24000</v>
      </c>
      <c r="AF31" s="54">
        <f t="shared" si="16"/>
        <v>0.79130434782608694</v>
      </c>
      <c r="AG31" s="94">
        <v>0</v>
      </c>
      <c r="AH31" s="91">
        <f t="shared" ref="AH31:AH56" si="82">1-(AG31/N31)</f>
        <v>1</v>
      </c>
      <c r="AI31" s="94"/>
      <c r="AJ31" s="91">
        <f t="shared" si="17"/>
        <v>1</v>
      </c>
      <c r="AK31" s="45">
        <v>0</v>
      </c>
      <c r="AL31" s="47">
        <f t="shared" si="18"/>
        <v>1</v>
      </c>
      <c r="AM31" s="45">
        <f t="shared" si="19"/>
        <v>12000</v>
      </c>
      <c r="AN31" s="47">
        <f t="shared" si="20"/>
        <v>0.19999999999999996</v>
      </c>
      <c r="AP31" s="110">
        <f t="shared" si="21"/>
        <v>230000</v>
      </c>
      <c r="AQ31" s="111">
        <f t="shared" si="22"/>
        <v>241000</v>
      </c>
      <c r="AR31" s="112">
        <f t="shared" si="23"/>
        <v>313000</v>
      </c>
      <c r="AS31" s="77">
        <f t="shared" si="24"/>
        <v>34430</v>
      </c>
      <c r="AT31" s="78">
        <f t="shared" si="31"/>
        <v>278570</v>
      </c>
      <c r="AU31" s="77">
        <f t="shared" si="32"/>
        <v>40690</v>
      </c>
      <c r="AV31" s="78">
        <f t="shared" si="33"/>
        <v>272310</v>
      </c>
      <c r="AY31" s="103">
        <f t="shared" si="34"/>
        <v>188000</v>
      </c>
      <c r="AZ31" s="98">
        <f t="shared" si="35"/>
        <v>199000</v>
      </c>
      <c r="BA31" s="99">
        <f t="shared" si="36"/>
        <v>271000</v>
      </c>
      <c r="BB31" s="77">
        <f t="shared" si="29"/>
        <v>29810</v>
      </c>
      <c r="BC31" s="78">
        <f t="shared" si="37"/>
        <v>241190</v>
      </c>
      <c r="BD31" s="77">
        <f t="shared" si="38"/>
        <v>35230</v>
      </c>
      <c r="BE31" s="78">
        <f t="shared" si="39"/>
        <v>235770</v>
      </c>
    </row>
    <row r="32" spans="2:57" s="42" customFormat="1" ht="15" customHeight="1">
      <c r="B32" s="250"/>
      <c r="C32" s="262"/>
      <c r="D32" s="266"/>
      <c r="E32" s="253"/>
      <c r="F32" s="250"/>
      <c r="G32" s="251"/>
      <c r="H32" s="90">
        <v>46178</v>
      </c>
      <c r="I32" s="51">
        <v>152000</v>
      </c>
      <c r="J32" s="51">
        <v>163000</v>
      </c>
      <c r="K32" s="51">
        <v>271000</v>
      </c>
      <c r="L32" s="51">
        <v>101000</v>
      </c>
      <c r="M32" s="51">
        <v>115000</v>
      </c>
      <c r="N32" s="51">
        <v>27000</v>
      </c>
      <c r="O32" s="51">
        <f t="shared" si="11"/>
        <v>15000</v>
      </c>
      <c r="Q32" s="132">
        <v>152000</v>
      </c>
      <c r="R32" s="132">
        <v>163000</v>
      </c>
      <c r="S32" s="132">
        <v>271000</v>
      </c>
      <c r="T32" s="69">
        <f t="shared" ref="T32" si="83">S32/R32</f>
        <v>1.6625766871165644</v>
      </c>
      <c r="U32" s="52">
        <f t="shared" ref="U32" si="84">S32-R32</f>
        <v>108000</v>
      </c>
      <c r="W32" s="51">
        <f>Q32-10000</f>
        <v>142000</v>
      </c>
      <c r="X32" s="54">
        <f t="shared" ref="X32" si="85">1-(W32/I32)</f>
        <v>6.5789473684210509E-2</v>
      </c>
      <c r="Y32" s="51">
        <f>R32-10000</f>
        <v>153000</v>
      </c>
      <c r="Z32" s="54">
        <f t="shared" ref="Z32" si="86">1-(Y32/J32)</f>
        <v>6.1349693251533721E-2</v>
      </c>
      <c r="AA32" s="51">
        <f>S32-30000</f>
        <v>241000</v>
      </c>
      <c r="AB32" s="54">
        <f t="shared" ref="AB32" si="87">1-(AA32/K32)</f>
        <v>0.11070110701107017</v>
      </c>
      <c r="AC32" s="51">
        <v>54000</v>
      </c>
      <c r="AD32" s="54">
        <f t="shared" ref="AD32" si="88">1-(AC32/L32)</f>
        <v>0.46534653465346532</v>
      </c>
      <c r="AE32" s="51">
        <f t="shared" si="15"/>
        <v>24000</v>
      </c>
      <c r="AF32" s="54">
        <f t="shared" ref="AF32" si="89">1-(AE32/M32)</f>
        <v>0.79130434782608694</v>
      </c>
      <c r="AG32" s="94">
        <v>0</v>
      </c>
      <c r="AH32" s="91">
        <f t="shared" si="82"/>
        <v>1</v>
      </c>
      <c r="AI32" s="94"/>
      <c r="AJ32" s="91">
        <f t="shared" si="17"/>
        <v>1</v>
      </c>
      <c r="AK32" s="45">
        <v>0</v>
      </c>
      <c r="AL32" s="47">
        <f t="shared" si="18"/>
        <v>1</v>
      </c>
      <c r="AM32" s="45">
        <f t="shared" si="19"/>
        <v>12000</v>
      </c>
      <c r="AN32" s="47">
        <f t="shared" si="20"/>
        <v>0.19999999999999996</v>
      </c>
      <c r="AP32" s="110">
        <f t="shared" si="21"/>
        <v>220000</v>
      </c>
      <c r="AQ32" s="111">
        <f t="shared" si="22"/>
        <v>241000</v>
      </c>
      <c r="AR32" s="112">
        <f t="shared" si="23"/>
        <v>349000</v>
      </c>
      <c r="AS32" s="77">
        <f t="shared" si="24"/>
        <v>38390</v>
      </c>
      <c r="AT32" s="78">
        <f t="shared" si="31"/>
        <v>310610</v>
      </c>
      <c r="AU32" s="77">
        <f t="shared" si="32"/>
        <v>45370</v>
      </c>
      <c r="AV32" s="78">
        <f t="shared" si="33"/>
        <v>303630</v>
      </c>
      <c r="AY32" s="103">
        <f t="shared" si="34"/>
        <v>178000</v>
      </c>
      <c r="AZ32" s="98">
        <f t="shared" si="35"/>
        <v>189000</v>
      </c>
      <c r="BA32" s="99">
        <f t="shared" si="36"/>
        <v>277000</v>
      </c>
      <c r="BB32" s="77">
        <f t="shared" si="29"/>
        <v>30470</v>
      </c>
      <c r="BC32" s="78">
        <f t="shared" si="37"/>
        <v>246530</v>
      </c>
      <c r="BD32" s="77">
        <f t="shared" si="38"/>
        <v>36010</v>
      </c>
      <c r="BE32" s="78">
        <f t="shared" si="39"/>
        <v>240990</v>
      </c>
    </row>
    <row r="33" spans="2:57" s="42" customFormat="1" ht="15" customHeight="1">
      <c r="B33" s="250"/>
      <c r="C33" s="262"/>
      <c r="D33" s="266"/>
      <c r="E33" s="253"/>
      <c r="F33" s="248" t="s">
        <v>80</v>
      </c>
      <c r="G33" s="249"/>
      <c r="H33" s="59" t="s">
        <v>45</v>
      </c>
      <c r="I33" s="48">
        <v>120000</v>
      </c>
      <c r="J33" s="48">
        <v>130000</v>
      </c>
      <c r="K33" s="48">
        <v>158000</v>
      </c>
      <c r="L33" s="48">
        <v>101000</v>
      </c>
      <c r="M33" s="48">
        <v>115000</v>
      </c>
      <c r="N33" s="48">
        <v>27000</v>
      </c>
      <c r="O33" s="48">
        <f t="shared" si="11"/>
        <v>15000</v>
      </c>
      <c r="Q33" s="133">
        <v>120000</v>
      </c>
      <c r="R33" s="133">
        <v>130000</v>
      </c>
      <c r="S33" s="133">
        <v>158000</v>
      </c>
      <c r="T33" s="68">
        <f t="shared" si="12"/>
        <v>1.2153846153846153</v>
      </c>
      <c r="U33" s="46">
        <f t="shared" si="13"/>
        <v>28000</v>
      </c>
      <c r="W33" s="45">
        <f>Q33-10000</f>
        <v>110000</v>
      </c>
      <c r="X33" s="47">
        <f t="shared" si="0"/>
        <v>8.333333333333337E-2</v>
      </c>
      <c r="Y33" s="45">
        <f>R33-10000</f>
        <v>120000</v>
      </c>
      <c r="Z33" s="47">
        <f t="shared" si="1"/>
        <v>7.6923076923076872E-2</v>
      </c>
      <c r="AA33" s="45">
        <f>S33-10000</f>
        <v>148000</v>
      </c>
      <c r="AB33" s="47">
        <f t="shared" si="2"/>
        <v>6.3291139240506333E-2</v>
      </c>
      <c r="AC33" s="45">
        <v>54000</v>
      </c>
      <c r="AD33" s="63">
        <f t="shared" si="14"/>
        <v>0.46534653465346532</v>
      </c>
      <c r="AE33" s="48">
        <f t="shared" si="15"/>
        <v>24000</v>
      </c>
      <c r="AF33" s="49">
        <f t="shared" si="16"/>
        <v>0.79130434782608694</v>
      </c>
      <c r="AG33" s="95">
        <v>0</v>
      </c>
      <c r="AH33" s="92">
        <f t="shared" si="82"/>
        <v>1</v>
      </c>
      <c r="AI33" s="95"/>
      <c r="AJ33" s="92">
        <f t="shared" si="17"/>
        <v>1</v>
      </c>
      <c r="AK33" s="45">
        <v>0</v>
      </c>
      <c r="AL33" s="47">
        <f t="shared" si="18"/>
        <v>1</v>
      </c>
      <c r="AM33" s="45">
        <f t="shared" si="19"/>
        <v>12000</v>
      </c>
      <c r="AN33" s="47">
        <f t="shared" si="20"/>
        <v>0.19999999999999996</v>
      </c>
      <c r="AP33" s="113">
        <f t="shared" si="21"/>
        <v>188000</v>
      </c>
      <c r="AQ33" s="114">
        <f t="shared" si="22"/>
        <v>208000</v>
      </c>
      <c r="AR33" s="115">
        <f t="shared" si="23"/>
        <v>236000</v>
      </c>
      <c r="AS33" s="77">
        <f t="shared" si="24"/>
        <v>25960</v>
      </c>
      <c r="AT33" s="78">
        <f t="shared" si="31"/>
        <v>210040</v>
      </c>
      <c r="AU33" s="77">
        <f t="shared" si="32"/>
        <v>30680</v>
      </c>
      <c r="AV33" s="78">
        <f t="shared" si="33"/>
        <v>205320</v>
      </c>
      <c r="AY33" s="100">
        <f t="shared" si="34"/>
        <v>146000</v>
      </c>
      <c r="AZ33" s="101">
        <f t="shared" si="35"/>
        <v>156000</v>
      </c>
      <c r="BA33" s="102">
        <f t="shared" si="36"/>
        <v>184000</v>
      </c>
      <c r="BB33" s="77">
        <f t="shared" si="29"/>
        <v>20240</v>
      </c>
      <c r="BC33" s="78">
        <f t="shared" si="37"/>
        <v>163760</v>
      </c>
      <c r="BD33" s="77">
        <f t="shared" si="38"/>
        <v>23920</v>
      </c>
      <c r="BE33" s="78">
        <f t="shared" si="39"/>
        <v>160080</v>
      </c>
    </row>
    <row r="34" spans="2:57" s="42" customFormat="1" ht="15" customHeight="1">
      <c r="B34" s="250"/>
      <c r="C34" s="262"/>
      <c r="D34" s="266"/>
      <c r="E34" s="253"/>
      <c r="F34" s="250"/>
      <c r="G34" s="251"/>
      <c r="H34" s="55" t="s">
        <v>105</v>
      </c>
      <c r="I34" s="51">
        <v>137000</v>
      </c>
      <c r="J34" s="51">
        <v>148000</v>
      </c>
      <c r="K34" s="51">
        <v>193000</v>
      </c>
      <c r="L34" s="51">
        <v>101000</v>
      </c>
      <c r="M34" s="51">
        <v>115000</v>
      </c>
      <c r="N34" s="51">
        <v>27000</v>
      </c>
      <c r="O34" s="51">
        <f t="shared" si="11"/>
        <v>15000</v>
      </c>
      <c r="Q34" s="132">
        <v>137000</v>
      </c>
      <c r="R34" s="132">
        <v>148000</v>
      </c>
      <c r="S34" s="132">
        <v>193000</v>
      </c>
      <c r="T34" s="69">
        <f t="shared" si="12"/>
        <v>1.3040540540540539</v>
      </c>
      <c r="U34" s="52">
        <f t="shared" si="13"/>
        <v>45000</v>
      </c>
      <c r="W34" s="51">
        <f>Q34-10000</f>
        <v>127000</v>
      </c>
      <c r="X34" s="54">
        <f t="shared" si="0"/>
        <v>7.2992700729927029E-2</v>
      </c>
      <c r="Y34" s="51">
        <f>R34-10000</f>
        <v>138000</v>
      </c>
      <c r="Z34" s="54">
        <f t="shared" si="1"/>
        <v>6.7567567567567544E-2</v>
      </c>
      <c r="AA34" s="51">
        <f>S34-20000</f>
        <v>173000</v>
      </c>
      <c r="AB34" s="54">
        <f t="shared" si="2"/>
        <v>0.10362694300518138</v>
      </c>
      <c r="AC34" s="51">
        <v>54000</v>
      </c>
      <c r="AD34" s="54">
        <f t="shared" si="14"/>
        <v>0.46534653465346532</v>
      </c>
      <c r="AE34" s="51">
        <f t="shared" si="15"/>
        <v>24000</v>
      </c>
      <c r="AF34" s="54">
        <f t="shared" si="16"/>
        <v>0.79130434782608694</v>
      </c>
      <c r="AG34" s="94">
        <v>0</v>
      </c>
      <c r="AH34" s="91">
        <f t="shared" si="82"/>
        <v>1</v>
      </c>
      <c r="AI34" s="94"/>
      <c r="AJ34" s="91">
        <f t="shared" si="17"/>
        <v>1</v>
      </c>
      <c r="AK34" s="45">
        <v>0</v>
      </c>
      <c r="AL34" s="47">
        <f t="shared" si="18"/>
        <v>1</v>
      </c>
      <c r="AM34" s="45">
        <f t="shared" si="19"/>
        <v>12000</v>
      </c>
      <c r="AN34" s="47">
        <f t="shared" si="20"/>
        <v>0.19999999999999996</v>
      </c>
      <c r="AP34" s="110">
        <f t="shared" si="21"/>
        <v>205000</v>
      </c>
      <c r="AQ34" s="111">
        <f t="shared" si="22"/>
        <v>226000</v>
      </c>
      <c r="AR34" s="112">
        <f t="shared" si="23"/>
        <v>271000</v>
      </c>
      <c r="AS34" s="77">
        <f t="shared" si="24"/>
        <v>29810</v>
      </c>
      <c r="AT34" s="78">
        <f t="shared" si="31"/>
        <v>241190</v>
      </c>
      <c r="AU34" s="77">
        <f t="shared" si="32"/>
        <v>35230</v>
      </c>
      <c r="AV34" s="78">
        <f t="shared" si="33"/>
        <v>235770</v>
      </c>
      <c r="AY34" s="103">
        <f t="shared" si="34"/>
        <v>163000</v>
      </c>
      <c r="AZ34" s="98">
        <f t="shared" si="35"/>
        <v>174000</v>
      </c>
      <c r="BA34" s="99">
        <f t="shared" si="36"/>
        <v>209000</v>
      </c>
      <c r="BB34" s="77">
        <f t="shared" si="29"/>
        <v>22990</v>
      </c>
      <c r="BC34" s="78">
        <f t="shared" si="37"/>
        <v>186010</v>
      </c>
      <c r="BD34" s="77">
        <f t="shared" si="38"/>
        <v>27170</v>
      </c>
      <c r="BE34" s="78">
        <f t="shared" si="39"/>
        <v>181830</v>
      </c>
    </row>
    <row r="35" spans="2:57" s="42" customFormat="1" ht="15" customHeight="1">
      <c r="B35" s="250"/>
      <c r="C35" s="262"/>
      <c r="D35" s="266"/>
      <c r="E35" s="253"/>
      <c r="F35" s="250"/>
      <c r="G35" s="251"/>
      <c r="H35" s="50" t="s">
        <v>106</v>
      </c>
      <c r="I35" s="51">
        <v>163000</v>
      </c>
      <c r="J35" s="51">
        <v>174000</v>
      </c>
      <c r="K35" s="51">
        <v>246000</v>
      </c>
      <c r="L35" s="51">
        <v>101000</v>
      </c>
      <c r="M35" s="51">
        <v>115000</v>
      </c>
      <c r="N35" s="51">
        <v>27000</v>
      </c>
      <c r="O35" s="51">
        <f t="shared" si="11"/>
        <v>15000</v>
      </c>
      <c r="Q35" s="132">
        <v>163000</v>
      </c>
      <c r="R35" s="132">
        <v>174000</v>
      </c>
      <c r="S35" s="132">
        <v>246000</v>
      </c>
      <c r="T35" s="69">
        <f t="shared" si="12"/>
        <v>1.4137931034482758</v>
      </c>
      <c r="U35" s="52">
        <f t="shared" si="13"/>
        <v>72000</v>
      </c>
      <c r="W35" s="51">
        <f>Q35</f>
        <v>163000</v>
      </c>
      <c r="X35" s="54">
        <f t="shared" si="0"/>
        <v>0</v>
      </c>
      <c r="Y35" s="51">
        <f>R35</f>
        <v>174000</v>
      </c>
      <c r="Z35" s="54">
        <f t="shared" si="1"/>
        <v>0</v>
      </c>
      <c r="AA35" s="51">
        <f>S35</f>
        <v>246000</v>
      </c>
      <c r="AB35" s="54">
        <f t="shared" si="2"/>
        <v>0</v>
      </c>
      <c r="AC35" s="51">
        <v>54000</v>
      </c>
      <c r="AD35" s="54">
        <f t="shared" si="14"/>
        <v>0.46534653465346532</v>
      </c>
      <c r="AE35" s="51">
        <f t="shared" si="15"/>
        <v>24000</v>
      </c>
      <c r="AF35" s="54">
        <f t="shared" si="16"/>
        <v>0.79130434782608694</v>
      </c>
      <c r="AG35" s="94">
        <v>0</v>
      </c>
      <c r="AH35" s="91">
        <f t="shared" si="82"/>
        <v>1</v>
      </c>
      <c r="AI35" s="94"/>
      <c r="AJ35" s="91">
        <f t="shared" si="17"/>
        <v>1</v>
      </c>
      <c r="AK35" s="45">
        <v>0</v>
      </c>
      <c r="AL35" s="47">
        <f t="shared" si="18"/>
        <v>1</v>
      </c>
      <c r="AM35" s="45">
        <f t="shared" si="19"/>
        <v>12000</v>
      </c>
      <c r="AN35" s="47">
        <f t="shared" si="20"/>
        <v>0.19999999999999996</v>
      </c>
      <c r="AP35" s="110">
        <f t="shared" si="21"/>
        <v>241000</v>
      </c>
      <c r="AQ35" s="111">
        <f t="shared" si="22"/>
        <v>252000</v>
      </c>
      <c r="AR35" s="112">
        <f t="shared" si="23"/>
        <v>324000</v>
      </c>
      <c r="AS35" s="77">
        <f t="shared" si="24"/>
        <v>35640</v>
      </c>
      <c r="AT35" s="78">
        <f t="shared" si="31"/>
        <v>288360</v>
      </c>
      <c r="AU35" s="77">
        <f t="shared" si="32"/>
        <v>42120</v>
      </c>
      <c r="AV35" s="78">
        <f t="shared" si="33"/>
        <v>281880</v>
      </c>
      <c r="AY35" s="103">
        <f t="shared" si="34"/>
        <v>199000</v>
      </c>
      <c r="AZ35" s="98">
        <f t="shared" si="35"/>
        <v>210000</v>
      </c>
      <c r="BA35" s="99">
        <f t="shared" si="36"/>
        <v>282000</v>
      </c>
      <c r="BB35" s="77">
        <f t="shared" si="29"/>
        <v>31020</v>
      </c>
      <c r="BC35" s="78">
        <f t="shared" si="37"/>
        <v>250980</v>
      </c>
      <c r="BD35" s="77">
        <f t="shared" si="38"/>
        <v>36660</v>
      </c>
      <c r="BE35" s="78">
        <f t="shared" si="39"/>
        <v>245340</v>
      </c>
    </row>
    <row r="36" spans="2:57" s="42" customFormat="1" ht="15" customHeight="1">
      <c r="B36" s="250"/>
      <c r="C36" s="262"/>
      <c r="D36" s="266"/>
      <c r="E36" s="253"/>
      <c r="F36" s="250"/>
      <c r="G36" s="251"/>
      <c r="H36" s="90">
        <v>46178</v>
      </c>
      <c r="I36" s="51">
        <v>163000</v>
      </c>
      <c r="J36" s="51">
        <v>174000</v>
      </c>
      <c r="K36" s="51">
        <v>282000</v>
      </c>
      <c r="L36" s="51">
        <v>101000</v>
      </c>
      <c r="M36" s="51">
        <v>115000</v>
      </c>
      <c r="N36" s="51">
        <v>27000</v>
      </c>
      <c r="O36" s="51">
        <f t="shared" si="11"/>
        <v>15000</v>
      </c>
      <c r="Q36" s="132">
        <v>163000</v>
      </c>
      <c r="R36" s="132">
        <v>174000</v>
      </c>
      <c r="S36" s="132">
        <v>282000</v>
      </c>
      <c r="T36" s="69">
        <f t="shared" ref="T36" si="90">S36/R36</f>
        <v>1.6206896551724137</v>
      </c>
      <c r="U36" s="52">
        <f t="shared" ref="U36" si="91">S36-R36</f>
        <v>108000</v>
      </c>
      <c r="W36" s="51">
        <f>Q36-10000</f>
        <v>153000</v>
      </c>
      <c r="X36" s="54">
        <f t="shared" ref="X36" si="92">1-(W36/I36)</f>
        <v>6.1349693251533721E-2</v>
      </c>
      <c r="Y36" s="51">
        <f>R36-10000</f>
        <v>164000</v>
      </c>
      <c r="Z36" s="54">
        <f t="shared" ref="Z36" si="93">1-(Y36/J36)</f>
        <v>5.7471264367816133E-2</v>
      </c>
      <c r="AA36" s="51">
        <f>S36-30000</f>
        <v>252000</v>
      </c>
      <c r="AB36" s="54">
        <f t="shared" ref="AB36" si="94">1-(AA36/K36)</f>
        <v>0.1063829787234043</v>
      </c>
      <c r="AC36" s="51">
        <v>54000</v>
      </c>
      <c r="AD36" s="54">
        <f t="shared" ref="AD36" si="95">1-(AC36/L36)</f>
        <v>0.46534653465346532</v>
      </c>
      <c r="AE36" s="51">
        <f t="shared" si="15"/>
        <v>24000</v>
      </c>
      <c r="AF36" s="54">
        <f t="shared" ref="AF36" si="96">1-(AE36/M36)</f>
        <v>0.79130434782608694</v>
      </c>
      <c r="AG36" s="94">
        <v>0</v>
      </c>
      <c r="AH36" s="91">
        <f t="shared" si="82"/>
        <v>1</v>
      </c>
      <c r="AI36" s="94"/>
      <c r="AJ36" s="91">
        <f t="shared" si="17"/>
        <v>1</v>
      </c>
      <c r="AK36" s="45">
        <v>0</v>
      </c>
      <c r="AL36" s="47">
        <f t="shared" si="18"/>
        <v>1</v>
      </c>
      <c r="AM36" s="45">
        <f t="shared" si="19"/>
        <v>12000</v>
      </c>
      <c r="AN36" s="47">
        <f t="shared" si="20"/>
        <v>0.19999999999999996</v>
      </c>
      <c r="AP36" s="110">
        <f t="shared" si="21"/>
        <v>231000</v>
      </c>
      <c r="AQ36" s="111">
        <f t="shared" si="22"/>
        <v>252000</v>
      </c>
      <c r="AR36" s="112">
        <f t="shared" si="23"/>
        <v>360000</v>
      </c>
      <c r="AS36" s="77">
        <f t="shared" si="24"/>
        <v>39600</v>
      </c>
      <c r="AT36" s="78">
        <f t="shared" si="31"/>
        <v>320400</v>
      </c>
      <c r="AU36" s="77">
        <f t="shared" si="32"/>
        <v>46800</v>
      </c>
      <c r="AV36" s="78">
        <f t="shared" si="33"/>
        <v>313200</v>
      </c>
      <c r="AY36" s="103">
        <f t="shared" si="34"/>
        <v>189000</v>
      </c>
      <c r="AZ36" s="98">
        <f t="shared" si="35"/>
        <v>200000</v>
      </c>
      <c r="BA36" s="99">
        <f t="shared" si="36"/>
        <v>288000</v>
      </c>
      <c r="BB36" s="77">
        <f t="shared" si="29"/>
        <v>31680</v>
      </c>
      <c r="BC36" s="78">
        <f t="shared" si="37"/>
        <v>256320</v>
      </c>
      <c r="BD36" s="77">
        <f t="shared" si="38"/>
        <v>37440</v>
      </c>
      <c r="BE36" s="78">
        <f t="shared" si="39"/>
        <v>250560</v>
      </c>
    </row>
    <row r="37" spans="2:57" s="42" customFormat="1" ht="15" customHeight="1">
      <c r="B37" s="250"/>
      <c r="C37" s="262"/>
      <c r="D37" s="266"/>
      <c r="E37" s="253"/>
      <c r="F37" s="248" t="s">
        <v>83</v>
      </c>
      <c r="G37" s="249"/>
      <c r="H37" s="59" t="s">
        <v>45</v>
      </c>
      <c r="I37" s="48">
        <v>131000</v>
      </c>
      <c r="J37" s="48">
        <v>141000</v>
      </c>
      <c r="K37" s="48">
        <v>169000</v>
      </c>
      <c r="L37" s="48">
        <v>101000</v>
      </c>
      <c r="M37" s="48">
        <v>115000</v>
      </c>
      <c r="N37" s="48">
        <v>27000</v>
      </c>
      <c r="O37" s="48">
        <f t="shared" si="11"/>
        <v>15000</v>
      </c>
      <c r="Q37" s="133">
        <v>131000</v>
      </c>
      <c r="R37" s="133">
        <v>141000</v>
      </c>
      <c r="S37" s="133">
        <v>169000</v>
      </c>
      <c r="T37" s="68">
        <f t="shared" si="12"/>
        <v>1.198581560283688</v>
      </c>
      <c r="U37" s="46">
        <f t="shared" si="13"/>
        <v>28000</v>
      </c>
      <c r="W37" s="45">
        <f>Q37-10000</f>
        <v>121000</v>
      </c>
      <c r="X37" s="47">
        <f t="shared" si="0"/>
        <v>7.6335877862595436E-2</v>
      </c>
      <c r="Y37" s="45">
        <f>R37-10000</f>
        <v>131000</v>
      </c>
      <c r="Z37" s="47">
        <f t="shared" si="1"/>
        <v>7.0921985815602828E-2</v>
      </c>
      <c r="AA37" s="45">
        <f>S37-10000</f>
        <v>159000</v>
      </c>
      <c r="AB37" s="47">
        <f t="shared" si="2"/>
        <v>5.9171597633136064E-2</v>
      </c>
      <c r="AC37" s="45">
        <v>54000</v>
      </c>
      <c r="AD37" s="63">
        <f t="shared" si="14"/>
        <v>0.46534653465346532</v>
      </c>
      <c r="AE37" s="48">
        <f t="shared" si="15"/>
        <v>24000</v>
      </c>
      <c r="AF37" s="49">
        <f t="shared" si="16"/>
        <v>0.79130434782608694</v>
      </c>
      <c r="AG37" s="95">
        <v>0</v>
      </c>
      <c r="AH37" s="92">
        <f t="shared" si="82"/>
        <v>1</v>
      </c>
      <c r="AI37" s="95"/>
      <c r="AJ37" s="92">
        <f t="shared" si="17"/>
        <v>1</v>
      </c>
      <c r="AK37" s="45">
        <v>0</v>
      </c>
      <c r="AL37" s="47">
        <f t="shared" si="18"/>
        <v>1</v>
      </c>
      <c r="AM37" s="45">
        <f t="shared" si="19"/>
        <v>12000</v>
      </c>
      <c r="AN37" s="47">
        <f t="shared" si="20"/>
        <v>0.19999999999999996</v>
      </c>
      <c r="AP37" s="113">
        <f t="shared" si="21"/>
        <v>199000</v>
      </c>
      <c r="AQ37" s="114">
        <f t="shared" si="22"/>
        <v>219000</v>
      </c>
      <c r="AR37" s="115">
        <f t="shared" si="23"/>
        <v>247000</v>
      </c>
      <c r="AS37" s="77">
        <f t="shared" si="24"/>
        <v>27170</v>
      </c>
      <c r="AT37" s="78">
        <f t="shared" si="31"/>
        <v>219830</v>
      </c>
      <c r="AU37" s="77">
        <f t="shared" si="32"/>
        <v>32110</v>
      </c>
      <c r="AV37" s="78">
        <f t="shared" si="33"/>
        <v>214890</v>
      </c>
      <c r="AY37" s="100">
        <f t="shared" si="34"/>
        <v>157000</v>
      </c>
      <c r="AZ37" s="101">
        <f t="shared" si="35"/>
        <v>167000</v>
      </c>
      <c r="BA37" s="102">
        <f t="shared" si="36"/>
        <v>195000</v>
      </c>
      <c r="BB37" s="77">
        <f t="shared" si="29"/>
        <v>21450</v>
      </c>
      <c r="BC37" s="78">
        <f t="shared" si="37"/>
        <v>173550</v>
      </c>
      <c r="BD37" s="77">
        <f t="shared" si="38"/>
        <v>25350</v>
      </c>
      <c r="BE37" s="78">
        <f t="shared" si="39"/>
        <v>169650</v>
      </c>
    </row>
    <row r="38" spans="2:57" s="42" customFormat="1" ht="15" customHeight="1">
      <c r="B38" s="250"/>
      <c r="C38" s="262"/>
      <c r="D38" s="266"/>
      <c r="E38" s="253"/>
      <c r="F38" s="250"/>
      <c r="G38" s="251"/>
      <c r="H38" s="55" t="s">
        <v>105</v>
      </c>
      <c r="I38" s="51">
        <v>148000</v>
      </c>
      <c r="J38" s="51">
        <v>159000</v>
      </c>
      <c r="K38" s="51">
        <v>204000</v>
      </c>
      <c r="L38" s="51">
        <v>101000</v>
      </c>
      <c r="M38" s="51">
        <v>115000</v>
      </c>
      <c r="N38" s="51">
        <v>27000</v>
      </c>
      <c r="O38" s="51">
        <f t="shared" si="11"/>
        <v>15000</v>
      </c>
      <c r="Q38" s="132">
        <v>148000</v>
      </c>
      <c r="R38" s="132">
        <v>159000</v>
      </c>
      <c r="S38" s="132">
        <v>204000</v>
      </c>
      <c r="T38" s="69">
        <f t="shared" si="12"/>
        <v>1.2830188679245282</v>
      </c>
      <c r="U38" s="52">
        <f t="shared" si="13"/>
        <v>45000</v>
      </c>
      <c r="W38" s="51">
        <f>Q38-10000</f>
        <v>138000</v>
      </c>
      <c r="X38" s="54">
        <f t="shared" si="0"/>
        <v>6.7567567567567544E-2</v>
      </c>
      <c r="Y38" s="51">
        <f>R38-10000</f>
        <v>149000</v>
      </c>
      <c r="Z38" s="54">
        <f t="shared" si="1"/>
        <v>6.2893081761006275E-2</v>
      </c>
      <c r="AA38" s="51">
        <f>S38-20000</f>
        <v>184000</v>
      </c>
      <c r="AB38" s="54">
        <f t="shared" si="2"/>
        <v>9.8039215686274495E-2</v>
      </c>
      <c r="AC38" s="51">
        <v>54000</v>
      </c>
      <c r="AD38" s="54">
        <f t="shared" si="14"/>
        <v>0.46534653465346532</v>
      </c>
      <c r="AE38" s="51">
        <f t="shared" si="15"/>
        <v>24000</v>
      </c>
      <c r="AF38" s="54">
        <f t="shared" si="16"/>
        <v>0.79130434782608694</v>
      </c>
      <c r="AG38" s="94">
        <v>0</v>
      </c>
      <c r="AH38" s="91">
        <f t="shared" si="82"/>
        <v>1</v>
      </c>
      <c r="AI38" s="94"/>
      <c r="AJ38" s="91">
        <f t="shared" si="17"/>
        <v>1</v>
      </c>
      <c r="AK38" s="45">
        <v>0</v>
      </c>
      <c r="AL38" s="47">
        <f t="shared" si="18"/>
        <v>1</v>
      </c>
      <c r="AM38" s="45">
        <f t="shared" si="19"/>
        <v>12000</v>
      </c>
      <c r="AN38" s="47">
        <f t="shared" si="20"/>
        <v>0.19999999999999996</v>
      </c>
      <c r="AP38" s="110">
        <f t="shared" si="21"/>
        <v>216000</v>
      </c>
      <c r="AQ38" s="111">
        <f t="shared" si="22"/>
        <v>237000</v>
      </c>
      <c r="AR38" s="112">
        <f t="shared" si="23"/>
        <v>282000</v>
      </c>
      <c r="AS38" s="77">
        <f t="shared" si="24"/>
        <v>31020</v>
      </c>
      <c r="AT38" s="78">
        <f t="shared" si="31"/>
        <v>250980</v>
      </c>
      <c r="AU38" s="77">
        <f t="shared" si="32"/>
        <v>36660</v>
      </c>
      <c r="AV38" s="78">
        <f t="shared" si="33"/>
        <v>245340</v>
      </c>
      <c r="AY38" s="103">
        <f t="shared" si="34"/>
        <v>174000</v>
      </c>
      <c r="AZ38" s="98">
        <f t="shared" si="35"/>
        <v>185000</v>
      </c>
      <c r="BA38" s="99">
        <f t="shared" si="36"/>
        <v>220000</v>
      </c>
      <c r="BB38" s="77">
        <f t="shared" si="29"/>
        <v>24200</v>
      </c>
      <c r="BC38" s="78">
        <f t="shared" si="37"/>
        <v>195800</v>
      </c>
      <c r="BD38" s="77">
        <f t="shared" si="38"/>
        <v>28600</v>
      </c>
      <c r="BE38" s="78">
        <f t="shared" si="39"/>
        <v>191400</v>
      </c>
    </row>
    <row r="39" spans="2:57" s="42" customFormat="1" ht="15" customHeight="1">
      <c r="B39" s="250"/>
      <c r="C39" s="262"/>
      <c r="D39" s="266"/>
      <c r="E39" s="253"/>
      <c r="F39" s="250"/>
      <c r="G39" s="251"/>
      <c r="H39" s="50" t="s">
        <v>106</v>
      </c>
      <c r="I39" s="51">
        <v>174000</v>
      </c>
      <c r="J39" s="51">
        <v>185000</v>
      </c>
      <c r="K39" s="51">
        <v>257000</v>
      </c>
      <c r="L39" s="51">
        <v>101000</v>
      </c>
      <c r="M39" s="51">
        <v>115000</v>
      </c>
      <c r="N39" s="51">
        <v>27000</v>
      </c>
      <c r="O39" s="51">
        <f t="shared" si="11"/>
        <v>15000</v>
      </c>
      <c r="Q39" s="132">
        <v>174000</v>
      </c>
      <c r="R39" s="132">
        <v>185000</v>
      </c>
      <c r="S39" s="132">
        <v>257000</v>
      </c>
      <c r="T39" s="69">
        <f t="shared" si="12"/>
        <v>1.3891891891891892</v>
      </c>
      <c r="U39" s="52">
        <f t="shared" si="13"/>
        <v>72000</v>
      </c>
      <c r="W39" s="51">
        <f>Q39</f>
        <v>174000</v>
      </c>
      <c r="X39" s="54">
        <f t="shared" si="0"/>
        <v>0</v>
      </c>
      <c r="Y39" s="51">
        <f>R39</f>
        <v>185000</v>
      </c>
      <c r="Z39" s="54">
        <f t="shared" si="1"/>
        <v>0</v>
      </c>
      <c r="AA39" s="51">
        <f>S39</f>
        <v>257000</v>
      </c>
      <c r="AB39" s="54">
        <f t="shared" si="2"/>
        <v>0</v>
      </c>
      <c r="AC39" s="51">
        <v>54000</v>
      </c>
      <c r="AD39" s="54">
        <f t="shared" si="14"/>
        <v>0.46534653465346532</v>
      </c>
      <c r="AE39" s="51">
        <f t="shared" si="15"/>
        <v>24000</v>
      </c>
      <c r="AF39" s="54">
        <f t="shared" si="16"/>
        <v>0.79130434782608694</v>
      </c>
      <c r="AG39" s="94">
        <v>0</v>
      </c>
      <c r="AH39" s="91">
        <f t="shared" si="82"/>
        <v>1</v>
      </c>
      <c r="AI39" s="94"/>
      <c r="AJ39" s="91">
        <f t="shared" si="17"/>
        <v>1</v>
      </c>
      <c r="AK39" s="45">
        <v>0</v>
      </c>
      <c r="AL39" s="47">
        <f t="shared" si="18"/>
        <v>1</v>
      </c>
      <c r="AM39" s="45">
        <f t="shared" si="19"/>
        <v>12000</v>
      </c>
      <c r="AN39" s="47">
        <f t="shared" si="20"/>
        <v>0.19999999999999996</v>
      </c>
      <c r="AP39" s="110">
        <f t="shared" si="21"/>
        <v>252000</v>
      </c>
      <c r="AQ39" s="111">
        <f t="shared" si="22"/>
        <v>263000</v>
      </c>
      <c r="AR39" s="112">
        <f t="shared" si="23"/>
        <v>335000</v>
      </c>
      <c r="AS39" s="77">
        <f t="shared" si="24"/>
        <v>36850</v>
      </c>
      <c r="AT39" s="78">
        <f t="shared" si="31"/>
        <v>298150</v>
      </c>
      <c r="AU39" s="77">
        <f t="shared" si="32"/>
        <v>43550</v>
      </c>
      <c r="AV39" s="78">
        <f t="shared" si="33"/>
        <v>291450</v>
      </c>
      <c r="AY39" s="103">
        <f t="shared" si="34"/>
        <v>210000</v>
      </c>
      <c r="AZ39" s="98">
        <f t="shared" si="35"/>
        <v>221000</v>
      </c>
      <c r="BA39" s="99">
        <f t="shared" si="36"/>
        <v>293000</v>
      </c>
      <c r="BB39" s="77">
        <f t="shared" si="29"/>
        <v>32230</v>
      </c>
      <c r="BC39" s="78">
        <f t="shared" si="37"/>
        <v>260770</v>
      </c>
      <c r="BD39" s="77">
        <f t="shared" si="38"/>
        <v>38090</v>
      </c>
      <c r="BE39" s="78">
        <f t="shared" si="39"/>
        <v>254910</v>
      </c>
    </row>
    <row r="40" spans="2:57" s="42" customFormat="1" ht="15" customHeight="1">
      <c r="B40" s="250"/>
      <c r="C40" s="262"/>
      <c r="D40" s="266"/>
      <c r="E40" s="253"/>
      <c r="F40" s="250"/>
      <c r="G40" s="251"/>
      <c r="H40" s="90">
        <v>46178</v>
      </c>
      <c r="I40" s="51">
        <v>174000</v>
      </c>
      <c r="J40" s="51">
        <v>185000</v>
      </c>
      <c r="K40" s="51">
        <v>293000</v>
      </c>
      <c r="L40" s="51">
        <v>101000</v>
      </c>
      <c r="M40" s="51">
        <v>115000</v>
      </c>
      <c r="N40" s="51">
        <v>27000</v>
      </c>
      <c r="O40" s="51">
        <f t="shared" si="11"/>
        <v>15000</v>
      </c>
      <c r="Q40" s="132">
        <v>174000</v>
      </c>
      <c r="R40" s="132">
        <v>185000</v>
      </c>
      <c r="S40" s="132">
        <v>293000</v>
      </c>
      <c r="T40" s="69">
        <f t="shared" ref="T40" si="97">S40/R40</f>
        <v>1.5837837837837838</v>
      </c>
      <c r="U40" s="52">
        <f t="shared" ref="U40" si="98">S40-R40</f>
        <v>108000</v>
      </c>
      <c r="W40" s="51">
        <f>Q40-10000</f>
        <v>164000</v>
      </c>
      <c r="X40" s="54">
        <f t="shared" ref="X40" si="99">1-(W40/I40)</f>
        <v>5.7471264367816133E-2</v>
      </c>
      <c r="Y40" s="51">
        <f>R40-10000</f>
        <v>175000</v>
      </c>
      <c r="Z40" s="54">
        <f t="shared" ref="Z40" si="100">1-(Y40/J40)</f>
        <v>5.4054054054054057E-2</v>
      </c>
      <c r="AA40" s="51">
        <f>S40-30000</f>
        <v>263000</v>
      </c>
      <c r="AB40" s="54">
        <f t="shared" ref="AB40" si="101">1-(AA40/K40)</f>
        <v>0.10238907849829348</v>
      </c>
      <c r="AC40" s="51">
        <v>54000</v>
      </c>
      <c r="AD40" s="54">
        <f t="shared" ref="AD40" si="102">1-(AC40/L40)</f>
        <v>0.46534653465346532</v>
      </c>
      <c r="AE40" s="51">
        <f t="shared" si="15"/>
        <v>24000</v>
      </c>
      <c r="AF40" s="54">
        <f t="shared" ref="AF40" si="103">1-(AE40/M40)</f>
        <v>0.79130434782608694</v>
      </c>
      <c r="AG40" s="94">
        <v>0</v>
      </c>
      <c r="AH40" s="91">
        <f t="shared" si="82"/>
        <v>1</v>
      </c>
      <c r="AI40" s="94"/>
      <c r="AJ40" s="91">
        <f t="shared" si="17"/>
        <v>1</v>
      </c>
      <c r="AK40" s="45">
        <v>0</v>
      </c>
      <c r="AL40" s="47">
        <f t="shared" si="18"/>
        <v>1</v>
      </c>
      <c r="AM40" s="45">
        <f t="shared" si="19"/>
        <v>12000</v>
      </c>
      <c r="AN40" s="47">
        <f t="shared" si="20"/>
        <v>0.19999999999999996</v>
      </c>
      <c r="AP40" s="110">
        <f t="shared" si="21"/>
        <v>242000</v>
      </c>
      <c r="AQ40" s="111">
        <f t="shared" si="22"/>
        <v>263000</v>
      </c>
      <c r="AR40" s="112">
        <f t="shared" si="23"/>
        <v>371000</v>
      </c>
      <c r="AS40" s="77">
        <f t="shared" si="24"/>
        <v>40810</v>
      </c>
      <c r="AT40" s="78">
        <f t="shared" si="31"/>
        <v>330190</v>
      </c>
      <c r="AU40" s="77">
        <f t="shared" si="32"/>
        <v>48230</v>
      </c>
      <c r="AV40" s="78">
        <f t="shared" si="33"/>
        <v>322770</v>
      </c>
      <c r="AY40" s="103">
        <f t="shared" si="34"/>
        <v>200000</v>
      </c>
      <c r="AZ40" s="98">
        <f t="shared" si="35"/>
        <v>211000</v>
      </c>
      <c r="BA40" s="99">
        <f t="shared" si="36"/>
        <v>299000</v>
      </c>
      <c r="BB40" s="77">
        <f t="shared" si="29"/>
        <v>32890</v>
      </c>
      <c r="BC40" s="78">
        <f t="shared" si="37"/>
        <v>266110</v>
      </c>
      <c r="BD40" s="77">
        <f t="shared" si="38"/>
        <v>38870</v>
      </c>
      <c r="BE40" s="78">
        <f t="shared" si="39"/>
        <v>260130</v>
      </c>
    </row>
    <row r="41" spans="2:57" s="42" customFormat="1" ht="15" customHeight="1">
      <c r="B41" s="250"/>
      <c r="C41" s="262"/>
      <c r="D41" s="266"/>
      <c r="E41" s="252" t="s">
        <v>24</v>
      </c>
      <c r="F41" s="248" t="s">
        <v>79</v>
      </c>
      <c r="G41" s="249"/>
      <c r="H41" s="59" t="s">
        <v>45</v>
      </c>
      <c r="I41" s="48">
        <v>121000</v>
      </c>
      <c r="J41" s="48">
        <v>135000</v>
      </c>
      <c r="K41" s="48">
        <v>162000</v>
      </c>
      <c r="L41" s="48">
        <v>101000</v>
      </c>
      <c r="M41" s="48">
        <v>115000</v>
      </c>
      <c r="N41" s="48">
        <v>27000</v>
      </c>
      <c r="O41" s="48">
        <f t="shared" si="11"/>
        <v>15000</v>
      </c>
      <c r="Q41" s="133">
        <v>121000</v>
      </c>
      <c r="R41" s="133">
        <v>135000</v>
      </c>
      <c r="S41" s="133">
        <v>162000</v>
      </c>
      <c r="T41" s="68">
        <f t="shared" si="12"/>
        <v>1.2</v>
      </c>
      <c r="U41" s="46">
        <f t="shared" si="13"/>
        <v>27000</v>
      </c>
      <c r="W41" s="45">
        <f>Q41-10000</f>
        <v>111000</v>
      </c>
      <c r="X41" s="47">
        <f t="shared" si="0"/>
        <v>8.2644628099173501E-2</v>
      </c>
      <c r="Y41" s="45">
        <f>R41-10000</f>
        <v>125000</v>
      </c>
      <c r="Z41" s="47">
        <f t="shared" si="1"/>
        <v>7.407407407407407E-2</v>
      </c>
      <c r="AA41" s="45">
        <f>S41-10000</f>
        <v>152000</v>
      </c>
      <c r="AB41" s="47">
        <f t="shared" si="2"/>
        <v>6.1728395061728447E-2</v>
      </c>
      <c r="AC41" s="45">
        <v>54000</v>
      </c>
      <c r="AD41" s="49">
        <f t="shared" si="14"/>
        <v>0.46534653465346532</v>
      </c>
      <c r="AE41" s="48">
        <f t="shared" si="15"/>
        <v>24000</v>
      </c>
      <c r="AF41" s="49">
        <f t="shared" si="16"/>
        <v>0.79130434782608694</v>
      </c>
      <c r="AG41" s="95">
        <v>0</v>
      </c>
      <c r="AH41" s="92">
        <f t="shared" si="82"/>
        <v>1</v>
      </c>
      <c r="AI41" s="95"/>
      <c r="AJ41" s="92">
        <f t="shared" si="17"/>
        <v>1</v>
      </c>
      <c r="AK41" s="45">
        <v>0</v>
      </c>
      <c r="AL41" s="47">
        <f t="shared" si="18"/>
        <v>1</v>
      </c>
      <c r="AM41" s="45">
        <f t="shared" si="19"/>
        <v>12000</v>
      </c>
      <c r="AN41" s="47">
        <f t="shared" si="20"/>
        <v>0.19999999999999996</v>
      </c>
      <c r="AP41" s="113">
        <f t="shared" si="21"/>
        <v>189000</v>
      </c>
      <c r="AQ41" s="114">
        <f t="shared" si="22"/>
        <v>213000</v>
      </c>
      <c r="AR41" s="115">
        <f t="shared" si="23"/>
        <v>240000</v>
      </c>
      <c r="AS41" s="77">
        <f t="shared" si="24"/>
        <v>26400</v>
      </c>
      <c r="AT41" s="78">
        <f t="shared" si="31"/>
        <v>213600</v>
      </c>
      <c r="AU41" s="77">
        <f t="shared" si="32"/>
        <v>31200</v>
      </c>
      <c r="AV41" s="78">
        <f t="shared" si="33"/>
        <v>208800</v>
      </c>
      <c r="AY41" s="100">
        <f t="shared" si="34"/>
        <v>147000</v>
      </c>
      <c r="AZ41" s="101">
        <f t="shared" si="35"/>
        <v>161000</v>
      </c>
      <c r="BA41" s="102">
        <f t="shared" si="36"/>
        <v>188000</v>
      </c>
      <c r="BB41" s="77">
        <f t="shared" si="29"/>
        <v>20680</v>
      </c>
      <c r="BC41" s="78">
        <f t="shared" si="37"/>
        <v>167320</v>
      </c>
      <c r="BD41" s="77">
        <f t="shared" si="38"/>
        <v>24440</v>
      </c>
      <c r="BE41" s="78">
        <f t="shared" si="39"/>
        <v>163560</v>
      </c>
    </row>
    <row r="42" spans="2:57" s="42" customFormat="1" ht="15" customHeight="1">
      <c r="B42" s="250"/>
      <c r="C42" s="262"/>
      <c r="D42" s="266"/>
      <c r="E42" s="253"/>
      <c r="F42" s="250"/>
      <c r="G42" s="251"/>
      <c r="H42" s="55" t="s">
        <v>105</v>
      </c>
      <c r="I42" s="51">
        <v>142000</v>
      </c>
      <c r="J42" s="51">
        <v>156000</v>
      </c>
      <c r="K42" s="51">
        <v>202000</v>
      </c>
      <c r="L42" s="51">
        <v>101000</v>
      </c>
      <c r="M42" s="51">
        <v>115000</v>
      </c>
      <c r="N42" s="51">
        <v>27000</v>
      </c>
      <c r="O42" s="51">
        <f t="shared" si="11"/>
        <v>15000</v>
      </c>
      <c r="Q42" s="132">
        <v>142000</v>
      </c>
      <c r="R42" s="132">
        <v>156000</v>
      </c>
      <c r="S42" s="132">
        <v>202000</v>
      </c>
      <c r="T42" s="69">
        <f t="shared" si="12"/>
        <v>1.2948717948717949</v>
      </c>
      <c r="U42" s="52">
        <f t="shared" si="13"/>
        <v>46000</v>
      </c>
      <c r="W42" s="51">
        <f>Q42-10000</f>
        <v>132000</v>
      </c>
      <c r="X42" s="53">
        <f t="shared" si="0"/>
        <v>7.0422535211267623E-2</v>
      </c>
      <c r="Y42" s="51">
        <f>R42-10000</f>
        <v>146000</v>
      </c>
      <c r="Z42" s="53">
        <f t="shared" si="1"/>
        <v>6.4102564102564097E-2</v>
      </c>
      <c r="AA42" s="51">
        <f>S42-20000</f>
        <v>182000</v>
      </c>
      <c r="AB42" s="53">
        <f t="shared" si="2"/>
        <v>9.9009900990098987E-2</v>
      </c>
      <c r="AC42" s="51">
        <v>54000</v>
      </c>
      <c r="AD42" s="54">
        <f t="shared" si="14"/>
        <v>0.46534653465346532</v>
      </c>
      <c r="AE42" s="51">
        <f t="shared" si="15"/>
        <v>24000</v>
      </c>
      <c r="AF42" s="54">
        <f t="shared" si="16"/>
        <v>0.79130434782608694</v>
      </c>
      <c r="AG42" s="94">
        <v>0</v>
      </c>
      <c r="AH42" s="91">
        <f t="shared" si="82"/>
        <v>1</v>
      </c>
      <c r="AI42" s="94"/>
      <c r="AJ42" s="91">
        <f t="shared" si="17"/>
        <v>1</v>
      </c>
      <c r="AK42" s="45">
        <v>0</v>
      </c>
      <c r="AL42" s="47">
        <f t="shared" si="18"/>
        <v>1</v>
      </c>
      <c r="AM42" s="45">
        <f t="shared" si="19"/>
        <v>12000</v>
      </c>
      <c r="AN42" s="47">
        <f t="shared" si="20"/>
        <v>0.19999999999999996</v>
      </c>
      <c r="AP42" s="110">
        <f t="shared" si="21"/>
        <v>210000</v>
      </c>
      <c r="AQ42" s="111">
        <f t="shared" si="22"/>
        <v>234000</v>
      </c>
      <c r="AR42" s="112">
        <f t="shared" si="23"/>
        <v>280000</v>
      </c>
      <c r="AS42" s="77">
        <f t="shared" si="24"/>
        <v>30800</v>
      </c>
      <c r="AT42" s="78">
        <f t="shared" si="31"/>
        <v>249200</v>
      </c>
      <c r="AU42" s="77">
        <f t="shared" si="32"/>
        <v>36400</v>
      </c>
      <c r="AV42" s="78">
        <f t="shared" si="33"/>
        <v>243600</v>
      </c>
      <c r="AY42" s="103">
        <f t="shared" si="34"/>
        <v>168000</v>
      </c>
      <c r="AZ42" s="98">
        <f t="shared" si="35"/>
        <v>182000</v>
      </c>
      <c r="BA42" s="99">
        <f t="shared" si="36"/>
        <v>218000</v>
      </c>
      <c r="BB42" s="77">
        <f t="shared" si="29"/>
        <v>23980</v>
      </c>
      <c r="BC42" s="78">
        <f t="shared" si="37"/>
        <v>194020</v>
      </c>
      <c r="BD42" s="77">
        <f t="shared" si="38"/>
        <v>28340</v>
      </c>
      <c r="BE42" s="78">
        <f t="shared" si="39"/>
        <v>189660</v>
      </c>
    </row>
    <row r="43" spans="2:57" s="42" customFormat="1" ht="15" customHeight="1">
      <c r="B43" s="250"/>
      <c r="C43" s="262"/>
      <c r="D43" s="266"/>
      <c r="E43" s="253"/>
      <c r="F43" s="250"/>
      <c r="G43" s="251"/>
      <c r="H43" s="50" t="s">
        <v>106</v>
      </c>
      <c r="I43" s="51">
        <v>171000</v>
      </c>
      <c r="J43" s="51">
        <v>186000</v>
      </c>
      <c r="K43" s="51">
        <v>261000</v>
      </c>
      <c r="L43" s="51">
        <v>101000</v>
      </c>
      <c r="M43" s="51">
        <v>115000</v>
      </c>
      <c r="N43" s="51">
        <v>27000</v>
      </c>
      <c r="O43" s="51">
        <f t="shared" si="11"/>
        <v>15000</v>
      </c>
      <c r="Q43" s="132">
        <v>171000</v>
      </c>
      <c r="R43" s="132">
        <v>186000</v>
      </c>
      <c r="S43" s="132">
        <v>261000</v>
      </c>
      <c r="T43" s="69">
        <f t="shared" si="12"/>
        <v>1.403225806451613</v>
      </c>
      <c r="U43" s="52">
        <f t="shared" si="13"/>
        <v>75000</v>
      </c>
      <c r="W43" s="51">
        <f>Q43</f>
        <v>171000</v>
      </c>
      <c r="X43" s="53">
        <f t="shared" si="0"/>
        <v>0</v>
      </c>
      <c r="Y43" s="51">
        <f>R43</f>
        <v>186000</v>
      </c>
      <c r="Z43" s="53">
        <f t="shared" si="1"/>
        <v>0</v>
      </c>
      <c r="AA43" s="51">
        <f>S43</f>
        <v>261000</v>
      </c>
      <c r="AB43" s="53">
        <f t="shared" si="2"/>
        <v>0</v>
      </c>
      <c r="AC43" s="51">
        <v>54000</v>
      </c>
      <c r="AD43" s="54">
        <f t="shared" si="14"/>
        <v>0.46534653465346532</v>
      </c>
      <c r="AE43" s="51">
        <f t="shared" si="15"/>
        <v>24000</v>
      </c>
      <c r="AF43" s="54">
        <f t="shared" si="16"/>
        <v>0.79130434782608694</v>
      </c>
      <c r="AG43" s="94">
        <v>0</v>
      </c>
      <c r="AH43" s="91">
        <f t="shared" si="82"/>
        <v>1</v>
      </c>
      <c r="AI43" s="94"/>
      <c r="AJ43" s="91">
        <f t="shared" si="17"/>
        <v>1</v>
      </c>
      <c r="AK43" s="45">
        <v>0</v>
      </c>
      <c r="AL43" s="47">
        <f t="shared" si="18"/>
        <v>1</v>
      </c>
      <c r="AM43" s="45">
        <f t="shared" si="19"/>
        <v>12000</v>
      </c>
      <c r="AN43" s="47">
        <f t="shared" si="20"/>
        <v>0.19999999999999996</v>
      </c>
      <c r="AP43" s="110">
        <f t="shared" si="21"/>
        <v>249000</v>
      </c>
      <c r="AQ43" s="111">
        <f t="shared" si="22"/>
        <v>264000</v>
      </c>
      <c r="AR43" s="112">
        <f t="shared" si="23"/>
        <v>339000</v>
      </c>
      <c r="AS43" s="77">
        <f t="shared" si="24"/>
        <v>37290</v>
      </c>
      <c r="AT43" s="78">
        <f t="shared" si="31"/>
        <v>301710</v>
      </c>
      <c r="AU43" s="77">
        <f t="shared" si="32"/>
        <v>44070</v>
      </c>
      <c r="AV43" s="78">
        <f t="shared" si="33"/>
        <v>294930</v>
      </c>
      <c r="AY43" s="103">
        <f t="shared" si="34"/>
        <v>207000</v>
      </c>
      <c r="AZ43" s="98">
        <f t="shared" si="35"/>
        <v>222000</v>
      </c>
      <c r="BA43" s="99">
        <f t="shared" si="36"/>
        <v>297000</v>
      </c>
      <c r="BB43" s="77">
        <f t="shared" si="29"/>
        <v>32670</v>
      </c>
      <c r="BC43" s="78">
        <f t="shared" si="37"/>
        <v>264330</v>
      </c>
      <c r="BD43" s="77">
        <f t="shared" si="38"/>
        <v>38610</v>
      </c>
      <c r="BE43" s="78">
        <f t="shared" si="39"/>
        <v>258390</v>
      </c>
    </row>
    <row r="44" spans="2:57" s="42" customFormat="1" ht="15" customHeight="1">
      <c r="B44" s="250"/>
      <c r="C44" s="262"/>
      <c r="D44" s="266"/>
      <c r="E44" s="253"/>
      <c r="F44" s="250"/>
      <c r="G44" s="251"/>
      <c r="H44" s="90">
        <v>46178</v>
      </c>
      <c r="I44" s="51">
        <v>171000</v>
      </c>
      <c r="J44" s="51">
        <v>186000</v>
      </c>
      <c r="K44" s="51">
        <v>312000</v>
      </c>
      <c r="L44" s="51">
        <v>101000</v>
      </c>
      <c r="M44" s="51">
        <v>115000</v>
      </c>
      <c r="N44" s="51">
        <v>27000</v>
      </c>
      <c r="O44" s="51">
        <f t="shared" si="11"/>
        <v>15000</v>
      </c>
      <c r="Q44" s="132">
        <v>171000</v>
      </c>
      <c r="R44" s="132">
        <v>186000</v>
      </c>
      <c r="S44" s="132">
        <v>312000</v>
      </c>
      <c r="T44" s="69">
        <f t="shared" ref="T44" si="104">S44/R44</f>
        <v>1.6774193548387097</v>
      </c>
      <c r="U44" s="52">
        <f t="shared" ref="U44" si="105">S44-R44</f>
        <v>126000</v>
      </c>
      <c r="W44" s="51">
        <f>Q44-10000</f>
        <v>161000</v>
      </c>
      <c r="X44" s="53">
        <f t="shared" ref="X44" si="106">1-(W44/I44)</f>
        <v>5.8479532163742687E-2</v>
      </c>
      <c r="Y44" s="51">
        <f>R44-10000</f>
        <v>176000</v>
      </c>
      <c r="Z44" s="53">
        <f t="shared" ref="Z44" si="107">1-(Y44/J44)</f>
        <v>5.3763440860215006E-2</v>
      </c>
      <c r="AA44" s="51">
        <f>S44-30000</f>
        <v>282000</v>
      </c>
      <c r="AB44" s="53">
        <f t="shared" ref="AB44" si="108">1-(AA44/K44)</f>
        <v>9.6153846153846145E-2</v>
      </c>
      <c r="AC44" s="51">
        <v>54000</v>
      </c>
      <c r="AD44" s="54">
        <f t="shared" ref="AD44" si="109">1-(AC44/L44)</f>
        <v>0.46534653465346532</v>
      </c>
      <c r="AE44" s="51">
        <f t="shared" si="15"/>
        <v>24000</v>
      </c>
      <c r="AF44" s="54">
        <f t="shared" ref="AF44" si="110">1-(AE44/M44)</f>
        <v>0.79130434782608694</v>
      </c>
      <c r="AG44" s="94">
        <v>0</v>
      </c>
      <c r="AH44" s="91">
        <f t="shared" si="82"/>
        <v>1</v>
      </c>
      <c r="AI44" s="94"/>
      <c r="AJ44" s="91">
        <f t="shared" si="17"/>
        <v>1</v>
      </c>
      <c r="AK44" s="45">
        <v>0</v>
      </c>
      <c r="AL44" s="47">
        <f t="shared" si="18"/>
        <v>1</v>
      </c>
      <c r="AM44" s="45">
        <f t="shared" si="19"/>
        <v>12000</v>
      </c>
      <c r="AN44" s="47">
        <f t="shared" si="20"/>
        <v>0.19999999999999996</v>
      </c>
      <c r="AP44" s="110">
        <f t="shared" si="21"/>
        <v>239000</v>
      </c>
      <c r="AQ44" s="111">
        <f t="shared" si="22"/>
        <v>264000</v>
      </c>
      <c r="AR44" s="112">
        <f t="shared" si="23"/>
        <v>390000</v>
      </c>
      <c r="AS44" s="77">
        <f t="shared" si="24"/>
        <v>42900</v>
      </c>
      <c r="AT44" s="78">
        <f t="shared" si="31"/>
        <v>347100</v>
      </c>
      <c r="AU44" s="77">
        <f t="shared" si="32"/>
        <v>50700</v>
      </c>
      <c r="AV44" s="78">
        <f t="shared" si="33"/>
        <v>339300</v>
      </c>
      <c r="AY44" s="103">
        <f t="shared" si="34"/>
        <v>197000</v>
      </c>
      <c r="AZ44" s="98">
        <f t="shared" si="35"/>
        <v>212000</v>
      </c>
      <c r="BA44" s="99">
        <f t="shared" si="36"/>
        <v>318000</v>
      </c>
      <c r="BB44" s="77">
        <f t="shared" si="29"/>
        <v>34980</v>
      </c>
      <c r="BC44" s="78">
        <f t="shared" si="37"/>
        <v>283020</v>
      </c>
      <c r="BD44" s="77">
        <f t="shared" si="38"/>
        <v>41340</v>
      </c>
      <c r="BE44" s="78">
        <f t="shared" si="39"/>
        <v>276660</v>
      </c>
    </row>
    <row r="45" spans="2:57" s="42" customFormat="1" ht="15" customHeight="1">
      <c r="B45" s="250"/>
      <c r="C45" s="262"/>
      <c r="D45" s="266"/>
      <c r="E45" s="253"/>
      <c r="F45" s="248" t="s">
        <v>82</v>
      </c>
      <c r="G45" s="249"/>
      <c r="H45" s="59" t="s">
        <v>45</v>
      </c>
      <c r="I45" s="48">
        <v>132000</v>
      </c>
      <c r="J45" s="48">
        <v>146000</v>
      </c>
      <c r="K45" s="48">
        <v>173000</v>
      </c>
      <c r="L45" s="48">
        <v>101000</v>
      </c>
      <c r="M45" s="48">
        <v>115000</v>
      </c>
      <c r="N45" s="48">
        <v>27000</v>
      </c>
      <c r="O45" s="48">
        <f t="shared" si="11"/>
        <v>15000</v>
      </c>
      <c r="Q45" s="133">
        <v>132000</v>
      </c>
      <c r="R45" s="133">
        <v>146000</v>
      </c>
      <c r="S45" s="133">
        <v>173000</v>
      </c>
      <c r="T45" s="68">
        <f t="shared" si="12"/>
        <v>1.1849315068493151</v>
      </c>
      <c r="U45" s="46">
        <f t="shared" si="13"/>
        <v>27000</v>
      </c>
      <c r="W45" s="45">
        <f>Q45-10000</f>
        <v>122000</v>
      </c>
      <c r="X45" s="47">
        <f t="shared" si="0"/>
        <v>7.5757575757575801E-2</v>
      </c>
      <c r="Y45" s="45">
        <f>R45-10000</f>
        <v>136000</v>
      </c>
      <c r="Z45" s="47">
        <f t="shared" si="1"/>
        <v>6.8493150684931559E-2</v>
      </c>
      <c r="AA45" s="45">
        <f>S45-10000</f>
        <v>163000</v>
      </c>
      <c r="AB45" s="47">
        <f t="shared" si="2"/>
        <v>5.7803468208092457E-2</v>
      </c>
      <c r="AC45" s="45">
        <v>54000</v>
      </c>
      <c r="AD45" s="63">
        <f t="shared" si="14"/>
        <v>0.46534653465346532</v>
      </c>
      <c r="AE45" s="48">
        <f t="shared" si="15"/>
        <v>24000</v>
      </c>
      <c r="AF45" s="49">
        <f t="shared" si="16"/>
        <v>0.79130434782608694</v>
      </c>
      <c r="AG45" s="95">
        <v>0</v>
      </c>
      <c r="AH45" s="92">
        <f t="shared" si="82"/>
        <v>1</v>
      </c>
      <c r="AI45" s="95"/>
      <c r="AJ45" s="92">
        <f t="shared" si="17"/>
        <v>1</v>
      </c>
      <c r="AK45" s="45">
        <v>0</v>
      </c>
      <c r="AL45" s="47">
        <f t="shared" si="18"/>
        <v>1</v>
      </c>
      <c r="AM45" s="45">
        <f t="shared" si="19"/>
        <v>12000</v>
      </c>
      <c r="AN45" s="47">
        <f t="shared" si="20"/>
        <v>0.19999999999999996</v>
      </c>
      <c r="AP45" s="113">
        <f t="shared" si="21"/>
        <v>200000</v>
      </c>
      <c r="AQ45" s="114">
        <f t="shared" si="22"/>
        <v>224000</v>
      </c>
      <c r="AR45" s="115">
        <f t="shared" si="23"/>
        <v>251000</v>
      </c>
      <c r="AS45" s="77">
        <f t="shared" si="24"/>
        <v>27610</v>
      </c>
      <c r="AT45" s="78">
        <f t="shared" si="31"/>
        <v>223390</v>
      </c>
      <c r="AU45" s="77">
        <f t="shared" si="32"/>
        <v>32630</v>
      </c>
      <c r="AV45" s="78">
        <f t="shared" si="33"/>
        <v>218370</v>
      </c>
      <c r="AY45" s="100">
        <f t="shared" si="34"/>
        <v>158000</v>
      </c>
      <c r="AZ45" s="101">
        <f t="shared" si="35"/>
        <v>172000</v>
      </c>
      <c r="BA45" s="102">
        <f t="shared" si="36"/>
        <v>199000</v>
      </c>
      <c r="BB45" s="77">
        <f t="shared" si="29"/>
        <v>21890</v>
      </c>
      <c r="BC45" s="78">
        <f t="shared" si="37"/>
        <v>177110</v>
      </c>
      <c r="BD45" s="77">
        <f t="shared" si="38"/>
        <v>25870</v>
      </c>
      <c r="BE45" s="78">
        <f t="shared" si="39"/>
        <v>173130</v>
      </c>
    </row>
    <row r="46" spans="2:57" s="42" customFormat="1" ht="15" customHeight="1">
      <c r="B46" s="250"/>
      <c r="C46" s="262"/>
      <c r="D46" s="266"/>
      <c r="E46" s="253"/>
      <c r="F46" s="250"/>
      <c r="G46" s="251"/>
      <c r="H46" s="55" t="s">
        <v>105</v>
      </c>
      <c r="I46" s="51">
        <v>153000</v>
      </c>
      <c r="J46" s="51">
        <v>167000</v>
      </c>
      <c r="K46" s="51">
        <v>213000</v>
      </c>
      <c r="L46" s="51">
        <v>101000</v>
      </c>
      <c r="M46" s="51">
        <v>115000</v>
      </c>
      <c r="N46" s="51">
        <v>27000</v>
      </c>
      <c r="O46" s="51">
        <f t="shared" si="11"/>
        <v>15000</v>
      </c>
      <c r="Q46" s="132">
        <v>153000</v>
      </c>
      <c r="R46" s="132">
        <v>167000</v>
      </c>
      <c r="S46" s="132">
        <v>213000</v>
      </c>
      <c r="T46" s="69">
        <f t="shared" si="12"/>
        <v>1.2754491017964071</v>
      </c>
      <c r="U46" s="52">
        <f t="shared" si="13"/>
        <v>46000</v>
      </c>
      <c r="W46" s="51">
        <f>Q46-10000</f>
        <v>143000</v>
      </c>
      <c r="X46" s="54">
        <f t="shared" si="0"/>
        <v>6.5359477124182996E-2</v>
      </c>
      <c r="Y46" s="51">
        <f>R46-10000</f>
        <v>157000</v>
      </c>
      <c r="Z46" s="54">
        <f t="shared" si="1"/>
        <v>5.9880239520958112E-2</v>
      </c>
      <c r="AA46" s="51">
        <f>S46-20000</f>
        <v>193000</v>
      </c>
      <c r="AB46" s="53">
        <f t="shared" si="2"/>
        <v>9.3896713615023497E-2</v>
      </c>
      <c r="AC46" s="51">
        <v>54000</v>
      </c>
      <c r="AD46" s="54">
        <f t="shared" si="14"/>
        <v>0.46534653465346532</v>
      </c>
      <c r="AE46" s="51">
        <f t="shared" si="15"/>
        <v>24000</v>
      </c>
      <c r="AF46" s="54">
        <f t="shared" si="16"/>
        <v>0.79130434782608694</v>
      </c>
      <c r="AG46" s="94">
        <v>0</v>
      </c>
      <c r="AH46" s="91">
        <f t="shared" si="82"/>
        <v>1</v>
      </c>
      <c r="AI46" s="94"/>
      <c r="AJ46" s="91">
        <f t="shared" si="17"/>
        <v>1</v>
      </c>
      <c r="AK46" s="45">
        <v>0</v>
      </c>
      <c r="AL46" s="47">
        <f t="shared" si="18"/>
        <v>1</v>
      </c>
      <c r="AM46" s="45">
        <f t="shared" si="19"/>
        <v>12000</v>
      </c>
      <c r="AN46" s="47">
        <f t="shared" si="20"/>
        <v>0.19999999999999996</v>
      </c>
      <c r="AP46" s="110">
        <f t="shared" si="21"/>
        <v>221000</v>
      </c>
      <c r="AQ46" s="111">
        <f t="shared" si="22"/>
        <v>245000</v>
      </c>
      <c r="AR46" s="112">
        <f t="shared" si="23"/>
        <v>291000</v>
      </c>
      <c r="AS46" s="77">
        <f t="shared" si="24"/>
        <v>32010</v>
      </c>
      <c r="AT46" s="78">
        <f t="shared" si="31"/>
        <v>258990</v>
      </c>
      <c r="AU46" s="77">
        <f t="shared" si="32"/>
        <v>37830</v>
      </c>
      <c r="AV46" s="78">
        <f t="shared" si="33"/>
        <v>253170</v>
      </c>
      <c r="AY46" s="103">
        <f t="shared" si="34"/>
        <v>179000</v>
      </c>
      <c r="AZ46" s="98">
        <f t="shared" si="35"/>
        <v>193000</v>
      </c>
      <c r="BA46" s="99">
        <f t="shared" si="36"/>
        <v>229000</v>
      </c>
      <c r="BB46" s="77">
        <f t="shared" si="29"/>
        <v>25190</v>
      </c>
      <c r="BC46" s="78">
        <f t="shared" si="37"/>
        <v>203810</v>
      </c>
      <c r="BD46" s="77">
        <f t="shared" si="38"/>
        <v>29770</v>
      </c>
      <c r="BE46" s="78">
        <f t="shared" si="39"/>
        <v>199230</v>
      </c>
    </row>
    <row r="47" spans="2:57" s="42" customFormat="1" ht="15" customHeight="1">
      <c r="B47" s="250"/>
      <c r="C47" s="262"/>
      <c r="D47" s="266"/>
      <c r="E47" s="253"/>
      <c r="F47" s="250"/>
      <c r="G47" s="251"/>
      <c r="H47" s="50" t="s">
        <v>106</v>
      </c>
      <c r="I47" s="51">
        <v>182000</v>
      </c>
      <c r="J47" s="51">
        <v>197000</v>
      </c>
      <c r="K47" s="51">
        <v>272000</v>
      </c>
      <c r="L47" s="51">
        <v>101000</v>
      </c>
      <c r="M47" s="51">
        <v>115000</v>
      </c>
      <c r="N47" s="51">
        <v>27000</v>
      </c>
      <c r="O47" s="51">
        <f t="shared" ref="O47:O56" si="111">5000*3</f>
        <v>15000</v>
      </c>
      <c r="Q47" s="132">
        <v>182000</v>
      </c>
      <c r="R47" s="132">
        <v>197000</v>
      </c>
      <c r="S47" s="132">
        <v>272000</v>
      </c>
      <c r="T47" s="69">
        <f t="shared" si="12"/>
        <v>1.3807106598984771</v>
      </c>
      <c r="U47" s="52">
        <f t="shared" si="13"/>
        <v>75000</v>
      </c>
      <c r="W47" s="51">
        <f>Q47</f>
        <v>182000</v>
      </c>
      <c r="X47" s="54">
        <f t="shared" si="0"/>
        <v>0</v>
      </c>
      <c r="Y47" s="51">
        <f>R47</f>
        <v>197000</v>
      </c>
      <c r="Z47" s="54">
        <f t="shared" si="1"/>
        <v>0</v>
      </c>
      <c r="AA47" s="51">
        <f>S47</f>
        <v>272000</v>
      </c>
      <c r="AB47" s="53">
        <f t="shared" si="2"/>
        <v>0</v>
      </c>
      <c r="AC47" s="51">
        <v>54000</v>
      </c>
      <c r="AD47" s="54">
        <f t="shared" si="14"/>
        <v>0.46534653465346532</v>
      </c>
      <c r="AE47" s="51">
        <f t="shared" si="15"/>
        <v>24000</v>
      </c>
      <c r="AF47" s="54">
        <f t="shared" si="16"/>
        <v>0.79130434782608694</v>
      </c>
      <c r="AG47" s="94">
        <v>0</v>
      </c>
      <c r="AH47" s="91">
        <f t="shared" si="82"/>
        <v>1</v>
      </c>
      <c r="AI47" s="94"/>
      <c r="AJ47" s="91">
        <f t="shared" ref="AJ47:AJ56" si="112">1-(AI47/N47)</f>
        <v>1</v>
      </c>
      <c r="AK47" s="45">
        <v>0</v>
      </c>
      <c r="AL47" s="47">
        <f t="shared" ref="AL47:AL56" si="113">1-(AK47/O47)</f>
        <v>1</v>
      </c>
      <c r="AM47" s="45">
        <f t="shared" si="19"/>
        <v>12000</v>
      </c>
      <c r="AN47" s="47">
        <f t="shared" ref="AN47:AN56" si="114">1-(AM47/O47)</f>
        <v>0.19999999999999996</v>
      </c>
      <c r="AP47" s="110">
        <f t="shared" si="21"/>
        <v>260000</v>
      </c>
      <c r="AQ47" s="111">
        <f t="shared" si="22"/>
        <v>275000</v>
      </c>
      <c r="AR47" s="112">
        <f t="shared" si="23"/>
        <v>350000</v>
      </c>
      <c r="AS47" s="77">
        <f t="shared" ref="AS47:AS56" si="115">AR47*11%</f>
        <v>38500</v>
      </c>
      <c r="AT47" s="78">
        <f t="shared" si="31"/>
        <v>311500</v>
      </c>
      <c r="AU47" s="77">
        <f t="shared" si="32"/>
        <v>45500</v>
      </c>
      <c r="AV47" s="78">
        <f t="shared" si="33"/>
        <v>304500</v>
      </c>
      <c r="AY47" s="103">
        <f t="shared" si="34"/>
        <v>218000</v>
      </c>
      <c r="AZ47" s="98">
        <f t="shared" si="35"/>
        <v>233000</v>
      </c>
      <c r="BA47" s="99">
        <f t="shared" si="36"/>
        <v>308000</v>
      </c>
      <c r="BB47" s="77">
        <f t="shared" ref="BB47:BB56" si="116">BA47*11%</f>
        <v>33880</v>
      </c>
      <c r="BC47" s="78">
        <f t="shared" si="37"/>
        <v>274120</v>
      </c>
      <c r="BD47" s="77">
        <f t="shared" si="38"/>
        <v>40040</v>
      </c>
      <c r="BE47" s="78">
        <f t="shared" si="39"/>
        <v>267960</v>
      </c>
    </row>
    <row r="48" spans="2:57" s="42" customFormat="1" ht="15" customHeight="1">
      <c r="B48" s="250"/>
      <c r="C48" s="262"/>
      <c r="D48" s="266"/>
      <c r="E48" s="253"/>
      <c r="F48" s="250"/>
      <c r="G48" s="251"/>
      <c r="H48" s="90">
        <v>46178</v>
      </c>
      <c r="I48" s="51">
        <v>182000</v>
      </c>
      <c r="J48" s="51">
        <v>197000</v>
      </c>
      <c r="K48" s="51">
        <v>323000</v>
      </c>
      <c r="L48" s="51">
        <v>101000</v>
      </c>
      <c r="M48" s="51">
        <v>115000</v>
      </c>
      <c r="N48" s="51">
        <v>27000</v>
      </c>
      <c r="O48" s="51">
        <f t="shared" si="111"/>
        <v>15000</v>
      </c>
      <c r="Q48" s="132">
        <v>182000</v>
      </c>
      <c r="R48" s="132">
        <v>197000</v>
      </c>
      <c r="S48" s="132">
        <v>323000</v>
      </c>
      <c r="T48" s="69">
        <f t="shared" ref="T48" si="117">S48/R48</f>
        <v>1.6395939086294415</v>
      </c>
      <c r="U48" s="52">
        <f t="shared" ref="U48" si="118">S48-R48</f>
        <v>126000</v>
      </c>
      <c r="W48" s="51">
        <f>Q48-10000</f>
        <v>172000</v>
      </c>
      <c r="X48" s="54">
        <f t="shared" ref="X48" si="119">1-(W48/I48)</f>
        <v>5.4945054945054972E-2</v>
      </c>
      <c r="Y48" s="51">
        <f>R48-10000</f>
        <v>187000</v>
      </c>
      <c r="Z48" s="54">
        <f t="shared" ref="Z48" si="120">1-(Y48/J48)</f>
        <v>5.0761421319796995E-2</v>
      </c>
      <c r="AA48" s="51">
        <f>S48-30000</f>
        <v>293000</v>
      </c>
      <c r="AB48" s="53">
        <f t="shared" ref="AB48" si="121">1-(AA48/K48)</f>
        <v>9.2879256965944235E-2</v>
      </c>
      <c r="AC48" s="51">
        <v>54000</v>
      </c>
      <c r="AD48" s="54">
        <f t="shared" ref="AD48" si="122">1-(AC48/L48)</f>
        <v>0.46534653465346532</v>
      </c>
      <c r="AE48" s="51">
        <f t="shared" si="15"/>
        <v>24000</v>
      </c>
      <c r="AF48" s="54">
        <f t="shared" ref="AF48" si="123">1-(AE48/M48)</f>
        <v>0.79130434782608694</v>
      </c>
      <c r="AG48" s="94">
        <v>0</v>
      </c>
      <c r="AH48" s="91">
        <f t="shared" si="82"/>
        <v>1</v>
      </c>
      <c r="AI48" s="94"/>
      <c r="AJ48" s="91">
        <f t="shared" si="112"/>
        <v>1</v>
      </c>
      <c r="AK48" s="45">
        <v>0</v>
      </c>
      <c r="AL48" s="47">
        <f t="shared" si="113"/>
        <v>1</v>
      </c>
      <c r="AM48" s="45">
        <f t="shared" si="19"/>
        <v>12000</v>
      </c>
      <c r="AN48" s="47">
        <f t="shared" si="114"/>
        <v>0.19999999999999996</v>
      </c>
      <c r="AP48" s="110">
        <f t="shared" si="21"/>
        <v>250000</v>
      </c>
      <c r="AQ48" s="111">
        <f t="shared" si="22"/>
        <v>275000</v>
      </c>
      <c r="AR48" s="112">
        <f t="shared" si="23"/>
        <v>401000</v>
      </c>
      <c r="AS48" s="77">
        <f t="shared" si="115"/>
        <v>44110</v>
      </c>
      <c r="AT48" s="78">
        <f t="shared" ref="AT48:AT56" si="124">AR48-AS48</f>
        <v>356890</v>
      </c>
      <c r="AU48" s="77">
        <f t="shared" ref="AU48:AU56" si="125">AR48*13%</f>
        <v>52130</v>
      </c>
      <c r="AV48" s="78">
        <f t="shared" ref="AV48:AV56" si="126">AR48-AU48</f>
        <v>348870</v>
      </c>
      <c r="AY48" s="103">
        <f t="shared" ref="AY48:AY56" si="127">SUM(W48,AE48,AI48,AM48)</f>
        <v>208000</v>
      </c>
      <c r="AZ48" s="98">
        <f t="shared" ref="AZ48:AZ56" si="128">SUM(Y48,AE48,AI48,AM48)</f>
        <v>223000</v>
      </c>
      <c r="BA48" s="99">
        <f t="shared" ref="BA48:BA56" si="129">SUM(AA48,AE48,AI48,AM48)</f>
        <v>329000</v>
      </c>
      <c r="BB48" s="77">
        <f t="shared" si="116"/>
        <v>36190</v>
      </c>
      <c r="BC48" s="78">
        <f t="shared" ref="BC48:BC56" si="130">BA48-BB48</f>
        <v>292810</v>
      </c>
      <c r="BD48" s="77">
        <f t="shared" ref="BD48:BD56" si="131">BA48*13%</f>
        <v>42770</v>
      </c>
      <c r="BE48" s="78">
        <f t="shared" ref="BE48:BE56" si="132">BA48-BD48</f>
        <v>286230</v>
      </c>
    </row>
    <row r="49" spans="2:57" s="42" customFormat="1" ht="15" customHeight="1">
      <c r="B49" s="250"/>
      <c r="C49" s="262"/>
      <c r="D49" s="266"/>
      <c r="E49" s="253"/>
      <c r="F49" s="248" t="s">
        <v>80</v>
      </c>
      <c r="G49" s="249"/>
      <c r="H49" s="59" t="s">
        <v>45</v>
      </c>
      <c r="I49" s="48">
        <v>143000</v>
      </c>
      <c r="J49" s="48">
        <v>157000</v>
      </c>
      <c r="K49" s="48">
        <v>184000</v>
      </c>
      <c r="L49" s="48">
        <v>101000</v>
      </c>
      <c r="M49" s="48">
        <v>115000</v>
      </c>
      <c r="N49" s="48">
        <v>27000</v>
      </c>
      <c r="O49" s="48">
        <f t="shared" si="111"/>
        <v>15000</v>
      </c>
      <c r="Q49" s="133">
        <v>143000</v>
      </c>
      <c r="R49" s="133">
        <v>157000</v>
      </c>
      <c r="S49" s="133">
        <v>184000</v>
      </c>
      <c r="T49" s="68">
        <f t="shared" si="12"/>
        <v>1.1719745222929936</v>
      </c>
      <c r="U49" s="46">
        <f t="shared" si="13"/>
        <v>27000</v>
      </c>
      <c r="W49" s="45">
        <f>Q49-10000</f>
        <v>133000</v>
      </c>
      <c r="X49" s="47">
        <f t="shared" si="0"/>
        <v>6.9930069930069894E-2</v>
      </c>
      <c r="Y49" s="45">
        <f>R49-10000</f>
        <v>147000</v>
      </c>
      <c r="Z49" s="47">
        <f t="shared" si="1"/>
        <v>6.3694267515923553E-2</v>
      </c>
      <c r="AA49" s="45">
        <f>S49-10000</f>
        <v>174000</v>
      </c>
      <c r="AB49" s="47">
        <f t="shared" si="2"/>
        <v>5.4347826086956541E-2</v>
      </c>
      <c r="AC49" s="45">
        <v>54000</v>
      </c>
      <c r="AD49" s="63">
        <f t="shared" si="14"/>
        <v>0.46534653465346532</v>
      </c>
      <c r="AE49" s="48">
        <f t="shared" si="15"/>
        <v>24000</v>
      </c>
      <c r="AF49" s="49">
        <f t="shared" si="16"/>
        <v>0.79130434782608694</v>
      </c>
      <c r="AG49" s="95">
        <v>0</v>
      </c>
      <c r="AH49" s="92">
        <f t="shared" si="82"/>
        <v>1</v>
      </c>
      <c r="AI49" s="95"/>
      <c r="AJ49" s="92">
        <f t="shared" si="112"/>
        <v>1</v>
      </c>
      <c r="AK49" s="45">
        <v>0</v>
      </c>
      <c r="AL49" s="47">
        <f t="shared" si="113"/>
        <v>1</v>
      </c>
      <c r="AM49" s="45">
        <f t="shared" si="19"/>
        <v>12000</v>
      </c>
      <c r="AN49" s="47">
        <f t="shared" si="114"/>
        <v>0.19999999999999996</v>
      </c>
      <c r="AP49" s="113">
        <f t="shared" si="21"/>
        <v>211000</v>
      </c>
      <c r="AQ49" s="114">
        <f t="shared" si="22"/>
        <v>235000</v>
      </c>
      <c r="AR49" s="115">
        <f t="shared" si="23"/>
        <v>262000</v>
      </c>
      <c r="AS49" s="77">
        <f t="shared" si="115"/>
        <v>28820</v>
      </c>
      <c r="AT49" s="78">
        <f t="shared" si="124"/>
        <v>233180</v>
      </c>
      <c r="AU49" s="77">
        <f t="shared" si="125"/>
        <v>34060</v>
      </c>
      <c r="AV49" s="78">
        <f t="shared" si="126"/>
        <v>227940</v>
      </c>
      <c r="AY49" s="100">
        <f t="shared" si="127"/>
        <v>169000</v>
      </c>
      <c r="AZ49" s="101">
        <f t="shared" si="128"/>
        <v>183000</v>
      </c>
      <c r="BA49" s="102">
        <f t="shared" si="129"/>
        <v>210000</v>
      </c>
      <c r="BB49" s="77">
        <f t="shared" si="116"/>
        <v>23100</v>
      </c>
      <c r="BC49" s="78">
        <f t="shared" si="130"/>
        <v>186900</v>
      </c>
      <c r="BD49" s="77">
        <f t="shared" si="131"/>
        <v>27300</v>
      </c>
      <c r="BE49" s="78">
        <f t="shared" si="132"/>
        <v>182700</v>
      </c>
    </row>
    <row r="50" spans="2:57" s="42" customFormat="1" ht="15" customHeight="1">
      <c r="B50" s="250"/>
      <c r="C50" s="262"/>
      <c r="D50" s="266"/>
      <c r="E50" s="253"/>
      <c r="F50" s="250"/>
      <c r="G50" s="251"/>
      <c r="H50" s="55" t="s">
        <v>105</v>
      </c>
      <c r="I50" s="51">
        <v>164000</v>
      </c>
      <c r="J50" s="51">
        <v>178000</v>
      </c>
      <c r="K50" s="51">
        <v>224000</v>
      </c>
      <c r="L50" s="51">
        <v>101000</v>
      </c>
      <c r="M50" s="51">
        <v>115000</v>
      </c>
      <c r="N50" s="51">
        <v>27000</v>
      </c>
      <c r="O50" s="51">
        <f t="shared" si="111"/>
        <v>15000</v>
      </c>
      <c r="Q50" s="132">
        <v>164000</v>
      </c>
      <c r="R50" s="132">
        <v>178000</v>
      </c>
      <c r="S50" s="132">
        <v>224000</v>
      </c>
      <c r="T50" s="69">
        <f t="shared" si="12"/>
        <v>1.2584269662921348</v>
      </c>
      <c r="U50" s="52">
        <f t="shared" si="13"/>
        <v>46000</v>
      </c>
      <c r="W50" s="51">
        <f>Q50-10000</f>
        <v>154000</v>
      </c>
      <c r="X50" s="54">
        <f t="shared" si="0"/>
        <v>6.0975609756097615E-2</v>
      </c>
      <c r="Y50" s="51">
        <f>R50-10000</f>
        <v>168000</v>
      </c>
      <c r="Z50" s="54">
        <f t="shared" si="1"/>
        <v>5.6179775280898903E-2</v>
      </c>
      <c r="AA50" s="51">
        <f>S50-20000</f>
        <v>204000</v>
      </c>
      <c r="AB50" s="53">
        <f t="shared" si="2"/>
        <v>8.9285714285714302E-2</v>
      </c>
      <c r="AC50" s="51">
        <v>54000</v>
      </c>
      <c r="AD50" s="54">
        <f t="shared" si="14"/>
        <v>0.46534653465346532</v>
      </c>
      <c r="AE50" s="51">
        <f t="shared" si="15"/>
        <v>24000</v>
      </c>
      <c r="AF50" s="54">
        <f t="shared" si="16"/>
        <v>0.79130434782608694</v>
      </c>
      <c r="AG50" s="94">
        <v>0</v>
      </c>
      <c r="AH50" s="91">
        <f t="shared" si="82"/>
        <v>1</v>
      </c>
      <c r="AI50" s="94"/>
      <c r="AJ50" s="91">
        <f t="shared" si="112"/>
        <v>1</v>
      </c>
      <c r="AK50" s="45">
        <v>0</v>
      </c>
      <c r="AL50" s="47">
        <f t="shared" si="113"/>
        <v>1</v>
      </c>
      <c r="AM50" s="45">
        <f t="shared" si="19"/>
        <v>12000</v>
      </c>
      <c r="AN50" s="47">
        <f t="shared" si="114"/>
        <v>0.19999999999999996</v>
      </c>
      <c r="AP50" s="110">
        <f t="shared" si="21"/>
        <v>232000</v>
      </c>
      <c r="AQ50" s="111">
        <f t="shared" si="22"/>
        <v>256000</v>
      </c>
      <c r="AR50" s="112">
        <f t="shared" si="23"/>
        <v>302000</v>
      </c>
      <c r="AS50" s="77">
        <f t="shared" si="115"/>
        <v>33220</v>
      </c>
      <c r="AT50" s="78">
        <f t="shared" si="124"/>
        <v>268780</v>
      </c>
      <c r="AU50" s="77">
        <f t="shared" si="125"/>
        <v>39260</v>
      </c>
      <c r="AV50" s="78">
        <f t="shared" si="126"/>
        <v>262740</v>
      </c>
      <c r="AY50" s="103">
        <f t="shared" si="127"/>
        <v>190000</v>
      </c>
      <c r="AZ50" s="98">
        <f t="shared" si="128"/>
        <v>204000</v>
      </c>
      <c r="BA50" s="99">
        <f t="shared" si="129"/>
        <v>240000</v>
      </c>
      <c r="BB50" s="77">
        <f t="shared" si="116"/>
        <v>26400</v>
      </c>
      <c r="BC50" s="78">
        <f t="shared" si="130"/>
        <v>213600</v>
      </c>
      <c r="BD50" s="77">
        <f t="shared" si="131"/>
        <v>31200</v>
      </c>
      <c r="BE50" s="78">
        <f t="shared" si="132"/>
        <v>208800</v>
      </c>
    </row>
    <row r="51" spans="2:57" s="42" customFormat="1" ht="15" customHeight="1">
      <c r="B51" s="250"/>
      <c r="C51" s="262"/>
      <c r="D51" s="266"/>
      <c r="E51" s="253"/>
      <c r="F51" s="250"/>
      <c r="G51" s="251"/>
      <c r="H51" s="50" t="s">
        <v>106</v>
      </c>
      <c r="I51" s="51">
        <v>193000</v>
      </c>
      <c r="J51" s="51">
        <v>208000</v>
      </c>
      <c r="K51" s="51">
        <v>283000</v>
      </c>
      <c r="L51" s="51">
        <v>101000</v>
      </c>
      <c r="M51" s="51">
        <v>115000</v>
      </c>
      <c r="N51" s="51">
        <v>27000</v>
      </c>
      <c r="O51" s="51">
        <f t="shared" si="111"/>
        <v>15000</v>
      </c>
      <c r="Q51" s="132">
        <v>193000</v>
      </c>
      <c r="R51" s="132">
        <v>208000</v>
      </c>
      <c r="S51" s="132">
        <v>283000</v>
      </c>
      <c r="T51" s="69">
        <f t="shared" si="12"/>
        <v>1.3605769230769231</v>
      </c>
      <c r="U51" s="52">
        <f t="shared" si="13"/>
        <v>75000</v>
      </c>
      <c r="W51" s="51">
        <f>Q51</f>
        <v>193000</v>
      </c>
      <c r="X51" s="54">
        <f t="shared" si="0"/>
        <v>0</v>
      </c>
      <c r="Y51" s="51">
        <f>R51</f>
        <v>208000</v>
      </c>
      <c r="Z51" s="54">
        <f t="shared" si="1"/>
        <v>0</v>
      </c>
      <c r="AA51" s="51">
        <f>S51</f>
        <v>283000</v>
      </c>
      <c r="AB51" s="53">
        <f t="shared" si="2"/>
        <v>0</v>
      </c>
      <c r="AC51" s="51">
        <v>54000</v>
      </c>
      <c r="AD51" s="54">
        <f t="shared" si="14"/>
        <v>0.46534653465346532</v>
      </c>
      <c r="AE51" s="51">
        <f t="shared" si="15"/>
        <v>24000</v>
      </c>
      <c r="AF51" s="54">
        <f t="shared" si="16"/>
        <v>0.79130434782608694</v>
      </c>
      <c r="AG51" s="94">
        <v>0</v>
      </c>
      <c r="AH51" s="91">
        <f t="shared" si="82"/>
        <v>1</v>
      </c>
      <c r="AI51" s="94"/>
      <c r="AJ51" s="91">
        <f t="shared" si="112"/>
        <v>1</v>
      </c>
      <c r="AK51" s="45">
        <v>0</v>
      </c>
      <c r="AL51" s="47">
        <f t="shared" si="113"/>
        <v>1</v>
      </c>
      <c r="AM51" s="45">
        <f t="shared" si="19"/>
        <v>12000</v>
      </c>
      <c r="AN51" s="47">
        <f t="shared" si="114"/>
        <v>0.19999999999999996</v>
      </c>
      <c r="AP51" s="110">
        <f t="shared" si="21"/>
        <v>271000</v>
      </c>
      <c r="AQ51" s="111">
        <f t="shared" si="22"/>
        <v>286000</v>
      </c>
      <c r="AR51" s="112">
        <f t="shared" si="23"/>
        <v>361000</v>
      </c>
      <c r="AS51" s="77">
        <f t="shared" si="115"/>
        <v>39710</v>
      </c>
      <c r="AT51" s="78">
        <f t="shared" si="124"/>
        <v>321290</v>
      </c>
      <c r="AU51" s="77">
        <f t="shared" si="125"/>
        <v>46930</v>
      </c>
      <c r="AV51" s="78">
        <f t="shared" si="126"/>
        <v>314070</v>
      </c>
      <c r="AY51" s="103">
        <f t="shared" si="127"/>
        <v>229000</v>
      </c>
      <c r="AZ51" s="98">
        <f t="shared" si="128"/>
        <v>244000</v>
      </c>
      <c r="BA51" s="99">
        <f t="shared" si="129"/>
        <v>319000</v>
      </c>
      <c r="BB51" s="77">
        <f t="shared" si="116"/>
        <v>35090</v>
      </c>
      <c r="BC51" s="78">
        <f t="shared" si="130"/>
        <v>283910</v>
      </c>
      <c r="BD51" s="77">
        <f t="shared" si="131"/>
        <v>41470</v>
      </c>
      <c r="BE51" s="78">
        <f t="shared" si="132"/>
        <v>277530</v>
      </c>
    </row>
    <row r="52" spans="2:57" s="42" customFormat="1" ht="15" customHeight="1">
      <c r="B52" s="250"/>
      <c r="C52" s="262"/>
      <c r="D52" s="266"/>
      <c r="E52" s="253"/>
      <c r="F52" s="250"/>
      <c r="G52" s="251"/>
      <c r="H52" s="90">
        <v>46178</v>
      </c>
      <c r="I52" s="51">
        <v>193000</v>
      </c>
      <c r="J52" s="51">
        <v>208000</v>
      </c>
      <c r="K52" s="51">
        <v>334000</v>
      </c>
      <c r="L52" s="51">
        <v>101000</v>
      </c>
      <c r="M52" s="51">
        <v>115000</v>
      </c>
      <c r="N52" s="51">
        <v>27000</v>
      </c>
      <c r="O52" s="51">
        <f t="shared" si="111"/>
        <v>15000</v>
      </c>
      <c r="Q52" s="132">
        <v>193000</v>
      </c>
      <c r="R52" s="132">
        <v>208000</v>
      </c>
      <c r="S52" s="132">
        <v>334000</v>
      </c>
      <c r="T52" s="69">
        <f t="shared" ref="T52" si="133">S52/R52</f>
        <v>1.6057692307692308</v>
      </c>
      <c r="U52" s="52">
        <f t="shared" ref="U52" si="134">S52-R52</f>
        <v>126000</v>
      </c>
      <c r="W52" s="51">
        <f>Q52-10000</f>
        <v>183000</v>
      </c>
      <c r="X52" s="54">
        <f t="shared" ref="X52" si="135">1-(W52/I52)</f>
        <v>5.1813471502590636E-2</v>
      </c>
      <c r="Y52" s="51">
        <f>R52-10000</f>
        <v>198000</v>
      </c>
      <c r="Z52" s="54">
        <f t="shared" ref="Z52" si="136">1-(Y52/J52)</f>
        <v>4.8076923076923128E-2</v>
      </c>
      <c r="AA52" s="51">
        <f>S52-30000</f>
        <v>304000</v>
      </c>
      <c r="AB52" s="53">
        <f t="shared" ref="AB52" si="137">1-(AA52/K52)</f>
        <v>8.9820359281437168E-2</v>
      </c>
      <c r="AC52" s="51">
        <v>54000</v>
      </c>
      <c r="AD52" s="54">
        <f t="shared" ref="AD52" si="138">1-(AC52/L52)</f>
        <v>0.46534653465346532</v>
      </c>
      <c r="AE52" s="51">
        <f t="shared" si="15"/>
        <v>24000</v>
      </c>
      <c r="AF52" s="54">
        <f t="shared" ref="AF52" si="139">1-(AE52/M52)</f>
        <v>0.79130434782608694</v>
      </c>
      <c r="AG52" s="94">
        <v>0</v>
      </c>
      <c r="AH52" s="91">
        <f t="shared" si="82"/>
        <v>1</v>
      </c>
      <c r="AI52" s="94"/>
      <c r="AJ52" s="91">
        <f t="shared" si="112"/>
        <v>1</v>
      </c>
      <c r="AK52" s="45">
        <v>0</v>
      </c>
      <c r="AL52" s="47">
        <f t="shared" si="113"/>
        <v>1</v>
      </c>
      <c r="AM52" s="45">
        <f t="shared" si="19"/>
        <v>12000</v>
      </c>
      <c r="AN52" s="47">
        <f t="shared" si="114"/>
        <v>0.19999999999999996</v>
      </c>
      <c r="AP52" s="110">
        <f t="shared" si="21"/>
        <v>261000</v>
      </c>
      <c r="AQ52" s="111">
        <f t="shared" si="22"/>
        <v>286000</v>
      </c>
      <c r="AR52" s="112">
        <f t="shared" si="23"/>
        <v>412000</v>
      </c>
      <c r="AS52" s="77">
        <f t="shared" si="115"/>
        <v>45320</v>
      </c>
      <c r="AT52" s="78">
        <f t="shared" si="124"/>
        <v>366680</v>
      </c>
      <c r="AU52" s="77">
        <f t="shared" si="125"/>
        <v>53560</v>
      </c>
      <c r="AV52" s="78">
        <f t="shared" si="126"/>
        <v>358440</v>
      </c>
      <c r="AY52" s="103">
        <f t="shared" si="127"/>
        <v>219000</v>
      </c>
      <c r="AZ52" s="98">
        <f t="shared" si="128"/>
        <v>234000</v>
      </c>
      <c r="BA52" s="99">
        <f t="shared" si="129"/>
        <v>340000</v>
      </c>
      <c r="BB52" s="77">
        <f t="shared" si="116"/>
        <v>37400</v>
      </c>
      <c r="BC52" s="78">
        <f t="shared" si="130"/>
        <v>302600</v>
      </c>
      <c r="BD52" s="77">
        <f t="shared" si="131"/>
        <v>44200</v>
      </c>
      <c r="BE52" s="78">
        <f t="shared" si="132"/>
        <v>295800</v>
      </c>
    </row>
    <row r="53" spans="2:57" s="42" customFormat="1" ht="15" customHeight="1">
      <c r="B53" s="250"/>
      <c r="C53" s="262"/>
      <c r="D53" s="266"/>
      <c r="E53" s="253"/>
      <c r="F53" s="248" t="s">
        <v>83</v>
      </c>
      <c r="G53" s="249"/>
      <c r="H53" s="59" t="s">
        <v>45</v>
      </c>
      <c r="I53" s="48">
        <v>154000</v>
      </c>
      <c r="J53" s="48">
        <v>168000</v>
      </c>
      <c r="K53" s="48">
        <v>195000</v>
      </c>
      <c r="L53" s="48">
        <v>101000</v>
      </c>
      <c r="M53" s="48">
        <v>115000</v>
      </c>
      <c r="N53" s="48">
        <v>27000</v>
      </c>
      <c r="O53" s="48">
        <f t="shared" si="111"/>
        <v>15000</v>
      </c>
      <c r="Q53" s="133">
        <v>154000</v>
      </c>
      <c r="R53" s="133">
        <v>168000</v>
      </c>
      <c r="S53" s="133">
        <v>195000</v>
      </c>
      <c r="T53" s="68">
        <f t="shared" si="12"/>
        <v>1.1607142857142858</v>
      </c>
      <c r="U53" s="46">
        <f t="shared" si="13"/>
        <v>27000</v>
      </c>
      <c r="W53" s="45">
        <f>Q53-10000</f>
        <v>144000</v>
      </c>
      <c r="X53" s="47">
        <f t="shared" si="0"/>
        <v>6.4935064935064957E-2</v>
      </c>
      <c r="Y53" s="45">
        <f>R53-10000</f>
        <v>158000</v>
      </c>
      <c r="Z53" s="47">
        <f t="shared" si="1"/>
        <v>5.9523809523809534E-2</v>
      </c>
      <c r="AA53" s="45">
        <f>S53-10000</f>
        <v>185000</v>
      </c>
      <c r="AB53" s="47">
        <f t="shared" si="2"/>
        <v>5.1282051282051322E-2</v>
      </c>
      <c r="AC53" s="45">
        <v>54000</v>
      </c>
      <c r="AD53" s="49">
        <f t="shared" si="14"/>
        <v>0.46534653465346532</v>
      </c>
      <c r="AE53" s="48">
        <f t="shared" si="15"/>
        <v>24000</v>
      </c>
      <c r="AF53" s="49">
        <f t="shared" si="16"/>
        <v>0.79130434782608694</v>
      </c>
      <c r="AG53" s="95">
        <v>0</v>
      </c>
      <c r="AH53" s="92">
        <f t="shared" si="82"/>
        <v>1</v>
      </c>
      <c r="AI53" s="95"/>
      <c r="AJ53" s="92">
        <f t="shared" si="112"/>
        <v>1</v>
      </c>
      <c r="AK53" s="45">
        <v>0</v>
      </c>
      <c r="AL53" s="47">
        <f t="shared" si="113"/>
        <v>1</v>
      </c>
      <c r="AM53" s="45">
        <f t="shared" si="19"/>
        <v>12000</v>
      </c>
      <c r="AN53" s="47">
        <f t="shared" si="114"/>
        <v>0.19999999999999996</v>
      </c>
      <c r="AP53" s="113">
        <f t="shared" si="21"/>
        <v>222000</v>
      </c>
      <c r="AQ53" s="114">
        <f t="shared" si="22"/>
        <v>246000</v>
      </c>
      <c r="AR53" s="115">
        <f t="shared" si="23"/>
        <v>273000</v>
      </c>
      <c r="AS53" s="77">
        <f t="shared" si="115"/>
        <v>30030</v>
      </c>
      <c r="AT53" s="78">
        <f t="shared" si="124"/>
        <v>242970</v>
      </c>
      <c r="AU53" s="77">
        <f t="shared" si="125"/>
        <v>35490</v>
      </c>
      <c r="AV53" s="78">
        <f t="shared" si="126"/>
        <v>237510</v>
      </c>
      <c r="AY53" s="100">
        <f t="shared" si="127"/>
        <v>180000</v>
      </c>
      <c r="AZ53" s="101">
        <f t="shared" si="128"/>
        <v>194000</v>
      </c>
      <c r="BA53" s="102">
        <f t="shared" si="129"/>
        <v>221000</v>
      </c>
      <c r="BB53" s="77">
        <f t="shared" si="116"/>
        <v>24310</v>
      </c>
      <c r="BC53" s="78">
        <f t="shared" si="130"/>
        <v>196690</v>
      </c>
      <c r="BD53" s="77">
        <f t="shared" si="131"/>
        <v>28730</v>
      </c>
      <c r="BE53" s="78">
        <f t="shared" si="132"/>
        <v>192270</v>
      </c>
    </row>
    <row r="54" spans="2:57" s="42" customFormat="1" ht="15" customHeight="1">
      <c r="B54" s="250"/>
      <c r="C54" s="262"/>
      <c r="D54" s="266"/>
      <c r="E54" s="253"/>
      <c r="F54" s="250"/>
      <c r="G54" s="251"/>
      <c r="H54" s="55" t="s">
        <v>105</v>
      </c>
      <c r="I54" s="51">
        <v>175000</v>
      </c>
      <c r="J54" s="51">
        <v>189000</v>
      </c>
      <c r="K54" s="51">
        <v>235000</v>
      </c>
      <c r="L54" s="51">
        <v>101000</v>
      </c>
      <c r="M54" s="51">
        <v>115000</v>
      </c>
      <c r="N54" s="51">
        <v>27000</v>
      </c>
      <c r="O54" s="51">
        <f t="shared" si="111"/>
        <v>15000</v>
      </c>
      <c r="Q54" s="132">
        <v>175000</v>
      </c>
      <c r="R54" s="132">
        <v>189000</v>
      </c>
      <c r="S54" s="132">
        <v>235000</v>
      </c>
      <c r="T54" s="69">
        <f t="shared" si="12"/>
        <v>1.2433862433862435</v>
      </c>
      <c r="U54" s="52">
        <f t="shared" si="13"/>
        <v>46000</v>
      </c>
      <c r="W54" s="51">
        <f>Q54-10000</f>
        <v>165000</v>
      </c>
      <c r="X54" s="54">
        <f t="shared" si="0"/>
        <v>5.7142857142857162E-2</v>
      </c>
      <c r="Y54" s="51">
        <f>R54-10000</f>
        <v>179000</v>
      </c>
      <c r="Z54" s="54">
        <f t="shared" si="1"/>
        <v>5.2910052910052907E-2</v>
      </c>
      <c r="AA54" s="51">
        <f>S54-20000</f>
        <v>215000</v>
      </c>
      <c r="AB54" s="53">
        <f t="shared" si="2"/>
        <v>8.5106382978723416E-2</v>
      </c>
      <c r="AC54" s="51">
        <v>54000</v>
      </c>
      <c r="AD54" s="54">
        <f t="shared" si="14"/>
        <v>0.46534653465346532</v>
      </c>
      <c r="AE54" s="51">
        <f t="shared" si="15"/>
        <v>24000</v>
      </c>
      <c r="AF54" s="54">
        <f t="shared" si="16"/>
        <v>0.79130434782608694</v>
      </c>
      <c r="AG54" s="94">
        <v>0</v>
      </c>
      <c r="AH54" s="91">
        <f t="shared" si="82"/>
        <v>1</v>
      </c>
      <c r="AI54" s="94"/>
      <c r="AJ54" s="91">
        <f t="shared" si="112"/>
        <v>1</v>
      </c>
      <c r="AK54" s="45">
        <v>0</v>
      </c>
      <c r="AL54" s="47">
        <f t="shared" si="113"/>
        <v>1</v>
      </c>
      <c r="AM54" s="45">
        <f t="shared" si="19"/>
        <v>12000</v>
      </c>
      <c r="AN54" s="47">
        <f t="shared" si="114"/>
        <v>0.19999999999999996</v>
      </c>
      <c r="AP54" s="110">
        <f t="shared" si="21"/>
        <v>243000</v>
      </c>
      <c r="AQ54" s="111">
        <f t="shared" si="22"/>
        <v>267000</v>
      </c>
      <c r="AR54" s="112">
        <f t="shared" si="23"/>
        <v>313000</v>
      </c>
      <c r="AS54" s="77">
        <f t="shared" si="115"/>
        <v>34430</v>
      </c>
      <c r="AT54" s="78">
        <f t="shared" si="124"/>
        <v>278570</v>
      </c>
      <c r="AU54" s="77">
        <f t="shared" si="125"/>
        <v>40690</v>
      </c>
      <c r="AV54" s="78">
        <f t="shared" si="126"/>
        <v>272310</v>
      </c>
      <c r="AY54" s="103">
        <f t="shared" si="127"/>
        <v>201000</v>
      </c>
      <c r="AZ54" s="98">
        <f t="shared" si="128"/>
        <v>215000</v>
      </c>
      <c r="BA54" s="99">
        <f t="shared" si="129"/>
        <v>251000</v>
      </c>
      <c r="BB54" s="77">
        <f t="shared" si="116"/>
        <v>27610</v>
      </c>
      <c r="BC54" s="78">
        <f t="shared" si="130"/>
        <v>223390</v>
      </c>
      <c r="BD54" s="77">
        <f t="shared" si="131"/>
        <v>32630</v>
      </c>
      <c r="BE54" s="78">
        <f t="shared" si="132"/>
        <v>218370</v>
      </c>
    </row>
    <row r="55" spans="2:57" s="42" customFormat="1" ht="15" customHeight="1">
      <c r="B55" s="250"/>
      <c r="C55" s="262"/>
      <c r="D55" s="266"/>
      <c r="E55" s="253"/>
      <c r="F55" s="250"/>
      <c r="G55" s="251"/>
      <c r="H55" s="50" t="s">
        <v>106</v>
      </c>
      <c r="I55" s="51">
        <v>204000</v>
      </c>
      <c r="J55" s="51">
        <v>219000</v>
      </c>
      <c r="K55" s="51">
        <v>294000</v>
      </c>
      <c r="L55" s="51">
        <v>101000</v>
      </c>
      <c r="M55" s="51">
        <v>115000</v>
      </c>
      <c r="N55" s="51">
        <v>27000</v>
      </c>
      <c r="O55" s="51">
        <f t="shared" si="111"/>
        <v>15000</v>
      </c>
      <c r="Q55" s="132">
        <v>204000</v>
      </c>
      <c r="R55" s="132">
        <v>219000</v>
      </c>
      <c r="S55" s="132">
        <v>294000</v>
      </c>
      <c r="T55" s="69">
        <f t="shared" si="12"/>
        <v>1.3424657534246576</v>
      </c>
      <c r="U55" s="52">
        <f t="shared" si="13"/>
        <v>75000</v>
      </c>
      <c r="W55" s="51">
        <f>Q55</f>
        <v>204000</v>
      </c>
      <c r="X55" s="54">
        <f t="shared" si="0"/>
        <v>0</v>
      </c>
      <c r="Y55" s="51">
        <f>R55</f>
        <v>219000</v>
      </c>
      <c r="Z55" s="54">
        <f t="shared" si="1"/>
        <v>0</v>
      </c>
      <c r="AA55" s="51">
        <f>S55</f>
        <v>294000</v>
      </c>
      <c r="AB55" s="53">
        <f t="shared" si="2"/>
        <v>0</v>
      </c>
      <c r="AC55" s="51">
        <v>54000</v>
      </c>
      <c r="AD55" s="54">
        <f t="shared" si="14"/>
        <v>0.46534653465346532</v>
      </c>
      <c r="AE55" s="51">
        <f t="shared" si="15"/>
        <v>24000</v>
      </c>
      <c r="AF55" s="54">
        <f t="shared" si="16"/>
        <v>0.79130434782608694</v>
      </c>
      <c r="AG55" s="94">
        <v>0</v>
      </c>
      <c r="AH55" s="91">
        <f t="shared" si="82"/>
        <v>1</v>
      </c>
      <c r="AI55" s="94"/>
      <c r="AJ55" s="91">
        <f t="shared" si="112"/>
        <v>1</v>
      </c>
      <c r="AK55" s="45">
        <v>0</v>
      </c>
      <c r="AL55" s="47">
        <f t="shared" si="113"/>
        <v>1</v>
      </c>
      <c r="AM55" s="45">
        <f t="shared" si="19"/>
        <v>12000</v>
      </c>
      <c r="AN55" s="47">
        <f t="shared" si="114"/>
        <v>0.19999999999999996</v>
      </c>
      <c r="AP55" s="110">
        <f t="shared" si="21"/>
        <v>282000</v>
      </c>
      <c r="AQ55" s="111">
        <f t="shared" si="22"/>
        <v>297000</v>
      </c>
      <c r="AR55" s="112">
        <f t="shared" si="23"/>
        <v>372000</v>
      </c>
      <c r="AS55" s="77">
        <f t="shared" si="115"/>
        <v>40920</v>
      </c>
      <c r="AT55" s="78">
        <f t="shared" si="124"/>
        <v>331080</v>
      </c>
      <c r="AU55" s="77">
        <f t="shared" si="125"/>
        <v>48360</v>
      </c>
      <c r="AV55" s="78">
        <f t="shared" si="126"/>
        <v>323640</v>
      </c>
      <c r="AY55" s="103">
        <f t="shared" si="127"/>
        <v>240000</v>
      </c>
      <c r="AZ55" s="98">
        <f t="shared" si="128"/>
        <v>255000</v>
      </c>
      <c r="BA55" s="99">
        <f t="shared" si="129"/>
        <v>330000</v>
      </c>
      <c r="BB55" s="77">
        <f t="shared" si="116"/>
        <v>36300</v>
      </c>
      <c r="BC55" s="78">
        <f t="shared" si="130"/>
        <v>293700</v>
      </c>
      <c r="BD55" s="77">
        <f t="shared" si="131"/>
        <v>42900</v>
      </c>
      <c r="BE55" s="78">
        <f t="shared" si="132"/>
        <v>287100</v>
      </c>
    </row>
    <row r="56" spans="2:57" s="42" customFormat="1" ht="15" customHeight="1">
      <c r="B56" s="250"/>
      <c r="C56" s="262"/>
      <c r="D56" s="266"/>
      <c r="E56" s="253"/>
      <c r="F56" s="250"/>
      <c r="G56" s="251"/>
      <c r="H56" s="90">
        <v>46178</v>
      </c>
      <c r="I56" s="51">
        <v>204000</v>
      </c>
      <c r="J56" s="51">
        <v>219000</v>
      </c>
      <c r="K56" s="51">
        <v>345000</v>
      </c>
      <c r="L56" s="51">
        <v>101000</v>
      </c>
      <c r="M56" s="51">
        <v>115000</v>
      </c>
      <c r="N56" s="51">
        <v>27000</v>
      </c>
      <c r="O56" s="51">
        <f t="shared" si="111"/>
        <v>15000</v>
      </c>
      <c r="Q56" s="132">
        <v>204000</v>
      </c>
      <c r="R56" s="132">
        <v>219000</v>
      </c>
      <c r="S56" s="132">
        <v>345000</v>
      </c>
      <c r="T56" s="69">
        <f t="shared" ref="T56" si="140">S56/R56</f>
        <v>1.5753424657534247</v>
      </c>
      <c r="U56" s="52">
        <f t="shared" ref="U56" si="141">S56-R56</f>
        <v>126000</v>
      </c>
      <c r="W56" s="51">
        <f>Q56-10000</f>
        <v>194000</v>
      </c>
      <c r="X56" s="54">
        <f t="shared" ref="X56" si="142">1-(W56/I56)</f>
        <v>4.9019607843137303E-2</v>
      </c>
      <c r="Y56" s="51">
        <f>R56-10000</f>
        <v>209000</v>
      </c>
      <c r="Z56" s="54">
        <f t="shared" ref="Z56" si="143">1-(Y56/J56)</f>
        <v>4.5662100456621002E-2</v>
      </c>
      <c r="AA56" s="51">
        <f>S56-30000</f>
        <v>315000</v>
      </c>
      <c r="AB56" s="53">
        <f t="shared" ref="AB56" si="144">1-(AA56/K56)</f>
        <v>8.6956521739130488E-2</v>
      </c>
      <c r="AC56" s="51">
        <v>54000</v>
      </c>
      <c r="AD56" s="54">
        <f t="shared" ref="AD56" si="145">1-(AC56/L56)</f>
        <v>0.46534653465346532</v>
      </c>
      <c r="AE56" s="51">
        <f t="shared" si="15"/>
        <v>24000</v>
      </c>
      <c r="AF56" s="54">
        <f t="shared" ref="AF56" si="146">1-(AE56/M56)</f>
        <v>0.79130434782608694</v>
      </c>
      <c r="AG56" s="94">
        <v>0</v>
      </c>
      <c r="AH56" s="91">
        <f t="shared" si="82"/>
        <v>1</v>
      </c>
      <c r="AI56" s="94"/>
      <c r="AJ56" s="91">
        <f t="shared" si="112"/>
        <v>1</v>
      </c>
      <c r="AK56" s="45">
        <v>0</v>
      </c>
      <c r="AL56" s="47">
        <f t="shared" si="113"/>
        <v>1</v>
      </c>
      <c r="AM56" s="45">
        <f t="shared" si="19"/>
        <v>12000</v>
      </c>
      <c r="AN56" s="47">
        <f t="shared" si="114"/>
        <v>0.19999999999999996</v>
      </c>
      <c r="AP56" s="110">
        <f t="shared" si="21"/>
        <v>272000</v>
      </c>
      <c r="AQ56" s="111">
        <f t="shared" si="22"/>
        <v>297000</v>
      </c>
      <c r="AR56" s="112">
        <f t="shared" si="23"/>
        <v>423000</v>
      </c>
      <c r="AS56" s="77">
        <f t="shared" si="115"/>
        <v>46530</v>
      </c>
      <c r="AT56" s="78">
        <f t="shared" si="124"/>
        <v>376470</v>
      </c>
      <c r="AU56" s="77">
        <f t="shared" si="125"/>
        <v>54990</v>
      </c>
      <c r="AV56" s="78">
        <f t="shared" si="126"/>
        <v>368010</v>
      </c>
      <c r="AY56" s="103">
        <f t="shared" si="127"/>
        <v>230000</v>
      </c>
      <c r="AZ56" s="98">
        <f t="shared" si="128"/>
        <v>245000</v>
      </c>
      <c r="BA56" s="99">
        <f t="shared" si="129"/>
        <v>351000</v>
      </c>
      <c r="BB56" s="77">
        <f t="shared" si="116"/>
        <v>38610</v>
      </c>
      <c r="BC56" s="78">
        <f t="shared" si="130"/>
        <v>312390</v>
      </c>
      <c r="BD56" s="77">
        <f t="shared" si="131"/>
        <v>45630</v>
      </c>
      <c r="BE56" s="78">
        <f t="shared" si="132"/>
        <v>305370</v>
      </c>
    </row>
    <row r="57" spans="2:57" ht="8.25" customHeight="1">
      <c r="AD57" s="57"/>
      <c r="AE57" s="58"/>
      <c r="AF57" s="57"/>
    </row>
  </sheetData>
  <mergeCells count="40">
    <mergeCell ref="F41:G44"/>
    <mergeCell ref="F45:G48"/>
    <mergeCell ref="F49:G52"/>
    <mergeCell ref="B9:C56"/>
    <mergeCell ref="D9:D24"/>
    <mergeCell ref="E9:E16"/>
    <mergeCell ref="F9:G12"/>
    <mergeCell ref="F13:G16"/>
    <mergeCell ref="E17:E24"/>
    <mergeCell ref="F17:G20"/>
    <mergeCell ref="F21:G24"/>
    <mergeCell ref="F53:G56"/>
    <mergeCell ref="D25:D56"/>
    <mergeCell ref="E25:E40"/>
    <mergeCell ref="F25:G28"/>
    <mergeCell ref="F29:G32"/>
    <mergeCell ref="F33:G36"/>
    <mergeCell ref="F37:G40"/>
    <mergeCell ref="E41:E56"/>
    <mergeCell ref="AY6:BA6"/>
    <mergeCell ref="BD6:BE7"/>
    <mergeCell ref="I7:K7"/>
    <mergeCell ref="L7:O7"/>
    <mergeCell ref="Q7:S7"/>
    <mergeCell ref="T7:U7"/>
    <mergeCell ref="W7:AB7"/>
    <mergeCell ref="AC7:AN7"/>
    <mergeCell ref="AP7:AR7"/>
    <mergeCell ref="AY7:BA7"/>
    <mergeCell ref="AP6:AR6"/>
    <mergeCell ref="AU6:AV7"/>
    <mergeCell ref="AS6:AT7"/>
    <mergeCell ref="BB6:BC7"/>
    <mergeCell ref="B2:AF3"/>
    <mergeCell ref="B6:C8"/>
    <mergeCell ref="D6:G8"/>
    <mergeCell ref="H6:H8"/>
    <mergeCell ref="I6:O6"/>
    <mergeCell ref="Q6:U6"/>
    <mergeCell ref="W6:AN6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E53"/>
  <sheetViews>
    <sheetView showGridLines="0" zoomScale="90" zoomScaleNormal="90" workbookViewId="0">
      <pane xSplit="8" ySplit="8" topLeftCell="I9" activePane="bottomRight" state="frozen"/>
      <selection activeCell="R28" sqref="R28"/>
      <selection pane="topRight" activeCell="R28" sqref="R28"/>
      <selection pane="bottomLeft" activeCell="R28" sqref="R28"/>
      <selection pane="bottomRight" activeCell="L32" sqref="L32"/>
    </sheetView>
  </sheetViews>
  <sheetFormatPr defaultRowHeight="14.25"/>
  <cols>
    <col min="1" max="1" width="1.125" style="3" customWidth="1"/>
    <col min="2" max="3" width="3.625" style="3" customWidth="1"/>
    <col min="4" max="4" width="5.5" style="3" bestFit="1" customWidth="1"/>
    <col min="5" max="5" width="5.875" style="3" bestFit="1" customWidth="1"/>
    <col min="6" max="7" width="5.375" style="3" customWidth="1"/>
    <col min="8" max="8" width="10.75" style="3" customWidth="1"/>
    <col min="9" max="15" width="8.875" style="3" customWidth="1"/>
    <col min="16" max="16" width="1.25" style="3" customWidth="1"/>
    <col min="17" max="19" width="8.25" style="27" customWidth="1"/>
    <col min="20" max="20" width="8.25" style="71" customWidth="1"/>
    <col min="21" max="21" width="8.25" style="27" customWidth="1"/>
    <col min="22" max="22" width="1.375" style="3" customWidth="1"/>
    <col min="23" max="28" width="7.375" style="3" customWidth="1"/>
    <col min="29" max="40" width="7.875" style="3" customWidth="1"/>
    <col min="41" max="41" width="1.125" style="3" customWidth="1"/>
    <col min="42" max="48" width="7.75" style="3" customWidth="1"/>
    <col min="49" max="49" width="0.75" style="3" customWidth="1"/>
    <col min="50" max="50" width="0.625" style="3" customWidth="1"/>
    <col min="51" max="59" width="7.75" style="3" customWidth="1"/>
    <col min="60" max="16384" width="9" style="3"/>
  </cols>
  <sheetData>
    <row r="1" spans="2:57" s="1" customFormat="1" ht="15" customHeight="1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8"/>
      <c r="R1" s="38"/>
      <c r="S1" s="38"/>
      <c r="T1" s="65"/>
      <c r="U1" s="38"/>
      <c r="V1" s="37"/>
      <c r="W1" s="37"/>
    </row>
    <row r="2" spans="2:57" s="1" customFormat="1" ht="15" customHeight="1">
      <c r="B2" s="229" t="s">
        <v>148</v>
      </c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39"/>
      <c r="AH2" s="39"/>
      <c r="AI2" s="39"/>
      <c r="AJ2" s="39"/>
      <c r="AK2" s="39"/>
      <c r="AL2" s="39"/>
      <c r="AM2" s="39"/>
      <c r="AN2" s="39"/>
      <c r="AO2" s="25"/>
    </row>
    <row r="3" spans="2:57" s="1" customFormat="1" ht="15" customHeight="1"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29"/>
      <c r="AG3" s="39"/>
      <c r="AH3" s="39"/>
      <c r="AI3" s="39"/>
      <c r="AJ3" s="39"/>
      <c r="AK3" s="39"/>
      <c r="AL3" s="39"/>
      <c r="AM3" s="39"/>
      <c r="AN3" s="39"/>
      <c r="AO3" s="25"/>
    </row>
    <row r="4" spans="2:57" s="1" customFormat="1" ht="15" customHeight="1"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40"/>
      <c r="R4" s="40"/>
      <c r="S4" s="40"/>
      <c r="T4" s="66"/>
      <c r="U4" s="40"/>
      <c r="V4" s="39"/>
      <c r="W4" s="39"/>
      <c r="X4" s="39"/>
      <c r="Y4" s="39"/>
      <c r="Z4" s="39"/>
      <c r="AA4" s="39"/>
      <c r="AB4" s="39"/>
      <c r="AC4" s="39"/>
      <c r="AD4" s="39"/>
      <c r="AE4" s="39"/>
      <c r="AF4" s="41"/>
      <c r="AG4" s="41"/>
      <c r="AH4" s="41"/>
      <c r="AI4" s="41"/>
      <c r="AJ4" s="41"/>
      <c r="AK4" s="41"/>
      <c r="AL4" s="41"/>
      <c r="AM4" s="41"/>
      <c r="AN4" s="41"/>
      <c r="AO4" s="33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85"/>
      <c r="BC4" s="34"/>
      <c r="BD4" s="85"/>
      <c r="BE4" s="34"/>
    </row>
    <row r="5" spans="2:57" s="5" customFormat="1" ht="15" customHeight="1">
      <c r="B5" s="5" t="s">
        <v>73</v>
      </c>
      <c r="H5" s="7"/>
      <c r="I5" s="7"/>
      <c r="J5" s="7"/>
      <c r="M5" s="8"/>
      <c r="N5" s="8"/>
      <c r="O5" s="8"/>
      <c r="Q5" s="28"/>
      <c r="R5" s="28"/>
      <c r="S5" s="28"/>
      <c r="T5" s="67"/>
      <c r="U5" s="28"/>
      <c r="W5" s="7"/>
      <c r="X5" s="32"/>
      <c r="Y5" s="7"/>
      <c r="Z5" s="32"/>
      <c r="AO5" s="26"/>
    </row>
    <row r="6" spans="2:57" s="42" customFormat="1" ht="15" customHeight="1">
      <c r="B6" s="231" t="s">
        <v>7</v>
      </c>
      <c r="C6" s="232"/>
      <c r="D6" s="236" t="s">
        <v>8</v>
      </c>
      <c r="E6" s="237"/>
      <c r="F6" s="237"/>
      <c r="G6" s="226"/>
      <c r="H6" s="233" t="s">
        <v>9</v>
      </c>
      <c r="I6" s="243" t="s">
        <v>10</v>
      </c>
      <c r="J6" s="244"/>
      <c r="K6" s="244"/>
      <c r="L6" s="244"/>
      <c r="M6" s="244"/>
      <c r="N6" s="244"/>
      <c r="O6" s="245"/>
      <c r="Q6" s="246" t="s">
        <v>89</v>
      </c>
      <c r="R6" s="237"/>
      <c r="S6" s="237"/>
      <c r="T6" s="237"/>
      <c r="U6" s="247"/>
      <c r="W6" s="243" t="s">
        <v>11</v>
      </c>
      <c r="X6" s="244"/>
      <c r="Y6" s="244"/>
      <c r="Z6" s="244"/>
      <c r="AA6" s="244"/>
      <c r="AB6" s="244"/>
      <c r="AC6" s="244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5"/>
      <c r="AP6" s="255" t="s">
        <v>122</v>
      </c>
      <c r="AQ6" s="237"/>
      <c r="AR6" s="226"/>
      <c r="AS6" s="225">
        <v>0.11</v>
      </c>
      <c r="AT6" s="226"/>
      <c r="AU6" s="225">
        <v>0.13</v>
      </c>
      <c r="AV6" s="226"/>
      <c r="AY6" s="255" t="s">
        <v>123</v>
      </c>
      <c r="AZ6" s="237"/>
      <c r="BA6" s="226"/>
      <c r="BB6" s="225">
        <v>0.11</v>
      </c>
      <c r="BC6" s="226"/>
      <c r="BD6" s="225">
        <v>0.13</v>
      </c>
      <c r="BE6" s="226"/>
    </row>
    <row r="7" spans="2:57" s="42" customFormat="1" ht="15" customHeight="1">
      <c r="B7" s="233"/>
      <c r="C7" s="232"/>
      <c r="D7" s="238"/>
      <c r="E7" s="239"/>
      <c r="F7" s="239"/>
      <c r="G7" s="228"/>
      <c r="H7" s="233"/>
      <c r="I7" s="243" t="s">
        <v>13</v>
      </c>
      <c r="J7" s="244"/>
      <c r="K7" s="245"/>
      <c r="L7" s="243" t="s">
        <v>91</v>
      </c>
      <c r="M7" s="244"/>
      <c r="N7" s="244"/>
      <c r="O7" s="245"/>
      <c r="Q7" s="256" t="s">
        <v>13</v>
      </c>
      <c r="R7" s="256"/>
      <c r="S7" s="256"/>
      <c r="T7" s="257" t="s">
        <v>93</v>
      </c>
      <c r="U7" s="257"/>
      <c r="W7" s="243" t="s">
        <v>84</v>
      </c>
      <c r="X7" s="244"/>
      <c r="Y7" s="244"/>
      <c r="Z7" s="244"/>
      <c r="AA7" s="244"/>
      <c r="AB7" s="245"/>
      <c r="AC7" s="258" t="s">
        <v>121</v>
      </c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9"/>
      <c r="AP7" s="255" t="s">
        <v>12</v>
      </c>
      <c r="AQ7" s="237"/>
      <c r="AR7" s="226"/>
      <c r="AS7" s="227"/>
      <c r="AT7" s="228"/>
      <c r="AU7" s="227"/>
      <c r="AV7" s="228"/>
      <c r="AY7" s="255" t="s">
        <v>12</v>
      </c>
      <c r="AZ7" s="237"/>
      <c r="BA7" s="226"/>
      <c r="BB7" s="227"/>
      <c r="BC7" s="228"/>
      <c r="BD7" s="227"/>
      <c r="BE7" s="228"/>
    </row>
    <row r="8" spans="2:57" s="42" customFormat="1" ht="15" customHeight="1" thickBot="1">
      <c r="B8" s="234"/>
      <c r="C8" s="235"/>
      <c r="D8" s="240"/>
      <c r="E8" s="241"/>
      <c r="F8" s="241"/>
      <c r="G8" s="242"/>
      <c r="H8" s="234"/>
      <c r="I8" s="43" t="s">
        <v>17</v>
      </c>
      <c r="J8" s="43" t="s">
        <v>18</v>
      </c>
      <c r="K8" s="43" t="s">
        <v>14</v>
      </c>
      <c r="L8" s="43" t="s">
        <v>19</v>
      </c>
      <c r="M8" s="43" t="s">
        <v>76</v>
      </c>
      <c r="N8" s="43" t="s">
        <v>119</v>
      </c>
      <c r="O8" s="43" t="s">
        <v>120</v>
      </c>
      <c r="Q8" s="74" t="s">
        <v>28</v>
      </c>
      <c r="R8" s="74" t="s">
        <v>18</v>
      </c>
      <c r="S8" s="74" t="s">
        <v>14</v>
      </c>
      <c r="T8" s="75" t="s">
        <v>94</v>
      </c>
      <c r="U8" s="64" t="s">
        <v>95</v>
      </c>
      <c r="W8" s="43" t="s">
        <v>28</v>
      </c>
      <c r="X8" s="43" t="s">
        <v>20</v>
      </c>
      <c r="Y8" s="43" t="s">
        <v>18</v>
      </c>
      <c r="Z8" s="43" t="s">
        <v>20</v>
      </c>
      <c r="AA8" s="43" t="s">
        <v>14</v>
      </c>
      <c r="AB8" s="43" t="s">
        <v>20</v>
      </c>
      <c r="AC8" s="44" t="s">
        <v>19</v>
      </c>
      <c r="AD8" s="43" t="s">
        <v>20</v>
      </c>
      <c r="AE8" s="44" t="s">
        <v>76</v>
      </c>
      <c r="AF8" s="43" t="s">
        <v>20</v>
      </c>
      <c r="AG8" s="128" t="s">
        <v>127</v>
      </c>
      <c r="AH8" s="129" t="s">
        <v>20</v>
      </c>
      <c r="AI8" s="128" t="s">
        <v>129</v>
      </c>
      <c r="AJ8" s="129" t="s">
        <v>20</v>
      </c>
      <c r="AK8" s="128" t="s">
        <v>124</v>
      </c>
      <c r="AL8" s="129" t="s">
        <v>20</v>
      </c>
      <c r="AM8" s="128" t="s">
        <v>125</v>
      </c>
      <c r="AN8" s="129" t="s">
        <v>20</v>
      </c>
      <c r="AP8" s="81" t="s">
        <v>28</v>
      </c>
      <c r="AQ8" s="82" t="s">
        <v>18</v>
      </c>
      <c r="AR8" s="83" t="s">
        <v>14</v>
      </c>
      <c r="AS8" s="81" t="s">
        <v>15</v>
      </c>
      <c r="AT8" s="83" t="s">
        <v>16</v>
      </c>
      <c r="AU8" s="81" t="s">
        <v>15</v>
      </c>
      <c r="AV8" s="83" t="s">
        <v>16</v>
      </c>
      <c r="AY8" s="81" t="s">
        <v>28</v>
      </c>
      <c r="AZ8" s="82" t="s">
        <v>18</v>
      </c>
      <c r="BA8" s="83" t="s">
        <v>14</v>
      </c>
      <c r="BB8" s="81" t="s">
        <v>15</v>
      </c>
      <c r="BC8" s="83" t="s">
        <v>16</v>
      </c>
      <c r="BD8" s="81" t="s">
        <v>15</v>
      </c>
      <c r="BE8" s="83" t="s">
        <v>16</v>
      </c>
    </row>
    <row r="9" spans="2:57" s="42" customFormat="1" ht="15" customHeight="1" thickTop="1">
      <c r="B9" s="260" t="s">
        <v>78</v>
      </c>
      <c r="C9" s="261"/>
      <c r="D9" s="265" t="s">
        <v>104</v>
      </c>
      <c r="E9" s="267" t="s">
        <v>21</v>
      </c>
      <c r="F9" s="260" t="s">
        <v>79</v>
      </c>
      <c r="G9" s="268"/>
      <c r="H9" s="59" t="s">
        <v>25</v>
      </c>
      <c r="I9" s="45">
        <v>83000</v>
      </c>
      <c r="J9" s="45">
        <v>93000</v>
      </c>
      <c r="K9" s="45">
        <v>121000</v>
      </c>
      <c r="L9" s="45">
        <v>101000</v>
      </c>
      <c r="M9" s="45">
        <v>115000</v>
      </c>
      <c r="N9" s="45">
        <v>27000</v>
      </c>
      <c r="O9" s="45">
        <f>5000*3</f>
        <v>15000</v>
      </c>
      <c r="Q9" s="72">
        <v>73000</v>
      </c>
      <c r="R9" s="72">
        <v>83000</v>
      </c>
      <c r="S9" s="72">
        <v>103000</v>
      </c>
      <c r="T9" s="73">
        <f>S9/R9</f>
        <v>1.2409638554216869</v>
      </c>
      <c r="U9" s="46">
        <f>S9-R9</f>
        <v>20000</v>
      </c>
      <c r="W9" s="45">
        <v>73000</v>
      </c>
      <c r="X9" s="47">
        <f t="shared" ref="X9:X52" si="0">1-(W9/I9)</f>
        <v>0.12048192771084343</v>
      </c>
      <c r="Y9" s="45">
        <v>83000</v>
      </c>
      <c r="Z9" s="47">
        <f t="shared" ref="Z9:Z52" si="1">1-(Y9/J9)</f>
        <v>0.10752688172043012</v>
      </c>
      <c r="AA9" s="45">
        <v>103000</v>
      </c>
      <c r="AB9" s="47">
        <f t="shared" ref="AB9:AB52" si="2">1-(AA9/K9)</f>
        <v>0.14876033057851235</v>
      </c>
      <c r="AC9" s="45">
        <f>27000*2</f>
        <v>54000</v>
      </c>
      <c r="AD9" s="47">
        <f t="shared" ref="AD9:AD52" si="3">1-(AC9/L9)</f>
        <v>0.46534653465346532</v>
      </c>
      <c r="AE9" s="45">
        <f>16000*2</f>
        <v>32000</v>
      </c>
      <c r="AF9" s="47">
        <f t="shared" ref="AF9:AF52" si="4">1-(AE9/M9)</f>
        <v>0.72173913043478266</v>
      </c>
      <c r="AG9" s="45">
        <v>0</v>
      </c>
      <c r="AH9" s="47">
        <f t="shared" ref="AH9:AH52" si="5">1-(AG9/N9)</f>
        <v>1</v>
      </c>
      <c r="AI9" s="45">
        <f>4000*3</f>
        <v>12000</v>
      </c>
      <c r="AJ9" s="47">
        <f>1-(AI9/N9)</f>
        <v>0.55555555555555558</v>
      </c>
      <c r="AK9" s="45">
        <v>0</v>
      </c>
      <c r="AL9" s="47">
        <f>1-(AK9/O9)</f>
        <v>1</v>
      </c>
      <c r="AM9" s="45">
        <f>4000*3</f>
        <v>12000</v>
      </c>
      <c r="AN9" s="47">
        <f t="shared" ref="AN9:AN52" si="6">1-(AM9/O9)</f>
        <v>0.19999999999999996</v>
      </c>
      <c r="AO9" s="76"/>
      <c r="AP9" s="107">
        <f>SUM(W9,AC9,AE9,AG9,AK9)</f>
        <v>159000</v>
      </c>
      <c r="AQ9" s="108">
        <f>SUM(R9,AC9,AE9,AG9,AK9)</f>
        <v>169000</v>
      </c>
      <c r="AR9" s="109">
        <f>SUM(S9,AC9,AE9,AG9,AK9)</f>
        <v>189000</v>
      </c>
      <c r="AS9" s="77">
        <f>AR9*11%</f>
        <v>20790</v>
      </c>
      <c r="AT9" s="78">
        <f>AR9-AS9</f>
        <v>168210</v>
      </c>
      <c r="AU9" s="77">
        <f t="shared" ref="AU9:AU52" si="7">AR9*13%</f>
        <v>24570</v>
      </c>
      <c r="AV9" s="78">
        <f t="shared" ref="AV9:AV52" si="8">AR9-AU9</f>
        <v>164430</v>
      </c>
      <c r="AY9" s="97">
        <f>SUM(W9,AE9,AI9,AM9)</f>
        <v>129000</v>
      </c>
      <c r="AZ9" s="97">
        <f>SUM(Y9,AE9,AI9,AM9)</f>
        <v>139000</v>
      </c>
      <c r="BA9" s="97">
        <f>SUM(AA9,AE9,AI9,AM9)</f>
        <v>159000</v>
      </c>
      <c r="BB9" s="77">
        <f>BA9*11%</f>
        <v>17490</v>
      </c>
      <c r="BC9" s="78">
        <f>BA9-BB9</f>
        <v>141510</v>
      </c>
      <c r="BD9" s="77">
        <f t="shared" ref="BD9:BD52" si="9">BA9*13%</f>
        <v>20670</v>
      </c>
      <c r="BE9" s="78">
        <f t="shared" ref="BE9:BE52" si="10">BA9-BD9</f>
        <v>138330</v>
      </c>
    </row>
    <row r="10" spans="2:57" s="42" customFormat="1" ht="15" customHeight="1">
      <c r="B10" s="250"/>
      <c r="C10" s="262"/>
      <c r="D10" s="266"/>
      <c r="E10" s="253"/>
      <c r="F10" s="250"/>
      <c r="G10" s="251"/>
      <c r="H10" s="55" t="s">
        <v>22</v>
      </c>
      <c r="I10" s="51">
        <v>100000</v>
      </c>
      <c r="J10" s="51">
        <v>111000</v>
      </c>
      <c r="K10" s="51">
        <v>156000</v>
      </c>
      <c r="L10" s="51">
        <v>101000</v>
      </c>
      <c r="M10" s="51">
        <v>115000</v>
      </c>
      <c r="N10" s="51">
        <v>27000</v>
      </c>
      <c r="O10" s="51">
        <f t="shared" ref="O10:O52" si="11">5000*3</f>
        <v>15000</v>
      </c>
      <c r="Q10" s="52">
        <v>90000</v>
      </c>
      <c r="R10" s="52">
        <v>101000</v>
      </c>
      <c r="S10" s="52">
        <v>126000</v>
      </c>
      <c r="T10" s="69">
        <f t="shared" ref="T10:T52" si="12">S10/R10</f>
        <v>1.2475247524752475</v>
      </c>
      <c r="U10" s="52">
        <f t="shared" ref="U10:U52" si="13">S10-R10</f>
        <v>25000</v>
      </c>
      <c r="W10" s="51">
        <v>90000</v>
      </c>
      <c r="X10" s="53">
        <f t="shared" si="0"/>
        <v>9.9999999999999978E-2</v>
      </c>
      <c r="Y10" s="51">
        <v>101000</v>
      </c>
      <c r="Z10" s="53">
        <f t="shared" si="1"/>
        <v>9.0090090090090058E-2</v>
      </c>
      <c r="AA10" s="51">
        <v>126000</v>
      </c>
      <c r="AB10" s="53">
        <f t="shared" si="2"/>
        <v>0.19230769230769229</v>
      </c>
      <c r="AC10" s="51">
        <v>54000</v>
      </c>
      <c r="AD10" s="54">
        <f t="shared" si="3"/>
        <v>0.46534653465346532</v>
      </c>
      <c r="AE10" s="51">
        <f t="shared" ref="AE10:AE52" si="14">16000*2</f>
        <v>32000</v>
      </c>
      <c r="AF10" s="54">
        <f t="shared" si="4"/>
        <v>0.72173913043478266</v>
      </c>
      <c r="AG10" s="94">
        <v>0</v>
      </c>
      <c r="AH10" s="91">
        <f t="shared" si="5"/>
        <v>1</v>
      </c>
      <c r="AI10" s="94">
        <f t="shared" ref="AI10:AI52" si="15">4000*3</f>
        <v>12000</v>
      </c>
      <c r="AJ10" s="91">
        <f t="shared" ref="AJ10:AJ52" si="16">1-(AI10/N10)</f>
        <v>0.55555555555555558</v>
      </c>
      <c r="AK10" s="45">
        <v>0</v>
      </c>
      <c r="AL10" s="47">
        <f t="shared" ref="AL10:AL52" si="17">1-(AK10/O10)</f>
        <v>1</v>
      </c>
      <c r="AM10" s="45">
        <f t="shared" ref="AM10:AM52" si="18">4000*3</f>
        <v>12000</v>
      </c>
      <c r="AN10" s="47">
        <f t="shared" si="6"/>
        <v>0.19999999999999996</v>
      </c>
      <c r="AP10" s="110">
        <f t="shared" ref="AP10:AP52" si="19">SUM(W10,AC10,AE10,AG10,AK10)</f>
        <v>176000</v>
      </c>
      <c r="AQ10" s="111">
        <f t="shared" ref="AQ10:AQ52" si="20">SUM(R10,AC10,AE10,AG10,AK10)</f>
        <v>187000</v>
      </c>
      <c r="AR10" s="112">
        <f t="shared" ref="AR10:AR52" si="21">SUM(S10,AC10,AE10,AG10,AK10)</f>
        <v>212000</v>
      </c>
      <c r="AS10" s="79">
        <f t="shared" ref="AS10:AS52" si="22">AR10*11%</f>
        <v>23320</v>
      </c>
      <c r="AT10" s="80">
        <f t="shared" ref="AT10:AT52" si="23">AR10-AS10</f>
        <v>188680</v>
      </c>
      <c r="AU10" s="79">
        <f t="shared" si="7"/>
        <v>27560</v>
      </c>
      <c r="AV10" s="80">
        <f t="shared" si="8"/>
        <v>184440</v>
      </c>
      <c r="AY10" s="97">
        <f t="shared" ref="AY10:AY52" si="24">SUM(W10,AE10,AI10,AM10)</f>
        <v>146000</v>
      </c>
      <c r="AZ10" s="98">
        <f t="shared" ref="AZ10:AZ52" si="25">SUM(Y10,AE10,AI10,AM10)</f>
        <v>157000</v>
      </c>
      <c r="BA10" s="99">
        <f t="shared" ref="BA10:BA52" si="26">SUM(AA10,AE10,AI10,AM10)</f>
        <v>182000</v>
      </c>
      <c r="BB10" s="77">
        <f t="shared" ref="BB10:BB52" si="27">BA10*11%</f>
        <v>20020</v>
      </c>
      <c r="BC10" s="78">
        <f t="shared" ref="BC10:BC52" si="28">BA10-BB10</f>
        <v>161980</v>
      </c>
      <c r="BD10" s="77">
        <f t="shared" si="9"/>
        <v>23660</v>
      </c>
      <c r="BE10" s="78">
        <f t="shared" si="10"/>
        <v>158340</v>
      </c>
    </row>
    <row r="11" spans="2:57" s="42" customFormat="1" ht="15" customHeight="1">
      <c r="B11" s="250"/>
      <c r="C11" s="262"/>
      <c r="D11" s="266"/>
      <c r="E11" s="253"/>
      <c r="F11" s="250"/>
      <c r="G11" s="251"/>
      <c r="H11" s="50" t="s">
        <v>23</v>
      </c>
      <c r="I11" s="51">
        <v>126000</v>
      </c>
      <c r="J11" s="51">
        <v>137000</v>
      </c>
      <c r="K11" s="51">
        <v>209000</v>
      </c>
      <c r="L11" s="51">
        <v>101000</v>
      </c>
      <c r="M11" s="51">
        <v>115000</v>
      </c>
      <c r="N11" s="51">
        <v>27000</v>
      </c>
      <c r="O11" s="51">
        <f t="shared" si="11"/>
        <v>15000</v>
      </c>
      <c r="Q11" s="52">
        <v>126000</v>
      </c>
      <c r="R11" s="52">
        <v>137000</v>
      </c>
      <c r="S11" s="52">
        <v>167000</v>
      </c>
      <c r="T11" s="69">
        <f t="shared" si="12"/>
        <v>1.218978102189781</v>
      </c>
      <c r="U11" s="52">
        <f t="shared" si="13"/>
        <v>30000</v>
      </c>
      <c r="W11" s="51">
        <v>126000</v>
      </c>
      <c r="X11" s="53">
        <f t="shared" si="0"/>
        <v>0</v>
      </c>
      <c r="Y11" s="51">
        <v>137000</v>
      </c>
      <c r="Z11" s="53">
        <f t="shared" si="1"/>
        <v>0</v>
      </c>
      <c r="AA11" s="51">
        <v>167000</v>
      </c>
      <c r="AB11" s="53">
        <f t="shared" si="2"/>
        <v>0.20095693779904311</v>
      </c>
      <c r="AC11" s="51">
        <v>54000</v>
      </c>
      <c r="AD11" s="54">
        <f t="shared" si="3"/>
        <v>0.46534653465346532</v>
      </c>
      <c r="AE11" s="51">
        <f t="shared" si="14"/>
        <v>32000</v>
      </c>
      <c r="AF11" s="54">
        <f t="shared" si="4"/>
        <v>0.72173913043478266</v>
      </c>
      <c r="AG11" s="94">
        <v>0</v>
      </c>
      <c r="AH11" s="91">
        <f t="shared" si="5"/>
        <v>1</v>
      </c>
      <c r="AI11" s="94">
        <f t="shared" si="15"/>
        <v>12000</v>
      </c>
      <c r="AJ11" s="91">
        <f t="shared" si="16"/>
        <v>0.55555555555555558</v>
      </c>
      <c r="AK11" s="45">
        <v>0</v>
      </c>
      <c r="AL11" s="47">
        <f t="shared" si="17"/>
        <v>1</v>
      </c>
      <c r="AM11" s="45">
        <f t="shared" si="18"/>
        <v>12000</v>
      </c>
      <c r="AN11" s="47">
        <f t="shared" si="6"/>
        <v>0.19999999999999996</v>
      </c>
      <c r="AP11" s="110">
        <f t="shared" si="19"/>
        <v>212000</v>
      </c>
      <c r="AQ11" s="111">
        <f t="shared" si="20"/>
        <v>223000</v>
      </c>
      <c r="AR11" s="112">
        <f t="shared" si="21"/>
        <v>253000</v>
      </c>
      <c r="AS11" s="77">
        <f t="shared" si="22"/>
        <v>27830</v>
      </c>
      <c r="AT11" s="78">
        <f t="shared" si="23"/>
        <v>225170</v>
      </c>
      <c r="AU11" s="77">
        <f t="shared" si="7"/>
        <v>32890</v>
      </c>
      <c r="AV11" s="78">
        <f t="shared" si="8"/>
        <v>220110</v>
      </c>
      <c r="AY11" s="97">
        <f t="shared" si="24"/>
        <v>182000</v>
      </c>
      <c r="AZ11" s="98">
        <f t="shared" si="25"/>
        <v>193000</v>
      </c>
      <c r="BA11" s="99">
        <f t="shared" si="26"/>
        <v>223000</v>
      </c>
      <c r="BB11" s="77">
        <f t="shared" si="27"/>
        <v>24530</v>
      </c>
      <c r="BC11" s="78">
        <f t="shared" si="28"/>
        <v>198470</v>
      </c>
      <c r="BD11" s="77">
        <f t="shared" si="9"/>
        <v>28990</v>
      </c>
      <c r="BE11" s="78">
        <f t="shared" si="10"/>
        <v>194010</v>
      </c>
    </row>
    <row r="12" spans="2:57" s="42" customFormat="1" ht="15" customHeight="1">
      <c r="B12" s="250"/>
      <c r="C12" s="262"/>
      <c r="D12" s="266"/>
      <c r="E12" s="253"/>
      <c r="F12" s="248" t="s">
        <v>80</v>
      </c>
      <c r="G12" s="249"/>
      <c r="H12" s="59" t="s">
        <v>45</v>
      </c>
      <c r="I12" s="48">
        <v>105000</v>
      </c>
      <c r="J12" s="48">
        <v>115000</v>
      </c>
      <c r="K12" s="48">
        <v>143000</v>
      </c>
      <c r="L12" s="48">
        <v>101000</v>
      </c>
      <c r="M12" s="48">
        <v>115000</v>
      </c>
      <c r="N12" s="48">
        <v>27000</v>
      </c>
      <c r="O12" s="48">
        <f t="shared" si="11"/>
        <v>15000</v>
      </c>
      <c r="Q12" s="46">
        <v>95000</v>
      </c>
      <c r="R12" s="46">
        <v>105000</v>
      </c>
      <c r="S12" s="46">
        <v>135000</v>
      </c>
      <c r="T12" s="68">
        <f t="shared" si="12"/>
        <v>1.2857142857142858</v>
      </c>
      <c r="U12" s="46">
        <f t="shared" si="13"/>
        <v>30000</v>
      </c>
      <c r="W12" s="48">
        <v>95000</v>
      </c>
      <c r="X12" s="49">
        <f t="shared" si="0"/>
        <v>9.5238095238095233E-2</v>
      </c>
      <c r="Y12" s="48">
        <v>105000</v>
      </c>
      <c r="Z12" s="49">
        <f t="shared" si="1"/>
        <v>8.6956521739130488E-2</v>
      </c>
      <c r="AA12" s="48">
        <v>135000</v>
      </c>
      <c r="AB12" s="49">
        <f t="shared" si="2"/>
        <v>5.5944055944055937E-2</v>
      </c>
      <c r="AC12" s="48">
        <v>54000</v>
      </c>
      <c r="AD12" s="63">
        <f t="shared" si="3"/>
        <v>0.46534653465346532</v>
      </c>
      <c r="AE12" s="48">
        <f t="shared" si="14"/>
        <v>32000</v>
      </c>
      <c r="AF12" s="49">
        <f t="shared" si="4"/>
        <v>0.72173913043478266</v>
      </c>
      <c r="AG12" s="95">
        <v>0</v>
      </c>
      <c r="AH12" s="92">
        <f t="shared" si="5"/>
        <v>1</v>
      </c>
      <c r="AI12" s="95">
        <f t="shared" si="15"/>
        <v>12000</v>
      </c>
      <c r="AJ12" s="92">
        <f t="shared" si="16"/>
        <v>0.55555555555555558</v>
      </c>
      <c r="AK12" s="45">
        <v>0</v>
      </c>
      <c r="AL12" s="47">
        <f t="shared" si="17"/>
        <v>1</v>
      </c>
      <c r="AM12" s="45">
        <f t="shared" si="18"/>
        <v>12000</v>
      </c>
      <c r="AN12" s="47">
        <f t="shared" si="6"/>
        <v>0.19999999999999996</v>
      </c>
      <c r="AP12" s="113">
        <f t="shared" si="19"/>
        <v>181000</v>
      </c>
      <c r="AQ12" s="114">
        <f t="shared" si="20"/>
        <v>191000</v>
      </c>
      <c r="AR12" s="115">
        <f t="shared" si="21"/>
        <v>221000</v>
      </c>
      <c r="AS12" s="77">
        <f t="shared" si="22"/>
        <v>24310</v>
      </c>
      <c r="AT12" s="78">
        <f t="shared" si="23"/>
        <v>196690</v>
      </c>
      <c r="AU12" s="77">
        <f t="shared" si="7"/>
        <v>28730</v>
      </c>
      <c r="AV12" s="78">
        <f t="shared" si="8"/>
        <v>192270</v>
      </c>
      <c r="AY12" s="100">
        <f t="shared" si="24"/>
        <v>151000</v>
      </c>
      <c r="AZ12" s="101">
        <f t="shared" si="25"/>
        <v>161000</v>
      </c>
      <c r="BA12" s="102">
        <f t="shared" si="26"/>
        <v>191000</v>
      </c>
      <c r="BB12" s="77">
        <f t="shared" si="27"/>
        <v>21010</v>
      </c>
      <c r="BC12" s="78">
        <f t="shared" si="28"/>
        <v>169990</v>
      </c>
      <c r="BD12" s="77">
        <f t="shared" si="9"/>
        <v>24830</v>
      </c>
      <c r="BE12" s="78">
        <f t="shared" si="10"/>
        <v>166170</v>
      </c>
    </row>
    <row r="13" spans="2:57" s="42" customFormat="1" ht="15" customHeight="1">
      <c r="B13" s="250"/>
      <c r="C13" s="262"/>
      <c r="D13" s="266"/>
      <c r="E13" s="253"/>
      <c r="F13" s="250"/>
      <c r="G13" s="251"/>
      <c r="H13" s="55" t="s">
        <v>105</v>
      </c>
      <c r="I13" s="51">
        <v>122000</v>
      </c>
      <c r="J13" s="51">
        <v>133000</v>
      </c>
      <c r="K13" s="51">
        <v>178000</v>
      </c>
      <c r="L13" s="51">
        <v>101000</v>
      </c>
      <c r="M13" s="51">
        <v>115000</v>
      </c>
      <c r="N13" s="51">
        <v>27000</v>
      </c>
      <c r="O13" s="51">
        <f t="shared" si="11"/>
        <v>15000</v>
      </c>
      <c r="Q13" s="52">
        <v>112000</v>
      </c>
      <c r="R13" s="52">
        <v>123000</v>
      </c>
      <c r="S13" s="52">
        <v>153000</v>
      </c>
      <c r="T13" s="69">
        <f t="shared" si="12"/>
        <v>1.2439024390243902</v>
      </c>
      <c r="U13" s="52">
        <f t="shared" si="13"/>
        <v>30000</v>
      </c>
      <c r="W13" s="51">
        <v>112000</v>
      </c>
      <c r="X13" s="53">
        <f t="shared" si="0"/>
        <v>8.1967213114754078E-2</v>
      </c>
      <c r="Y13" s="51">
        <v>123000</v>
      </c>
      <c r="Z13" s="53">
        <f t="shared" si="1"/>
        <v>7.5187969924812026E-2</v>
      </c>
      <c r="AA13" s="51">
        <v>153000</v>
      </c>
      <c r="AB13" s="53">
        <f t="shared" si="2"/>
        <v>0.1404494382022472</v>
      </c>
      <c r="AC13" s="51">
        <v>54000</v>
      </c>
      <c r="AD13" s="54">
        <f t="shared" si="3"/>
        <v>0.46534653465346532</v>
      </c>
      <c r="AE13" s="51">
        <f t="shared" si="14"/>
        <v>32000</v>
      </c>
      <c r="AF13" s="54">
        <f t="shared" si="4"/>
        <v>0.72173913043478266</v>
      </c>
      <c r="AG13" s="94">
        <v>0</v>
      </c>
      <c r="AH13" s="91">
        <f t="shared" si="5"/>
        <v>1</v>
      </c>
      <c r="AI13" s="94">
        <f t="shared" si="15"/>
        <v>12000</v>
      </c>
      <c r="AJ13" s="91">
        <f t="shared" si="16"/>
        <v>0.55555555555555558</v>
      </c>
      <c r="AK13" s="45">
        <v>0</v>
      </c>
      <c r="AL13" s="47">
        <f t="shared" si="17"/>
        <v>1</v>
      </c>
      <c r="AM13" s="45">
        <f t="shared" si="18"/>
        <v>12000</v>
      </c>
      <c r="AN13" s="47">
        <f t="shared" si="6"/>
        <v>0.19999999999999996</v>
      </c>
      <c r="AP13" s="110">
        <f t="shared" si="19"/>
        <v>198000</v>
      </c>
      <c r="AQ13" s="111">
        <f t="shared" si="20"/>
        <v>209000</v>
      </c>
      <c r="AR13" s="112">
        <f t="shared" si="21"/>
        <v>239000</v>
      </c>
      <c r="AS13" s="77">
        <f t="shared" si="22"/>
        <v>26290</v>
      </c>
      <c r="AT13" s="78">
        <f t="shared" si="23"/>
        <v>212710</v>
      </c>
      <c r="AU13" s="77">
        <f t="shared" si="7"/>
        <v>31070</v>
      </c>
      <c r="AV13" s="78">
        <f t="shared" si="8"/>
        <v>207930</v>
      </c>
      <c r="AY13" s="103">
        <f t="shared" si="24"/>
        <v>168000</v>
      </c>
      <c r="AZ13" s="98">
        <f t="shared" si="25"/>
        <v>179000</v>
      </c>
      <c r="BA13" s="99">
        <f t="shared" si="26"/>
        <v>209000</v>
      </c>
      <c r="BB13" s="77">
        <f t="shared" si="27"/>
        <v>22990</v>
      </c>
      <c r="BC13" s="78">
        <f t="shared" si="28"/>
        <v>186010</v>
      </c>
      <c r="BD13" s="77">
        <f t="shared" si="9"/>
        <v>27170</v>
      </c>
      <c r="BE13" s="78">
        <f t="shared" si="10"/>
        <v>181830</v>
      </c>
    </row>
    <row r="14" spans="2:57" s="42" customFormat="1" ht="15" customHeight="1">
      <c r="B14" s="250"/>
      <c r="C14" s="262"/>
      <c r="D14" s="266"/>
      <c r="E14" s="253"/>
      <c r="F14" s="250"/>
      <c r="G14" s="251"/>
      <c r="H14" s="50" t="s">
        <v>106</v>
      </c>
      <c r="I14" s="51">
        <v>148000</v>
      </c>
      <c r="J14" s="51">
        <v>159000</v>
      </c>
      <c r="K14" s="51">
        <v>231000</v>
      </c>
      <c r="L14" s="51">
        <v>101000</v>
      </c>
      <c r="M14" s="51">
        <v>115000</v>
      </c>
      <c r="N14" s="51">
        <v>27000</v>
      </c>
      <c r="O14" s="51">
        <f t="shared" si="11"/>
        <v>15000</v>
      </c>
      <c r="Q14" s="52">
        <v>148000</v>
      </c>
      <c r="R14" s="52">
        <v>159000</v>
      </c>
      <c r="S14" s="52">
        <v>194000</v>
      </c>
      <c r="T14" s="69">
        <f t="shared" si="12"/>
        <v>1.220125786163522</v>
      </c>
      <c r="U14" s="52">
        <f t="shared" si="13"/>
        <v>35000</v>
      </c>
      <c r="W14" s="51">
        <v>148000</v>
      </c>
      <c r="X14" s="53">
        <f t="shared" si="0"/>
        <v>0</v>
      </c>
      <c r="Y14" s="51">
        <v>159000</v>
      </c>
      <c r="Z14" s="53">
        <f t="shared" si="1"/>
        <v>0</v>
      </c>
      <c r="AA14" s="51">
        <v>194000</v>
      </c>
      <c r="AB14" s="53">
        <f t="shared" si="2"/>
        <v>0.16017316017316019</v>
      </c>
      <c r="AC14" s="51">
        <v>54000</v>
      </c>
      <c r="AD14" s="54">
        <f t="shared" si="3"/>
        <v>0.46534653465346532</v>
      </c>
      <c r="AE14" s="51">
        <f t="shared" si="14"/>
        <v>32000</v>
      </c>
      <c r="AF14" s="54">
        <f t="shared" si="4"/>
        <v>0.72173913043478266</v>
      </c>
      <c r="AG14" s="94">
        <v>0</v>
      </c>
      <c r="AH14" s="91">
        <f t="shared" si="5"/>
        <v>1</v>
      </c>
      <c r="AI14" s="94">
        <f t="shared" si="15"/>
        <v>12000</v>
      </c>
      <c r="AJ14" s="91">
        <f t="shared" si="16"/>
        <v>0.55555555555555558</v>
      </c>
      <c r="AK14" s="45">
        <v>0</v>
      </c>
      <c r="AL14" s="47">
        <f t="shared" si="17"/>
        <v>1</v>
      </c>
      <c r="AM14" s="45">
        <f t="shared" si="18"/>
        <v>12000</v>
      </c>
      <c r="AN14" s="47">
        <f t="shared" si="6"/>
        <v>0.19999999999999996</v>
      </c>
      <c r="AP14" s="110">
        <f t="shared" si="19"/>
        <v>234000</v>
      </c>
      <c r="AQ14" s="111">
        <f t="shared" si="20"/>
        <v>245000</v>
      </c>
      <c r="AR14" s="112">
        <f t="shared" si="21"/>
        <v>280000</v>
      </c>
      <c r="AS14" s="77">
        <f t="shared" si="22"/>
        <v>30800</v>
      </c>
      <c r="AT14" s="78">
        <f t="shared" si="23"/>
        <v>249200</v>
      </c>
      <c r="AU14" s="77">
        <f t="shared" si="7"/>
        <v>36400</v>
      </c>
      <c r="AV14" s="78">
        <f t="shared" si="8"/>
        <v>243600</v>
      </c>
      <c r="AY14" s="103">
        <f t="shared" si="24"/>
        <v>204000</v>
      </c>
      <c r="AZ14" s="98">
        <f t="shared" si="25"/>
        <v>215000</v>
      </c>
      <c r="BA14" s="99">
        <f t="shared" si="26"/>
        <v>250000</v>
      </c>
      <c r="BB14" s="77">
        <f t="shared" si="27"/>
        <v>27500</v>
      </c>
      <c r="BC14" s="78">
        <f t="shared" si="28"/>
        <v>222500</v>
      </c>
      <c r="BD14" s="77">
        <f t="shared" si="9"/>
        <v>32500</v>
      </c>
      <c r="BE14" s="78">
        <f t="shared" si="10"/>
        <v>217500</v>
      </c>
    </row>
    <row r="15" spans="2:57" s="42" customFormat="1" ht="15" customHeight="1">
      <c r="B15" s="250"/>
      <c r="C15" s="262"/>
      <c r="D15" s="266"/>
      <c r="E15" s="252" t="s">
        <v>24</v>
      </c>
      <c r="F15" s="248" t="s">
        <v>79</v>
      </c>
      <c r="G15" s="249"/>
      <c r="H15" s="59" t="s">
        <v>45</v>
      </c>
      <c r="I15" s="48">
        <v>106000</v>
      </c>
      <c r="J15" s="48">
        <v>120000</v>
      </c>
      <c r="K15" s="48">
        <v>147000</v>
      </c>
      <c r="L15" s="48">
        <v>101000</v>
      </c>
      <c r="M15" s="48">
        <v>115000</v>
      </c>
      <c r="N15" s="48">
        <v>27000</v>
      </c>
      <c r="O15" s="48">
        <f t="shared" si="11"/>
        <v>15000</v>
      </c>
      <c r="Q15" s="46">
        <v>96000</v>
      </c>
      <c r="R15" s="46">
        <v>110000</v>
      </c>
      <c r="S15" s="46">
        <v>140000</v>
      </c>
      <c r="T15" s="68">
        <f t="shared" si="12"/>
        <v>1.2727272727272727</v>
      </c>
      <c r="U15" s="46">
        <f t="shared" si="13"/>
        <v>30000</v>
      </c>
      <c r="W15" s="48">
        <v>96000</v>
      </c>
      <c r="X15" s="49">
        <f t="shared" si="0"/>
        <v>9.4339622641509413E-2</v>
      </c>
      <c r="Y15" s="48">
        <v>110000</v>
      </c>
      <c r="Z15" s="49">
        <f t="shared" si="1"/>
        <v>8.333333333333337E-2</v>
      </c>
      <c r="AA15" s="48">
        <v>140000</v>
      </c>
      <c r="AB15" s="49">
        <f t="shared" si="2"/>
        <v>4.7619047619047672E-2</v>
      </c>
      <c r="AC15" s="48">
        <v>54000</v>
      </c>
      <c r="AD15" s="63">
        <f t="shared" si="3"/>
        <v>0.46534653465346532</v>
      </c>
      <c r="AE15" s="48">
        <f t="shared" si="14"/>
        <v>32000</v>
      </c>
      <c r="AF15" s="49">
        <f t="shared" si="4"/>
        <v>0.72173913043478266</v>
      </c>
      <c r="AG15" s="95">
        <v>0</v>
      </c>
      <c r="AH15" s="92">
        <f t="shared" si="5"/>
        <v>1</v>
      </c>
      <c r="AI15" s="95">
        <f t="shared" si="15"/>
        <v>12000</v>
      </c>
      <c r="AJ15" s="92">
        <f t="shared" si="16"/>
        <v>0.55555555555555558</v>
      </c>
      <c r="AK15" s="45">
        <v>0</v>
      </c>
      <c r="AL15" s="47">
        <f t="shared" si="17"/>
        <v>1</v>
      </c>
      <c r="AM15" s="45">
        <f t="shared" si="18"/>
        <v>12000</v>
      </c>
      <c r="AN15" s="47">
        <f t="shared" si="6"/>
        <v>0.19999999999999996</v>
      </c>
      <c r="AP15" s="113">
        <f t="shared" si="19"/>
        <v>182000</v>
      </c>
      <c r="AQ15" s="114">
        <f t="shared" si="20"/>
        <v>196000</v>
      </c>
      <c r="AR15" s="115">
        <f t="shared" si="21"/>
        <v>226000</v>
      </c>
      <c r="AS15" s="77">
        <f t="shared" si="22"/>
        <v>24860</v>
      </c>
      <c r="AT15" s="78">
        <f t="shared" si="23"/>
        <v>201140</v>
      </c>
      <c r="AU15" s="77">
        <f t="shared" si="7"/>
        <v>29380</v>
      </c>
      <c r="AV15" s="78">
        <f t="shared" si="8"/>
        <v>196620</v>
      </c>
      <c r="AY15" s="100">
        <f t="shared" si="24"/>
        <v>152000</v>
      </c>
      <c r="AZ15" s="101">
        <f t="shared" si="25"/>
        <v>166000</v>
      </c>
      <c r="BA15" s="102">
        <f t="shared" si="26"/>
        <v>196000</v>
      </c>
      <c r="BB15" s="77">
        <f t="shared" si="27"/>
        <v>21560</v>
      </c>
      <c r="BC15" s="78">
        <f t="shared" si="28"/>
        <v>174440</v>
      </c>
      <c r="BD15" s="77">
        <f t="shared" si="9"/>
        <v>25480</v>
      </c>
      <c r="BE15" s="78">
        <f t="shared" si="10"/>
        <v>170520</v>
      </c>
    </row>
    <row r="16" spans="2:57" s="42" customFormat="1" ht="15" customHeight="1">
      <c r="B16" s="250"/>
      <c r="C16" s="262"/>
      <c r="D16" s="266"/>
      <c r="E16" s="253"/>
      <c r="F16" s="250"/>
      <c r="G16" s="251"/>
      <c r="H16" s="55" t="s">
        <v>105</v>
      </c>
      <c r="I16" s="51">
        <v>127000</v>
      </c>
      <c r="J16" s="51">
        <v>141000</v>
      </c>
      <c r="K16" s="51">
        <v>187000</v>
      </c>
      <c r="L16" s="51">
        <v>101000</v>
      </c>
      <c r="M16" s="51">
        <v>115000</v>
      </c>
      <c r="N16" s="51">
        <v>27000</v>
      </c>
      <c r="O16" s="51">
        <f t="shared" si="11"/>
        <v>15000</v>
      </c>
      <c r="Q16" s="52">
        <v>117000</v>
      </c>
      <c r="R16" s="52">
        <v>131000</v>
      </c>
      <c r="S16" s="52">
        <v>161000</v>
      </c>
      <c r="T16" s="69">
        <f t="shared" si="12"/>
        <v>1.2290076335877862</v>
      </c>
      <c r="U16" s="52">
        <f t="shared" si="13"/>
        <v>30000</v>
      </c>
      <c r="W16" s="51">
        <v>117000</v>
      </c>
      <c r="X16" s="53">
        <f t="shared" si="0"/>
        <v>7.8740157480314932E-2</v>
      </c>
      <c r="Y16" s="51">
        <v>131000</v>
      </c>
      <c r="Z16" s="53">
        <f t="shared" si="1"/>
        <v>7.0921985815602828E-2</v>
      </c>
      <c r="AA16" s="51">
        <v>161000</v>
      </c>
      <c r="AB16" s="53">
        <f t="shared" si="2"/>
        <v>0.13903743315508021</v>
      </c>
      <c r="AC16" s="51">
        <v>54000</v>
      </c>
      <c r="AD16" s="54">
        <f t="shared" si="3"/>
        <v>0.46534653465346532</v>
      </c>
      <c r="AE16" s="51">
        <f t="shared" si="14"/>
        <v>32000</v>
      </c>
      <c r="AF16" s="54">
        <f t="shared" si="4"/>
        <v>0.72173913043478266</v>
      </c>
      <c r="AG16" s="94">
        <v>0</v>
      </c>
      <c r="AH16" s="91">
        <f t="shared" si="5"/>
        <v>1</v>
      </c>
      <c r="AI16" s="94">
        <f t="shared" si="15"/>
        <v>12000</v>
      </c>
      <c r="AJ16" s="91">
        <f t="shared" si="16"/>
        <v>0.55555555555555558</v>
      </c>
      <c r="AK16" s="45">
        <v>0</v>
      </c>
      <c r="AL16" s="47">
        <f t="shared" si="17"/>
        <v>1</v>
      </c>
      <c r="AM16" s="45">
        <f t="shared" si="18"/>
        <v>12000</v>
      </c>
      <c r="AN16" s="47">
        <f t="shared" si="6"/>
        <v>0.19999999999999996</v>
      </c>
      <c r="AP16" s="110">
        <f t="shared" si="19"/>
        <v>203000</v>
      </c>
      <c r="AQ16" s="111">
        <f t="shared" si="20"/>
        <v>217000</v>
      </c>
      <c r="AR16" s="112">
        <f t="shared" si="21"/>
        <v>247000</v>
      </c>
      <c r="AS16" s="77">
        <f t="shared" si="22"/>
        <v>27170</v>
      </c>
      <c r="AT16" s="78">
        <f t="shared" si="23"/>
        <v>219830</v>
      </c>
      <c r="AU16" s="77">
        <f t="shared" si="7"/>
        <v>32110</v>
      </c>
      <c r="AV16" s="78">
        <f t="shared" si="8"/>
        <v>214890</v>
      </c>
      <c r="AY16" s="103">
        <f t="shared" si="24"/>
        <v>173000</v>
      </c>
      <c r="AZ16" s="98">
        <f t="shared" si="25"/>
        <v>187000</v>
      </c>
      <c r="BA16" s="99">
        <f t="shared" si="26"/>
        <v>217000</v>
      </c>
      <c r="BB16" s="77">
        <f t="shared" si="27"/>
        <v>23870</v>
      </c>
      <c r="BC16" s="78">
        <f t="shared" si="28"/>
        <v>193130</v>
      </c>
      <c r="BD16" s="77">
        <f t="shared" si="9"/>
        <v>28210</v>
      </c>
      <c r="BE16" s="78">
        <f t="shared" si="10"/>
        <v>188790</v>
      </c>
    </row>
    <row r="17" spans="2:57" s="42" customFormat="1" ht="15" customHeight="1">
      <c r="B17" s="250"/>
      <c r="C17" s="262"/>
      <c r="D17" s="266"/>
      <c r="E17" s="253"/>
      <c r="F17" s="250"/>
      <c r="G17" s="251"/>
      <c r="H17" s="50" t="s">
        <v>106</v>
      </c>
      <c r="I17" s="51">
        <v>156000</v>
      </c>
      <c r="J17" s="51">
        <v>171000</v>
      </c>
      <c r="K17" s="51">
        <v>246000</v>
      </c>
      <c r="L17" s="51">
        <v>101000</v>
      </c>
      <c r="M17" s="51">
        <v>115000</v>
      </c>
      <c r="N17" s="51">
        <v>27000</v>
      </c>
      <c r="O17" s="51">
        <f t="shared" si="11"/>
        <v>15000</v>
      </c>
      <c r="Q17" s="52">
        <v>156000</v>
      </c>
      <c r="R17" s="52">
        <v>171000</v>
      </c>
      <c r="S17" s="52">
        <v>206000</v>
      </c>
      <c r="T17" s="69">
        <f t="shared" si="12"/>
        <v>1.2046783625730995</v>
      </c>
      <c r="U17" s="52">
        <f t="shared" si="13"/>
        <v>35000</v>
      </c>
      <c r="W17" s="51">
        <v>156000</v>
      </c>
      <c r="X17" s="53">
        <f t="shared" si="0"/>
        <v>0</v>
      </c>
      <c r="Y17" s="51">
        <v>171000</v>
      </c>
      <c r="Z17" s="53">
        <f t="shared" si="1"/>
        <v>0</v>
      </c>
      <c r="AA17" s="51">
        <v>206000</v>
      </c>
      <c r="AB17" s="53">
        <f t="shared" si="2"/>
        <v>0.16260162601626016</v>
      </c>
      <c r="AC17" s="51">
        <v>54000</v>
      </c>
      <c r="AD17" s="54">
        <f t="shared" si="3"/>
        <v>0.46534653465346532</v>
      </c>
      <c r="AE17" s="51">
        <f t="shared" si="14"/>
        <v>32000</v>
      </c>
      <c r="AF17" s="54">
        <f t="shared" si="4"/>
        <v>0.72173913043478266</v>
      </c>
      <c r="AG17" s="94">
        <v>0</v>
      </c>
      <c r="AH17" s="91">
        <f t="shared" si="5"/>
        <v>1</v>
      </c>
      <c r="AI17" s="94">
        <f t="shared" si="15"/>
        <v>12000</v>
      </c>
      <c r="AJ17" s="91">
        <f t="shared" si="16"/>
        <v>0.55555555555555558</v>
      </c>
      <c r="AK17" s="45">
        <v>0</v>
      </c>
      <c r="AL17" s="47">
        <f t="shared" si="17"/>
        <v>1</v>
      </c>
      <c r="AM17" s="45">
        <f t="shared" si="18"/>
        <v>12000</v>
      </c>
      <c r="AN17" s="47">
        <f t="shared" si="6"/>
        <v>0.19999999999999996</v>
      </c>
      <c r="AP17" s="110">
        <f t="shared" si="19"/>
        <v>242000</v>
      </c>
      <c r="AQ17" s="111">
        <f t="shared" si="20"/>
        <v>257000</v>
      </c>
      <c r="AR17" s="112">
        <f t="shared" si="21"/>
        <v>292000</v>
      </c>
      <c r="AS17" s="77">
        <f t="shared" si="22"/>
        <v>32120</v>
      </c>
      <c r="AT17" s="78">
        <f t="shared" si="23"/>
        <v>259880</v>
      </c>
      <c r="AU17" s="77">
        <f t="shared" si="7"/>
        <v>37960</v>
      </c>
      <c r="AV17" s="78">
        <f t="shared" si="8"/>
        <v>254040</v>
      </c>
      <c r="AY17" s="103">
        <f t="shared" si="24"/>
        <v>212000</v>
      </c>
      <c r="AZ17" s="98">
        <f t="shared" si="25"/>
        <v>227000</v>
      </c>
      <c r="BA17" s="99">
        <f t="shared" si="26"/>
        <v>262000</v>
      </c>
      <c r="BB17" s="77">
        <f t="shared" si="27"/>
        <v>28820</v>
      </c>
      <c r="BC17" s="78">
        <f t="shared" si="28"/>
        <v>233180</v>
      </c>
      <c r="BD17" s="77">
        <f t="shared" si="9"/>
        <v>34060</v>
      </c>
      <c r="BE17" s="78">
        <f t="shared" si="10"/>
        <v>227940</v>
      </c>
    </row>
    <row r="18" spans="2:57" s="42" customFormat="1" ht="15" customHeight="1">
      <c r="B18" s="250"/>
      <c r="C18" s="262"/>
      <c r="D18" s="266"/>
      <c r="E18" s="253"/>
      <c r="F18" s="248" t="s">
        <v>80</v>
      </c>
      <c r="G18" s="249"/>
      <c r="H18" s="59" t="s">
        <v>45</v>
      </c>
      <c r="I18" s="48">
        <v>128000</v>
      </c>
      <c r="J18" s="48">
        <v>142000</v>
      </c>
      <c r="K18" s="48">
        <v>169000</v>
      </c>
      <c r="L18" s="48">
        <v>101000</v>
      </c>
      <c r="M18" s="48">
        <v>115000</v>
      </c>
      <c r="N18" s="48">
        <v>27000</v>
      </c>
      <c r="O18" s="48">
        <f t="shared" si="11"/>
        <v>15000</v>
      </c>
      <c r="Q18" s="46">
        <v>118000</v>
      </c>
      <c r="R18" s="46">
        <v>132000</v>
      </c>
      <c r="S18" s="46">
        <v>162000</v>
      </c>
      <c r="T18" s="68">
        <f t="shared" si="12"/>
        <v>1.2272727272727273</v>
      </c>
      <c r="U18" s="46">
        <f t="shared" si="13"/>
        <v>30000</v>
      </c>
      <c r="W18" s="48">
        <v>118000</v>
      </c>
      <c r="X18" s="49">
        <f t="shared" si="0"/>
        <v>7.8125E-2</v>
      </c>
      <c r="Y18" s="48">
        <v>132000</v>
      </c>
      <c r="Z18" s="49">
        <f t="shared" si="1"/>
        <v>7.0422535211267623E-2</v>
      </c>
      <c r="AA18" s="48">
        <v>162000</v>
      </c>
      <c r="AB18" s="49">
        <f t="shared" si="2"/>
        <v>4.1420118343195256E-2</v>
      </c>
      <c r="AC18" s="48">
        <v>54000</v>
      </c>
      <c r="AD18" s="63">
        <f t="shared" si="3"/>
        <v>0.46534653465346532</v>
      </c>
      <c r="AE18" s="48">
        <f t="shared" si="14"/>
        <v>32000</v>
      </c>
      <c r="AF18" s="49">
        <f t="shared" si="4"/>
        <v>0.72173913043478266</v>
      </c>
      <c r="AG18" s="95">
        <v>0</v>
      </c>
      <c r="AH18" s="92">
        <f t="shared" si="5"/>
        <v>1</v>
      </c>
      <c r="AI18" s="95">
        <f t="shared" si="15"/>
        <v>12000</v>
      </c>
      <c r="AJ18" s="92">
        <f t="shared" si="16"/>
        <v>0.55555555555555558</v>
      </c>
      <c r="AK18" s="45">
        <v>0</v>
      </c>
      <c r="AL18" s="47">
        <f t="shared" si="17"/>
        <v>1</v>
      </c>
      <c r="AM18" s="45">
        <f t="shared" si="18"/>
        <v>12000</v>
      </c>
      <c r="AN18" s="47">
        <f t="shared" si="6"/>
        <v>0.19999999999999996</v>
      </c>
      <c r="AP18" s="113">
        <f t="shared" si="19"/>
        <v>204000</v>
      </c>
      <c r="AQ18" s="114">
        <f t="shared" si="20"/>
        <v>218000</v>
      </c>
      <c r="AR18" s="115">
        <f t="shared" si="21"/>
        <v>248000</v>
      </c>
      <c r="AS18" s="77">
        <f t="shared" si="22"/>
        <v>27280</v>
      </c>
      <c r="AT18" s="78">
        <f t="shared" si="23"/>
        <v>220720</v>
      </c>
      <c r="AU18" s="77">
        <f t="shared" si="7"/>
        <v>32240</v>
      </c>
      <c r="AV18" s="78">
        <f t="shared" si="8"/>
        <v>215760</v>
      </c>
      <c r="AY18" s="100">
        <f t="shared" si="24"/>
        <v>174000</v>
      </c>
      <c r="AZ18" s="101">
        <f t="shared" si="25"/>
        <v>188000</v>
      </c>
      <c r="BA18" s="102">
        <f t="shared" si="26"/>
        <v>218000</v>
      </c>
      <c r="BB18" s="77">
        <f t="shared" si="27"/>
        <v>23980</v>
      </c>
      <c r="BC18" s="78">
        <f t="shared" si="28"/>
        <v>194020</v>
      </c>
      <c r="BD18" s="77">
        <f t="shared" si="9"/>
        <v>28340</v>
      </c>
      <c r="BE18" s="78">
        <f t="shared" si="10"/>
        <v>189660</v>
      </c>
    </row>
    <row r="19" spans="2:57" s="42" customFormat="1" ht="15" customHeight="1">
      <c r="B19" s="250"/>
      <c r="C19" s="262"/>
      <c r="D19" s="266"/>
      <c r="E19" s="253"/>
      <c r="F19" s="250"/>
      <c r="G19" s="251"/>
      <c r="H19" s="55" t="s">
        <v>105</v>
      </c>
      <c r="I19" s="51">
        <v>149000</v>
      </c>
      <c r="J19" s="51">
        <v>163000</v>
      </c>
      <c r="K19" s="51">
        <v>209000</v>
      </c>
      <c r="L19" s="51">
        <v>101000</v>
      </c>
      <c r="M19" s="51">
        <v>115000</v>
      </c>
      <c r="N19" s="51">
        <v>27000</v>
      </c>
      <c r="O19" s="51">
        <f t="shared" si="11"/>
        <v>15000</v>
      </c>
      <c r="Q19" s="52">
        <v>139000</v>
      </c>
      <c r="R19" s="52">
        <v>153000</v>
      </c>
      <c r="S19" s="52">
        <v>183000</v>
      </c>
      <c r="T19" s="69">
        <f t="shared" si="12"/>
        <v>1.196078431372549</v>
      </c>
      <c r="U19" s="52">
        <f t="shared" si="13"/>
        <v>30000</v>
      </c>
      <c r="W19" s="56">
        <v>139000</v>
      </c>
      <c r="X19" s="54">
        <f t="shared" si="0"/>
        <v>6.7114093959731558E-2</v>
      </c>
      <c r="Y19" s="56">
        <v>153000</v>
      </c>
      <c r="Z19" s="54">
        <f t="shared" si="1"/>
        <v>6.1349693251533721E-2</v>
      </c>
      <c r="AA19" s="56">
        <v>183000</v>
      </c>
      <c r="AB19" s="53">
        <f t="shared" si="2"/>
        <v>0.12440191387559807</v>
      </c>
      <c r="AC19" s="51">
        <v>54000</v>
      </c>
      <c r="AD19" s="54">
        <f t="shared" si="3"/>
        <v>0.46534653465346532</v>
      </c>
      <c r="AE19" s="51">
        <f t="shared" si="14"/>
        <v>32000</v>
      </c>
      <c r="AF19" s="54">
        <f t="shared" si="4"/>
        <v>0.72173913043478266</v>
      </c>
      <c r="AG19" s="94">
        <v>0</v>
      </c>
      <c r="AH19" s="91">
        <f t="shared" si="5"/>
        <v>1</v>
      </c>
      <c r="AI19" s="94">
        <f t="shared" si="15"/>
        <v>12000</v>
      </c>
      <c r="AJ19" s="91">
        <f t="shared" si="16"/>
        <v>0.55555555555555558</v>
      </c>
      <c r="AK19" s="45">
        <v>0</v>
      </c>
      <c r="AL19" s="47">
        <f t="shared" si="17"/>
        <v>1</v>
      </c>
      <c r="AM19" s="45">
        <f t="shared" si="18"/>
        <v>12000</v>
      </c>
      <c r="AN19" s="47">
        <f t="shared" si="6"/>
        <v>0.19999999999999996</v>
      </c>
      <c r="AP19" s="110">
        <f t="shared" si="19"/>
        <v>225000</v>
      </c>
      <c r="AQ19" s="111">
        <f t="shared" si="20"/>
        <v>239000</v>
      </c>
      <c r="AR19" s="112">
        <f t="shared" si="21"/>
        <v>269000</v>
      </c>
      <c r="AS19" s="77">
        <f t="shared" si="22"/>
        <v>29590</v>
      </c>
      <c r="AT19" s="78">
        <f t="shared" si="23"/>
        <v>239410</v>
      </c>
      <c r="AU19" s="77">
        <f t="shared" si="7"/>
        <v>34970</v>
      </c>
      <c r="AV19" s="78">
        <f t="shared" si="8"/>
        <v>234030</v>
      </c>
      <c r="AY19" s="103">
        <f t="shared" si="24"/>
        <v>195000</v>
      </c>
      <c r="AZ19" s="98">
        <f t="shared" si="25"/>
        <v>209000</v>
      </c>
      <c r="BA19" s="99">
        <f t="shared" si="26"/>
        <v>239000</v>
      </c>
      <c r="BB19" s="77">
        <f t="shared" si="27"/>
        <v>26290</v>
      </c>
      <c r="BC19" s="78">
        <f t="shared" si="28"/>
        <v>212710</v>
      </c>
      <c r="BD19" s="77">
        <f t="shared" si="9"/>
        <v>31070</v>
      </c>
      <c r="BE19" s="78">
        <f t="shared" si="10"/>
        <v>207930</v>
      </c>
    </row>
    <row r="20" spans="2:57" s="42" customFormat="1" ht="15" customHeight="1">
      <c r="B20" s="250"/>
      <c r="C20" s="262"/>
      <c r="D20" s="266"/>
      <c r="E20" s="253"/>
      <c r="F20" s="250"/>
      <c r="G20" s="251"/>
      <c r="H20" s="50" t="s">
        <v>106</v>
      </c>
      <c r="I20" s="51">
        <v>178000</v>
      </c>
      <c r="J20" s="51">
        <v>193000</v>
      </c>
      <c r="K20" s="51">
        <v>268000</v>
      </c>
      <c r="L20" s="51">
        <v>101000</v>
      </c>
      <c r="M20" s="51">
        <v>115000</v>
      </c>
      <c r="N20" s="51">
        <v>27000</v>
      </c>
      <c r="O20" s="51">
        <f t="shared" si="11"/>
        <v>15000</v>
      </c>
      <c r="Q20" s="52">
        <v>178000</v>
      </c>
      <c r="R20" s="52">
        <v>193000</v>
      </c>
      <c r="S20" s="52">
        <v>228000</v>
      </c>
      <c r="T20" s="69">
        <f t="shared" si="12"/>
        <v>1.1813471502590673</v>
      </c>
      <c r="U20" s="52">
        <f t="shared" si="13"/>
        <v>35000</v>
      </c>
      <c r="W20" s="51">
        <v>178000</v>
      </c>
      <c r="X20" s="53">
        <f t="shared" si="0"/>
        <v>0</v>
      </c>
      <c r="Y20" s="51">
        <v>193000</v>
      </c>
      <c r="Z20" s="53">
        <f t="shared" si="1"/>
        <v>0</v>
      </c>
      <c r="AA20" s="51">
        <v>228000</v>
      </c>
      <c r="AB20" s="53">
        <f t="shared" si="2"/>
        <v>0.14925373134328357</v>
      </c>
      <c r="AC20" s="51">
        <v>54000</v>
      </c>
      <c r="AD20" s="54">
        <f t="shared" si="3"/>
        <v>0.46534653465346532</v>
      </c>
      <c r="AE20" s="51">
        <f t="shared" si="14"/>
        <v>32000</v>
      </c>
      <c r="AF20" s="54">
        <f t="shared" si="4"/>
        <v>0.72173913043478266</v>
      </c>
      <c r="AG20" s="94">
        <v>0</v>
      </c>
      <c r="AH20" s="91">
        <f t="shared" si="5"/>
        <v>1</v>
      </c>
      <c r="AI20" s="94">
        <f t="shared" si="15"/>
        <v>12000</v>
      </c>
      <c r="AJ20" s="91">
        <f t="shared" si="16"/>
        <v>0.55555555555555558</v>
      </c>
      <c r="AK20" s="45">
        <v>0</v>
      </c>
      <c r="AL20" s="47">
        <f t="shared" si="17"/>
        <v>1</v>
      </c>
      <c r="AM20" s="45">
        <f t="shared" si="18"/>
        <v>12000</v>
      </c>
      <c r="AN20" s="47">
        <f t="shared" si="6"/>
        <v>0.19999999999999996</v>
      </c>
      <c r="AP20" s="110">
        <f t="shared" si="19"/>
        <v>264000</v>
      </c>
      <c r="AQ20" s="111">
        <f t="shared" si="20"/>
        <v>279000</v>
      </c>
      <c r="AR20" s="112">
        <f t="shared" si="21"/>
        <v>314000</v>
      </c>
      <c r="AS20" s="77">
        <f t="shared" si="22"/>
        <v>34540</v>
      </c>
      <c r="AT20" s="78">
        <f t="shared" si="23"/>
        <v>279460</v>
      </c>
      <c r="AU20" s="77">
        <f t="shared" si="7"/>
        <v>40820</v>
      </c>
      <c r="AV20" s="78">
        <f t="shared" si="8"/>
        <v>273180</v>
      </c>
      <c r="AY20" s="97">
        <f t="shared" si="24"/>
        <v>234000</v>
      </c>
      <c r="AZ20" s="98">
        <f t="shared" si="25"/>
        <v>249000</v>
      </c>
      <c r="BA20" s="99">
        <f t="shared" si="26"/>
        <v>284000</v>
      </c>
      <c r="BB20" s="77">
        <f t="shared" si="27"/>
        <v>31240</v>
      </c>
      <c r="BC20" s="78">
        <f t="shared" si="28"/>
        <v>252760</v>
      </c>
      <c r="BD20" s="77">
        <f t="shared" si="9"/>
        <v>36920</v>
      </c>
      <c r="BE20" s="78">
        <f t="shared" si="10"/>
        <v>247080</v>
      </c>
    </row>
    <row r="21" spans="2:57" s="42" customFormat="1" ht="15" customHeight="1">
      <c r="B21" s="250"/>
      <c r="C21" s="262"/>
      <c r="D21" s="270" t="s">
        <v>81</v>
      </c>
      <c r="E21" s="252" t="s">
        <v>21</v>
      </c>
      <c r="F21" s="248" t="s">
        <v>79</v>
      </c>
      <c r="G21" s="249"/>
      <c r="H21" s="59" t="s">
        <v>45</v>
      </c>
      <c r="I21" s="48">
        <v>98000</v>
      </c>
      <c r="J21" s="48">
        <v>108000</v>
      </c>
      <c r="K21" s="48">
        <v>136000</v>
      </c>
      <c r="L21" s="48">
        <v>101000</v>
      </c>
      <c r="M21" s="48">
        <v>115000</v>
      </c>
      <c r="N21" s="48">
        <v>27000</v>
      </c>
      <c r="O21" s="48">
        <f t="shared" si="11"/>
        <v>15000</v>
      </c>
      <c r="Q21" s="46">
        <v>78000</v>
      </c>
      <c r="R21" s="46">
        <v>88000</v>
      </c>
      <c r="S21" s="46">
        <v>108000</v>
      </c>
      <c r="T21" s="68">
        <f t="shared" si="12"/>
        <v>1.2272727272727273</v>
      </c>
      <c r="U21" s="46">
        <f t="shared" si="13"/>
        <v>20000</v>
      </c>
      <c r="W21" s="48">
        <v>78000</v>
      </c>
      <c r="X21" s="49">
        <f t="shared" si="0"/>
        <v>0.20408163265306123</v>
      </c>
      <c r="Y21" s="48">
        <v>88000</v>
      </c>
      <c r="Z21" s="49">
        <f t="shared" si="1"/>
        <v>0.18518518518518523</v>
      </c>
      <c r="AA21" s="48">
        <v>108000</v>
      </c>
      <c r="AB21" s="49">
        <f t="shared" si="2"/>
        <v>0.20588235294117652</v>
      </c>
      <c r="AC21" s="48">
        <v>54000</v>
      </c>
      <c r="AD21" s="63">
        <f t="shared" si="3"/>
        <v>0.46534653465346532</v>
      </c>
      <c r="AE21" s="48">
        <f t="shared" si="14"/>
        <v>32000</v>
      </c>
      <c r="AF21" s="49">
        <f t="shared" si="4"/>
        <v>0.72173913043478266</v>
      </c>
      <c r="AG21" s="95">
        <v>0</v>
      </c>
      <c r="AH21" s="92">
        <f t="shared" si="5"/>
        <v>1</v>
      </c>
      <c r="AI21" s="95">
        <f t="shared" si="15"/>
        <v>12000</v>
      </c>
      <c r="AJ21" s="92">
        <f t="shared" si="16"/>
        <v>0.55555555555555558</v>
      </c>
      <c r="AK21" s="45">
        <v>0</v>
      </c>
      <c r="AL21" s="47">
        <f t="shared" si="17"/>
        <v>1</v>
      </c>
      <c r="AM21" s="45">
        <f t="shared" si="18"/>
        <v>12000</v>
      </c>
      <c r="AN21" s="47">
        <f t="shared" si="6"/>
        <v>0.19999999999999996</v>
      </c>
      <c r="AP21" s="113">
        <f t="shared" si="19"/>
        <v>164000</v>
      </c>
      <c r="AQ21" s="114">
        <f t="shared" si="20"/>
        <v>174000</v>
      </c>
      <c r="AR21" s="115">
        <f t="shared" si="21"/>
        <v>194000</v>
      </c>
      <c r="AS21" s="77">
        <f t="shared" si="22"/>
        <v>21340</v>
      </c>
      <c r="AT21" s="78">
        <f t="shared" si="23"/>
        <v>172660</v>
      </c>
      <c r="AU21" s="77">
        <f t="shared" si="7"/>
        <v>25220</v>
      </c>
      <c r="AV21" s="78">
        <f t="shared" si="8"/>
        <v>168780</v>
      </c>
      <c r="AY21" s="100">
        <f t="shared" si="24"/>
        <v>134000</v>
      </c>
      <c r="AZ21" s="101">
        <f t="shared" si="25"/>
        <v>144000</v>
      </c>
      <c r="BA21" s="102">
        <f t="shared" si="26"/>
        <v>164000</v>
      </c>
      <c r="BB21" s="77">
        <f t="shared" si="27"/>
        <v>18040</v>
      </c>
      <c r="BC21" s="78">
        <f t="shared" si="28"/>
        <v>145960</v>
      </c>
      <c r="BD21" s="77">
        <f t="shared" si="9"/>
        <v>21320</v>
      </c>
      <c r="BE21" s="78">
        <f t="shared" si="10"/>
        <v>142680</v>
      </c>
    </row>
    <row r="22" spans="2:57" s="42" customFormat="1" ht="15" customHeight="1">
      <c r="B22" s="250"/>
      <c r="C22" s="262"/>
      <c r="D22" s="266"/>
      <c r="E22" s="253"/>
      <c r="F22" s="250"/>
      <c r="G22" s="251"/>
      <c r="H22" s="55" t="s">
        <v>105</v>
      </c>
      <c r="I22" s="51">
        <v>115000</v>
      </c>
      <c r="J22" s="51">
        <v>126000</v>
      </c>
      <c r="K22" s="51">
        <v>171000</v>
      </c>
      <c r="L22" s="51">
        <v>101000</v>
      </c>
      <c r="M22" s="51">
        <v>115000</v>
      </c>
      <c r="N22" s="51">
        <v>27000</v>
      </c>
      <c r="O22" s="51">
        <f t="shared" si="11"/>
        <v>15000</v>
      </c>
      <c r="Q22" s="52">
        <v>95000</v>
      </c>
      <c r="R22" s="52">
        <v>106000</v>
      </c>
      <c r="S22" s="52">
        <v>141000</v>
      </c>
      <c r="T22" s="69">
        <f t="shared" si="12"/>
        <v>1.3301886792452831</v>
      </c>
      <c r="U22" s="52">
        <f t="shared" si="13"/>
        <v>35000</v>
      </c>
      <c r="W22" s="56">
        <v>95000</v>
      </c>
      <c r="X22" s="54">
        <f t="shared" si="0"/>
        <v>0.17391304347826086</v>
      </c>
      <c r="Y22" s="56">
        <v>106000</v>
      </c>
      <c r="Z22" s="54">
        <f t="shared" si="1"/>
        <v>0.15873015873015872</v>
      </c>
      <c r="AA22" s="56">
        <v>141000</v>
      </c>
      <c r="AB22" s="53">
        <f t="shared" si="2"/>
        <v>0.17543859649122806</v>
      </c>
      <c r="AC22" s="51">
        <v>54000</v>
      </c>
      <c r="AD22" s="54">
        <f t="shared" si="3"/>
        <v>0.46534653465346532</v>
      </c>
      <c r="AE22" s="51">
        <f t="shared" si="14"/>
        <v>32000</v>
      </c>
      <c r="AF22" s="54">
        <f t="shared" si="4"/>
        <v>0.72173913043478266</v>
      </c>
      <c r="AG22" s="94">
        <v>0</v>
      </c>
      <c r="AH22" s="91">
        <f t="shared" si="5"/>
        <v>1</v>
      </c>
      <c r="AI22" s="94">
        <f t="shared" si="15"/>
        <v>12000</v>
      </c>
      <c r="AJ22" s="91">
        <f t="shared" si="16"/>
        <v>0.55555555555555558</v>
      </c>
      <c r="AK22" s="45">
        <v>0</v>
      </c>
      <c r="AL22" s="47">
        <f t="shared" si="17"/>
        <v>1</v>
      </c>
      <c r="AM22" s="45">
        <f t="shared" si="18"/>
        <v>12000</v>
      </c>
      <c r="AN22" s="47">
        <f t="shared" si="6"/>
        <v>0.19999999999999996</v>
      </c>
      <c r="AP22" s="110">
        <f t="shared" si="19"/>
        <v>181000</v>
      </c>
      <c r="AQ22" s="111">
        <f t="shared" si="20"/>
        <v>192000</v>
      </c>
      <c r="AR22" s="112">
        <f t="shared" si="21"/>
        <v>227000</v>
      </c>
      <c r="AS22" s="77">
        <f t="shared" si="22"/>
        <v>24970</v>
      </c>
      <c r="AT22" s="78">
        <f t="shared" si="23"/>
        <v>202030</v>
      </c>
      <c r="AU22" s="77">
        <f t="shared" si="7"/>
        <v>29510</v>
      </c>
      <c r="AV22" s="78">
        <f t="shared" si="8"/>
        <v>197490</v>
      </c>
      <c r="AY22" s="103">
        <f t="shared" si="24"/>
        <v>151000</v>
      </c>
      <c r="AZ22" s="98">
        <f t="shared" si="25"/>
        <v>162000</v>
      </c>
      <c r="BA22" s="99">
        <f t="shared" si="26"/>
        <v>197000</v>
      </c>
      <c r="BB22" s="77">
        <f t="shared" si="27"/>
        <v>21670</v>
      </c>
      <c r="BC22" s="78">
        <f t="shared" si="28"/>
        <v>175330</v>
      </c>
      <c r="BD22" s="77">
        <f t="shared" si="9"/>
        <v>25610</v>
      </c>
      <c r="BE22" s="78">
        <f t="shared" si="10"/>
        <v>171390</v>
      </c>
    </row>
    <row r="23" spans="2:57" s="42" customFormat="1" ht="15" customHeight="1">
      <c r="B23" s="250"/>
      <c r="C23" s="262"/>
      <c r="D23" s="266"/>
      <c r="E23" s="253"/>
      <c r="F23" s="250"/>
      <c r="G23" s="251"/>
      <c r="H23" s="50" t="s">
        <v>106</v>
      </c>
      <c r="I23" s="51">
        <v>141000</v>
      </c>
      <c r="J23" s="51">
        <v>152000</v>
      </c>
      <c r="K23" s="51">
        <v>224000</v>
      </c>
      <c r="L23" s="51">
        <v>101000</v>
      </c>
      <c r="M23" s="51">
        <v>115000</v>
      </c>
      <c r="N23" s="51">
        <v>27000</v>
      </c>
      <c r="O23" s="51">
        <f t="shared" si="11"/>
        <v>15000</v>
      </c>
      <c r="Q23" s="52">
        <v>141000</v>
      </c>
      <c r="R23" s="52">
        <v>152000</v>
      </c>
      <c r="S23" s="52">
        <v>182000</v>
      </c>
      <c r="T23" s="69">
        <f t="shared" si="12"/>
        <v>1.1973684210526316</v>
      </c>
      <c r="U23" s="52">
        <f t="shared" si="13"/>
        <v>30000</v>
      </c>
      <c r="W23" s="56">
        <v>141000</v>
      </c>
      <c r="X23" s="54">
        <f t="shared" si="0"/>
        <v>0</v>
      </c>
      <c r="Y23" s="56">
        <v>152000</v>
      </c>
      <c r="Z23" s="54">
        <f t="shared" si="1"/>
        <v>0</v>
      </c>
      <c r="AA23" s="56">
        <v>182000</v>
      </c>
      <c r="AB23" s="53">
        <f t="shared" si="2"/>
        <v>0.1875</v>
      </c>
      <c r="AC23" s="51">
        <v>54000</v>
      </c>
      <c r="AD23" s="54">
        <f t="shared" si="3"/>
        <v>0.46534653465346532</v>
      </c>
      <c r="AE23" s="51">
        <f t="shared" si="14"/>
        <v>32000</v>
      </c>
      <c r="AF23" s="54">
        <f t="shared" si="4"/>
        <v>0.72173913043478266</v>
      </c>
      <c r="AG23" s="94">
        <v>0</v>
      </c>
      <c r="AH23" s="91">
        <f t="shared" si="5"/>
        <v>1</v>
      </c>
      <c r="AI23" s="94">
        <f t="shared" si="15"/>
        <v>12000</v>
      </c>
      <c r="AJ23" s="91">
        <f t="shared" si="16"/>
        <v>0.55555555555555558</v>
      </c>
      <c r="AK23" s="45">
        <v>0</v>
      </c>
      <c r="AL23" s="47">
        <f t="shared" si="17"/>
        <v>1</v>
      </c>
      <c r="AM23" s="45">
        <f t="shared" si="18"/>
        <v>12000</v>
      </c>
      <c r="AN23" s="47">
        <f t="shared" si="6"/>
        <v>0.19999999999999996</v>
      </c>
      <c r="AP23" s="110">
        <f t="shared" si="19"/>
        <v>227000</v>
      </c>
      <c r="AQ23" s="111">
        <f t="shared" si="20"/>
        <v>238000</v>
      </c>
      <c r="AR23" s="112">
        <f t="shared" si="21"/>
        <v>268000</v>
      </c>
      <c r="AS23" s="77">
        <f t="shared" si="22"/>
        <v>29480</v>
      </c>
      <c r="AT23" s="78">
        <f t="shared" si="23"/>
        <v>238520</v>
      </c>
      <c r="AU23" s="77">
        <f t="shared" si="7"/>
        <v>34840</v>
      </c>
      <c r="AV23" s="78">
        <f t="shared" si="8"/>
        <v>233160</v>
      </c>
      <c r="AY23" s="103">
        <f t="shared" si="24"/>
        <v>197000</v>
      </c>
      <c r="AZ23" s="98">
        <f t="shared" si="25"/>
        <v>208000</v>
      </c>
      <c r="BA23" s="99">
        <f t="shared" si="26"/>
        <v>238000</v>
      </c>
      <c r="BB23" s="77">
        <f t="shared" si="27"/>
        <v>26180</v>
      </c>
      <c r="BC23" s="78">
        <f t="shared" si="28"/>
        <v>211820</v>
      </c>
      <c r="BD23" s="77">
        <f t="shared" si="9"/>
        <v>30940</v>
      </c>
      <c r="BE23" s="78">
        <f t="shared" si="10"/>
        <v>207060</v>
      </c>
    </row>
    <row r="24" spans="2:57" s="42" customFormat="1" ht="15" customHeight="1">
      <c r="B24" s="250"/>
      <c r="C24" s="262"/>
      <c r="D24" s="266"/>
      <c r="E24" s="253"/>
      <c r="F24" s="250"/>
      <c r="G24" s="251"/>
      <c r="H24" s="90">
        <v>46219</v>
      </c>
      <c r="I24" s="51">
        <v>163000</v>
      </c>
      <c r="J24" s="51">
        <v>174000</v>
      </c>
      <c r="K24" s="51">
        <v>260000</v>
      </c>
      <c r="L24" s="51">
        <v>101000</v>
      </c>
      <c r="M24" s="51">
        <v>115000</v>
      </c>
      <c r="N24" s="51">
        <v>27000</v>
      </c>
      <c r="O24" s="51">
        <f t="shared" si="11"/>
        <v>15000</v>
      </c>
      <c r="Q24" s="52">
        <v>143000</v>
      </c>
      <c r="R24" s="52">
        <v>154000</v>
      </c>
      <c r="S24" s="52">
        <v>210000</v>
      </c>
      <c r="T24" s="69">
        <f t="shared" si="12"/>
        <v>1.3636363636363635</v>
      </c>
      <c r="U24" s="52">
        <f t="shared" si="13"/>
        <v>56000</v>
      </c>
      <c r="W24" s="56">
        <v>143000</v>
      </c>
      <c r="X24" s="54">
        <f t="shared" si="0"/>
        <v>0.12269938650306744</v>
      </c>
      <c r="Y24" s="56">
        <v>154000</v>
      </c>
      <c r="Z24" s="54">
        <f t="shared" si="1"/>
        <v>0.11494252873563215</v>
      </c>
      <c r="AA24" s="56">
        <v>210000</v>
      </c>
      <c r="AB24" s="53">
        <f t="shared" si="2"/>
        <v>0.19230769230769229</v>
      </c>
      <c r="AC24" s="51">
        <v>54000</v>
      </c>
      <c r="AD24" s="54">
        <f t="shared" si="3"/>
        <v>0.46534653465346532</v>
      </c>
      <c r="AE24" s="51">
        <f t="shared" si="14"/>
        <v>32000</v>
      </c>
      <c r="AF24" s="54">
        <f t="shared" si="4"/>
        <v>0.72173913043478266</v>
      </c>
      <c r="AG24" s="94">
        <v>0</v>
      </c>
      <c r="AH24" s="91">
        <f t="shared" si="5"/>
        <v>1</v>
      </c>
      <c r="AI24" s="94">
        <f t="shared" si="15"/>
        <v>12000</v>
      </c>
      <c r="AJ24" s="91">
        <f t="shared" si="16"/>
        <v>0.55555555555555558</v>
      </c>
      <c r="AK24" s="45">
        <v>0</v>
      </c>
      <c r="AL24" s="47">
        <f t="shared" si="17"/>
        <v>1</v>
      </c>
      <c r="AM24" s="45">
        <f t="shared" si="18"/>
        <v>12000</v>
      </c>
      <c r="AN24" s="47">
        <f t="shared" si="6"/>
        <v>0.19999999999999996</v>
      </c>
      <c r="AP24" s="110">
        <f t="shared" si="19"/>
        <v>229000</v>
      </c>
      <c r="AQ24" s="111">
        <f t="shared" si="20"/>
        <v>240000</v>
      </c>
      <c r="AR24" s="112">
        <f t="shared" si="21"/>
        <v>296000</v>
      </c>
      <c r="AS24" s="77">
        <f t="shared" si="22"/>
        <v>32560</v>
      </c>
      <c r="AT24" s="78">
        <f t="shared" si="23"/>
        <v>263440</v>
      </c>
      <c r="AU24" s="77">
        <f t="shared" si="7"/>
        <v>38480</v>
      </c>
      <c r="AV24" s="78">
        <f t="shared" si="8"/>
        <v>257520</v>
      </c>
      <c r="AY24" s="103">
        <f t="shared" si="24"/>
        <v>199000</v>
      </c>
      <c r="AZ24" s="98">
        <f t="shared" si="25"/>
        <v>210000</v>
      </c>
      <c r="BA24" s="99">
        <f t="shared" si="26"/>
        <v>266000</v>
      </c>
      <c r="BB24" s="77">
        <f t="shared" si="27"/>
        <v>29260</v>
      </c>
      <c r="BC24" s="78">
        <f t="shared" si="28"/>
        <v>236740</v>
      </c>
      <c r="BD24" s="77">
        <f t="shared" si="9"/>
        <v>34580</v>
      </c>
      <c r="BE24" s="78">
        <f t="shared" si="10"/>
        <v>231420</v>
      </c>
    </row>
    <row r="25" spans="2:57" s="42" customFormat="1" ht="15" customHeight="1">
      <c r="B25" s="250"/>
      <c r="C25" s="262"/>
      <c r="D25" s="266"/>
      <c r="E25" s="253"/>
      <c r="F25" s="248" t="s">
        <v>82</v>
      </c>
      <c r="G25" s="249"/>
      <c r="H25" s="59" t="s">
        <v>45</v>
      </c>
      <c r="I25" s="48">
        <v>109000</v>
      </c>
      <c r="J25" s="48">
        <v>119000</v>
      </c>
      <c r="K25" s="48">
        <v>147000</v>
      </c>
      <c r="L25" s="48">
        <v>101000</v>
      </c>
      <c r="M25" s="48">
        <v>115000</v>
      </c>
      <c r="N25" s="48">
        <v>27000</v>
      </c>
      <c r="O25" s="48">
        <f t="shared" si="11"/>
        <v>15000</v>
      </c>
      <c r="Q25" s="46">
        <v>99000</v>
      </c>
      <c r="R25" s="46">
        <v>109000</v>
      </c>
      <c r="S25" s="46">
        <v>139000</v>
      </c>
      <c r="T25" s="68">
        <f t="shared" si="12"/>
        <v>1.275229357798165</v>
      </c>
      <c r="U25" s="46">
        <f t="shared" si="13"/>
        <v>30000</v>
      </c>
      <c r="W25" s="48">
        <v>99000</v>
      </c>
      <c r="X25" s="49">
        <f t="shared" si="0"/>
        <v>9.1743119266055051E-2</v>
      </c>
      <c r="Y25" s="48">
        <v>109000</v>
      </c>
      <c r="Z25" s="49">
        <f t="shared" si="1"/>
        <v>8.4033613445378186E-2</v>
      </c>
      <c r="AA25" s="48">
        <v>139000</v>
      </c>
      <c r="AB25" s="49">
        <f t="shared" si="2"/>
        <v>5.4421768707482943E-2</v>
      </c>
      <c r="AC25" s="48">
        <v>54000</v>
      </c>
      <c r="AD25" s="63">
        <f t="shared" si="3"/>
        <v>0.46534653465346532</v>
      </c>
      <c r="AE25" s="48">
        <f t="shared" si="14"/>
        <v>32000</v>
      </c>
      <c r="AF25" s="49">
        <f t="shared" si="4"/>
        <v>0.72173913043478266</v>
      </c>
      <c r="AG25" s="95">
        <v>0</v>
      </c>
      <c r="AH25" s="92">
        <f t="shared" si="5"/>
        <v>1</v>
      </c>
      <c r="AI25" s="95">
        <f t="shared" si="15"/>
        <v>12000</v>
      </c>
      <c r="AJ25" s="92">
        <f t="shared" si="16"/>
        <v>0.55555555555555558</v>
      </c>
      <c r="AK25" s="45">
        <v>0</v>
      </c>
      <c r="AL25" s="47">
        <f t="shared" si="17"/>
        <v>1</v>
      </c>
      <c r="AM25" s="45">
        <f t="shared" si="18"/>
        <v>12000</v>
      </c>
      <c r="AN25" s="47">
        <f t="shared" si="6"/>
        <v>0.19999999999999996</v>
      </c>
      <c r="AP25" s="113">
        <f t="shared" si="19"/>
        <v>185000</v>
      </c>
      <c r="AQ25" s="114">
        <f t="shared" si="20"/>
        <v>195000</v>
      </c>
      <c r="AR25" s="115">
        <f t="shared" si="21"/>
        <v>225000</v>
      </c>
      <c r="AS25" s="77">
        <f t="shared" si="22"/>
        <v>24750</v>
      </c>
      <c r="AT25" s="78">
        <f t="shared" si="23"/>
        <v>200250</v>
      </c>
      <c r="AU25" s="77">
        <f t="shared" si="7"/>
        <v>29250</v>
      </c>
      <c r="AV25" s="78">
        <f t="shared" si="8"/>
        <v>195750</v>
      </c>
      <c r="AY25" s="100">
        <f t="shared" si="24"/>
        <v>155000</v>
      </c>
      <c r="AZ25" s="101">
        <f t="shared" si="25"/>
        <v>165000</v>
      </c>
      <c r="BA25" s="102">
        <f t="shared" si="26"/>
        <v>195000</v>
      </c>
      <c r="BB25" s="77">
        <f t="shared" si="27"/>
        <v>21450</v>
      </c>
      <c r="BC25" s="78">
        <f t="shared" si="28"/>
        <v>173550</v>
      </c>
      <c r="BD25" s="77">
        <f t="shared" si="9"/>
        <v>25350</v>
      </c>
      <c r="BE25" s="78">
        <f t="shared" si="10"/>
        <v>169650</v>
      </c>
    </row>
    <row r="26" spans="2:57" s="42" customFormat="1" ht="15" customHeight="1">
      <c r="B26" s="250"/>
      <c r="C26" s="262"/>
      <c r="D26" s="266"/>
      <c r="E26" s="253"/>
      <c r="F26" s="250"/>
      <c r="G26" s="251"/>
      <c r="H26" s="55" t="s">
        <v>105</v>
      </c>
      <c r="I26" s="51">
        <v>126000</v>
      </c>
      <c r="J26" s="51">
        <v>137000</v>
      </c>
      <c r="K26" s="51">
        <v>182000</v>
      </c>
      <c r="L26" s="51">
        <v>101000</v>
      </c>
      <c r="M26" s="51">
        <v>115000</v>
      </c>
      <c r="N26" s="51">
        <v>27000</v>
      </c>
      <c r="O26" s="51">
        <f t="shared" si="11"/>
        <v>15000</v>
      </c>
      <c r="Q26" s="52">
        <v>116000</v>
      </c>
      <c r="R26" s="52">
        <v>127000</v>
      </c>
      <c r="S26" s="52">
        <v>157000</v>
      </c>
      <c r="T26" s="69">
        <f t="shared" si="12"/>
        <v>1.2362204724409449</v>
      </c>
      <c r="U26" s="52">
        <f t="shared" si="13"/>
        <v>30000</v>
      </c>
      <c r="W26" s="56">
        <v>116000</v>
      </c>
      <c r="X26" s="54">
        <f t="shared" si="0"/>
        <v>7.9365079365079416E-2</v>
      </c>
      <c r="Y26" s="56">
        <v>127000</v>
      </c>
      <c r="Z26" s="54">
        <f t="shared" si="1"/>
        <v>7.2992700729927029E-2</v>
      </c>
      <c r="AA26" s="56">
        <v>157000</v>
      </c>
      <c r="AB26" s="54">
        <f t="shared" si="2"/>
        <v>0.13736263736263732</v>
      </c>
      <c r="AC26" s="51">
        <v>54000</v>
      </c>
      <c r="AD26" s="54">
        <f t="shared" si="3"/>
        <v>0.46534653465346532</v>
      </c>
      <c r="AE26" s="51">
        <f t="shared" si="14"/>
        <v>32000</v>
      </c>
      <c r="AF26" s="54">
        <f t="shared" si="4"/>
        <v>0.72173913043478266</v>
      </c>
      <c r="AG26" s="94">
        <v>0</v>
      </c>
      <c r="AH26" s="91">
        <f t="shared" si="5"/>
        <v>1</v>
      </c>
      <c r="AI26" s="94">
        <f t="shared" si="15"/>
        <v>12000</v>
      </c>
      <c r="AJ26" s="91">
        <f t="shared" si="16"/>
        <v>0.55555555555555558</v>
      </c>
      <c r="AK26" s="45">
        <v>0</v>
      </c>
      <c r="AL26" s="47">
        <f t="shared" si="17"/>
        <v>1</v>
      </c>
      <c r="AM26" s="45">
        <f t="shared" si="18"/>
        <v>12000</v>
      </c>
      <c r="AN26" s="47">
        <f t="shared" si="6"/>
        <v>0.19999999999999996</v>
      </c>
      <c r="AP26" s="110">
        <f t="shared" si="19"/>
        <v>202000</v>
      </c>
      <c r="AQ26" s="111">
        <f t="shared" si="20"/>
        <v>213000</v>
      </c>
      <c r="AR26" s="112">
        <f t="shared" si="21"/>
        <v>243000</v>
      </c>
      <c r="AS26" s="77">
        <f t="shared" si="22"/>
        <v>26730</v>
      </c>
      <c r="AT26" s="78">
        <f t="shared" si="23"/>
        <v>216270</v>
      </c>
      <c r="AU26" s="77">
        <f t="shared" si="7"/>
        <v>31590</v>
      </c>
      <c r="AV26" s="78">
        <f t="shared" si="8"/>
        <v>211410</v>
      </c>
      <c r="AY26" s="103">
        <f t="shared" si="24"/>
        <v>172000</v>
      </c>
      <c r="AZ26" s="98">
        <f t="shared" si="25"/>
        <v>183000</v>
      </c>
      <c r="BA26" s="99">
        <f t="shared" si="26"/>
        <v>213000</v>
      </c>
      <c r="BB26" s="77">
        <f t="shared" si="27"/>
        <v>23430</v>
      </c>
      <c r="BC26" s="78">
        <f t="shared" si="28"/>
        <v>189570</v>
      </c>
      <c r="BD26" s="77">
        <f t="shared" si="9"/>
        <v>27690</v>
      </c>
      <c r="BE26" s="78">
        <f t="shared" si="10"/>
        <v>185310</v>
      </c>
    </row>
    <row r="27" spans="2:57" s="42" customFormat="1" ht="15" customHeight="1">
      <c r="B27" s="250"/>
      <c r="C27" s="262"/>
      <c r="D27" s="266"/>
      <c r="E27" s="253"/>
      <c r="F27" s="250"/>
      <c r="G27" s="251"/>
      <c r="H27" s="50" t="s">
        <v>106</v>
      </c>
      <c r="I27" s="51">
        <v>152000</v>
      </c>
      <c r="J27" s="51">
        <v>163000</v>
      </c>
      <c r="K27" s="51">
        <v>235000</v>
      </c>
      <c r="L27" s="51">
        <v>101000</v>
      </c>
      <c r="M27" s="51">
        <v>115000</v>
      </c>
      <c r="N27" s="51">
        <v>27000</v>
      </c>
      <c r="O27" s="51">
        <f t="shared" si="11"/>
        <v>15000</v>
      </c>
      <c r="Q27" s="52">
        <v>152000</v>
      </c>
      <c r="R27" s="52">
        <v>163000</v>
      </c>
      <c r="S27" s="52">
        <v>198000</v>
      </c>
      <c r="T27" s="69">
        <f t="shared" si="12"/>
        <v>1.2147239263803682</v>
      </c>
      <c r="U27" s="52">
        <f t="shared" si="13"/>
        <v>35000</v>
      </c>
      <c r="W27" s="56">
        <v>152000</v>
      </c>
      <c r="X27" s="54">
        <f t="shared" si="0"/>
        <v>0</v>
      </c>
      <c r="Y27" s="56">
        <v>163000</v>
      </c>
      <c r="Z27" s="54">
        <f t="shared" si="1"/>
        <v>0</v>
      </c>
      <c r="AA27" s="56">
        <v>198000</v>
      </c>
      <c r="AB27" s="54">
        <f t="shared" si="2"/>
        <v>0.1574468085106383</v>
      </c>
      <c r="AC27" s="51">
        <v>54000</v>
      </c>
      <c r="AD27" s="54">
        <f t="shared" si="3"/>
        <v>0.46534653465346532</v>
      </c>
      <c r="AE27" s="51">
        <f t="shared" si="14"/>
        <v>32000</v>
      </c>
      <c r="AF27" s="54">
        <f t="shared" si="4"/>
        <v>0.72173913043478266</v>
      </c>
      <c r="AG27" s="94">
        <v>0</v>
      </c>
      <c r="AH27" s="91">
        <f t="shared" si="5"/>
        <v>1</v>
      </c>
      <c r="AI27" s="94">
        <f t="shared" si="15"/>
        <v>12000</v>
      </c>
      <c r="AJ27" s="91">
        <f t="shared" si="16"/>
        <v>0.55555555555555558</v>
      </c>
      <c r="AK27" s="45">
        <v>0</v>
      </c>
      <c r="AL27" s="47">
        <f t="shared" si="17"/>
        <v>1</v>
      </c>
      <c r="AM27" s="45">
        <f t="shared" si="18"/>
        <v>12000</v>
      </c>
      <c r="AN27" s="47">
        <f t="shared" si="6"/>
        <v>0.19999999999999996</v>
      </c>
      <c r="AP27" s="110">
        <f t="shared" si="19"/>
        <v>238000</v>
      </c>
      <c r="AQ27" s="111">
        <f t="shared" si="20"/>
        <v>249000</v>
      </c>
      <c r="AR27" s="112">
        <f t="shared" si="21"/>
        <v>284000</v>
      </c>
      <c r="AS27" s="77">
        <f t="shared" si="22"/>
        <v>31240</v>
      </c>
      <c r="AT27" s="78">
        <f t="shared" si="23"/>
        <v>252760</v>
      </c>
      <c r="AU27" s="77">
        <f t="shared" si="7"/>
        <v>36920</v>
      </c>
      <c r="AV27" s="78">
        <f t="shared" si="8"/>
        <v>247080</v>
      </c>
      <c r="AY27" s="103">
        <f t="shared" si="24"/>
        <v>208000</v>
      </c>
      <c r="AZ27" s="98">
        <f t="shared" si="25"/>
        <v>219000</v>
      </c>
      <c r="BA27" s="99">
        <f t="shared" si="26"/>
        <v>254000</v>
      </c>
      <c r="BB27" s="77">
        <f t="shared" si="27"/>
        <v>27940</v>
      </c>
      <c r="BC27" s="78">
        <f t="shared" si="28"/>
        <v>226060</v>
      </c>
      <c r="BD27" s="77">
        <f t="shared" si="9"/>
        <v>33020</v>
      </c>
      <c r="BE27" s="78">
        <f t="shared" si="10"/>
        <v>220980</v>
      </c>
    </row>
    <row r="28" spans="2:57" s="42" customFormat="1" ht="15" customHeight="1">
      <c r="B28" s="250"/>
      <c r="C28" s="262"/>
      <c r="D28" s="266"/>
      <c r="E28" s="253"/>
      <c r="F28" s="250"/>
      <c r="G28" s="251"/>
      <c r="H28" s="90">
        <v>46219</v>
      </c>
      <c r="I28" s="51">
        <v>174000</v>
      </c>
      <c r="J28" s="51">
        <v>185000</v>
      </c>
      <c r="K28" s="51">
        <v>271000</v>
      </c>
      <c r="L28" s="51">
        <v>101000</v>
      </c>
      <c r="M28" s="51">
        <v>115000</v>
      </c>
      <c r="N28" s="51">
        <v>27000</v>
      </c>
      <c r="O28" s="51">
        <f t="shared" si="11"/>
        <v>15000</v>
      </c>
      <c r="Q28" s="52">
        <v>154000</v>
      </c>
      <c r="R28" s="52">
        <v>165000</v>
      </c>
      <c r="S28" s="52">
        <v>221000</v>
      </c>
      <c r="T28" s="69">
        <f t="shared" si="12"/>
        <v>1.3393939393939394</v>
      </c>
      <c r="U28" s="52">
        <f t="shared" si="13"/>
        <v>56000</v>
      </c>
      <c r="W28" s="56">
        <v>154000</v>
      </c>
      <c r="X28" s="54">
        <f t="shared" si="0"/>
        <v>0.11494252873563215</v>
      </c>
      <c r="Y28" s="56">
        <v>165000</v>
      </c>
      <c r="Z28" s="54">
        <f t="shared" si="1"/>
        <v>0.10810810810810811</v>
      </c>
      <c r="AA28" s="56">
        <v>221000</v>
      </c>
      <c r="AB28" s="54">
        <f t="shared" si="2"/>
        <v>0.18450184501845024</v>
      </c>
      <c r="AC28" s="51">
        <v>54000</v>
      </c>
      <c r="AD28" s="54">
        <f t="shared" si="3"/>
        <v>0.46534653465346532</v>
      </c>
      <c r="AE28" s="51">
        <f t="shared" si="14"/>
        <v>32000</v>
      </c>
      <c r="AF28" s="54">
        <f t="shared" si="4"/>
        <v>0.72173913043478266</v>
      </c>
      <c r="AG28" s="94">
        <v>0</v>
      </c>
      <c r="AH28" s="91">
        <f t="shared" si="5"/>
        <v>1</v>
      </c>
      <c r="AI28" s="94">
        <f t="shared" si="15"/>
        <v>12000</v>
      </c>
      <c r="AJ28" s="91">
        <f t="shared" si="16"/>
        <v>0.55555555555555558</v>
      </c>
      <c r="AK28" s="45">
        <v>0</v>
      </c>
      <c r="AL28" s="47">
        <f t="shared" si="17"/>
        <v>1</v>
      </c>
      <c r="AM28" s="45">
        <f t="shared" si="18"/>
        <v>12000</v>
      </c>
      <c r="AN28" s="47">
        <f t="shared" si="6"/>
        <v>0.19999999999999996</v>
      </c>
      <c r="AP28" s="110">
        <f t="shared" si="19"/>
        <v>240000</v>
      </c>
      <c r="AQ28" s="111">
        <f t="shared" si="20"/>
        <v>251000</v>
      </c>
      <c r="AR28" s="112">
        <f t="shared" si="21"/>
        <v>307000</v>
      </c>
      <c r="AS28" s="77">
        <f t="shared" si="22"/>
        <v>33770</v>
      </c>
      <c r="AT28" s="78">
        <f t="shared" si="23"/>
        <v>273230</v>
      </c>
      <c r="AU28" s="77">
        <f t="shared" si="7"/>
        <v>39910</v>
      </c>
      <c r="AV28" s="78">
        <f t="shared" si="8"/>
        <v>267090</v>
      </c>
      <c r="AY28" s="103">
        <f t="shared" si="24"/>
        <v>210000</v>
      </c>
      <c r="AZ28" s="98">
        <f t="shared" si="25"/>
        <v>221000</v>
      </c>
      <c r="BA28" s="99">
        <f t="shared" si="26"/>
        <v>277000</v>
      </c>
      <c r="BB28" s="77">
        <f t="shared" si="27"/>
        <v>30470</v>
      </c>
      <c r="BC28" s="78">
        <f t="shared" si="28"/>
        <v>246530</v>
      </c>
      <c r="BD28" s="77">
        <f t="shared" si="9"/>
        <v>36010</v>
      </c>
      <c r="BE28" s="78">
        <f t="shared" si="10"/>
        <v>240990</v>
      </c>
    </row>
    <row r="29" spans="2:57" s="42" customFormat="1" ht="15" customHeight="1">
      <c r="B29" s="250"/>
      <c r="C29" s="262"/>
      <c r="D29" s="266"/>
      <c r="E29" s="253"/>
      <c r="F29" s="248" t="s">
        <v>80</v>
      </c>
      <c r="G29" s="249"/>
      <c r="H29" s="59" t="s">
        <v>45</v>
      </c>
      <c r="I29" s="48">
        <v>120000</v>
      </c>
      <c r="J29" s="48">
        <v>130000</v>
      </c>
      <c r="K29" s="48">
        <v>158000</v>
      </c>
      <c r="L29" s="48">
        <v>101000</v>
      </c>
      <c r="M29" s="48">
        <v>115000</v>
      </c>
      <c r="N29" s="48">
        <v>27000</v>
      </c>
      <c r="O29" s="48">
        <f t="shared" si="11"/>
        <v>15000</v>
      </c>
      <c r="Q29" s="46">
        <v>110000</v>
      </c>
      <c r="R29" s="46">
        <v>120000</v>
      </c>
      <c r="S29" s="46">
        <v>150000</v>
      </c>
      <c r="T29" s="68">
        <f t="shared" si="12"/>
        <v>1.25</v>
      </c>
      <c r="U29" s="46">
        <f t="shared" si="13"/>
        <v>30000</v>
      </c>
      <c r="W29" s="48">
        <v>110000</v>
      </c>
      <c r="X29" s="49">
        <f t="shared" si="0"/>
        <v>8.333333333333337E-2</v>
      </c>
      <c r="Y29" s="48">
        <v>120000</v>
      </c>
      <c r="Z29" s="49">
        <f t="shared" si="1"/>
        <v>7.6923076923076872E-2</v>
      </c>
      <c r="AA29" s="48">
        <v>150000</v>
      </c>
      <c r="AB29" s="49">
        <f t="shared" si="2"/>
        <v>5.0632911392405111E-2</v>
      </c>
      <c r="AC29" s="48">
        <v>54000</v>
      </c>
      <c r="AD29" s="63">
        <f t="shared" si="3"/>
        <v>0.46534653465346532</v>
      </c>
      <c r="AE29" s="48">
        <f t="shared" si="14"/>
        <v>32000</v>
      </c>
      <c r="AF29" s="49">
        <f t="shared" si="4"/>
        <v>0.72173913043478266</v>
      </c>
      <c r="AG29" s="95">
        <v>0</v>
      </c>
      <c r="AH29" s="92">
        <f t="shared" si="5"/>
        <v>1</v>
      </c>
      <c r="AI29" s="95">
        <f t="shared" si="15"/>
        <v>12000</v>
      </c>
      <c r="AJ29" s="92">
        <f t="shared" si="16"/>
        <v>0.55555555555555558</v>
      </c>
      <c r="AK29" s="45">
        <v>0</v>
      </c>
      <c r="AL29" s="47">
        <f t="shared" si="17"/>
        <v>1</v>
      </c>
      <c r="AM29" s="45">
        <f t="shared" si="18"/>
        <v>12000</v>
      </c>
      <c r="AN29" s="47">
        <f t="shared" si="6"/>
        <v>0.19999999999999996</v>
      </c>
      <c r="AP29" s="113">
        <f t="shared" si="19"/>
        <v>196000</v>
      </c>
      <c r="AQ29" s="114">
        <f t="shared" si="20"/>
        <v>206000</v>
      </c>
      <c r="AR29" s="115">
        <f t="shared" si="21"/>
        <v>236000</v>
      </c>
      <c r="AS29" s="77">
        <f t="shared" si="22"/>
        <v>25960</v>
      </c>
      <c r="AT29" s="78">
        <f t="shared" si="23"/>
        <v>210040</v>
      </c>
      <c r="AU29" s="77">
        <f t="shared" si="7"/>
        <v>30680</v>
      </c>
      <c r="AV29" s="78">
        <f t="shared" si="8"/>
        <v>205320</v>
      </c>
      <c r="AY29" s="100">
        <f t="shared" si="24"/>
        <v>166000</v>
      </c>
      <c r="AZ29" s="101">
        <f t="shared" si="25"/>
        <v>176000</v>
      </c>
      <c r="BA29" s="102">
        <f t="shared" si="26"/>
        <v>206000</v>
      </c>
      <c r="BB29" s="77">
        <f t="shared" si="27"/>
        <v>22660</v>
      </c>
      <c r="BC29" s="78">
        <f t="shared" si="28"/>
        <v>183340</v>
      </c>
      <c r="BD29" s="77">
        <f t="shared" si="9"/>
        <v>26780</v>
      </c>
      <c r="BE29" s="78">
        <f t="shared" si="10"/>
        <v>179220</v>
      </c>
    </row>
    <row r="30" spans="2:57" s="42" customFormat="1" ht="15" customHeight="1">
      <c r="B30" s="250"/>
      <c r="C30" s="262"/>
      <c r="D30" s="266"/>
      <c r="E30" s="253"/>
      <c r="F30" s="250"/>
      <c r="G30" s="251"/>
      <c r="H30" s="55" t="s">
        <v>105</v>
      </c>
      <c r="I30" s="51">
        <v>137000</v>
      </c>
      <c r="J30" s="51">
        <v>148000</v>
      </c>
      <c r="K30" s="51">
        <v>193000</v>
      </c>
      <c r="L30" s="51">
        <v>101000</v>
      </c>
      <c r="M30" s="51">
        <v>115000</v>
      </c>
      <c r="N30" s="51">
        <v>27000</v>
      </c>
      <c r="O30" s="51">
        <f t="shared" si="11"/>
        <v>15000</v>
      </c>
      <c r="Q30" s="52">
        <v>127000</v>
      </c>
      <c r="R30" s="52">
        <v>138000</v>
      </c>
      <c r="S30" s="52">
        <v>168000</v>
      </c>
      <c r="T30" s="69">
        <f t="shared" si="12"/>
        <v>1.2173913043478262</v>
      </c>
      <c r="U30" s="52">
        <f t="shared" si="13"/>
        <v>30000</v>
      </c>
      <c r="W30" s="56">
        <v>127000</v>
      </c>
      <c r="X30" s="54">
        <f t="shared" si="0"/>
        <v>7.2992700729927029E-2</v>
      </c>
      <c r="Y30" s="56">
        <v>138000</v>
      </c>
      <c r="Z30" s="54">
        <f t="shared" si="1"/>
        <v>6.7567567567567544E-2</v>
      </c>
      <c r="AA30" s="56">
        <v>168000</v>
      </c>
      <c r="AB30" s="54">
        <f t="shared" si="2"/>
        <v>0.1295336787564767</v>
      </c>
      <c r="AC30" s="51">
        <v>54000</v>
      </c>
      <c r="AD30" s="54">
        <f t="shared" si="3"/>
        <v>0.46534653465346532</v>
      </c>
      <c r="AE30" s="51">
        <f t="shared" si="14"/>
        <v>32000</v>
      </c>
      <c r="AF30" s="54">
        <f t="shared" si="4"/>
        <v>0.72173913043478266</v>
      </c>
      <c r="AG30" s="94">
        <v>0</v>
      </c>
      <c r="AH30" s="91">
        <f t="shared" si="5"/>
        <v>1</v>
      </c>
      <c r="AI30" s="94">
        <f t="shared" si="15"/>
        <v>12000</v>
      </c>
      <c r="AJ30" s="91">
        <f t="shared" si="16"/>
        <v>0.55555555555555558</v>
      </c>
      <c r="AK30" s="45">
        <v>0</v>
      </c>
      <c r="AL30" s="47">
        <f t="shared" si="17"/>
        <v>1</v>
      </c>
      <c r="AM30" s="45">
        <f t="shared" si="18"/>
        <v>12000</v>
      </c>
      <c r="AN30" s="47">
        <f t="shared" si="6"/>
        <v>0.19999999999999996</v>
      </c>
      <c r="AP30" s="110">
        <f t="shared" si="19"/>
        <v>213000</v>
      </c>
      <c r="AQ30" s="111">
        <f t="shared" si="20"/>
        <v>224000</v>
      </c>
      <c r="AR30" s="112">
        <f t="shared" si="21"/>
        <v>254000</v>
      </c>
      <c r="AS30" s="77">
        <f t="shared" si="22"/>
        <v>27940</v>
      </c>
      <c r="AT30" s="78">
        <f t="shared" si="23"/>
        <v>226060</v>
      </c>
      <c r="AU30" s="77">
        <f t="shared" si="7"/>
        <v>33020</v>
      </c>
      <c r="AV30" s="78">
        <f t="shared" si="8"/>
        <v>220980</v>
      </c>
      <c r="AY30" s="103">
        <f t="shared" si="24"/>
        <v>183000</v>
      </c>
      <c r="AZ30" s="98">
        <f t="shared" si="25"/>
        <v>194000</v>
      </c>
      <c r="BA30" s="99">
        <f t="shared" si="26"/>
        <v>224000</v>
      </c>
      <c r="BB30" s="77">
        <f t="shared" si="27"/>
        <v>24640</v>
      </c>
      <c r="BC30" s="78">
        <f t="shared" si="28"/>
        <v>199360</v>
      </c>
      <c r="BD30" s="77">
        <f t="shared" si="9"/>
        <v>29120</v>
      </c>
      <c r="BE30" s="78">
        <f t="shared" si="10"/>
        <v>194880</v>
      </c>
    </row>
    <row r="31" spans="2:57" s="42" customFormat="1" ht="15" customHeight="1">
      <c r="B31" s="250"/>
      <c r="C31" s="262"/>
      <c r="D31" s="266"/>
      <c r="E31" s="253"/>
      <c r="F31" s="250"/>
      <c r="G31" s="251"/>
      <c r="H31" s="50" t="s">
        <v>106</v>
      </c>
      <c r="I31" s="51">
        <v>163000</v>
      </c>
      <c r="J31" s="51">
        <v>174000</v>
      </c>
      <c r="K31" s="51">
        <v>246000</v>
      </c>
      <c r="L31" s="51">
        <v>101000</v>
      </c>
      <c r="M31" s="51">
        <v>115000</v>
      </c>
      <c r="N31" s="51">
        <v>27000</v>
      </c>
      <c r="O31" s="51">
        <f t="shared" si="11"/>
        <v>15000</v>
      </c>
      <c r="Q31" s="52">
        <v>163000</v>
      </c>
      <c r="R31" s="52">
        <v>174000</v>
      </c>
      <c r="S31" s="52">
        <v>209000</v>
      </c>
      <c r="T31" s="69">
        <f t="shared" si="12"/>
        <v>1.2011494252873562</v>
      </c>
      <c r="U31" s="52">
        <f t="shared" si="13"/>
        <v>35000</v>
      </c>
      <c r="W31" s="56">
        <v>163000</v>
      </c>
      <c r="X31" s="54">
        <f t="shared" si="0"/>
        <v>0</v>
      </c>
      <c r="Y31" s="56">
        <v>174000</v>
      </c>
      <c r="Z31" s="54">
        <f t="shared" si="1"/>
        <v>0</v>
      </c>
      <c r="AA31" s="56">
        <v>209000</v>
      </c>
      <c r="AB31" s="54">
        <f t="shared" si="2"/>
        <v>0.15040650406504064</v>
      </c>
      <c r="AC31" s="51">
        <v>54000</v>
      </c>
      <c r="AD31" s="54">
        <f t="shared" si="3"/>
        <v>0.46534653465346532</v>
      </c>
      <c r="AE31" s="51">
        <f t="shared" si="14"/>
        <v>32000</v>
      </c>
      <c r="AF31" s="54">
        <f t="shared" si="4"/>
        <v>0.72173913043478266</v>
      </c>
      <c r="AG31" s="94">
        <v>0</v>
      </c>
      <c r="AH31" s="91">
        <f t="shared" si="5"/>
        <v>1</v>
      </c>
      <c r="AI31" s="94">
        <f t="shared" si="15"/>
        <v>12000</v>
      </c>
      <c r="AJ31" s="91">
        <f t="shared" si="16"/>
        <v>0.55555555555555558</v>
      </c>
      <c r="AK31" s="45">
        <v>0</v>
      </c>
      <c r="AL31" s="47">
        <f t="shared" si="17"/>
        <v>1</v>
      </c>
      <c r="AM31" s="45">
        <f t="shared" si="18"/>
        <v>12000</v>
      </c>
      <c r="AN31" s="47">
        <f t="shared" si="6"/>
        <v>0.19999999999999996</v>
      </c>
      <c r="AP31" s="110">
        <f t="shared" si="19"/>
        <v>249000</v>
      </c>
      <c r="AQ31" s="111">
        <f t="shared" si="20"/>
        <v>260000</v>
      </c>
      <c r="AR31" s="112">
        <f t="shared" si="21"/>
        <v>295000</v>
      </c>
      <c r="AS31" s="77">
        <f t="shared" si="22"/>
        <v>32450</v>
      </c>
      <c r="AT31" s="78">
        <f t="shared" si="23"/>
        <v>262550</v>
      </c>
      <c r="AU31" s="77">
        <f t="shared" si="7"/>
        <v>38350</v>
      </c>
      <c r="AV31" s="78">
        <f t="shared" si="8"/>
        <v>256650</v>
      </c>
      <c r="AY31" s="103">
        <f t="shared" si="24"/>
        <v>219000</v>
      </c>
      <c r="AZ31" s="98">
        <f t="shared" si="25"/>
        <v>230000</v>
      </c>
      <c r="BA31" s="99">
        <f t="shared" si="26"/>
        <v>265000</v>
      </c>
      <c r="BB31" s="77">
        <f t="shared" si="27"/>
        <v>29150</v>
      </c>
      <c r="BC31" s="78">
        <f t="shared" si="28"/>
        <v>235850</v>
      </c>
      <c r="BD31" s="77">
        <f t="shared" si="9"/>
        <v>34450</v>
      </c>
      <c r="BE31" s="78">
        <f t="shared" si="10"/>
        <v>230550</v>
      </c>
    </row>
    <row r="32" spans="2:57" s="42" customFormat="1" ht="15" customHeight="1">
      <c r="B32" s="250"/>
      <c r="C32" s="262"/>
      <c r="D32" s="266"/>
      <c r="E32" s="253"/>
      <c r="F32" s="250"/>
      <c r="G32" s="251"/>
      <c r="H32" s="90">
        <v>46219</v>
      </c>
      <c r="I32" s="51">
        <v>185000</v>
      </c>
      <c r="J32" s="51">
        <v>196000</v>
      </c>
      <c r="K32" s="51">
        <v>282000</v>
      </c>
      <c r="L32" s="51">
        <v>101000</v>
      </c>
      <c r="M32" s="51">
        <v>115000</v>
      </c>
      <c r="N32" s="51">
        <v>27000</v>
      </c>
      <c r="O32" s="51">
        <f t="shared" si="11"/>
        <v>15000</v>
      </c>
      <c r="Q32" s="52">
        <v>165000</v>
      </c>
      <c r="R32" s="52">
        <v>176000</v>
      </c>
      <c r="S32" s="52">
        <v>232000</v>
      </c>
      <c r="T32" s="69">
        <f t="shared" si="12"/>
        <v>1.3181818181818181</v>
      </c>
      <c r="U32" s="52">
        <f t="shared" si="13"/>
        <v>56000</v>
      </c>
      <c r="W32" s="56">
        <v>165000</v>
      </c>
      <c r="X32" s="54">
        <f t="shared" si="0"/>
        <v>0.10810810810810811</v>
      </c>
      <c r="Y32" s="56">
        <v>176000</v>
      </c>
      <c r="Z32" s="54">
        <f t="shared" si="1"/>
        <v>0.10204081632653061</v>
      </c>
      <c r="AA32" s="56">
        <v>232000</v>
      </c>
      <c r="AB32" s="54">
        <f t="shared" si="2"/>
        <v>0.17730496453900713</v>
      </c>
      <c r="AC32" s="51">
        <v>54000</v>
      </c>
      <c r="AD32" s="54">
        <f t="shared" si="3"/>
        <v>0.46534653465346532</v>
      </c>
      <c r="AE32" s="51">
        <f t="shared" si="14"/>
        <v>32000</v>
      </c>
      <c r="AF32" s="54">
        <f t="shared" si="4"/>
        <v>0.72173913043478266</v>
      </c>
      <c r="AG32" s="94">
        <v>0</v>
      </c>
      <c r="AH32" s="91">
        <f t="shared" si="5"/>
        <v>1</v>
      </c>
      <c r="AI32" s="94">
        <f t="shared" si="15"/>
        <v>12000</v>
      </c>
      <c r="AJ32" s="91">
        <f t="shared" si="16"/>
        <v>0.55555555555555558</v>
      </c>
      <c r="AK32" s="45">
        <v>0</v>
      </c>
      <c r="AL32" s="47">
        <f t="shared" si="17"/>
        <v>1</v>
      </c>
      <c r="AM32" s="45">
        <f t="shared" si="18"/>
        <v>12000</v>
      </c>
      <c r="AN32" s="47">
        <f t="shared" si="6"/>
        <v>0.19999999999999996</v>
      </c>
      <c r="AP32" s="110">
        <f t="shared" si="19"/>
        <v>251000</v>
      </c>
      <c r="AQ32" s="111">
        <f t="shared" si="20"/>
        <v>262000</v>
      </c>
      <c r="AR32" s="112">
        <f t="shared" si="21"/>
        <v>318000</v>
      </c>
      <c r="AS32" s="77">
        <f t="shared" si="22"/>
        <v>34980</v>
      </c>
      <c r="AT32" s="78">
        <f t="shared" si="23"/>
        <v>283020</v>
      </c>
      <c r="AU32" s="77">
        <f t="shared" si="7"/>
        <v>41340</v>
      </c>
      <c r="AV32" s="78">
        <f t="shared" si="8"/>
        <v>276660</v>
      </c>
      <c r="AY32" s="103">
        <f t="shared" si="24"/>
        <v>221000</v>
      </c>
      <c r="AZ32" s="98">
        <f t="shared" si="25"/>
        <v>232000</v>
      </c>
      <c r="BA32" s="99">
        <f t="shared" si="26"/>
        <v>288000</v>
      </c>
      <c r="BB32" s="77">
        <f t="shared" si="27"/>
        <v>31680</v>
      </c>
      <c r="BC32" s="78">
        <f t="shared" si="28"/>
        <v>256320</v>
      </c>
      <c r="BD32" s="77">
        <f t="shared" si="9"/>
        <v>37440</v>
      </c>
      <c r="BE32" s="78">
        <f t="shared" si="10"/>
        <v>250560</v>
      </c>
    </row>
    <row r="33" spans="2:57" s="42" customFormat="1" ht="15" customHeight="1">
      <c r="B33" s="250"/>
      <c r="C33" s="262"/>
      <c r="D33" s="266"/>
      <c r="E33" s="253"/>
      <c r="F33" s="248" t="s">
        <v>83</v>
      </c>
      <c r="G33" s="249"/>
      <c r="H33" s="59" t="s">
        <v>45</v>
      </c>
      <c r="I33" s="48">
        <v>131000</v>
      </c>
      <c r="J33" s="48">
        <v>141000</v>
      </c>
      <c r="K33" s="48">
        <v>169000</v>
      </c>
      <c r="L33" s="48">
        <v>101000</v>
      </c>
      <c r="M33" s="48">
        <v>115000</v>
      </c>
      <c r="N33" s="48">
        <v>27000</v>
      </c>
      <c r="O33" s="48">
        <f t="shared" si="11"/>
        <v>15000</v>
      </c>
      <c r="Q33" s="46">
        <v>121000</v>
      </c>
      <c r="R33" s="46">
        <v>131000</v>
      </c>
      <c r="S33" s="46">
        <v>161000</v>
      </c>
      <c r="T33" s="68">
        <f t="shared" si="12"/>
        <v>1.2290076335877862</v>
      </c>
      <c r="U33" s="46">
        <f t="shared" si="13"/>
        <v>30000</v>
      </c>
      <c r="W33" s="48">
        <v>121000</v>
      </c>
      <c r="X33" s="49">
        <f t="shared" si="0"/>
        <v>7.6335877862595436E-2</v>
      </c>
      <c r="Y33" s="48">
        <v>131000</v>
      </c>
      <c r="Z33" s="49">
        <f t="shared" si="1"/>
        <v>7.0921985815602828E-2</v>
      </c>
      <c r="AA33" s="48">
        <v>161000</v>
      </c>
      <c r="AB33" s="49">
        <f t="shared" si="2"/>
        <v>4.7337278106508895E-2</v>
      </c>
      <c r="AC33" s="48">
        <v>54000</v>
      </c>
      <c r="AD33" s="63">
        <f t="shared" si="3"/>
        <v>0.46534653465346532</v>
      </c>
      <c r="AE33" s="48">
        <f t="shared" si="14"/>
        <v>32000</v>
      </c>
      <c r="AF33" s="49">
        <f t="shared" si="4"/>
        <v>0.72173913043478266</v>
      </c>
      <c r="AG33" s="95">
        <v>0</v>
      </c>
      <c r="AH33" s="92">
        <f t="shared" si="5"/>
        <v>1</v>
      </c>
      <c r="AI33" s="95">
        <f t="shared" si="15"/>
        <v>12000</v>
      </c>
      <c r="AJ33" s="92">
        <f t="shared" si="16"/>
        <v>0.55555555555555558</v>
      </c>
      <c r="AK33" s="45">
        <v>0</v>
      </c>
      <c r="AL33" s="47">
        <f t="shared" si="17"/>
        <v>1</v>
      </c>
      <c r="AM33" s="45">
        <f t="shared" si="18"/>
        <v>12000</v>
      </c>
      <c r="AN33" s="47">
        <f t="shared" si="6"/>
        <v>0.19999999999999996</v>
      </c>
      <c r="AP33" s="113">
        <f t="shared" si="19"/>
        <v>207000</v>
      </c>
      <c r="AQ33" s="114">
        <f t="shared" si="20"/>
        <v>217000</v>
      </c>
      <c r="AR33" s="115">
        <f t="shared" si="21"/>
        <v>247000</v>
      </c>
      <c r="AS33" s="77">
        <f t="shared" si="22"/>
        <v>27170</v>
      </c>
      <c r="AT33" s="78">
        <f t="shared" si="23"/>
        <v>219830</v>
      </c>
      <c r="AU33" s="77">
        <f t="shared" si="7"/>
        <v>32110</v>
      </c>
      <c r="AV33" s="78">
        <f t="shared" si="8"/>
        <v>214890</v>
      </c>
      <c r="AY33" s="100">
        <f t="shared" si="24"/>
        <v>177000</v>
      </c>
      <c r="AZ33" s="101">
        <f t="shared" si="25"/>
        <v>187000</v>
      </c>
      <c r="BA33" s="102">
        <f t="shared" si="26"/>
        <v>217000</v>
      </c>
      <c r="BB33" s="77">
        <f t="shared" si="27"/>
        <v>23870</v>
      </c>
      <c r="BC33" s="78">
        <f t="shared" si="28"/>
        <v>193130</v>
      </c>
      <c r="BD33" s="77">
        <f t="shared" si="9"/>
        <v>28210</v>
      </c>
      <c r="BE33" s="78">
        <f t="shared" si="10"/>
        <v>188790</v>
      </c>
    </row>
    <row r="34" spans="2:57" s="42" customFormat="1" ht="15" customHeight="1">
      <c r="B34" s="250"/>
      <c r="C34" s="262"/>
      <c r="D34" s="266"/>
      <c r="E34" s="253"/>
      <c r="F34" s="250"/>
      <c r="G34" s="251"/>
      <c r="H34" s="55" t="s">
        <v>105</v>
      </c>
      <c r="I34" s="51">
        <v>148000</v>
      </c>
      <c r="J34" s="51">
        <v>159000</v>
      </c>
      <c r="K34" s="51">
        <v>204000</v>
      </c>
      <c r="L34" s="51">
        <v>101000</v>
      </c>
      <c r="M34" s="51">
        <v>115000</v>
      </c>
      <c r="N34" s="51">
        <v>27000</v>
      </c>
      <c r="O34" s="51">
        <f t="shared" si="11"/>
        <v>15000</v>
      </c>
      <c r="Q34" s="52">
        <v>138000</v>
      </c>
      <c r="R34" s="52">
        <v>149000</v>
      </c>
      <c r="S34" s="52">
        <v>179000</v>
      </c>
      <c r="T34" s="69">
        <f t="shared" si="12"/>
        <v>1.2013422818791946</v>
      </c>
      <c r="U34" s="52">
        <f t="shared" si="13"/>
        <v>30000</v>
      </c>
      <c r="W34" s="56">
        <v>138000</v>
      </c>
      <c r="X34" s="54">
        <f t="shared" si="0"/>
        <v>6.7567567567567544E-2</v>
      </c>
      <c r="Y34" s="56">
        <v>149000</v>
      </c>
      <c r="Z34" s="54">
        <f t="shared" si="1"/>
        <v>6.2893081761006275E-2</v>
      </c>
      <c r="AA34" s="56">
        <v>179000</v>
      </c>
      <c r="AB34" s="54">
        <f t="shared" si="2"/>
        <v>0.12254901960784315</v>
      </c>
      <c r="AC34" s="51">
        <v>54000</v>
      </c>
      <c r="AD34" s="54">
        <f t="shared" si="3"/>
        <v>0.46534653465346532</v>
      </c>
      <c r="AE34" s="51">
        <f t="shared" si="14"/>
        <v>32000</v>
      </c>
      <c r="AF34" s="54">
        <f t="shared" si="4"/>
        <v>0.72173913043478266</v>
      </c>
      <c r="AG34" s="94">
        <v>0</v>
      </c>
      <c r="AH34" s="91">
        <f t="shared" si="5"/>
        <v>1</v>
      </c>
      <c r="AI34" s="94">
        <f t="shared" si="15"/>
        <v>12000</v>
      </c>
      <c r="AJ34" s="91">
        <f t="shared" si="16"/>
        <v>0.55555555555555558</v>
      </c>
      <c r="AK34" s="45">
        <v>0</v>
      </c>
      <c r="AL34" s="47">
        <f t="shared" si="17"/>
        <v>1</v>
      </c>
      <c r="AM34" s="45">
        <f t="shared" si="18"/>
        <v>12000</v>
      </c>
      <c r="AN34" s="47">
        <f t="shared" si="6"/>
        <v>0.19999999999999996</v>
      </c>
      <c r="AP34" s="110">
        <f t="shared" si="19"/>
        <v>224000</v>
      </c>
      <c r="AQ34" s="111">
        <f t="shared" si="20"/>
        <v>235000</v>
      </c>
      <c r="AR34" s="112">
        <f t="shared" si="21"/>
        <v>265000</v>
      </c>
      <c r="AS34" s="77">
        <f t="shared" si="22"/>
        <v>29150</v>
      </c>
      <c r="AT34" s="78">
        <f t="shared" si="23"/>
        <v>235850</v>
      </c>
      <c r="AU34" s="77">
        <f t="shared" si="7"/>
        <v>34450</v>
      </c>
      <c r="AV34" s="78">
        <f t="shared" si="8"/>
        <v>230550</v>
      </c>
      <c r="AY34" s="103">
        <f t="shared" si="24"/>
        <v>194000</v>
      </c>
      <c r="AZ34" s="98">
        <f t="shared" si="25"/>
        <v>205000</v>
      </c>
      <c r="BA34" s="99">
        <f t="shared" si="26"/>
        <v>235000</v>
      </c>
      <c r="BB34" s="77">
        <f t="shared" si="27"/>
        <v>25850</v>
      </c>
      <c r="BC34" s="78">
        <f t="shared" si="28"/>
        <v>209150</v>
      </c>
      <c r="BD34" s="77">
        <f t="shared" si="9"/>
        <v>30550</v>
      </c>
      <c r="BE34" s="78">
        <f t="shared" si="10"/>
        <v>204450</v>
      </c>
    </row>
    <row r="35" spans="2:57" s="42" customFormat="1" ht="15" customHeight="1">
      <c r="B35" s="250"/>
      <c r="C35" s="262"/>
      <c r="D35" s="266"/>
      <c r="E35" s="253"/>
      <c r="F35" s="250"/>
      <c r="G35" s="251"/>
      <c r="H35" s="50" t="s">
        <v>106</v>
      </c>
      <c r="I35" s="51">
        <v>174000</v>
      </c>
      <c r="J35" s="51">
        <v>185000</v>
      </c>
      <c r="K35" s="51">
        <v>257000</v>
      </c>
      <c r="L35" s="51">
        <v>101000</v>
      </c>
      <c r="M35" s="51">
        <v>115000</v>
      </c>
      <c r="N35" s="51">
        <v>27000</v>
      </c>
      <c r="O35" s="51">
        <f t="shared" si="11"/>
        <v>15000</v>
      </c>
      <c r="Q35" s="52">
        <v>174000</v>
      </c>
      <c r="R35" s="52">
        <v>185000</v>
      </c>
      <c r="S35" s="52">
        <v>225000</v>
      </c>
      <c r="T35" s="69">
        <f t="shared" si="12"/>
        <v>1.2162162162162162</v>
      </c>
      <c r="U35" s="52">
        <f t="shared" si="13"/>
        <v>40000</v>
      </c>
      <c r="W35" s="56">
        <v>174000</v>
      </c>
      <c r="X35" s="54">
        <f t="shared" si="0"/>
        <v>0</v>
      </c>
      <c r="Y35" s="56">
        <v>185000</v>
      </c>
      <c r="Z35" s="54">
        <f t="shared" si="1"/>
        <v>0</v>
      </c>
      <c r="AA35" s="56">
        <v>225000</v>
      </c>
      <c r="AB35" s="54">
        <f t="shared" si="2"/>
        <v>0.1245136186770428</v>
      </c>
      <c r="AC35" s="51">
        <v>54000</v>
      </c>
      <c r="AD35" s="54">
        <f t="shared" si="3"/>
        <v>0.46534653465346532</v>
      </c>
      <c r="AE35" s="51">
        <f t="shared" si="14"/>
        <v>32000</v>
      </c>
      <c r="AF35" s="54">
        <f t="shared" si="4"/>
        <v>0.72173913043478266</v>
      </c>
      <c r="AG35" s="94">
        <v>0</v>
      </c>
      <c r="AH35" s="91">
        <f t="shared" si="5"/>
        <v>1</v>
      </c>
      <c r="AI35" s="94">
        <f t="shared" si="15"/>
        <v>12000</v>
      </c>
      <c r="AJ35" s="91">
        <f t="shared" si="16"/>
        <v>0.55555555555555558</v>
      </c>
      <c r="AK35" s="45">
        <v>0</v>
      </c>
      <c r="AL35" s="47">
        <f t="shared" si="17"/>
        <v>1</v>
      </c>
      <c r="AM35" s="45">
        <f t="shared" si="18"/>
        <v>12000</v>
      </c>
      <c r="AN35" s="47">
        <f t="shared" si="6"/>
        <v>0.19999999999999996</v>
      </c>
      <c r="AP35" s="110">
        <f t="shared" si="19"/>
        <v>260000</v>
      </c>
      <c r="AQ35" s="111">
        <f t="shared" si="20"/>
        <v>271000</v>
      </c>
      <c r="AR35" s="112">
        <f t="shared" si="21"/>
        <v>311000</v>
      </c>
      <c r="AS35" s="77">
        <f t="shared" si="22"/>
        <v>34210</v>
      </c>
      <c r="AT35" s="78">
        <f t="shared" si="23"/>
        <v>276790</v>
      </c>
      <c r="AU35" s="77">
        <f t="shared" si="7"/>
        <v>40430</v>
      </c>
      <c r="AV35" s="78">
        <f t="shared" si="8"/>
        <v>270570</v>
      </c>
      <c r="AY35" s="103">
        <f t="shared" si="24"/>
        <v>230000</v>
      </c>
      <c r="AZ35" s="98">
        <f t="shared" si="25"/>
        <v>241000</v>
      </c>
      <c r="BA35" s="99">
        <f t="shared" si="26"/>
        <v>281000</v>
      </c>
      <c r="BB35" s="77">
        <f t="shared" si="27"/>
        <v>30910</v>
      </c>
      <c r="BC35" s="78">
        <f t="shared" si="28"/>
        <v>250090</v>
      </c>
      <c r="BD35" s="77">
        <f t="shared" si="9"/>
        <v>36530</v>
      </c>
      <c r="BE35" s="78">
        <f t="shared" si="10"/>
        <v>244470</v>
      </c>
    </row>
    <row r="36" spans="2:57" s="42" customFormat="1" ht="15" customHeight="1">
      <c r="B36" s="250"/>
      <c r="C36" s="262"/>
      <c r="D36" s="266"/>
      <c r="E36" s="253"/>
      <c r="F36" s="250"/>
      <c r="G36" s="251"/>
      <c r="H36" s="90">
        <v>46219</v>
      </c>
      <c r="I36" s="51">
        <v>196000</v>
      </c>
      <c r="J36" s="51">
        <v>207000</v>
      </c>
      <c r="K36" s="51">
        <v>293000</v>
      </c>
      <c r="L36" s="51">
        <v>101000</v>
      </c>
      <c r="M36" s="51">
        <v>115000</v>
      </c>
      <c r="N36" s="51">
        <v>27000</v>
      </c>
      <c r="O36" s="51">
        <f t="shared" si="11"/>
        <v>15000</v>
      </c>
      <c r="Q36" s="52">
        <v>176000</v>
      </c>
      <c r="R36" s="52">
        <v>187000</v>
      </c>
      <c r="S36" s="52">
        <v>243000</v>
      </c>
      <c r="T36" s="69">
        <f t="shared" si="12"/>
        <v>1.2994652406417113</v>
      </c>
      <c r="U36" s="52">
        <f t="shared" si="13"/>
        <v>56000</v>
      </c>
      <c r="W36" s="56">
        <v>176000</v>
      </c>
      <c r="X36" s="54">
        <f t="shared" si="0"/>
        <v>0.10204081632653061</v>
      </c>
      <c r="Y36" s="56">
        <v>187000</v>
      </c>
      <c r="Z36" s="54">
        <f t="shared" si="1"/>
        <v>9.661835748792269E-2</v>
      </c>
      <c r="AA36" s="56">
        <v>243000</v>
      </c>
      <c r="AB36" s="54">
        <f t="shared" si="2"/>
        <v>0.17064846416382251</v>
      </c>
      <c r="AC36" s="51">
        <v>54000</v>
      </c>
      <c r="AD36" s="54">
        <f t="shared" si="3"/>
        <v>0.46534653465346532</v>
      </c>
      <c r="AE36" s="51">
        <f t="shared" si="14"/>
        <v>32000</v>
      </c>
      <c r="AF36" s="54">
        <f t="shared" si="4"/>
        <v>0.72173913043478266</v>
      </c>
      <c r="AG36" s="94">
        <v>0</v>
      </c>
      <c r="AH36" s="91">
        <f t="shared" si="5"/>
        <v>1</v>
      </c>
      <c r="AI36" s="94">
        <f t="shared" si="15"/>
        <v>12000</v>
      </c>
      <c r="AJ36" s="91">
        <f t="shared" si="16"/>
        <v>0.55555555555555558</v>
      </c>
      <c r="AK36" s="45">
        <v>0</v>
      </c>
      <c r="AL36" s="47">
        <f t="shared" si="17"/>
        <v>1</v>
      </c>
      <c r="AM36" s="45">
        <f t="shared" si="18"/>
        <v>12000</v>
      </c>
      <c r="AN36" s="47">
        <f t="shared" si="6"/>
        <v>0.19999999999999996</v>
      </c>
      <c r="AP36" s="110">
        <f t="shared" si="19"/>
        <v>262000</v>
      </c>
      <c r="AQ36" s="111">
        <f t="shared" si="20"/>
        <v>273000</v>
      </c>
      <c r="AR36" s="112">
        <f t="shared" si="21"/>
        <v>329000</v>
      </c>
      <c r="AS36" s="77">
        <f t="shared" si="22"/>
        <v>36190</v>
      </c>
      <c r="AT36" s="78">
        <f t="shared" si="23"/>
        <v>292810</v>
      </c>
      <c r="AU36" s="77">
        <f t="shared" si="7"/>
        <v>42770</v>
      </c>
      <c r="AV36" s="78">
        <f t="shared" si="8"/>
        <v>286230</v>
      </c>
      <c r="AY36" s="103">
        <f t="shared" si="24"/>
        <v>232000</v>
      </c>
      <c r="AZ36" s="98">
        <f t="shared" si="25"/>
        <v>243000</v>
      </c>
      <c r="BA36" s="99">
        <f t="shared" si="26"/>
        <v>299000</v>
      </c>
      <c r="BB36" s="77">
        <f t="shared" si="27"/>
        <v>32890</v>
      </c>
      <c r="BC36" s="78">
        <f t="shared" si="28"/>
        <v>266110</v>
      </c>
      <c r="BD36" s="77">
        <f t="shared" si="9"/>
        <v>38870</v>
      </c>
      <c r="BE36" s="78">
        <f t="shared" si="10"/>
        <v>260130</v>
      </c>
    </row>
    <row r="37" spans="2:57" s="42" customFormat="1" ht="15" customHeight="1">
      <c r="B37" s="250"/>
      <c r="C37" s="262"/>
      <c r="D37" s="266"/>
      <c r="E37" s="252" t="s">
        <v>24</v>
      </c>
      <c r="F37" s="248" t="s">
        <v>79</v>
      </c>
      <c r="G37" s="249"/>
      <c r="H37" s="59" t="s">
        <v>45</v>
      </c>
      <c r="I37" s="48">
        <v>121000</v>
      </c>
      <c r="J37" s="48">
        <v>135000</v>
      </c>
      <c r="K37" s="48">
        <v>162000</v>
      </c>
      <c r="L37" s="48">
        <v>101000</v>
      </c>
      <c r="M37" s="48">
        <v>115000</v>
      </c>
      <c r="N37" s="48">
        <v>27000</v>
      </c>
      <c r="O37" s="48">
        <f t="shared" si="11"/>
        <v>15000</v>
      </c>
      <c r="Q37" s="72">
        <v>111000</v>
      </c>
      <c r="R37" s="46">
        <v>125000</v>
      </c>
      <c r="S37" s="46">
        <v>155000</v>
      </c>
      <c r="T37" s="68">
        <f t="shared" si="12"/>
        <v>1.24</v>
      </c>
      <c r="U37" s="46">
        <f t="shared" si="13"/>
        <v>30000</v>
      </c>
      <c r="W37" s="48">
        <v>111000</v>
      </c>
      <c r="X37" s="49">
        <f t="shared" si="0"/>
        <v>8.2644628099173501E-2</v>
      </c>
      <c r="Y37" s="48">
        <v>125000</v>
      </c>
      <c r="Z37" s="49">
        <f t="shared" si="1"/>
        <v>7.407407407407407E-2</v>
      </c>
      <c r="AA37" s="48">
        <v>155000</v>
      </c>
      <c r="AB37" s="49">
        <f t="shared" si="2"/>
        <v>4.3209876543209846E-2</v>
      </c>
      <c r="AC37" s="48">
        <v>54000</v>
      </c>
      <c r="AD37" s="49">
        <f t="shared" si="3"/>
        <v>0.46534653465346532</v>
      </c>
      <c r="AE37" s="48">
        <f t="shared" si="14"/>
        <v>32000</v>
      </c>
      <c r="AF37" s="49">
        <f t="shared" si="4"/>
        <v>0.72173913043478266</v>
      </c>
      <c r="AG37" s="95">
        <v>0</v>
      </c>
      <c r="AH37" s="92">
        <f t="shared" si="5"/>
        <v>1</v>
      </c>
      <c r="AI37" s="95">
        <f t="shared" si="15"/>
        <v>12000</v>
      </c>
      <c r="AJ37" s="92">
        <f t="shared" si="16"/>
        <v>0.55555555555555558</v>
      </c>
      <c r="AK37" s="45">
        <v>0</v>
      </c>
      <c r="AL37" s="47">
        <f t="shared" si="17"/>
        <v>1</v>
      </c>
      <c r="AM37" s="45">
        <f t="shared" si="18"/>
        <v>12000</v>
      </c>
      <c r="AN37" s="47">
        <f t="shared" si="6"/>
        <v>0.19999999999999996</v>
      </c>
      <c r="AP37" s="113">
        <f t="shared" si="19"/>
        <v>197000</v>
      </c>
      <c r="AQ37" s="114">
        <f t="shared" si="20"/>
        <v>211000</v>
      </c>
      <c r="AR37" s="115">
        <f t="shared" si="21"/>
        <v>241000</v>
      </c>
      <c r="AS37" s="77">
        <f t="shared" si="22"/>
        <v>26510</v>
      </c>
      <c r="AT37" s="78">
        <f t="shared" si="23"/>
        <v>214490</v>
      </c>
      <c r="AU37" s="77">
        <f t="shared" si="7"/>
        <v>31330</v>
      </c>
      <c r="AV37" s="78">
        <f t="shared" si="8"/>
        <v>209670</v>
      </c>
      <c r="AY37" s="100">
        <f t="shared" si="24"/>
        <v>167000</v>
      </c>
      <c r="AZ37" s="101">
        <f t="shared" si="25"/>
        <v>181000</v>
      </c>
      <c r="BA37" s="102">
        <f t="shared" si="26"/>
        <v>211000</v>
      </c>
      <c r="BB37" s="77">
        <f t="shared" si="27"/>
        <v>23210</v>
      </c>
      <c r="BC37" s="78">
        <f t="shared" si="28"/>
        <v>187790</v>
      </c>
      <c r="BD37" s="77">
        <f t="shared" si="9"/>
        <v>27430</v>
      </c>
      <c r="BE37" s="78">
        <f t="shared" si="10"/>
        <v>183570</v>
      </c>
    </row>
    <row r="38" spans="2:57" s="42" customFormat="1" ht="15" customHeight="1">
      <c r="B38" s="250"/>
      <c r="C38" s="262"/>
      <c r="D38" s="266"/>
      <c r="E38" s="253"/>
      <c r="F38" s="250"/>
      <c r="G38" s="251"/>
      <c r="H38" s="55" t="s">
        <v>105</v>
      </c>
      <c r="I38" s="51">
        <v>142000</v>
      </c>
      <c r="J38" s="51">
        <v>156000</v>
      </c>
      <c r="K38" s="51">
        <v>202000</v>
      </c>
      <c r="L38" s="51">
        <v>101000</v>
      </c>
      <c r="M38" s="51">
        <v>115000</v>
      </c>
      <c r="N38" s="51">
        <v>27000</v>
      </c>
      <c r="O38" s="51">
        <f t="shared" si="11"/>
        <v>15000</v>
      </c>
      <c r="Q38" s="52">
        <v>132000</v>
      </c>
      <c r="R38" s="52">
        <v>146000</v>
      </c>
      <c r="S38" s="52">
        <v>176000</v>
      </c>
      <c r="T38" s="69">
        <f t="shared" si="12"/>
        <v>1.2054794520547945</v>
      </c>
      <c r="U38" s="52">
        <f t="shared" si="13"/>
        <v>30000</v>
      </c>
      <c r="W38" s="51">
        <v>132000</v>
      </c>
      <c r="X38" s="53">
        <f t="shared" si="0"/>
        <v>7.0422535211267623E-2</v>
      </c>
      <c r="Y38" s="51">
        <v>146000</v>
      </c>
      <c r="Z38" s="53">
        <f t="shared" si="1"/>
        <v>6.4102564102564097E-2</v>
      </c>
      <c r="AA38" s="51">
        <v>176000</v>
      </c>
      <c r="AB38" s="53">
        <f t="shared" si="2"/>
        <v>0.12871287128712872</v>
      </c>
      <c r="AC38" s="51">
        <v>54000</v>
      </c>
      <c r="AD38" s="54">
        <f t="shared" si="3"/>
        <v>0.46534653465346532</v>
      </c>
      <c r="AE38" s="51">
        <f t="shared" si="14"/>
        <v>32000</v>
      </c>
      <c r="AF38" s="54">
        <f t="shared" si="4"/>
        <v>0.72173913043478266</v>
      </c>
      <c r="AG38" s="94">
        <v>0</v>
      </c>
      <c r="AH38" s="91">
        <f t="shared" si="5"/>
        <v>1</v>
      </c>
      <c r="AI38" s="94">
        <f t="shared" si="15"/>
        <v>12000</v>
      </c>
      <c r="AJ38" s="91">
        <f t="shared" si="16"/>
        <v>0.55555555555555558</v>
      </c>
      <c r="AK38" s="45">
        <v>0</v>
      </c>
      <c r="AL38" s="47">
        <f t="shared" si="17"/>
        <v>1</v>
      </c>
      <c r="AM38" s="45">
        <f t="shared" si="18"/>
        <v>12000</v>
      </c>
      <c r="AN38" s="47">
        <f t="shared" si="6"/>
        <v>0.19999999999999996</v>
      </c>
      <c r="AP38" s="110">
        <f t="shared" si="19"/>
        <v>218000</v>
      </c>
      <c r="AQ38" s="111">
        <f t="shared" si="20"/>
        <v>232000</v>
      </c>
      <c r="AR38" s="112">
        <f t="shared" si="21"/>
        <v>262000</v>
      </c>
      <c r="AS38" s="77">
        <f t="shared" si="22"/>
        <v>28820</v>
      </c>
      <c r="AT38" s="78">
        <f t="shared" si="23"/>
        <v>233180</v>
      </c>
      <c r="AU38" s="77">
        <f t="shared" si="7"/>
        <v>34060</v>
      </c>
      <c r="AV38" s="78">
        <f t="shared" si="8"/>
        <v>227940</v>
      </c>
      <c r="AY38" s="103">
        <f t="shared" si="24"/>
        <v>188000</v>
      </c>
      <c r="AZ38" s="98">
        <f t="shared" si="25"/>
        <v>202000</v>
      </c>
      <c r="BA38" s="99">
        <f t="shared" si="26"/>
        <v>232000</v>
      </c>
      <c r="BB38" s="77">
        <f t="shared" si="27"/>
        <v>25520</v>
      </c>
      <c r="BC38" s="78">
        <f t="shared" si="28"/>
        <v>206480</v>
      </c>
      <c r="BD38" s="77">
        <f t="shared" si="9"/>
        <v>30160</v>
      </c>
      <c r="BE38" s="78">
        <f t="shared" si="10"/>
        <v>201840</v>
      </c>
    </row>
    <row r="39" spans="2:57" s="42" customFormat="1" ht="15" customHeight="1">
      <c r="B39" s="250"/>
      <c r="C39" s="262"/>
      <c r="D39" s="266"/>
      <c r="E39" s="253"/>
      <c r="F39" s="250"/>
      <c r="G39" s="251"/>
      <c r="H39" s="50" t="s">
        <v>106</v>
      </c>
      <c r="I39" s="51">
        <v>171000</v>
      </c>
      <c r="J39" s="51">
        <v>186000</v>
      </c>
      <c r="K39" s="51">
        <v>261000</v>
      </c>
      <c r="L39" s="51">
        <v>101000</v>
      </c>
      <c r="M39" s="51">
        <v>115000</v>
      </c>
      <c r="N39" s="51">
        <v>27000</v>
      </c>
      <c r="O39" s="51">
        <f t="shared" si="11"/>
        <v>15000</v>
      </c>
      <c r="Q39" s="52">
        <v>171000</v>
      </c>
      <c r="R39" s="52">
        <v>186000</v>
      </c>
      <c r="S39" s="52">
        <v>226000</v>
      </c>
      <c r="T39" s="69">
        <f t="shared" si="12"/>
        <v>1.2150537634408602</v>
      </c>
      <c r="U39" s="52">
        <f t="shared" si="13"/>
        <v>40000</v>
      </c>
      <c r="W39" s="51">
        <v>171000</v>
      </c>
      <c r="X39" s="53">
        <f t="shared" si="0"/>
        <v>0</v>
      </c>
      <c r="Y39" s="51">
        <v>186000</v>
      </c>
      <c r="Z39" s="53">
        <f t="shared" si="1"/>
        <v>0</v>
      </c>
      <c r="AA39" s="51">
        <v>226000</v>
      </c>
      <c r="AB39" s="53">
        <f t="shared" si="2"/>
        <v>0.13409961685823757</v>
      </c>
      <c r="AC39" s="51">
        <v>54000</v>
      </c>
      <c r="AD39" s="54">
        <f t="shared" si="3"/>
        <v>0.46534653465346532</v>
      </c>
      <c r="AE39" s="51">
        <f t="shared" si="14"/>
        <v>32000</v>
      </c>
      <c r="AF39" s="54">
        <f t="shared" si="4"/>
        <v>0.72173913043478266</v>
      </c>
      <c r="AG39" s="94">
        <v>0</v>
      </c>
      <c r="AH39" s="91">
        <f t="shared" si="5"/>
        <v>1</v>
      </c>
      <c r="AI39" s="94">
        <f t="shared" si="15"/>
        <v>12000</v>
      </c>
      <c r="AJ39" s="91">
        <f t="shared" si="16"/>
        <v>0.55555555555555558</v>
      </c>
      <c r="AK39" s="45">
        <v>0</v>
      </c>
      <c r="AL39" s="47">
        <f t="shared" si="17"/>
        <v>1</v>
      </c>
      <c r="AM39" s="45">
        <f t="shared" si="18"/>
        <v>12000</v>
      </c>
      <c r="AN39" s="47">
        <f t="shared" si="6"/>
        <v>0.19999999999999996</v>
      </c>
      <c r="AP39" s="110">
        <f t="shared" si="19"/>
        <v>257000</v>
      </c>
      <c r="AQ39" s="111">
        <f t="shared" si="20"/>
        <v>272000</v>
      </c>
      <c r="AR39" s="112">
        <f t="shared" si="21"/>
        <v>312000</v>
      </c>
      <c r="AS39" s="77">
        <f t="shared" si="22"/>
        <v>34320</v>
      </c>
      <c r="AT39" s="78">
        <f t="shared" si="23"/>
        <v>277680</v>
      </c>
      <c r="AU39" s="77">
        <f t="shared" si="7"/>
        <v>40560</v>
      </c>
      <c r="AV39" s="78">
        <f t="shared" si="8"/>
        <v>271440</v>
      </c>
      <c r="AY39" s="103">
        <f t="shared" si="24"/>
        <v>227000</v>
      </c>
      <c r="AZ39" s="98">
        <f t="shared" si="25"/>
        <v>242000</v>
      </c>
      <c r="BA39" s="99">
        <f t="shared" si="26"/>
        <v>282000</v>
      </c>
      <c r="BB39" s="77">
        <f t="shared" si="27"/>
        <v>31020</v>
      </c>
      <c r="BC39" s="78">
        <f t="shared" si="28"/>
        <v>250980</v>
      </c>
      <c r="BD39" s="77">
        <f t="shared" si="9"/>
        <v>36660</v>
      </c>
      <c r="BE39" s="78">
        <f t="shared" si="10"/>
        <v>245340</v>
      </c>
    </row>
    <row r="40" spans="2:57" s="42" customFormat="1" ht="15" customHeight="1">
      <c r="B40" s="250"/>
      <c r="C40" s="262"/>
      <c r="D40" s="266"/>
      <c r="E40" s="253"/>
      <c r="F40" s="250"/>
      <c r="G40" s="251"/>
      <c r="H40" s="90">
        <v>46219</v>
      </c>
      <c r="I40" s="51">
        <v>199000</v>
      </c>
      <c r="J40" s="51">
        <v>213000</v>
      </c>
      <c r="K40" s="51">
        <v>312000</v>
      </c>
      <c r="L40" s="51">
        <v>101000</v>
      </c>
      <c r="M40" s="51">
        <v>115000</v>
      </c>
      <c r="N40" s="51">
        <v>27000</v>
      </c>
      <c r="O40" s="51">
        <f t="shared" si="11"/>
        <v>15000</v>
      </c>
      <c r="Q40" s="52">
        <v>179000</v>
      </c>
      <c r="R40" s="52">
        <v>193000</v>
      </c>
      <c r="S40" s="52">
        <v>262000</v>
      </c>
      <c r="T40" s="69">
        <f t="shared" si="12"/>
        <v>1.3575129533678756</v>
      </c>
      <c r="U40" s="52">
        <f t="shared" si="13"/>
        <v>69000</v>
      </c>
      <c r="W40" s="51">
        <v>179000</v>
      </c>
      <c r="X40" s="53">
        <f t="shared" si="0"/>
        <v>0.10050251256281406</v>
      </c>
      <c r="Y40" s="51">
        <v>193000</v>
      </c>
      <c r="Z40" s="53">
        <f t="shared" si="1"/>
        <v>9.3896713615023497E-2</v>
      </c>
      <c r="AA40" s="51">
        <v>262000</v>
      </c>
      <c r="AB40" s="53">
        <f t="shared" si="2"/>
        <v>0.16025641025641024</v>
      </c>
      <c r="AC40" s="51">
        <v>54000</v>
      </c>
      <c r="AD40" s="54">
        <f t="shared" si="3"/>
        <v>0.46534653465346532</v>
      </c>
      <c r="AE40" s="51">
        <f t="shared" si="14"/>
        <v>32000</v>
      </c>
      <c r="AF40" s="54">
        <f t="shared" si="4"/>
        <v>0.72173913043478266</v>
      </c>
      <c r="AG40" s="94">
        <v>0</v>
      </c>
      <c r="AH40" s="91">
        <f t="shared" si="5"/>
        <v>1</v>
      </c>
      <c r="AI40" s="94">
        <f t="shared" si="15"/>
        <v>12000</v>
      </c>
      <c r="AJ40" s="91">
        <f t="shared" si="16"/>
        <v>0.55555555555555558</v>
      </c>
      <c r="AK40" s="45">
        <v>0</v>
      </c>
      <c r="AL40" s="47">
        <f t="shared" si="17"/>
        <v>1</v>
      </c>
      <c r="AM40" s="45">
        <f t="shared" si="18"/>
        <v>12000</v>
      </c>
      <c r="AN40" s="47">
        <f t="shared" si="6"/>
        <v>0.19999999999999996</v>
      </c>
      <c r="AP40" s="110">
        <f t="shared" si="19"/>
        <v>265000</v>
      </c>
      <c r="AQ40" s="111">
        <f t="shared" si="20"/>
        <v>279000</v>
      </c>
      <c r="AR40" s="112">
        <f t="shared" si="21"/>
        <v>348000</v>
      </c>
      <c r="AS40" s="77">
        <f t="shared" si="22"/>
        <v>38280</v>
      </c>
      <c r="AT40" s="78">
        <f t="shared" si="23"/>
        <v>309720</v>
      </c>
      <c r="AU40" s="77">
        <f t="shared" si="7"/>
        <v>45240</v>
      </c>
      <c r="AV40" s="78">
        <f t="shared" si="8"/>
        <v>302760</v>
      </c>
      <c r="AY40" s="103">
        <f t="shared" si="24"/>
        <v>235000</v>
      </c>
      <c r="AZ40" s="98">
        <f t="shared" si="25"/>
        <v>249000</v>
      </c>
      <c r="BA40" s="99">
        <f t="shared" si="26"/>
        <v>318000</v>
      </c>
      <c r="BB40" s="77">
        <f t="shared" si="27"/>
        <v>34980</v>
      </c>
      <c r="BC40" s="78">
        <f t="shared" si="28"/>
        <v>283020</v>
      </c>
      <c r="BD40" s="77">
        <f t="shared" si="9"/>
        <v>41340</v>
      </c>
      <c r="BE40" s="78">
        <f t="shared" si="10"/>
        <v>276660</v>
      </c>
    </row>
    <row r="41" spans="2:57" s="42" customFormat="1" ht="15" customHeight="1">
      <c r="B41" s="250"/>
      <c r="C41" s="262"/>
      <c r="D41" s="266"/>
      <c r="E41" s="253"/>
      <c r="F41" s="248" t="s">
        <v>82</v>
      </c>
      <c r="G41" s="249"/>
      <c r="H41" s="59" t="s">
        <v>45</v>
      </c>
      <c r="I41" s="48">
        <v>132000</v>
      </c>
      <c r="J41" s="48">
        <v>146000</v>
      </c>
      <c r="K41" s="48">
        <v>173000</v>
      </c>
      <c r="L41" s="48">
        <v>101000</v>
      </c>
      <c r="M41" s="48">
        <v>115000</v>
      </c>
      <c r="N41" s="48">
        <v>27000</v>
      </c>
      <c r="O41" s="48">
        <f t="shared" si="11"/>
        <v>15000</v>
      </c>
      <c r="Q41" s="46">
        <v>122000</v>
      </c>
      <c r="R41" s="46">
        <v>136000</v>
      </c>
      <c r="S41" s="46">
        <v>166000</v>
      </c>
      <c r="T41" s="68">
        <f t="shared" si="12"/>
        <v>1.2205882352941178</v>
      </c>
      <c r="U41" s="46">
        <f t="shared" si="13"/>
        <v>30000</v>
      </c>
      <c r="W41" s="48">
        <v>122000</v>
      </c>
      <c r="X41" s="49">
        <f t="shared" si="0"/>
        <v>7.5757575757575801E-2</v>
      </c>
      <c r="Y41" s="48">
        <v>136000</v>
      </c>
      <c r="Z41" s="49">
        <f t="shared" si="1"/>
        <v>6.8493150684931559E-2</v>
      </c>
      <c r="AA41" s="48">
        <v>166000</v>
      </c>
      <c r="AB41" s="49">
        <f t="shared" si="2"/>
        <v>4.0462427745664775E-2</v>
      </c>
      <c r="AC41" s="48">
        <v>54000</v>
      </c>
      <c r="AD41" s="63">
        <f t="shared" si="3"/>
        <v>0.46534653465346532</v>
      </c>
      <c r="AE41" s="48">
        <f t="shared" si="14"/>
        <v>32000</v>
      </c>
      <c r="AF41" s="49">
        <f t="shared" si="4"/>
        <v>0.72173913043478266</v>
      </c>
      <c r="AG41" s="95">
        <v>0</v>
      </c>
      <c r="AH41" s="92">
        <f t="shared" si="5"/>
        <v>1</v>
      </c>
      <c r="AI41" s="95">
        <f t="shared" si="15"/>
        <v>12000</v>
      </c>
      <c r="AJ41" s="92">
        <f t="shared" si="16"/>
        <v>0.55555555555555558</v>
      </c>
      <c r="AK41" s="45">
        <v>0</v>
      </c>
      <c r="AL41" s="47">
        <f t="shared" si="17"/>
        <v>1</v>
      </c>
      <c r="AM41" s="45">
        <f t="shared" si="18"/>
        <v>12000</v>
      </c>
      <c r="AN41" s="47">
        <f t="shared" si="6"/>
        <v>0.19999999999999996</v>
      </c>
      <c r="AP41" s="113">
        <f t="shared" si="19"/>
        <v>208000</v>
      </c>
      <c r="AQ41" s="114">
        <f t="shared" si="20"/>
        <v>222000</v>
      </c>
      <c r="AR41" s="115">
        <f t="shared" si="21"/>
        <v>252000</v>
      </c>
      <c r="AS41" s="77">
        <f t="shared" si="22"/>
        <v>27720</v>
      </c>
      <c r="AT41" s="78">
        <f t="shared" si="23"/>
        <v>224280</v>
      </c>
      <c r="AU41" s="77">
        <f t="shared" si="7"/>
        <v>32760</v>
      </c>
      <c r="AV41" s="78">
        <f t="shared" si="8"/>
        <v>219240</v>
      </c>
      <c r="AY41" s="100">
        <f t="shared" si="24"/>
        <v>178000</v>
      </c>
      <c r="AZ41" s="101">
        <f t="shared" si="25"/>
        <v>192000</v>
      </c>
      <c r="BA41" s="102">
        <f t="shared" si="26"/>
        <v>222000</v>
      </c>
      <c r="BB41" s="77">
        <f t="shared" si="27"/>
        <v>24420</v>
      </c>
      <c r="BC41" s="78">
        <f t="shared" si="28"/>
        <v>197580</v>
      </c>
      <c r="BD41" s="77">
        <f t="shared" si="9"/>
        <v>28860</v>
      </c>
      <c r="BE41" s="78">
        <f t="shared" si="10"/>
        <v>193140</v>
      </c>
    </row>
    <row r="42" spans="2:57" s="42" customFormat="1" ht="15" customHeight="1">
      <c r="B42" s="250"/>
      <c r="C42" s="262"/>
      <c r="D42" s="266"/>
      <c r="E42" s="253"/>
      <c r="F42" s="250"/>
      <c r="G42" s="251"/>
      <c r="H42" s="55" t="s">
        <v>105</v>
      </c>
      <c r="I42" s="51">
        <v>153000</v>
      </c>
      <c r="J42" s="51">
        <v>167000</v>
      </c>
      <c r="K42" s="51">
        <v>213000</v>
      </c>
      <c r="L42" s="51">
        <v>101000</v>
      </c>
      <c r="M42" s="51">
        <v>115000</v>
      </c>
      <c r="N42" s="51">
        <v>27000</v>
      </c>
      <c r="O42" s="51">
        <f t="shared" si="11"/>
        <v>15000</v>
      </c>
      <c r="Q42" s="52">
        <v>143000</v>
      </c>
      <c r="R42" s="52">
        <v>157000</v>
      </c>
      <c r="S42" s="52">
        <v>193000</v>
      </c>
      <c r="T42" s="69">
        <f t="shared" si="12"/>
        <v>1.2292993630573248</v>
      </c>
      <c r="U42" s="52">
        <f t="shared" si="13"/>
        <v>36000</v>
      </c>
      <c r="W42" s="56">
        <v>143000</v>
      </c>
      <c r="X42" s="54">
        <f t="shared" si="0"/>
        <v>6.5359477124182996E-2</v>
      </c>
      <c r="Y42" s="56">
        <v>157000</v>
      </c>
      <c r="Z42" s="54">
        <f t="shared" si="1"/>
        <v>5.9880239520958112E-2</v>
      </c>
      <c r="AA42" s="56">
        <v>193000</v>
      </c>
      <c r="AB42" s="53">
        <f t="shared" si="2"/>
        <v>9.3896713615023497E-2</v>
      </c>
      <c r="AC42" s="51">
        <v>54000</v>
      </c>
      <c r="AD42" s="54">
        <f t="shared" si="3"/>
        <v>0.46534653465346532</v>
      </c>
      <c r="AE42" s="51">
        <f t="shared" si="14"/>
        <v>32000</v>
      </c>
      <c r="AF42" s="54">
        <f t="shared" si="4"/>
        <v>0.72173913043478266</v>
      </c>
      <c r="AG42" s="94">
        <v>0</v>
      </c>
      <c r="AH42" s="91">
        <f t="shared" si="5"/>
        <v>1</v>
      </c>
      <c r="AI42" s="94">
        <f t="shared" si="15"/>
        <v>12000</v>
      </c>
      <c r="AJ42" s="91">
        <f t="shared" si="16"/>
        <v>0.55555555555555558</v>
      </c>
      <c r="AK42" s="45">
        <v>0</v>
      </c>
      <c r="AL42" s="47">
        <f t="shared" si="17"/>
        <v>1</v>
      </c>
      <c r="AM42" s="45">
        <f t="shared" si="18"/>
        <v>12000</v>
      </c>
      <c r="AN42" s="47">
        <f t="shared" si="6"/>
        <v>0.19999999999999996</v>
      </c>
      <c r="AP42" s="110">
        <f t="shared" si="19"/>
        <v>229000</v>
      </c>
      <c r="AQ42" s="111">
        <f t="shared" si="20"/>
        <v>243000</v>
      </c>
      <c r="AR42" s="112">
        <f t="shared" si="21"/>
        <v>279000</v>
      </c>
      <c r="AS42" s="77">
        <f t="shared" si="22"/>
        <v>30690</v>
      </c>
      <c r="AT42" s="78">
        <f t="shared" si="23"/>
        <v>248310</v>
      </c>
      <c r="AU42" s="77">
        <f t="shared" si="7"/>
        <v>36270</v>
      </c>
      <c r="AV42" s="78">
        <f t="shared" si="8"/>
        <v>242730</v>
      </c>
      <c r="AY42" s="103">
        <f t="shared" si="24"/>
        <v>199000</v>
      </c>
      <c r="AZ42" s="98">
        <f t="shared" si="25"/>
        <v>213000</v>
      </c>
      <c r="BA42" s="99">
        <f t="shared" si="26"/>
        <v>249000</v>
      </c>
      <c r="BB42" s="77">
        <f t="shared" si="27"/>
        <v>27390</v>
      </c>
      <c r="BC42" s="78">
        <f t="shared" si="28"/>
        <v>221610</v>
      </c>
      <c r="BD42" s="77">
        <f t="shared" si="9"/>
        <v>32370</v>
      </c>
      <c r="BE42" s="78">
        <f t="shared" si="10"/>
        <v>216630</v>
      </c>
    </row>
    <row r="43" spans="2:57" s="42" customFormat="1" ht="15" customHeight="1">
      <c r="B43" s="250"/>
      <c r="C43" s="262"/>
      <c r="D43" s="266"/>
      <c r="E43" s="253"/>
      <c r="F43" s="250"/>
      <c r="G43" s="251"/>
      <c r="H43" s="50" t="s">
        <v>106</v>
      </c>
      <c r="I43" s="51">
        <v>182000</v>
      </c>
      <c r="J43" s="51">
        <v>197000</v>
      </c>
      <c r="K43" s="51">
        <v>272000</v>
      </c>
      <c r="L43" s="51">
        <v>101000</v>
      </c>
      <c r="M43" s="51">
        <v>115000</v>
      </c>
      <c r="N43" s="51">
        <v>27000</v>
      </c>
      <c r="O43" s="51">
        <f t="shared" si="11"/>
        <v>15000</v>
      </c>
      <c r="Q43" s="52">
        <v>182000</v>
      </c>
      <c r="R43" s="52">
        <v>197000</v>
      </c>
      <c r="S43" s="52">
        <v>237000</v>
      </c>
      <c r="T43" s="69">
        <f t="shared" si="12"/>
        <v>1.2030456852791878</v>
      </c>
      <c r="U43" s="52">
        <f t="shared" si="13"/>
        <v>40000</v>
      </c>
      <c r="W43" s="56">
        <v>182000</v>
      </c>
      <c r="X43" s="54">
        <f t="shared" si="0"/>
        <v>0</v>
      </c>
      <c r="Y43" s="56">
        <v>197000</v>
      </c>
      <c r="Z43" s="54">
        <f t="shared" si="1"/>
        <v>0</v>
      </c>
      <c r="AA43" s="56">
        <v>237000</v>
      </c>
      <c r="AB43" s="53">
        <f t="shared" si="2"/>
        <v>0.12867647058823528</v>
      </c>
      <c r="AC43" s="51">
        <v>54000</v>
      </c>
      <c r="AD43" s="54">
        <f t="shared" si="3"/>
        <v>0.46534653465346532</v>
      </c>
      <c r="AE43" s="51">
        <f t="shared" si="14"/>
        <v>32000</v>
      </c>
      <c r="AF43" s="54">
        <f t="shared" si="4"/>
        <v>0.72173913043478266</v>
      </c>
      <c r="AG43" s="94">
        <v>0</v>
      </c>
      <c r="AH43" s="91">
        <f t="shared" si="5"/>
        <v>1</v>
      </c>
      <c r="AI43" s="94">
        <f t="shared" si="15"/>
        <v>12000</v>
      </c>
      <c r="AJ43" s="91">
        <f t="shared" si="16"/>
        <v>0.55555555555555558</v>
      </c>
      <c r="AK43" s="45">
        <v>0</v>
      </c>
      <c r="AL43" s="47">
        <f t="shared" si="17"/>
        <v>1</v>
      </c>
      <c r="AM43" s="45">
        <f t="shared" si="18"/>
        <v>12000</v>
      </c>
      <c r="AN43" s="47">
        <f t="shared" si="6"/>
        <v>0.19999999999999996</v>
      </c>
      <c r="AP43" s="110">
        <f t="shared" si="19"/>
        <v>268000</v>
      </c>
      <c r="AQ43" s="111">
        <f t="shared" si="20"/>
        <v>283000</v>
      </c>
      <c r="AR43" s="112">
        <f t="shared" si="21"/>
        <v>323000</v>
      </c>
      <c r="AS43" s="77">
        <f t="shared" si="22"/>
        <v>35530</v>
      </c>
      <c r="AT43" s="78">
        <f t="shared" si="23"/>
        <v>287470</v>
      </c>
      <c r="AU43" s="77">
        <f t="shared" si="7"/>
        <v>41990</v>
      </c>
      <c r="AV43" s="78">
        <f t="shared" si="8"/>
        <v>281010</v>
      </c>
      <c r="AY43" s="103">
        <f t="shared" si="24"/>
        <v>238000</v>
      </c>
      <c r="AZ43" s="98">
        <f t="shared" si="25"/>
        <v>253000</v>
      </c>
      <c r="BA43" s="99">
        <f t="shared" si="26"/>
        <v>293000</v>
      </c>
      <c r="BB43" s="77">
        <f t="shared" si="27"/>
        <v>32230</v>
      </c>
      <c r="BC43" s="78">
        <f t="shared" si="28"/>
        <v>260770</v>
      </c>
      <c r="BD43" s="77">
        <f t="shared" si="9"/>
        <v>38090</v>
      </c>
      <c r="BE43" s="78">
        <f t="shared" si="10"/>
        <v>254910</v>
      </c>
    </row>
    <row r="44" spans="2:57" s="42" customFormat="1" ht="15" customHeight="1">
      <c r="B44" s="250"/>
      <c r="C44" s="262"/>
      <c r="D44" s="266"/>
      <c r="E44" s="253"/>
      <c r="F44" s="250"/>
      <c r="G44" s="251"/>
      <c r="H44" s="90">
        <v>46219</v>
      </c>
      <c r="I44" s="51">
        <v>210000</v>
      </c>
      <c r="J44" s="51">
        <v>224000</v>
      </c>
      <c r="K44" s="51">
        <v>323000</v>
      </c>
      <c r="L44" s="51">
        <v>101000</v>
      </c>
      <c r="M44" s="51">
        <v>115000</v>
      </c>
      <c r="N44" s="51">
        <v>27000</v>
      </c>
      <c r="O44" s="51">
        <f t="shared" si="11"/>
        <v>15000</v>
      </c>
      <c r="Q44" s="52">
        <v>190000</v>
      </c>
      <c r="R44" s="52">
        <v>204000</v>
      </c>
      <c r="S44" s="52">
        <v>273000</v>
      </c>
      <c r="T44" s="69">
        <f t="shared" si="12"/>
        <v>1.338235294117647</v>
      </c>
      <c r="U44" s="52">
        <f t="shared" si="13"/>
        <v>69000</v>
      </c>
      <c r="W44" s="56">
        <v>190000</v>
      </c>
      <c r="X44" s="54">
        <f t="shared" si="0"/>
        <v>9.5238095238095233E-2</v>
      </c>
      <c r="Y44" s="56">
        <v>204000</v>
      </c>
      <c r="Z44" s="54">
        <f t="shared" si="1"/>
        <v>8.9285714285714302E-2</v>
      </c>
      <c r="AA44" s="56">
        <v>273000</v>
      </c>
      <c r="AB44" s="53">
        <f t="shared" si="2"/>
        <v>0.15479876160990713</v>
      </c>
      <c r="AC44" s="51">
        <v>54000</v>
      </c>
      <c r="AD44" s="54">
        <f t="shared" si="3"/>
        <v>0.46534653465346532</v>
      </c>
      <c r="AE44" s="51">
        <f t="shared" si="14"/>
        <v>32000</v>
      </c>
      <c r="AF44" s="54">
        <f t="shared" si="4"/>
        <v>0.72173913043478266</v>
      </c>
      <c r="AG44" s="94">
        <v>0</v>
      </c>
      <c r="AH44" s="91">
        <f t="shared" si="5"/>
        <v>1</v>
      </c>
      <c r="AI44" s="94">
        <f t="shared" si="15"/>
        <v>12000</v>
      </c>
      <c r="AJ44" s="91">
        <f t="shared" si="16"/>
        <v>0.55555555555555558</v>
      </c>
      <c r="AK44" s="45">
        <v>0</v>
      </c>
      <c r="AL44" s="47">
        <f t="shared" si="17"/>
        <v>1</v>
      </c>
      <c r="AM44" s="45">
        <f t="shared" si="18"/>
        <v>12000</v>
      </c>
      <c r="AN44" s="47">
        <f t="shared" si="6"/>
        <v>0.19999999999999996</v>
      </c>
      <c r="AP44" s="110">
        <f t="shared" si="19"/>
        <v>276000</v>
      </c>
      <c r="AQ44" s="111">
        <f t="shared" si="20"/>
        <v>290000</v>
      </c>
      <c r="AR44" s="112">
        <f t="shared" si="21"/>
        <v>359000</v>
      </c>
      <c r="AS44" s="77">
        <f t="shared" si="22"/>
        <v>39490</v>
      </c>
      <c r="AT44" s="78">
        <f t="shared" si="23"/>
        <v>319510</v>
      </c>
      <c r="AU44" s="77">
        <f t="shared" si="7"/>
        <v>46670</v>
      </c>
      <c r="AV44" s="78">
        <f t="shared" si="8"/>
        <v>312330</v>
      </c>
      <c r="AY44" s="103">
        <f t="shared" si="24"/>
        <v>246000</v>
      </c>
      <c r="AZ44" s="98">
        <f t="shared" si="25"/>
        <v>260000</v>
      </c>
      <c r="BA44" s="99">
        <f t="shared" si="26"/>
        <v>329000</v>
      </c>
      <c r="BB44" s="77">
        <f t="shared" si="27"/>
        <v>36190</v>
      </c>
      <c r="BC44" s="78">
        <f t="shared" si="28"/>
        <v>292810</v>
      </c>
      <c r="BD44" s="77">
        <f t="shared" si="9"/>
        <v>42770</v>
      </c>
      <c r="BE44" s="78">
        <f t="shared" si="10"/>
        <v>286230</v>
      </c>
    </row>
    <row r="45" spans="2:57" s="42" customFormat="1" ht="15" customHeight="1">
      <c r="B45" s="250"/>
      <c r="C45" s="262"/>
      <c r="D45" s="266"/>
      <c r="E45" s="253"/>
      <c r="F45" s="248" t="s">
        <v>80</v>
      </c>
      <c r="G45" s="249"/>
      <c r="H45" s="59" t="s">
        <v>45</v>
      </c>
      <c r="I45" s="48">
        <v>143000</v>
      </c>
      <c r="J45" s="48">
        <v>157000</v>
      </c>
      <c r="K45" s="48">
        <v>184000</v>
      </c>
      <c r="L45" s="48">
        <v>101000</v>
      </c>
      <c r="M45" s="48">
        <v>115000</v>
      </c>
      <c r="N45" s="48">
        <v>27000</v>
      </c>
      <c r="O45" s="48">
        <f t="shared" si="11"/>
        <v>15000</v>
      </c>
      <c r="Q45" s="46">
        <v>133000</v>
      </c>
      <c r="R45" s="46">
        <v>147000</v>
      </c>
      <c r="S45" s="46">
        <v>177000</v>
      </c>
      <c r="T45" s="68">
        <f t="shared" si="12"/>
        <v>1.2040816326530612</v>
      </c>
      <c r="U45" s="46">
        <f t="shared" si="13"/>
        <v>30000</v>
      </c>
      <c r="W45" s="48">
        <v>133000</v>
      </c>
      <c r="X45" s="49">
        <f t="shared" si="0"/>
        <v>6.9930069930069894E-2</v>
      </c>
      <c r="Y45" s="48">
        <v>147000</v>
      </c>
      <c r="Z45" s="49">
        <f t="shared" si="1"/>
        <v>6.3694267515923553E-2</v>
      </c>
      <c r="AA45" s="48">
        <v>177000</v>
      </c>
      <c r="AB45" s="49">
        <f t="shared" si="2"/>
        <v>3.8043478260869512E-2</v>
      </c>
      <c r="AC45" s="48">
        <v>54000</v>
      </c>
      <c r="AD45" s="63">
        <f t="shared" si="3"/>
        <v>0.46534653465346532</v>
      </c>
      <c r="AE45" s="48">
        <f t="shared" si="14"/>
        <v>32000</v>
      </c>
      <c r="AF45" s="49">
        <f t="shared" si="4"/>
        <v>0.72173913043478266</v>
      </c>
      <c r="AG45" s="95">
        <v>0</v>
      </c>
      <c r="AH45" s="92">
        <f t="shared" si="5"/>
        <v>1</v>
      </c>
      <c r="AI45" s="95">
        <f t="shared" si="15"/>
        <v>12000</v>
      </c>
      <c r="AJ45" s="92">
        <f t="shared" si="16"/>
        <v>0.55555555555555558</v>
      </c>
      <c r="AK45" s="45">
        <v>0</v>
      </c>
      <c r="AL45" s="47">
        <f t="shared" si="17"/>
        <v>1</v>
      </c>
      <c r="AM45" s="45">
        <f t="shared" si="18"/>
        <v>12000</v>
      </c>
      <c r="AN45" s="47">
        <f t="shared" si="6"/>
        <v>0.19999999999999996</v>
      </c>
      <c r="AP45" s="113">
        <f t="shared" si="19"/>
        <v>219000</v>
      </c>
      <c r="AQ45" s="114">
        <f t="shared" si="20"/>
        <v>233000</v>
      </c>
      <c r="AR45" s="115">
        <f t="shared" si="21"/>
        <v>263000</v>
      </c>
      <c r="AS45" s="77">
        <f t="shared" si="22"/>
        <v>28930</v>
      </c>
      <c r="AT45" s="78">
        <f t="shared" si="23"/>
        <v>234070</v>
      </c>
      <c r="AU45" s="77">
        <f t="shared" si="7"/>
        <v>34190</v>
      </c>
      <c r="AV45" s="78">
        <f t="shared" si="8"/>
        <v>228810</v>
      </c>
      <c r="AY45" s="100">
        <f t="shared" si="24"/>
        <v>189000</v>
      </c>
      <c r="AZ45" s="101">
        <f t="shared" si="25"/>
        <v>203000</v>
      </c>
      <c r="BA45" s="102">
        <f t="shared" si="26"/>
        <v>233000</v>
      </c>
      <c r="BB45" s="77">
        <f t="shared" si="27"/>
        <v>25630</v>
      </c>
      <c r="BC45" s="78">
        <f t="shared" si="28"/>
        <v>207370</v>
      </c>
      <c r="BD45" s="77">
        <f t="shared" si="9"/>
        <v>30290</v>
      </c>
      <c r="BE45" s="78">
        <f t="shared" si="10"/>
        <v>202710</v>
      </c>
    </row>
    <row r="46" spans="2:57" s="42" customFormat="1" ht="15" customHeight="1">
      <c r="B46" s="250"/>
      <c r="C46" s="262"/>
      <c r="D46" s="266"/>
      <c r="E46" s="253"/>
      <c r="F46" s="250"/>
      <c r="G46" s="251"/>
      <c r="H46" s="55" t="s">
        <v>105</v>
      </c>
      <c r="I46" s="51">
        <v>164000</v>
      </c>
      <c r="J46" s="51">
        <v>178000</v>
      </c>
      <c r="K46" s="51">
        <v>224000</v>
      </c>
      <c r="L46" s="51">
        <v>101000</v>
      </c>
      <c r="M46" s="51">
        <v>115000</v>
      </c>
      <c r="N46" s="51">
        <v>27000</v>
      </c>
      <c r="O46" s="51">
        <f t="shared" si="11"/>
        <v>15000</v>
      </c>
      <c r="Q46" s="52">
        <v>154000</v>
      </c>
      <c r="R46" s="52">
        <v>168000</v>
      </c>
      <c r="S46" s="52">
        <v>204000</v>
      </c>
      <c r="T46" s="69">
        <f t="shared" si="12"/>
        <v>1.2142857142857142</v>
      </c>
      <c r="U46" s="52">
        <f t="shared" si="13"/>
        <v>36000</v>
      </c>
      <c r="W46" s="56">
        <v>154000</v>
      </c>
      <c r="X46" s="54">
        <f t="shared" si="0"/>
        <v>6.0975609756097615E-2</v>
      </c>
      <c r="Y46" s="56">
        <v>168000</v>
      </c>
      <c r="Z46" s="54">
        <f t="shared" si="1"/>
        <v>5.6179775280898903E-2</v>
      </c>
      <c r="AA46" s="56">
        <v>204000</v>
      </c>
      <c r="AB46" s="53">
        <f t="shared" si="2"/>
        <v>8.9285714285714302E-2</v>
      </c>
      <c r="AC46" s="51">
        <v>54000</v>
      </c>
      <c r="AD46" s="54">
        <f t="shared" si="3"/>
        <v>0.46534653465346532</v>
      </c>
      <c r="AE46" s="51">
        <f t="shared" si="14"/>
        <v>32000</v>
      </c>
      <c r="AF46" s="54">
        <f t="shared" si="4"/>
        <v>0.72173913043478266</v>
      </c>
      <c r="AG46" s="94">
        <v>0</v>
      </c>
      <c r="AH46" s="91">
        <f t="shared" si="5"/>
        <v>1</v>
      </c>
      <c r="AI46" s="94">
        <f t="shared" si="15"/>
        <v>12000</v>
      </c>
      <c r="AJ46" s="91">
        <f t="shared" si="16"/>
        <v>0.55555555555555558</v>
      </c>
      <c r="AK46" s="45">
        <v>0</v>
      </c>
      <c r="AL46" s="47">
        <f t="shared" si="17"/>
        <v>1</v>
      </c>
      <c r="AM46" s="45">
        <f t="shared" si="18"/>
        <v>12000</v>
      </c>
      <c r="AN46" s="47">
        <f t="shared" si="6"/>
        <v>0.19999999999999996</v>
      </c>
      <c r="AP46" s="110">
        <f t="shared" si="19"/>
        <v>240000</v>
      </c>
      <c r="AQ46" s="111">
        <f t="shared" si="20"/>
        <v>254000</v>
      </c>
      <c r="AR46" s="112">
        <f t="shared" si="21"/>
        <v>290000</v>
      </c>
      <c r="AS46" s="77">
        <f t="shared" si="22"/>
        <v>31900</v>
      </c>
      <c r="AT46" s="78">
        <f t="shared" si="23"/>
        <v>258100</v>
      </c>
      <c r="AU46" s="77">
        <f t="shared" si="7"/>
        <v>37700</v>
      </c>
      <c r="AV46" s="78">
        <f t="shared" si="8"/>
        <v>252300</v>
      </c>
      <c r="AY46" s="103">
        <f t="shared" si="24"/>
        <v>210000</v>
      </c>
      <c r="AZ46" s="98">
        <f t="shared" si="25"/>
        <v>224000</v>
      </c>
      <c r="BA46" s="99">
        <f t="shared" si="26"/>
        <v>260000</v>
      </c>
      <c r="BB46" s="77">
        <f t="shared" si="27"/>
        <v>28600</v>
      </c>
      <c r="BC46" s="78">
        <f t="shared" si="28"/>
        <v>231400</v>
      </c>
      <c r="BD46" s="77">
        <f t="shared" si="9"/>
        <v>33800</v>
      </c>
      <c r="BE46" s="78">
        <f t="shared" si="10"/>
        <v>226200</v>
      </c>
    </row>
    <row r="47" spans="2:57" s="42" customFormat="1" ht="15" customHeight="1">
      <c r="B47" s="250"/>
      <c r="C47" s="262"/>
      <c r="D47" s="266"/>
      <c r="E47" s="253"/>
      <c r="F47" s="250"/>
      <c r="G47" s="251"/>
      <c r="H47" s="50" t="s">
        <v>106</v>
      </c>
      <c r="I47" s="51">
        <v>193000</v>
      </c>
      <c r="J47" s="51">
        <v>208000</v>
      </c>
      <c r="K47" s="51">
        <v>283000</v>
      </c>
      <c r="L47" s="51">
        <v>101000</v>
      </c>
      <c r="M47" s="51">
        <v>115000</v>
      </c>
      <c r="N47" s="51">
        <v>27000</v>
      </c>
      <c r="O47" s="51">
        <f t="shared" si="11"/>
        <v>15000</v>
      </c>
      <c r="Q47" s="52">
        <v>193000</v>
      </c>
      <c r="R47" s="52">
        <v>208000</v>
      </c>
      <c r="S47" s="52">
        <v>253000</v>
      </c>
      <c r="T47" s="69">
        <f t="shared" si="12"/>
        <v>1.2163461538461537</v>
      </c>
      <c r="U47" s="52">
        <f t="shared" si="13"/>
        <v>45000</v>
      </c>
      <c r="W47" s="56">
        <v>193000</v>
      </c>
      <c r="X47" s="54">
        <f t="shared" si="0"/>
        <v>0</v>
      </c>
      <c r="Y47" s="56">
        <v>208000</v>
      </c>
      <c r="Z47" s="54">
        <f t="shared" si="1"/>
        <v>0</v>
      </c>
      <c r="AA47" s="56">
        <v>253000</v>
      </c>
      <c r="AB47" s="53">
        <f t="shared" si="2"/>
        <v>0.10600706713780916</v>
      </c>
      <c r="AC47" s="51">
        <v>54000</v>
      </c>
      <c r="AD47" s="54">
        <f t="shared" si="3"/>
        <v>0.46534653465346532</v>
      </c>
      <c r="AE47" s="51">
        <f t="shared" si="14"/>
        <v>32000</v>
      </c>
      <c r="AF47" s="54">
        <f t="shared" si="4"/>
        <v>0.72173913043478266</v>
      </c>
      <c r="AG47" s="94">
        <v>0</v>
      </c>
      <c r="AH47" s="91">
        <f t="shared" si="5"/>
        <v>1</v>
      </c>
      <c r="AI47" s="94">
        <f t="shared" si="15"/>
        <v>12000</v>
      </c>
      <c r="AJ47" s="91">
        <f t="shared" si="16"/>
        <v>0.55555555555555558</v>
      </c>
      <c r="AK47" s="45">
        <v>0</v>
      </c>
      <c r="AL47" s="47">
        <f t="shared" si="17"/>
        <v>1</v>
      </c>
      <c r="AM47" s="45">
        <f t="shared" si="18"/>
        <v>12000</v>
      </c>
      <c r="AN47" s="47">
        <f t="shared" si="6"/>
        <v>0.19999999999999996</v>
      </c>
      <c r="AP47" s="110">
        <f t="shared" si="19"/>
        <v>279000</v>
      </c>
      <c r="AQ47" s="111">
        <f t="shared" si="20"/>
        <v>294000</v>
      </c>
      <c r="AR47" s="112">
        <f t="shared" si="21"/>
        <v>339000</v>
      </c>
      <c r="AS47" s="77">
        <f t="shared" si="22"/>
        <v>37290</v>
      </c>
      <c r="AT47" s="78">
        <f t="shared" si="23"/>
        <v>301710</v>
      </c>
      <c r="AU47" s="77">
        <f t="shared" si="7"/>
        <v>44070</v>
      </c>
      <c r="AV47" s="78">
        <f t="shared" si="8"/>
        <v>294930</v>
      </c>
      <c r="AY47" s="103">
        <f t="shared" si="24"/>
        <v>249000</v>
      </c>
      <c r="AZ47" s="98">
        <f t="shared" si="25"/>
        <v>264000</v>
      </c>
      <c r="BA47" s="99">
        <f t="shared" si="26"/>
        <v>309000</v>
      </c>
      <c r="BB47" s="77">
        <f t="shared" si="27"/>
        <v>33990</v>
      </c>
      <c r="BC47" s="78">
        <f t="shared" si="28"/>
        <v>275010</v>
      </c>
      <c r="BD47" s="77">
        <f t="shared" si="9"/>
        <v>40170</v>
      </c>
      <c r="BE47" s="78">
        <f t="shared" si="10"/>
        <v>268830</v>
      </c>
    </row>
    <row r="48" spans="2:57" s="42" customFormat="1" ht="15" customHeight="1">
      <c r="B48" s="250"/>
      <c r="C48" s="262"/>
      <c r="D48" s="266"/>
      <c r="E48" s="253"/>
      <c r="F48" s="250"/>
      <c r="G48" s="251"/>
      <c r="H48" s="90">
        <v>46219</v>
      </c>
      <c r="I48" s="51">
        <v>221000</v>
      </c>
      <c r="J48" s="51">
        <v>235000</v>
      </c>
      <c r="K48" s="51">
        <v>334000</v>
      </c>
      <c r="L48" s="51">
        <v>101000</v>
      </c>
      <c r="M48" s="51">
        <v>115000</v>
      </c>
      <c r="N48" s="51">
        <v>27000</v>
      </c>
      <c r="O48" s="51">
        <f t="shared" si="11"/>
        <v>15000</v>
      </c>
      <c r="Q48" s="52">
        <v>201000</v>
      </c>
      <c r="R48" s="52">
        <v>215000</v>
      </c>
      <c r="S48" s="52">
        <v>284000</v>
      </c>
      <c r="T48" s="69">
        <f t="shared" si="12"/>
        <v>1.3209302325581396</v>
      </c>
      <c r="U48" s="52">
        <f t="shared" si="13"/>
        <v>69000</v>
      </c>
      <c r="W48" s="56">
        <v>201000</v>
      </c>
      <c r="X48" s="54">
        <f t="shared" si="0"/>
        <v>9.0497737556561098E-2</v>
      </c>
      <c r="Y48" s="56">
        <v>215000</v>
      </c>
      <c r="Z48" s="54">
        <f t="shared" si="1"/>
        <v>8.5106382978723416E-2</v>
      </c>
      <c r="AA48" s="56">
        <v>284000</v>
      </c>
      <c r="AB48" s="53">
        <f t="shared" si="2"/>
        <v>0.14970059880239517</v>
      </c>
      <c r="AC48" s="51">
        <v>54000</v>
      </c>
      <c r="AD48" s="54">
        <f t="shared" si="3"/>
        <v>0.46534653465346532</v>
      </c>
      <c r="AE48" s="51">
        <f t="shared" si="14"/>
        <v>32000</v>
      </c>
      <c r="AF48" s="54">
        <f t="shared" si="4"/>
        <v>0.72173913043478266</v>
      </c>
      <c r="AG48" s="94">
        <v>0</v>
      </c>
      <c r="AH48" s="91">
        <f t="shared" si="5"/>
        <v>1</v>
      </c>
      <c r="AI48" s="94">
        <f t="shared" si="15"/>
        <v>12000</v>
      </c>
      <c r="AJ48" s="91">
        <f t="shared" si="16"/>
        <v>0.55555555555555558</v>
      </c>
      <c r="AK48" s="45">
        <v>0</v>
      </c>
      <c r="AL48" s="47">
        <f t="shared" si="17"/>
        <v>1</v>
      </c>
      <c r="AM48" s="45">
        <f t="shared" si="18"/>
        <v>12000</v>
      </c>
      <c r="AN48" s="47">
        <f t="shared" si="6"/>
        <v>0.19999999999999996</v>
      </c>
      <c r="AP48" s="110">
        <f t="shared" si="19"/>
        <v>287000</v>
      </c>
      <c r="AQ48" s="111">
        <f t="shared" si="20"/>
        <v>301000</v>
      </c>
      <c r="AR48" s="112">
        <f t="shared" si="21"/>
        <v>370000</v>
      </c>
      <c r="AS48" s="77">
        <f t="shared" si="22"/>
        <v>40700</v>
      </c>
      <c r="AT48" s="78">
        <f t="shared" si="23"/>
        <v>329300</v>
      </c>
      <c r="AU48" s="77">
        <f t="shared" si="7"/>
        <v>48100</v>
      </c>
      <c r="AV48" s="78">
        <f t="shared" si="8"/>
        <v>321900</v>
      </c>
      <c r="AY48" s="103">
        <f t="shared" si="24"/>
        <v>257000</v>
      </c>
      <c r="AZ48" s="98">
        <f t="shared" si="25"/>
        <v>271000</v>
      </c>
      <c r="BA48" s="99">
        <f t="shared" si="26"/>
        <v>340000</v>
      </c>
      <c r="BB48" s="77">
        <f t="shared" si="27"/>
        <v>37400</v>
      </c>
      <c r="BC48" s="78">
        <f t="shared" si="28"/>
        <v>302600</v>
      </c>
      <c r="BD48" s="77">
        <f t="shared" si="9"/>
        <v>44200</v>
      </c>
      <c r="BE48" s="78">
        <f t="shared" si="10"/>
        <v>295800</v>
      </c>
    </row>
    <row r="49" spans="2:57" s="42" customFormat="1" ht="15" customHeight="1">
      <c r="B49" s="250"/>
      <c r="C49" s="262"/>
      <c r="D49" s="266"/>
      <c r="E49" s="253"/>
      <c r="F49" s="248" t="s">
        <v>83</v>
      </c>
      <c r="G49" s="249"/>
      <c r="H49" s="59" t="s">
        <v>45</v>
      </c>
      <c r="I49" s="48">
        <v>154000</v>
      </c>
      <c r="J49" s="48">
        <v>168000</v>
      </c>
      <c r="K49" s="48">
        <v>195000</v>
      </c>
      <c r="L49" s="48">
        <v>101000</v>
      </c>
      <c r="M49" s="48">
        <v>115000</v>
      </c>
      <c r="N49" s="48">
        <v>27000</v>
      </c>
      <c r="O49" s="48">
        <f t="shared" si="11"/>
        <v>15000</v>
      </c>
      <c r="Q49" s="46">
        <v>144000</v>
      </c>
      <c r="R49" s="46">
        <v>158000</v>
      </c>
      <c r="S49" s="46">
        <v>188000</v>
      </c>
      <c r="T49" s="68">
        <f t="shared" si="12"/>
        <v>1.1898734177215189</v>
      </c>
      <c r="U49" s="46">
        <f t="shared" si="13"/>
        <v>30000</v>
      </c>
      <c r="W49" s="48">
        <v>144000</v>
      </c>
      <c r="X49" s="49">
        <f t="shared" si="0"/>
        <v>6.4935064935064957E-2</v>
      </c>
      <c r="Y49" s="48">
        <v>158000</v>
      </c>
      <c r="Z49" s="49">
        <f t="shared" si="1"/>
        <v>5.9523809523809534E-2</v>
      </c>
      <c r="AA49" s="48">
        <v>188000</v>
      </c>
      <c r="AB49" s="49">
        <f t="shared" si="2"/>
        <v>3.5897435897435881E-2</v>
      </c>
      <c r="AC49" s="48">
        <v>54000</v>
      </c>
      <c r="AD49" s="49">
        <f t="shared" si="3"/>
        <v>0.46534653465346532</v>
      </c>
      <c r="AE49" s="48">
        <f t="shared" si="14"/>
        <v>32000</v>
      </c>
      <c r="AF49" s="49">
        <f t="shared" si="4"/>
        <v>0.72173913043478266</v>
      </c>
      <c r="AG49" s="95">
        <v>0</v>
      </c>
      <c r="AH49" s="92">
        <f t="shared" si="5"/>
        <v>1</v>
      </c>
      <c r="AI49" s="95">
        <f t="shared" si="15"/>
        <v>12000</v>
      </c>
      <c r="AJ49" s="92">
        <f t="shared" si="16"/>
        <v>0.55555555555555558</v>
      </c>
      <c r="AK49" s="45">
        <v>0</v>
      </c>
      <c r="AL49" s="47">
        <f t="shared" si="17"/>
        <v>1</v>
      </c>
      <c r="AM49" s="45">
        <f t="shared" si="18"/>
        <v>12000</v>
      </c>
      <c r="AN49" s="47">
        <f t="shared" si="6"/>
        <v>0.19999999999999996</v>
      </c>
      <c r="AP49" s="113">
        <f t="shared" si="19"/>
        <v>230000</v>
      </c>
      <c r="AQ49" s="114">
        <f t="shared" si="20"/>
        <v>244000</v>
      </c>
      <c r="AR49" s="115">
        <f t="shared" si="21"/>
        <v>274000</v>
      </c>
      <c r="AS49" s="77">
        <f t="shared" si="22"/>
        <v>30140</v>
      </c>
      <c r="AT49" s="78">
        <f t="shared" si="23"/>
        <v>243860</v>
      </c>
      <c r="AU49" s="77">
        <f t="shared" si="7"/>
        <v>35620</v>
      </c>
      <c r="AV49" s="78">
        <f t="shared" si="8"/>
        <v>238380</v>
      </c>
      <c r="AY49" s="100">
        <f t="shared" si="24"/>
        <v>200000</v>
      </c>
      <c r="AZ49" s="101">
        <f t="shared" si="25"/>
        <v>214000</v>
      </c>
      <c r="BA49" s="102">
        <f t="shared" si="26"/>
        <v>244000</v>
      </c>
      <c r="BB49" s="77">
        <f t="shared" si="27"/>
        <v>26840</v>
      </c>
      <c r="BC49" s="78">
        <f t="shared" si="28"/>
        <v>217160</v>
      </c>
      <c r="BD49" s="77">
        <f t="shared" si="9"/>
        <v>31720</v>
      </c>
      <c r="BE49" s="78">
        <f t="shared" si="10"/>
        <v>212280</v>
      </c>
    </row>
    <row r="50" spans="2:57" s="42" customFormat="1" ht="15" customHeight="1">
      <c r="B50" s="250"/>
      <c r="C50" s="262"/>
      <c r="D50" s="266"/>
      <c r="E50" s="253"/>
      <c r="F50" s="250"/>
      <c r="G50" s="251"/>
      <c r="H50" s="55" t="s">
        <v>105</v>
      </c>
      <c r="I50" s="51">
        <v>175000</v>
      </c>
      <c r="J50" s="51">
        <v>189000</v>
      </c>
      <c r="K50" s="51">
        <v>235000</v>
      </c>
      <c r="L50" s="51">
        <v>101000</v>
      </c>
      <c r="M50" s="51">
        <v>115000</v>
      </c>
      <c r="N50" s="51">
        <v>27000</v>
      </c>
      <c r="O50" s="51">
        <f t="shared" si="11"/>
        <v>15000</v>
      </c>
      <c r="Q50" s="52">
        <v>165000</v>
      </c>
      <c r="R50" s="52">
        <v>179000</v>
      </c>
      <c r="S50" s="52">
        <v>215000</v>
      </c>
      <c r="T50" s="69">
        <f t="shared" si="12"/>
        <v>1.2011173184357542</v>
      </c>
      <c r="U50" s="52">
        <f t="shared" si="13"/>
        <v>36000</v>
      </c>
      <c r="W50" s="56">
        <v>165000</v>
      </c>
      <c r="X50" s="54">
        <f t="shared" si="0"/>
        <v>5.7142857142857162E-2</v>
      </c>
      <c r="Y50" s="56">
        <v>179000</v>
      </c>
      <c r="Z50" s="54">
        <f t="shared" si="1"/>
        <v>5.2910052910052907E-2</v>
      </c>
      <c r="AA50" s="56">
        <v>215000</v>
      </c>
      <c r="AB50" s="53">
        <f t="shared" si="2"/>
        <v>8.5106382978723416E-2</v>
      </c>
      <c r="AC50" s="51">
        <v>54000</v>
      </c>
      <c r="AD50" s="54">
        <f t="shared" si="3"/>
        <v>0.46534653465346532</v>
      </c>
      <c r="AE50" s="51">
        <f t="shared" si="14"/>
        <v>32000</v>
      </c>
      <c r="AF50" s="54">
        <f t="shared" si="4"/>
        <v>0.72173913043478266</v>
      </c>
      <c r="AG50" s="94">
        <v>0</v>
      </c>
      <c r="AH50" s="91">
        <f t="shared" si="5"/>
        <v>1</v>
      </c>
      <c r="AI50" s="94">
        <f t="shared" si="15"/>
        <v>12000</v>
      </c>
      <c r="AJ50" s="91">
        <f t="shared" si="16"/>
        <v>0.55555555555555558</v>
      </c>
      <c r="AK50" s="45">
        <v>0</v>
      </c>
      <c r="AL50" s="47">
        <f t="shared" si="17"/>
        <v>1</v>
      </c>
      <c r="AM50" s="45">
        <f t="shared" si="18"/>
        <v>12000</v>
      </c>
      <c r="AN50" s="47">
        <f t="shared" si="6"/>
        <v>0.19999999999999996</v>
      </c>
      <c r="AP50" s="110">
        <f t="shared" si="19"/>
        <v>251000</v>
      </c>
      <c r="AQ50" s="111">
        <f t="shared" si="20"/>
        <v>265000</v>
      </c>
      <c r="AR50" s="112">
        <f t="shared" si="21"/>
        <v>301000</v>
      </c>
      <c r="AS50" s="77">
        <f t="shared" si="22"/>
        <v>33110</v>
      </c>
      <c r="AT50" s="78">
        <f t="shared" si="23"/>
        <v>267890</v>
      </c>
      <c r="AU50" s="77">
        <f t="shared" si="7"/>
        <v>39130</v>
      </c>
      <c r="AV50" s="78">
        <f t="shared" si="8"/>
        <v>261870</v>
      </c>
      <c r="AY50" s="103">
        <f t="shared" si="24"/>
        <v>221000</v>
      </c>
      <c r="AZ50" s="98">
        <f t="shared" si="25"/>
        <v>235000</v>
      </c>
      <c r="BA50" s="99">
        <f t="shared" si="26"/>
        <v>271000</v>
      </c>
      <c r="BB50" s="77">
        <f t="shared" si="27"/>
        <v>29810</v>
      </c>
      <c r="BC50" s="78">
        <f t="shared" si="28"/>
        <v>241190</v>
      </c>
      <c r="BD50" s="77">
        <f t="shared" si="9"/>
        <v>35230</v>
      </c>
      <c r="BE50" s="78">
        <f t="shared" si="10"/>
        <v>235770</v>
      </c>
    </row>
    <row r="51" spans="2:57" s="42" customFormat="1" ht="15" customHeight="1">
      <c r="B51" s="250"/>
      <c r="C51" s="262"/>
      <c r="D51" s="266"/>
      <c r="E51" s="253"/>
      <c r="F51" s="250"/>
      <c r="G51" s="251"/>
      <c r="H51" s="50" t="s">
        <v>106</v>
      </c>
      <c r="I51" s="51">
        <v>204000</v>
      </c>
      <c r="J51" s="51">
        <v>219000</v>
      </c>
      <c r="K51" s="51">
        <v>294000</v>
      </c>
      <c r="L51" s="51">
        <v>101000</v>
      </c>
      <c r="M51" s="51">
        <v>115000</v>
      </c>
      <c r="N51" s="51">
        <v>27000</v>
      </c>
      <c r="O51" s="51">
        <f t="shared" si="11"/>
        <v>15000</v>
      </c>
      <c r="Q51" s="52">
        <v>204000</v>
      </c>
      <c r="R51" s="52">
        <v>219000</v>
      </c>
      <c r="S51" s="52">
        <v>264000</v>
      </c>
      <c r="T51" s="69">
        <f t="shared" si="12"/>
        <v>1.2054794520547945</v>
      </c>
      <c r="U51" s="52">
        <f t="shared" si="13"/>
        <v>45000</v>
      </c>
      <c r="W51" s="56">
        <v>204000</v>
      </c>
      <c r="X51" s="54">
        <f t="shared" si="0"/>
        <v>0</v>
      </c>
      <c r="Y51" s="56">
        <v>219000</v>
      </c>
      <c r="Z51" s="54">
        <f t="shared" si="1"/>
        <v>0</v>
      </c>
      <c r="AA51" s="56">
        <v>264000</v>
      </c>
      <c r="AB51" s="53">
        <f t="shared" si="2"/>
        <v>0.10204081632653061</v>
      </c>
      <c r="AC51" s="51">
        <v>54000</v>
      </c>
      <c r="AD51" s="54">
        <f t="shared" si="3"/>
        <v>0.46534653465346532</v>
      </c>
      <c r="AE51" s="51">
        <f t="shared" si="14"/>
        <v>32000</v>
      </c>
      <c r="AF51" s="54">
        <f t="shared" si="4"/>
        <v>0.72173913043478266</v>
      </c>
      <c r="AG51" s="94">
        <v>0</v>
      </c>
      <c r="AH51" s="91">
        <f t="shared" si="5"/>
        <v>1</v>
      </c>
      <c r="AI51" s="94">
        <f t="shared" si="15"/>
        <v>12000</v>
      </c>
      <c r="AJ51" s="91">
        <f t="shared" si="16"/>
        <v>0.55555555555555558</v>
      </c>
      <c r="AK51" s="45">
        <v>0</v>
      </c>
      <c r="AL51" s="47">
        <f t="shared" si="17"/>
        <v>1</v>
      </c>
      <c r="AM51" s="45">
        <f t="shared" si="18"/>
        <v>12000</v>
      </c>
      <c r="AN51" s="47">
        <f t="shared" si="6"/>
        <v>0.19999999999999996</v>
      </c>
      <c r="AP51" s="110">
        <f t="shared" si="19"/>
        <v>290000</v>
      </c>
      <c r="AQ51" s="111">
        <f t="shared" si="20"/>
        <v>305000</v>
      </c>
      <c r="AR51" s="112">
        <f t="shared" si="21"/>
        <v>350000</v>
      </c>
      <c r="AS51" s="77">
        <f t="shared" si="22"/>
        <v>38500</v>
      </c>
      <c r="AT51" s="78">
        <f t="shared" si="23"/>
        <v>311500</v>
      </c>
      <c r="AU51" s="77">
        <f t="shared" si="7"/>
        <v>45500</v>
      </c>
      <c r="AV51" s="78">
        <f t="shared" si="8"/>
        <v>304500</v>
      </c>
      <c r="AY51" s="103">
        <f t="shared" si="24"/>
        <v>260000</v>
      </c>
      <c r="AZ51" s="98">
        <f t="shared" si="25"/>
        <v>275000</v>
      </c>
      <c r="BA51" s="99">
        <f t="shared" si="26"/>
        <v>320000</v>
      </c>
      <c r="BB51" s="77">
        <f t="shared" si="27"/>
        <v>35200</v>
      </c>
      <c r="BC51" s="78">
        <f t="shared" si="28"/>
        <v>284800</v>
      </c>
      <c r="BD51" s="77">
        <f t="shared" si="9"/>
        <v>41600</v>
      </c>
      <c r="BE51" s="78">
        <f t="shared" si="10"/>
        <v>278400</v>
      </c>
    </row>
    <row r="52" spans="2:57" s="42" customFormat="1" ht="15" customHeight="1">
      <c r="B52" s="250"/>
      <c r="C52" s="262"/>
      <c r="D52" s="266"/>
      <c r="E52" s="253"/>
      <c r="F52" s="250"/>
      <c r="G52" s="251"/>
      <c r="H52" s="90">
        <v>46219</v>
      </c>
      <c r="I52" s="51">
        <v>232000</v>
      </c>
      <c r="J52" s="51">
        <v>246000</v>
      </c>
      <c r="K52" s="51">
        <v>345000</v>
      </c>
      <c r="L52" s="51">
        <v>101000</v>
      </c>
      <c r="M52" s="51">
        <v>115000</v>
      </c>
      <c r="N52" s="51">
        <v>27000</v>
      </c>
      <c r="O52" s="51">
        <f t="shared" si="11"/>
        <v>15000</v>
      </c>
      <c r="Q52" s="52">
        <v>212000</v>
      </c>
      <c r="R52" s="52">
        <v>226000</v>
      </c>
      <c r="S52" s="52">
        <v>295000</v>
      </c>
      <c r="T52" s="69">
        <f t="shared" si="12"/>
        <v>1.3053097345132743</v>
      </c>
      <c r="U52" s="52">
        <f t="shared" si="13"/>
        <v>69000</v>
      </c>
      <c r="W52" s="56">
        <v>212000</v>
      </c>
      <c r="X52" s="54">
        <f t="shared" si="0"/>
        <v>8.6206896551724088E-2</v>
      </c>
      <c r="Y52" s="56">
        <v>226000</v>
      </c>
      <c r="Z52" s="54">
        <f t="shared" si="1"/>
        <v>8.1300813008130079E-2</v>
      </c>
      <c r="AA52" s="56">
        <v>295000</v>
      </c>
      <c r="AB52" s="53">
        <f t="shared" si="2"/>
        <v>0.14492753623188404</v>
      </c>
      <c r="AC52" s="51">
        <v>54000</v>
      </c>
      <c r="AD52" s="54">
        <f t="shared" si="3"/>
        <v>0.46534653465346532</v>
      </c>
      <c r="AE52" s="51">
        <f t="shared" si="14"/>
        <v>32000</v>
      </c>
      <c r="AF52" s="54">
        <f t="shared" si="4"/>
        <v>0.72173913043478266</v>
      </c>
      <c r="AG52" s="94">
        <v>0</v>
      </c>
      <c r="AH52" s="91">
        <f t="shared" si="5"/>
        <v>1</v>
      </c>
      <c r="AI52" s="94">
        <f t="shared" si="15"/>
        <v>12000</v>
      </c>
      <c r="AJ52" s="91">
        <f t="shared" si="16"/>
        <v>0.55555555555555558</v>
      </c>
      <c r="AK52" s="45">
        <v>0</v>
      </c>
      <c r="AL52" s="47">
        <f t="shared" si="17"/>
        <v>1</v>
      </c>
      <c r="AM52" s="45">
        <f t="shared" si="18"/>
        <v>12000</v>
      </c>
      <c r="AN52" s="47">
        <f t="shared" si="6"/>
        <v>0.19999999999999996</v>
      </c>
      <c r="AP52" s="110">
        <f t="shared" si="19"/>
        <v>298000</v>
      </c>
      <c r="AQ52" s="111">
        <f t="shared" si="20"/>
        <v>312000</v>
      </c>
      <c r="AR52" s="112">
        <f t="shared" si="21"/>
        <v>381000</v>
      </c>
      <c r="AS52" s="77">
        <f t="shared" si="22"/>
        <v>41910</v>
      </c>
      <c r="AT52" s="78">
        <f t="shared" si="23"/>
        <v>339090</v>
      </c>
      <c r="AU52" s="77">
        <f t="shared" si="7"/>
        <v>49530</v>
      </c>
      <c r="AV52" s="78">
        <f t="shared" si="8"/>
        <v>331470</v>
      </c>
      <c r="AY52" s="103">
        <f t="shared" si="24"/>
        <v>268000</v>
      </c>
      <c r="AZ52" s="98">
        <f t="shared" si="25"/>
        <v>282000</v>
      </c>
      <c r="BA52" s="99">
        <f t="shared" si="26"/>
        <v>351000</v>
      </c>
      <c r="BB52" s="77">
        <f t="shared" si="27"/>
        <v>38610</v>
      </c>
      <c r="BC52" s="78">
        <f t="shared" si="28"/>
        <v>312390</v>
      </c>
      <c r="BD52" s="77">
        <f t="shared" si="9"/>
        <v>45630</v>
      </c>
      <c r="BE52" s="78">
        <f t="shared" si="10"/>
        <v>305370</v>
      </c>
    </row>
    <row r="53" spans="2:57" ht="8.25" customHeight="1">
      <c r="AD53" s="57"/>
      <c r="AE53" s="58"/>
      <c r="AF53" s="57"/>
    </row>
  </sheetData>
  <mergeCells count="40">
    <mergeCell ref="B9:C52"/>
    <mergeCell ref="D9:D20"/>
    <mergeCell ref="E9:E14"/>
    <mergeCell ref="F9:G11"/>
    <mergeCell ref="F12:G14"/>
    <mergeCell ref="D21:D52"/>
    <mergeCell ref="E21:E36"/>
    <mergeCell ref="F21:G24"/>
    <mergeCell ref="F25:G28"/>
    <mergeCell ref="F29:G32"/>
    <mergeCell ref="F33:G36"/>
    <mergeCell ref="E37:E52"/>
    <mergeCell ref="F37:G40"/>
    <mergeCell ref="E15:E20"/>
    <mergeCell ref="F15:G17"/>
    <mergeCell ref="F18:G20"/>
    <mergeCell ref="F49:G52"/>
    <mergeCell ref="BD6:BE7"/>
    <mergeCell ref="B2:AF3"/>
    <mergeCell ref="B6:C8"/>
    <mergeCell ref="D6:G8"/>
    <mergeCell ref="H6:H8"/>
    <mergeCell ref="I6:O6"/>
    <mergeCell ref="Q6:U6"/>
    <mergeCell ref="W6:AN6"/>
    <mergeCell ref="I7:K7"/>
    <mergeCell ref="L7:O7"/>
    <mergeCell ref="Q7:S7"/>
    <mergeCell ref="AP6:AR6"/>
    <mergeCell ref="AS6:AT7"/>
    <mergeCell ref="AC7:AN7"/>
    <mergeCell ref="AP7:AR7"/>
    <mergeCell ref="AU6:AV7"/>
    <mergeCell ref="AY6:BA6"/>
    <mergeCell ref="BB6:BC7"/>
    <mergeCell ref="F41:G44"/>
    <mergeCell ref="F45:G48"/>
    <mergeCell ref="AY7:BA7"/>
    <mergeCell ref="T7:U7"/>
    <mergeCell ref="W7:AB7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E69"/>
  <sheetViews>
    <sheetView showGridLines="0" zoomScale="90" zoomScaleNormal="90" workbookViewId="0">
      <pane xSplit="8" ySplit="8" topLeftCell="I9" activePane="bottomRight" state="frozen"/>
      <selection activeCell="R28" sqref="R28"/>
      <selection pane="topRight" activeCell="R28" sqref="R28"/>
      <selection pane="bottomLeft" activeCell="R28" sqref="R28"/>
      <selection pane="bottomRight" activeCell="M33" sqref="M33"/>
    </sheetView>
  </sheetViews>
  <sheetFormatPr defaultRowHeight="14.25"/>
  <cols>
    <col min="1" max="1" width="1.125" style="3" customWidth="1"/>
    <col min="2" max="3" width="3.625" style="3" customWidth="1"/>
    <col min="4" max="4" width="5.5" style="3" bestFit="1" customWidth="1"/>
    <col min="5" max="5" width="5.875" style="3" bestFit="1" customWidth="1"/>
    <col min="6" max="7" width="5.375" style="3" customWidth="1"/>
    <col min="8" max="8" width="10.75" style="3" customWidth="1"/>
    <col min="9" max="15" width="8.875" style="3" customWidth="1"/>
    <col min="16" max="16" width="1.25" style="3" customWidth="1"/>
    <col min="17" max="19" width="8.25" style="27" customWidth="1"/>
    <col min="20" max="20" width="8.25" style="71" customWidth="1"/>
    <col min="21" max="21" width="8.25" style="27" customWidth="1"/>
    <col min="22" max="22" width="1.375" style="3" customWidth="1"/>
    <col min="23" max="28" width="7.375" style="3" customWidth="1"/>
    <col min="29" max="40" width="7.875" style="3" customWidth="1"/>
    <col min="41" max="41" width="1.125" style="3" customWidth="1"/>
    <col min="42" max="48" width="7.75" style="3" customWidth="1"/>
    <col min="49" max="49" width="0.75" style="3" customWidth="1"/>
    <col min="50" max="50" width="0.625" style="3" customWidth="1"/>
    <col min="51" max="59" width="7.75" style="3" customWidth="1"/>
    <col min="60" max="16384" width="9" style="3"/>
  </cols>
  <sheetData>
    <row r="1" spans="2:57" s="1" customFormat="1" ht="15" customHeight="1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8"/>
      <c r="R1" s="38"/>
      <c r="S1" s="38"/>
      <c r="T1" s="65"/>
      <c r="U1" s="38"/>
      <c r="V1" s="37"/>
      <c r="W1" s="37"/>
    </row>
    <row r="2" spans="2:57" s="1" customFormat="1" ht="15" customHeight="1">
      <c r="B2" s="229" t="s">
        <v>145</v>
      </c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39"/>
      <c r="AH2" s="39"/>
      <c r="AI2" s="39"/>
      <c r="AJ2" s="39"/>
      <c r="AK2" s="39"/>
      <c r="AL2" s="39"/>
      <c r="AM2" s="39"/>
      <c r="AN2" s="39"/>
      <c r="AO2" s="25"/>
    </row>
    <row r="3" spans="2:57" s="1" customFormat="1" ht="15" customHeight="1"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29"/>
      <c r="AG3" s="39"/>
      <c r="AH3" s="39"/>
      <c r="AI3" s="39"/>
      <c r="AJ3" s="39"/>
      <c r="AK3" s="39"/>
      <c r="AL3" s="39"/>
      <c r="AM3" s="39"/>
      <c r="AN3" s="39"/>
      <c r="AO3" s="25"/>
    </row>
    <row r="4" spans="2:57" s="1" customFormat="1" ht="15" customHeight="1">
      <c r="B4" s="39"/>
      <c r="C4" s="39"/>
      <c r="D4" s="39"/>
      <c r="E4" s="39"/>
      <c r="F4" s="39"/>
      <c r="G4" s="39"/>
      <c r="H4" s="39"/>
      <c r="I4" s="134" t="s">
        <v>153</v>
      </c>
      <c r="J4" s="135"/>
      <c r="K4" s="135"/>
      <c r="L4" s="134" t="s">
        <v>151</v>
      </c>
      <c r="M4" s="134"/>
      <c r="N4" s="135"/>
      <c r="O4" s="135"/>
      <c r="P4" s="135"/>
      <c r="Q4" s="134" t="s">
        <v>155</v>
      </c>
      <c r="R4" s="136"/>
      <c r="S4" s="40"/>
      <c r="T4" s="66"/>
      <c r="U4" s="40"/>
      <c r="V4" s="39"/>
      <c r="W4" s="39"/>
      <c r="X4" s="39"/>
      <c r="Y4" s="39"/>
      <c r="Z4" s="39"/>
      <c r="AA4" s="39"/>
      <c r="AB4" s="39"/>
      <c r="AC4" s="39"/>
      <c r="AD4" s="39"/>
      <c r="AE4" s="39"/>
      <c r="AF4" s="41"/>
      <c r="AG4" s="41"/>
      <c r="AH4" s="41"/>
      <c r="AI4" s="41"/>
      <c r="AJ4" s="41"/>
      <c r="AK4" s="41"/>
      <c r="AL4" s="41"/>
      <c r="AM4" s="41"/>
      <c r="AN4" s="41"/>
      <c r="AO4" s="33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85"/>
      <c r="BC4" s="34"/>
      <c r="BD4" s="85"/>
      <c r="BE4" s="34"/>
    </row>
    <row r="5" spans="2:57" s="5" customFormat="1" ht="15" customHeight="1">
      <c r="B5" s="5" t="s">
        <v>73</v>
      </c>
      <c r="H5" s="7"/>
      <c r="I5" s="137" t="s">
        <v>154</v>
      </c>
      <c r="J5" s="138"/>
      <c r="K5" s="139"/>
      <c r="L5" s="137" t="s">
        <v>152</v>
      </c>
      <c r="M5" s="137"/>
      <c r="N5" s="140"/>
      <c r="O5" s="140"/>
      <c r="P5" s="139"/>
      <c r="Q5" s="141"/>
      <c r="R5" s="141"/>
      <c r="S5" s="28"/>
      <c r="T5" s="67"/>
      <c r="U5" s="28"/>
      <c r="W5" s="7"/>
      <c r="X5" s="32"/>
      <c r="Y5" s="7"/>
      <c r="Z5" s="32"/>
      <c r="AO5" s="26"/>
    </row>
    <row r="6" spans="2:57" s="42" customFormat="1" ht="15" customHeight="1">
      <c r="B6" s="231" t="s">
        <v>7</v>
      </c>
      <c r="C6" s="232"/>
      <c r="D6" s="236" t="s">
        <v>8</v>
      </c>
      <c r="E6" s="237"/>
      <c r="F6" s="237"/>
      <c r="G6" s="226"/>
      <c r="H6" s="233" t="s">
        <v>9</v>
      </c>
      <c r="I6" s="243" t="s">
        <v>10</v>
      </c>
      <c r="J6" s="244"/>
      <c r="K6" s="244"/>
      <c r="L6" s="244"/>
      <c r="M6" s="244"/>
      <c r="N6" s="244"/>
      <c r="O6" s="245"/>
      <c r="Q6" s="246" t="s">
        <v>89</v>
      </c>
      <c r="R6" s="237"/>
      <c r="S6" s="237"/>
      <c r="T6" s="237"/>
      <c r="U6" s="247"/>
      <c r="W6" s="243" t="s">
        <v>11</v>
      </c>
      <c r="X6" s="244"/>
      <c r="Y6" s="244"/>
      <c r="Z6" s="244"/>
      <c r="AA6" s="244"/>
      <c r="AB6" s="244"/>
      <c r="AC6" s="244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5"/>
      <c r="AP6" s="255" t="s">
        <v>122</v>
      </c>
      <c r="AQ6" s="237"/>
      <c r="AR6" s="226"/>
      <c r="AS6" s="225">
        <v>0.11</v>
      </c>
      <c r="AT6" s="226"/>
      <c r="AU6" s="225">
        <v>0.13</v>
      </c>
      <c r="AV6" s="226"/>
      <c r="AY6" s="255" t="s">
        <v>123</v>
      </c>
      <c r="AZ6" s="237"/>
      <c r="BA6" s="226"/>
      <c r="BB6" s="225">
        <v>0.11</v>
      </c>
      <c r="BC6" s="226"/>
      <c r="BD6" s="225">
        <v>0.13</v>
      </c>
      <c r="BE6" s="226"/>
    </row>
    <row r="7" spans="2:57" s="42" customFormat="1" ht="15" customHeight="1">
      <c r="B7" s="233"/>
      <c r="C7" s="232"/>
      <c r="D7" s="238"/>
      <c r="E7" s="239"/>
      <c r="F7" s="239"/>
      <c r="G7" s="228"/>
      <c r="H7" s="233"/>
      <c r="I7" s="243" t="s">
        <v>13</v>
      </c>
      <c r="J7" s="244"/>
      <c r="K7" s="245"/>
      <c r="L7" s="243" t="s">
        <v>91</v>
      </c>
      <c r="M7" s="244"/>
      <c r="N7" s="244"/>
      <c r="O7" s="245"/>
      <c r="Q7" s="256" t="s">
        <v>13</v>
      </c>
      <c r="R7" s="256"/>
      <c r="S7" s="256"/>
      <c r="T7" s="257" t="s">
        <v>93</v>
      </c>
      <c r="U7" s="257"/>
      <c r="W7" s="243" t="s">
        <v>84</v>
      </c>
      <c r="X7" s="244"/>
      <c r="Y7" s="244"/>
      <c r="Z7" s="244"/>
      <c r="AA7" s="244"/>
      <c r="AB7" s="245"/>
      <c r="AC7" s="258" t="s">
        <v>121</v>
      </c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9"/>
      <c r="AP7" s="255" t="s">
        <v>12</v>
      </c>
      <c r="AQ7" s="237"/>
      <c r="AR7" s="226"/>
      <c r="AS7" s="227"/>
      <c r="AT7" s="228"/>
      <c r="AU7" s="227"/>
      <c r="AV7" s="228"/>
      <c r="AY7" s="255" t="s">
        <v>12</v>
      </c>
      <c r="AZ7" s="237"/>
      <c r="BA7" s="226"/>
      <c r="BB7" s="227"/>
      <c r="BC7" s="228"/>
      <c r="BD7" s="227"/>
      <c r="BE7" s="228"/>
    </row>
    <row r="8" spans="2:57" s="42" customFormat="1" ht="15" customHeight="1" thickBot="1">
      <c r="B8" s="234"/>
      <c r="C8" s="235"/>
      <c r="D8" s="240"/>
      <c r="E8" s="241"/>
      <c r="F8" s="241"/>
      <c r="G8" s="242"/>
      <c r="H8" s="234"/>
      <c r="I8" s="43" t="s">
        <v>17</v>
      </c>
      <c r="J8" s="43" t="s">
        <v>18</v>
      </c>
      <c r="K8" s="43" t="s">
        <v>14</v>
      </c>
      <c r="L8" s="43" t="s">
        <v>19</v>
      </c>
      <c r="M8" s="43" t="s">
        <v>76</v>
      </c>
      <c r="N8" s="43" t="s">
        <v>119</v>
      </c>
      <c r="O8" s="43" t="s">
        <v>120</v>
      </c>
      <c r="Q8" s="74" t="s">
        <v>28</v>
      </c>
      <c r="R8" s="74" t="s">
        <v>18</v>
      </c>
      <c r="S8" s="74" t="s">
        <v>14</v>
      </c>
      <c r="T8" s="75" t="s">
        <v>94</v>
      </c>
      <c r="U8" s="64" t="s">
        <v>95</v>
      </c>
      <c r="W8" s="43" t="s">
        <v>28</v>
      </c>
      <c r="X8" s="43" t="s">
        <v>20</v>
      </c>
      <c r="Y8" s="43" t="s">
        <v>18</v>
      </c>
      <c r="Z8" s="43" t="s">
        <v>20</v>
      </c>
      <c r="AA8" s="43" t="s">
        <v>14</v>
      </c>
      <c r="AB8" s="43" t="s">
        <v>20</v>
      </c>
      <c r="AC8" s="44" t="s">
        <v>19</v>
      </c>
      <c r="AD8" s="43" t="s">
        <v>20</v>
      </c>
      <c r="AE8" s="44" t="s">
        <v>76</v>
      </c>
      <c r="AF8" s="43" t="s">
        <v>20</v>
      </c>
      <c r="AG8" s="128" t="s">
        <v>127</v>
      </c>
      <c r="AH8" s="129" t="s">
        <v>20</v>
      </c>
      <c r="AI8" s="128" t="s">
        <v>129</v>
      </c>
      <c r="AJ8" s="129" t="s">
        <v>20</v>
      </c>
      <c r="AK8" s="128" t="s">
        <v>124</v>
      </c>
      <c r="AL8" s="129" t="s">
        <v>20</v>
      </c>
      <c r="AM8" s="128" t="s">
        <v>125</v>
      </c>
      <c r="AN8" s="129" t="s">
        <v>20</v>
      </c>
      <c r="AP8" s="81" t="s">
        <v>28</v>
      </c>
      <c r="AQ8" s="82" t="s">
        <v>18</v>
      </c>
      <c r="AR8" s="83" t="s">
        <v>14</v>
      </c>
      <c r="AS8" s="81" t="s">
        <v>15</v>
      </c>
      <c r="AT8" s="83" t="s">
        <v>16</v>
      </c>
      <c r="AU8" s="81" t="s">
        <v>15</v>
      </c>
      <c r="AV8" s="83" t="s">
        <v>16</v>
      </c>
      <c r="AY8" s="81" t="s">
        <v>28</v>
      </c>
      <c r="AZ8" s="82" t="s">
        <v>18</v>
      </c>
      <c r="BA8" s="83" t="s">
        <v>14</v>
      </c>
      <c r="BB8" s="81" t="s">
        <v>15</v>
      </c>
      <c r="BC8" s="83" t="s">
        <v>16</v>
      </c>
      <c r="BD8" s="81" t="s">
        <v>15</v>
      </c>
      <c r="BE8" s="83" t="s">
        <v>16</v>
      </c>
    </row>
    <row r="9" spans="2:57" s="42" customFormat="1" ht="15" customHeight="1" thickTop="1">
      <c r="B9" s="260" t="s">
        <v>78</v>
      </c>
      <c r="C9" s="261"/>
      <c r="D9" s="265" t="s">
        <v>104</v>
      </c>
      <c r="E9" s="267" t="s">
        <v>21</v>
      </c>
      <c r="F9" s="260" t="s">
        <v>79</v>
      </c>
      <c r="G9" s="268"/>
      <c r="H9" s="59" t="s">
        <v>156</v>
      </c>
      <c r="I9" s="45">
        <v>142000</v>
      </c>
      <c r="J9" s="45">
        <v>150000</v>
      </c>
      <c r="K9" s="45">
        <v>213000</v>
      </c>
      <c r="L9" s="45">
        <v>101000</v>
      </c>
      <c r="M9" s="45">
        <v>115000</v>
      </c>
      <c r="N9" s="45">
        <v>27000</v>
      </c>
      <c r="O9" s="45">
        <f>5000*3</f>
        <v>15000</v>
      </c>
      <c r="Q9" s="72">
        <v>122000</v>
      </c>
      <c r="R9" s="72">
        <v>130000</v>
      </c>
      <c r="S9" s="72">
        <v>183000</v>
      </c>
      <c r="T9" s="73">
        <f>S9/R9</f>
        <v>1.4076923076923078</v>
      </c>
      <c r="U9" s="46">
        <f>S9-R9</f>
        <v>53000</v>
      </c>
      <c r="W9" s="45">
        <v>122000</v>
      </c>
      <c r="X9" s="47">
        <f t="shared" ref="X9:X68" si="0">1-(W9/I9)</f>
        <v>0.14084507042253525</v>
      </c>
      <c r="Y9" s="45">
        <v>130000</v>
      </c>
      <c r="Z9" s="47">
        <f t="shared" ref="Z9:Z68" si="1">1-(Y9/J9)</f>
        <v>0.1333333333333333</v>
      </c>
      <c r="AA9" s="45">
        <v>183000</v>
      </c>
      <c r="AB9" s="47">
        <f t="shared" ref="AB9:AB68" si="2">1-(AA9/K9)</f>
        <v>0.14084507042253525</v>
      </c>
      <c r="AC9" s="45">
        <f>27000*2</f>
        <v>54000</v>
      </c>
      <c r="AD9" s="47">
        <f t="shared" ref="AD9:AD68" si="3">1-(AC9/L9)</f>
        <v>0.46534653465346532</v>
      </c>
      <c r="AE9" s="45">
        <f>22000*2</f>
        <v>44000</v>
      </c>
      <c r="AF9" s="47">
        <f t="shared" ref="AF9:AF68" si="4">1-(AE9/M9)</f>
        <v>0.61739130434782608</v>
      </c>
      <c r="AG9" s="45">
        <v>0</v>
      </c>
      <c r="AH9" s="47">
        <f t="shared" ref="AH9:AH68" si="5">1-(AG9/N9)</f>
        <v>1</v>
      </c>
      <c r="AI9" s="45">
        <f>4000*3</f>
        <v>12000</v>
      </c>
      <c r="AJ9" s="47">
        <f>1-(AI9/N9)</f>
        <v>0.55555555555555558</v>
      </c>
      <c r="AK9" s="45">
        <v>0</v>
      </c>
      <c r="AL9" s="47">
        <f>1-(AK9/O9)</f>
        <v>1</v>
      </c>
      <c r="AM9" s="45">
        <f>4000*3</f>
        <v>12000</v>
      </c>
      <c r="AN9" s="47">
        <f t="shared" ref="AN9:AN68" si="6">1-(AM9/O9)</f>
        <v>0.19999999999999996</v>
      </c>
      <c r="AO9" s="76"/>
      <c r="AP9" s="107">
        <f>SUM(W9,AC9,AE9,AG9,AK9)</f>
        <v>220000</v>
      </c>
      <c r="AQ9" s="108">
        <f>SUM(R9,AC9,AE9,AG9,AK9)</f>
        <v>228000</v>
      </c>
      <c r="AR9" s="109">
        <f>SUM(S9,AC9,AE9,AG9,AK9)</f>
        <v>281000</v>
      </c>
      <c r="AS9" s="77">
        <f>AR9*11%</f>
        <v>30910</v>
      </c>
      <c r="AT9" s="78">
        <f>AR9-AS9</f>
        <v>250090</v>
      </c>
      <c r="AU9" s="77">
        <f t="shared" ref="AU9:AU68" si="7">AR9*13%</f>
        <v>36530</v>
      </c>
      <c r="AV9" s="78">
        <f t="shared" ref="AV9:AV68" si="8">AR9-AU9</f>
        <v>244470</v>
      </c>
      <c r="AY9" s="97">
        <f>SUM(W9,AE9,AI9,AM9)</f>
        <v>190000</v>
      </c>
      <c r="AZ9" s="97">
        <f>SUM(Y9,AE9,AI9,AM9)</f>
        <v>198000</v>
      </c>
      <c r="BA9" s="97">
        <f>SUM(AA9,AE9,AI9,AM9)</f>
        <v>251000</v>
      </c>
      <c r="BB9" s="77">
        <f>BA9*11%</f>
        <v>27610</v>
      </c>
      <c r="BC9" s="78">
        <f>BA9-BB9</f>
        <v>223390</v>
      </c>
      <c r="BD9" s="77">
        <f t="shared" ref="BD9:BD68" si="9">BA9*13%</f>
        <v>32630</v>
      </c>
      <c r="BE9" s="78">
        <f t="shared" ref="BE9:BE68" si="10">BA9-BD9</f>
        <v>218370</v>
      </c>
    </row>
    <row r="10" spans="2:57" s="42" customFormat="1" ht="15" customHeight="1">
      <c r="B10" s="250"/>
      <c r="C10" s="262"/>
      <c r="D10" s="266"/>
      <c r="E10" s="253"/>
      <c r="F10" s="250"/>
      <c r="G10" s="251"/>
      <c r="H10" s="55" t="s">
        <v>157</v>
      </c>
      <c r="I10" s="51">
        <v>142000</v>
      </c>
      <c r="J10" s="51">
        <v>150000</v>
      </c>
      <c r="K10" s="51">
        <v>213000</v>
      </c>
      <c r="L10" s="51">
        <v>101000</v>
      </c>
      <c r="M10" s="51">
        <v>115000</v>
      </c>
      <c r="N10" s="51">
        <v>27000</v>
      </c>
      <c r="O10" s="51">
        <f t="shared" ref="O10:O68" si="11">5000*3</f>
        <v>15000</v>
      </c>
      <c r="Q10" s="52">
        <v>142000</v>
      </c>
      <c r="R10" s="52">
        <v>150000</v>
      </c>
      <c r="S10" s="52">
        <v>203000</v>
      </c>
      <c r="T10" s="69">
        <f t="shared" ref="T10:T68" si="12">S10/R10</f>
        <v>1.3533333333333333</v>
      </c>
      <c r="U10" s="52">
        <f t="shared" ref="U10:U68" si="13">S10-R10</f>
        <v>53000</v>
      </c>
      <c r="W10" s="51">
        <v>142000</v>
      </c>
      <c r="X10" s="53">
        <f t="shared" si="0"/>
        <v>0</v>
      </c>
      <c r="Y10" s="51">
        <v>150000</v>
      </c>
      <c r="Z10" s="53">
        <f t="shared" si="1"/>
        <v>0</v>
      </c>
      <c r="AA10" s="51">
        <v>203000</v>
      </c>
      <c r="AB10" s="53">
        <f t="shared" si="2"/>
        <v>4.6948356807511749E-2</v>
      </c>
      <c r="AC10" s="51">
        <v>54000</v>
      </c>
      <c r="AD10" s="54">
        <f t="shared" si="3"/>
        <v>0.46534653465346532</v>
      </c>
      <c r="AE10" s="51">
        <f t="shared" ref="AE10:AE68" si="14">22000*2</f>
        <v>44000</v>
      </c>
      <c r="AF10" s="54">
        <f t="shared" si="4"/>
        <v>0.61739130434782608</v>
      </c>
      <c r="AG10" s="94">
        <v>0</v>
      </c>
      <c r="AH10" s="91">
        <f t="shared" si="5"/>
        <v>1</v>
      </c>
      <c r="AI10" s="94">
        <f t="shared" ref="AI10:AI68" si="15">4000*3</f>
        <v>12000</v>
      </c>
      <c r="AJ10" s="91">
        <f t="shared" ref="AJ10:AJ68" si="16">1-(AI10/N10)</f>
        <v>0.55555555555555558</v>
      </c>
      <c r="AK10" s="45">
        <v>0</v>
      </c>
      <c r="AL10" s="47">
        <f t="shared" ref="AL10:AL68" si="17">1-(AK10/O10)</f>
        <v>1</v>
      </c>
      <c r="AM10" s="45">
        <f t="shared" ref="AM10:AM68" si="18">4000*3</f>
        <v>12000</v>
      </c>
      <c r="AN10" s="47">
        <f t="shared" si="6"/>
        <v>0.19999999999999996</v>
      </c>
      <c r="AP10" s="110">
        <f t="shared" ref="AP10:AP68" si="19">SUM(W10,AC10,AE10,AG10,AK10)</f>
        <v>240000</v>
      </c>
      <c r="AQ10" s="111">
        <f t="shared" ref="AQ10:AQ68" si="20">SUM(R10,AC10,AE10,AG10,AK10)</f>
        <v>248000</v>
      </c>
      <c r="AR10" s="112">
        <f t="shared" ref="AR10:AR68" si="21">SUM(S10,AC10,AE10,AG10,AK10)</f>
        <v>301000</v>
      </c>
      <c r="AS10" s="79">
        <f t="shared" ref="AS10:AS68" si="22">AR10*11%</f>
        <v>33110</v>
      </c>
      <c r="AT10" s="80">
        <f t="shared" ref="AT10:AT68" si="23">AR10-AS10</f>
        <v>267890</v>
      </c>
      <c r="AU10" s="79">
        <f t="shared" si="7"/>
        <v>39130</v>
      </c>
      <c r="AV10" s="80">
        <f t="shared" si="8"/>
        <v>261870</v>
      </c>
      <c r="AY10" s="97">
        <f t="shared" ref="AY10:AY68" si="24">SUM(W10,AE10,AI10,AM10)</f>
        <v>210000</v>
      </c>
      <c r="AZ10" s="98">
        <f t="shared" ref="AZ10:AZ68" si="25">SUM(Y10,AE10,AI10,AM10)</f>
        <v>218000</v>
      </c>
      <c r="BA10" s="99">
        <f t="shared" ref="BA10:BA68" si="26">SUM(AA10,AE10,AI10,AM10)</f>
        <v>271000</v>
      </c>
      <c r="BB10" s="77">
        <f t="shared" ref="BB10:BB68" si="27">BA10*11%</f>
        <v>29810</v>
      </c>
      <c r="BC10" s="78">
        <f t="shared" ref="BC10:BC68" si="28">BA10-BB10</f>
        <v>241190</v>
      </c>
      <c r="BD10" s="77">
        <f t="shared" si="9"/>
        <v>35230</v>
      </c>
      <c r="BE10" s="78">
        <f t="shared" si="10"/>
        <v>235770</v>
      </c>
    </row>
    <row r="11" spans="2:57" s="42" customFormat="1" ht="15" customHeight="1">
      <c r="B11" s="250"/>
      <c r="C11" s="262"/>
      <c r="D11" s="266"/>
      <c r="E11" s="253"/>
      <c r="F11" s="250"/>
      <c r="G11" s="251"/>
      <c r="H11" s="50" t="s">
        <v>149</v>
      </c>
      <c r="I11" s="51">
        <v>176000</v>
      </c>
      <c r="J11" s="51">
        <v>183000</v>
      </c>
      <c r="K11" s="51">
        <v>269000</v>
      </c>
      <c r="L11" s="51">
        <v>101000</v>
      </c>
      <c r="M11" s="51">
        <v>115000</v>
      </c>
      <c r="N11" s="51">
        <v>27000</v>
      </c>
      <c r="O11" s="51">
        <f t="shared" si="11"/>
        <v>15000</v>
      </c>
      <c r="Q11" s="52">
        <v>156000</v>
      </c>
      <c r="R11" s="52">
        <v>163000</v>
      </c>
      <c r="S11" s="52">
        <v>229000</v>
      </c>
      <c r="T11" s="69">
        <f t="shared" si="12"/>
        <v>1.4049079754601228</v>
      </c>
      <c r="U11" s="52">
        <f t="shared" si="13"/>
        <v>66000</v>
      </c>
      <c r="W11" s="51">
        <v>156000</v>
      </c>
      <c r="X11" s="53">
        <f t="shared" si="0"/>
        <v>0.11363636363636365</v>
      </c>
      <c r="Y11" s="51">
        <v>163000</v>
      </c>
      <c r="Z11" s="53">
        <f t="shared" si="1"/>
        <v>0.10928961748633881</v>
      </c>
      <c r="AA11" s="51">
        <v>229000</v>
      </c>
      <c r="AB11" s="53">
        <f t="shared" si="2"/>
        <v>0.14869888475836435</v>
      </c>
      <c r="AC11" s="51">
        <v>54000</v>
      </c>
      <c r="AD11" s="54">
        <f t="shared" si="3"/>
        <v>0.46534653465346532</v>
      </c>
      <c r="AE11" s="51">
        <f t="shared" si="14"/>
        <v>44000</v>
      </c>
      <c r="AF11" s="54">
        <f t="shared" si="4"/>
        <v>0.61739130434782608</v>
      </c>
      <c r="AG11" s="94">
        <v>0</v>
      </c>
      <c r="AH11" s="91">
        <f t="shared" si="5"/>
        <v>1</v>
      </c>
      <c r="AI11" s="94">
        <f t="shared" si="15"/>
        <v>12000</v>
      </c>
      <c r="AJ11" s="91">
        <f t="shared" si="16"/>
        <v>0.55555555555555558</v>
      </c>
      <c r="AK11" s="45">
        <v>0</v>
      </c>
      <c r="AL11" s="47">
        <f t="shared" si="17"/>
        <v>1</v>
      </c>
      <c r="AM11" s="45">
        <f t="shared" si="18"/>
        <v>12000</v>
      </c>
      <c r="AN11" s="47">
        <f t="shared" si="6"/>
        <v>0.19999999999999996</v>
      </c>
      <c r="AP11" s="110">
        <f t="shared" si="19"/>
        <v>254000</v>
      </c>
      <c r="AQ11" s="111">
        <f t="shared" si="20"/>
        <v>261000</v>
      </c>
      <c r="AR11" s="112">
        <f t="shared" si="21"/>
        <v>327000</v>
      </c>
      <c r="AS11" s="77">
        <f t="shared" si="22"/>
        <v>35970</v>
      </c>
      <c r="AT11" s="78">
        <f t="shared" si="23"/>
        <v>291030</v>
      </c>
      <c r="AU11" s="77">
        <f t="shared" si="7"/>
        <v>42510</v>
      </c>
      <c r="AV11" s="78">
        <f t="shared" si="8"/>
        <v>284490</v>
      </c>
      <c r="AY11" s="97">
        <f t="shared" si="24"/>
        <v>224000</v>
      </c>
      <c r="AZ11" s="98">
        <f t="shared" si="25"/>
        <v>231000</v>
      </c>
      <c r="BA11" s="99">
        <f t="shared" si="26"/>
        <v>297000</v>
      </c>
      <c r="BB11" s="77">
        <f t="shared" si="27"/>
        <v>32670</v>
      </c>
      <c r="BC11" s="78">
        <f t="shared" si="28"/>
        <v>264330</v>
      </c>
      <c r="BD11" s="77">
        <f t="shared" si="9"/>
        <v>38610</v>
      </c>
      <c r="BE11" s="78">
        <f t="shared" si="10"/>
        <v>258390</v>
      </c>
    </row>
    <row r="12" spans="2:57" s="42" customFormat="1" ht="15" customHeight="1">
      <c r="B12" s="250"/>
      <c r="C12" s="262"/>
      <c r="D12" s="266"/>
      <c r="E12" s="253"/>
      <c r="F12" s="250"/>
      <c r="G12" s="251"/>
      <c r="H12" s="90" t="s">
        <v>150</v>
      </c>
      <c r="I12" s="56">
        <v>176000</v>
      </c>
      <c r="J12" s="56">
        <v>183000</v>
      </c>
      <c r="K12" s="56">
        <v>269000</v>
      </c>
      <c r="L12" s="56">
        <v>101000</v>
      </c>
      <c r="M12" s="56">
        <v>115000</v>
      </c>
      <c r="N12" s="56">
        <v>27000</v>
      </c>
      <c r="O12" s="51">
        <f t="shared" si="11"/>
        <v>15000</v>
      </c>
      <c r="Q12" s="52">
        <v>176000</v>
      </c>
      <c r="R12" s="52">
        <v>183000</v>
      </c>
      <c r="S12" s="52">
        <v>269000</v>
      </c>
      <c r="T12" s="69">
        <f t="shared" si="12"/>
        <v>1.4699453551912569</v>
      </c>
      <c r="U12" s="52">
        <f t="shared" si="13"/>
        <v>86000</v>
      </c>
      <c r="W12" s="51">
        <v>176000</v>
      </c>
      <c r="X12" s="53">
        <f t="shared" si="0"/>
        <v>0</v>
      </c>
      <c r="Y12" s="51">
        <v>183000</v>
      </c>
      <c r="Z12" s="53">
        <f t="shared" si="1"/>
        <v>0</v>
      </c>
      <c r="AA12" s="51">
        <v>269000</v>
      </c>
      <c r="AB12" s="53">
        <f t="shared" si="2"/>
        <v>0</v>
      </c>
      <c r="AC12" s="51">
        <v>54000</v>
      </c>
      <c r="AD12" s="54">
        <f t="shared" si="3"/>
        <v>0.46534653465346532</v>
      </c>
      <c r="AE12" s="51">
        <f t="shared" si="14"/>
        <v>44000</v>
      </c>
      <c r="AF12" s="54">
        <f t="shared" si="4"/>
        <v>0.61739130434782608</v>
      </c>
      <c r="AG12" s="94">
        <v>0</v>
      </c>
      <c r="AH12" s="91">
        <f t="shared" si="5"/>
        <v>1</v>
      </c>
      <c r="AI12" s="94">
        <f t="shared" si="15"/>
        <v>12000</v>
      </c>
      <c r="AJ12" s="91">
        <f t="shared" si="16"/>
        <v>0.55555555555555558</v>
      </c>
      <c r="AK12" s="45">
        <v>0</v>
      </c>
      <c r="AL12" s="47">
        <f t="shared" si="17"/>
        <v>1</v>
      </c>
      <c r="AM12" s="45">
        <f t="shared" si="18"/>
        <v>12000</v>
      </c>
      <c r="AN12" s="47">
        <f t="shared" si="6"/>
        <v>0.19999999999999996</v>
      </c>
      <c r="AP12" s="110">
        <f t="shared" si="19"/>
        <v>274000</v>
      </c>
      <c r="AQ12" s="111">
        <f t="shared" si="20"/>
        <v>281000</v>
      </c>
      <c r="AR12" s="112">
        <f t="shared" si="21"/>
        <v>367000</v>
      </c>
      <c r="AS12" s="77">
        <f t="shared" si="22"/>
        <v>40370</v>
      </c>
      <c r="AT12" s="78">
        <f t="shared" si="23"/>
        <v>326630</v>
      </c>
      <c r="AU12" s="77">
        <f t="shared" si="7"/>
        <v>47710</v>
      </c>
      <c r="AV12" s="78">
        <f t="shared" si="8"/>
        <v>319290</v>
      </c>
      <c r="AY12" s="97">
        <f t="shared" si="24"/>
        <v>244000</v>
      </c>
      <c r="AZ12" s="98">
        <f t="shared" si="25"/>
        <v>251000</v>
      </c>
      <c r="BA12" s="99">
        <f t="shared" si="26"/>
        <v>337000</v>
      </c>
      <c r="BB12" s="77">
        <f t="shared" si="27"/>
        <v>37070</v>
      </c>
      <c r="BC12" s="78">
        <f t="shared" si="28"/>
        <v>299930</v>
      </c>
      <c r="BD12" s="77">
        <f t="shared" si="9"/>
        <v>43810</v>
      </c>
      <c r="BE12" s="78">
        <f t="shared" si="10"/>
        <v>293190</v>
      </c>
    </row>
    <row r="13" spans="2:57" s="42" customFormat="1" ht="15" customHeight="1">
      <c r="B13" s="250"/>
      <c r="C13" s="262"/>
      <c r="D13" s="266"/>
      <c r="E13" s="253"/>
      <c r="F13" s="250"/>
      <c r="G13" s="251"/>
      <c r="H13" s="90" t="s">
        <v>146</v>
      </c>
      <c r="I13" s="56">
        <v>196000</v>
      </c>
      <c r="J13" s="56">
        <v>203000</v>
      </c>
      <c r="K13" s="56">
        <v>314000</v>
      </c>
      <c r="L13" s="56">
        <v>101000</v>
      </c>
      <c r="M13" s="56">
        <v>115000</v>
      </c>
      <c r="N13" s="56">
        <v>27000</v>
      </c>
      <c r="O13" s="51">
        <f t="shared" si="11"/>
        <v>15000</v>
      </c>
      <c r="Q13" s="52">
        <v>196000</v>
      </c>
      <c r="R13" s="52">
        <v>203000</v>
      </c>
      <c r="S13" s="52">
        <v>314000</v>
      </c>
      <c r="T13" s="69">
        <f t="shared" si="12"/>
        <v>1.5467980295566504</v>
      </c>
      <c r="U13" s="52">
        <f t="shared" si="13"/>
        <v>111000</v>
      </c>
      <c r="W13" s="51">
        <v>196000</v>
      </c>
      <c r="X13" s="53">
        <f t="shared" si="0"/>
        <v>0</v>
      </c>
      <c r="Y13" s="51">
        <v>203000</v>
      </c>
      <c r="Z13" s="53">
        <f t="shared" si="1"/>
        <v>0</v>
      </c>
      <c r="AA13" s="51">
        <v>314000</v>
      </c>
      <c r="AB13" s="53">
        <f t="shared" si="2"/>
        <v>0</v>
      </c>
      <c r="AC13" s="51">
        <v>54000</v>
      </c>
      <c r="AD13" s="54">
        <f t="shared" si="3"/>
        <v>0.46534653465346532</v>
      </c>
      <c r="AE13" s="51">
        <f t="shared" si="14"/>
        <v>44000</v>
      </c>
      <c r="AF13" s="54">
        <f t="shared" si="4"/>
        <v>0.61739130434782608</v>
      </c>
      <c r="AG13" s="94">
        <v>0</v>
      </c>
      <c r="AH13" s="91">
        <f t="shared" si="5"/>
        <v>1</v>
      </c>
      <c r="AI13" s="94">
        <f t="shared" si="15"/>
        <v>12000</v>
      </c>
      <c r="AJ13" s="91">
        <f t="shared" si="16"/>
        <v>0.55555555555555558</v>
      </c>
      <c r="AK13" s="45">
        <v>0</v>
      </c>
      <c r="AL13" s="47">
        <f t="shared" si="17"/>
        <v>1</v>
      </c>
      <c r="AM13" s="45">
        <f t="shared" si="18"/>
        <v>12000</v>
      </c>
      <c r="AN13" s="47">
        <f t="shared" si="6"/>
        <v>0.19999999999999996</v>
      </c>
      <c r="AP13" s="110">
        <f t="shared" si="19"/>
        <v>294000</v>
      </c>
      <c r="AQ13" s="111">
        <f t="shared" si="20"/>
        <v>301000</v>
      </c>
      <c r="AR13" s="112">
        <f t="shared" si="21"/>
        <v>412000</v>
      </c>
      <c r="AS13" s="77">
        <f t="shared" si="22"/>
        <v>45320</v>
      </c>
      <c r="AT13" s="78">
        <f t="shared" si="23"/>
        <v>366680</v>
      </c>
      <c r="AU13" s="77">
        <f t="shared" si="7"/>
        <v>53560</v>
      </c>
      <c r="AV13" s="78">
        <f t="shared" si="8"/>
        <v>358440</v>
      </c>
      <c r="AY13" s="97">
        <f t="shared" si="24"/>
        <v>264000</v>
      </c>
      <c r="AZ13" s="98">
        <f t="shared" si="25"/>
        <v>271000</v>
      </c>
      <c r="BA13" s="99">
        <f t="shared" si="26"/>
        <v>382000</v>
      </c>
      <c r="BB13" s="77">
        <f t="shared" si="27"/>
        <v>42020</v>
      </c>
      <c r="BC13" s="78">
        <f t="shared" si="28"/>
        <v>339980</v>
      </c>
      <c r="BD13" s="77">
        <f t="shared" si="9"/>
        <v>49660</v>
      </c>
      <c r="BE13" s="78">
        <f t="shared" si="10"/>
        <v>332340</v>
      </c>
    </row>
    <row r="14" spans="2:57" s="42" customFormat="1" ht="15" customHeight="1">
      <c r="B14" s="250"/>
      <c r="C14" s="262"/>
      <c r="D14" s="266"/>
      <c r="E14" s="253"/>
      <c r="F14" s="248" t="s">
        <v>80</v>
      </c>
      <c r="G14" s="249"/>
      <c r="H14" s="59" t="s">
        <v>156</v>
      </c>
      <c r="I14" s="48">
        <v>164000</v>
      </c>
      <c r="J14" s="48">
        <v>172000</v>
      </c>
      <c r="K14" s="48">
        <v>235000</v>
      </c>
      <c r="L14" s="48">
        <v>101000</v>
      </c>
      <c r="M14" s="48">
        <v>115000</v>
      </c>
      <c r="N14" s="48">
        <v>27000</v>
      </c>
      <c r="O14" s="48">
        <f t="shared" si="11"/>
        <v>15000</v>
      </c>
      <c r="Q14" s="72">
        <v>144000</v>
      </c>
      <c r="R14" s="72">
        <v>152000</v>
      </c>
      <c r="S14" s="72">
        <v>205000</v>
      </c>
      <c r="T14" s="68">
        <f t="shared" si="12"/>
        <v>1.3486842105263157</v>
      </c>
      <c r="U14" s="46">
        <f t="shared" si="13"/>
        <v>53000</v>
      </c>
      <c r="W14" s="48">
        <v>144000</v>
      </c>
      <c r="X14" s="49">
        <f t="shared" si="0"/>
        <v>0.12195121951219512</v>
      </c>
      <c r="Y14" s="48">
        <v>152000</v>
      </c>
      <c r="Z14" s="49">
        <f t="shared" si="1"/>
        <v>0.11627906976744184</v>
      </c>
      <c r="AA14" s="48">
        <v>205000</v>
      </c>
      <c r="AB14" s="49">
        <f t="shared" si="2"/>
        <v>0.12765957446808507</v>
      </c>
      <c r="AC14" s="48">
        <v>54000</v>
      </c>
      <c r="AD14" s="63">
        <f t="shared" si="3"/>
        <v>0.46534653465346532</v>
      </c>
      <c r="AE14" s="48">
        <f t="shared" si="14"/>
        <v>44000</v>
      </c>
      <c r="AF14" s="49">
        <f t="shared" si="4"/>
        <v>0.61739130434782608</v>
      </c>
      <c r="AG14" s="95">
        <v>0</v>
      </c>
      <c r="AH14" s="92">
        <f t="shared" si="5"/>
        <v>1</v>
      </c>
      <c r="AI14" s="95">
        <f t="shared" si="15"/>
        <v>12000</v>
      </c>
      <c r="AJ14" s="92">
        <f t="shared" si="16"/>
        <v>0.55555555555555558</v>
      </c>
      <c r="AK14" s="45">
        <v>0</v>
      </c>
      <c r="AL14" s="47">
        <f t="shared" si="17"/>
        <v>1</v>
      </c>
      <c r="AM14" s="45">
        <f t="shared" si="18"/>
        <v>12000</v>
      </c>
      <c r="AN14" s="47">
        <f t="shared" si="6"/>
        <v>0.19999999999999996</v>
      </c>
      <c r="AP14" s="113">
        <f t="shared" si="19"/>
        <v>242000</v>
      </c>
      <c r="AQ14" s="114">
        <f t="shared" si="20"/>
        <v>250000</v>
      </c>
      <c r="AR14" s="115">
        <f t="shared" si="21"/>
        <v>303000</v>
      </c>
      <c r="AS14" s="77">
        <f t="shared" si="22"/>
        <v>33330</v>
      </c>
      <c r="AT14" s="78">
        <f t="shared" si="23"/>
        <v>269670</v>
      </c>
      <c r="AU14" s="77">
        <f t="shared" si="7"/>
        <v>39390</v>
      </c>
      <c r="AV14" s="78">
        <f t="shared" si="8"/>
        <v>263610</v>
      </c>
      <c r="AY14" s="100">
        <f t="shared" si="24"/>
        <v>212000</v>
      </c>
      <c r="AZ14" s="101">
        <f t="shared" si="25"/>
        <v>220000</v>
      </c>
      <c r="BA14" s="102">
        <f t="shared" si="26"/>
        <v>273000</v>
      </c>
      <c r="BB14" s="77">
        <f t="shared" si="27"/>
        <v>30030</v>
      </c>
      <c r="BC14" s="78">
        <f t="shared" si="28"/>
        <v>242970</v>
      </c>
      <c r="BD14" s="77">
        <f t="shared" si="9"/>
        <v>35490</v>
      </c>
      <c r="BE14" s="78">
        <f t="shared" si="10"/>
        <v>237510</v>
      </c>
    </row>
    <row r="15" spans="2:57" s="42" customFormat="1" ht="15" customHeight="1">
      <c r="B15" s="250"/>
      <c r="C15" s="262"/>
      <c r="D15" s="266"/>
      <c r="E15" s="253"/>
      <c r="F15" s="250"/>
      <c r="G15" s="251"/>
      <c r="H15" s="55" t="s">
        <v>157</v>
      </c>
      <c r="I15" s="51">
        <v>164000</v>
      </c>
      <c r="J15" s="51">
        <v>172000</v>
      </c>
      <c r="K15" s="51">
        <v>235000</v>
      </c>
      <c r="L15" s="51">
        <v>101000</v>
      </c>
      <c r="M15" s="51">
        <v>115000</v>
      </c>
      <c r="N15" s="51">
        <v>27000</v>
      </c>
      <c r="O15" s="51">
        <f t="shared" si="11"/>
        <v>15000</v>
      </c>
      <c r="Q15" s="52">
        <v>164000</v>
      </c>
      <c r="R15" s="52">
        <v>172000</v>
      </c>
      <c r="S15" s="52">
        <v>225000</v>
      </c>
      <c r="T15" s="69">
        <f t="shared" si="12"/>
        <v>1.308139534883721</v>
      </c>
      <c r="U15" s="52">
        <f t="shared" si="13"/>
        <v>53000</v>
      </c>
      <c r="W15" s="51">
        <v>164000</v>
      </c>
      <c r="X15" s="53">
        <f t="shared" si="0"/>
        <v>0</v>
      </c>
      <c r="Y15" s="51">
        <v>172000</v>
      </c>
      <c r="Z15" s="53">
        <f t="shared" si="1"/>
        <v>0</v>
      </c>
      <c r="AA15" s="51">
        <v>225000</v>
      </c>
      <c r="AB15" s="53">
        <f t="shared" si="2"/>
        <v>4.2553191489361653E-2</v>
      </c>
      <c r="AC15" s="51">
        <v>54000</v>
      </c>
      <c r="AD15" s="54">
        <f t="shared" si="3"/>
        <v>0.46534653465346532</v>
      </c>
      <c r="AE15" s="51">
        <f t="shared" si="14"/>
        <v>44000</v>
      </c>
      <c r="AF15" s="54">
        <f t="shared" si="4"/>
        <v>0.61739130434782608</v>
      </c>
      <c r="AG15" s="94">
        <v>0</v>
      </c>
      <c r="AH15" s="91">
        <f t="shared" si="5"/>
        <v>1</v>
      </c>
      <c r="AI15" s="94">
        <f t="shared" si="15"/>
        <v>12000</v>
      </c>
      <c r="AJ15" s="91">
        <f t="shared" si="16"/>
        <v>0.55555555555555558</v>
      </c>
      <c r="AK15" s="45">
        <v>0</v>
      </c>
      <c r="AL15" s="47">
        <f t="shared" si="17"/>
        <v>1</v>
      </c>
      <c r="AM15" s="45">
        <f t="shared" si="18"/>
        <v>12000</v>
      </c>
      <c r="AN15" s="47">
        <f t="shared" si="6"/>
        <v>0.19999999999999996</v>
      </c>
      <c r="AP15" s="110">
        <f t="shared" si="19"/>
        <v>262000</v>
      </c>
      <c r="AQ15" s="111">
        <f t="shared" si="20"/>
        <v>270000</v>
      </c>
      <c r="AR15" s="112">
        <f t="shared" si="21"/>
        <v>323000</v>
      </c>
      <c r="AS15" s="77">
        <f t="shared" si="22"/>
        <v>35530</v>
      </c>
      <c r="AT15" s="78">
        <f t="shared" si="23"/>
        <v>287470</v>
      </c>
      <c r="AU15" s="77">
        <f t="shared" si="7"/>
        <v>41990</v>
      </c>
      <c r="AV15" s="78">
        <f t="shared" si="8"/>
        <v>281010</v>
      </c>
      <c r="AY15" s="103">
        <f t="shared" si="24"/>
        <v>232000</v>
      </c>
      <c r="AZ15" s="98">
        <f t="shared" si="25"/>
        <v>240000</v>
      </c>
      <c r="BA15" s="99">
        <f t="shared" si="26"/>
        <v>293000</v>
      </c>
      <c r="BB15" s="77">
        <f t="shared" si="27"/>
        <v>32230</v>
      </c>
      <c r="BC15" s="78">
        <f t="shared" si="28"/>
        <v>260770</v>
      </c>
      <c r="BD15" s="77">
        <f t="shared" si="9"/>
        <v>38090</v>
      </c>
      <c r="BE15" s="78">
        <f t="shared" si="10"/>
        <v>254910</v>
      </c>
    </row>
    <row r="16" spans="2:57" s="42" customFormat="1" ht="15" customHeight="1">
      <c r="B16" s="250"/>
      <c r="C16" s="262"/>
      <c r="D16" s="266"/>
      <c r="E16" s="253"/>
      <c r="F16" s="250"/>
      <c r="G16" s="251"/>
      <c r="H16" s="50" t="s">
        <v>149</v>
      </c>
      <c r="I16" s="51">
        <v>198000</v>
      </c>
      <c r="J16" s="51">
        <v>205000</v>
      </c>
      <c r="K16" s="51">
        <v>291000</v>
      </c>
      <c r="L16" s="51">
        <v>101000</v>
      </c>
      <c r="M16" s="51">
        <v>115000</v>
      </c>
      <c r="N16" s="51">
        <v>27000</v>
      </c>
      <c r="O16" s="51">
        <f t="shared" si="11"/>
        <v>15000</v>
      </c>
      <c r="Q16" s="52">
        <v>178000</v>
      </c>
      <c r="R16" s="52">
        <v>185000</v>
      </c>
      <c r="S16" s="52">
        <v>251000</v>
      </c>
      <c r="T16" s="69">
        <f t="shared" si="12"/>
        <v>1.3567567567567567</v>
      </c>
      <c r="U16" s="52">
        <f t="shared" si="13"/>
        <v>66000</v>
      </c>
      <c r="W16" s="51">
        <v>178000</v>
      </c>
      <c r="X16" s="53">
        <f t="shared" si="0"/>
        <v>0.10101010101010099</v>
      </c>
      <c r="Y16" s="51">
        <v>185000</v>
      </c>
      <c r="Z16" s="53">
        <f t="shared" si="1"/>
        <v>9.7560975609756073E-2</v>
      </c>
      <c r="AA16" s="51">
        <v>251000</v>
      </c>
      <c r="AB16" s="53">
        <f t="shared" si="2"/>
        <v>0.13745704467353947</v>
      </c>
      <c r="AC16" s="51">
        <v>54000</v>
      </c>
      <c r="AD16" s="54">
        <f t="shared" si="3"/>
        <v>0.46534653465346532</v>
      </c>
      <c r="AE16" s="51">
        <f t="shared" si="14"/>
        <v>44000</v>
      </c>
      <c r="AF16" s="54">
        <f t="shared" si="4"/>
        <v>0.61739130434782608</v>
      </c>
      <c r="AG16" s="94">
        <v>0</v>
      </c>
      <c r="AH16" s="91">
        <f t="shared" si="5"/>
        <v>1</v>
      </c>
      <c r="AI16" s="94">
        <f t="shared" si="15"/>
        <v>12000</v>
      </c>
      <c r="AJ16" s="91">
        <f t="shared" si="16"/>
        <v>0.55555555555555558</v>
      </c>
      <c r="AK16" s="45">
        <v>0</v>
      </c>
      <c r="AL16" s="47">
        <f t="shared" si="17"/>
        <v>1</v>
      </c>
      <c r="AM16" s="45">
        <f t="shared" si="18"/>
        <v>12000</v>
      </c>
      <c r="AN16" s="47">
        <f t="shared" si="6"/>
        <v>0.19999999999999996</v>
      </c>
      <c r="AP16" s="110">
        <f t="shared" si="19"/>
        <v>276000</v>
      </c>
      <c r="AQ16" s="111">
        <f t="shared" si="20"/>
        <v>283000</v>
      </c>
      <c r="AR16" s="112">
        <f t="shared" si="21"/>
        <v>349000</v>
      </c>
      <c r="AS16" s="77">
        <f t="shared" si="22"/>
        <v>38390</v>
      </c>
      <c r="AT16" s="78">
        <f t="shared" si="23"/>
        <v>310610</v>
      </c>
      <c r="AU16" s="77">
        <f t="shared" si="7"/>
        <v>45370</v>
      </c>
      <c r="AV16" s="78">
        <f t="shared" si="8"/>
        <v>303630</v>
      </c>
      <c r="AY16" s="103">
        <f t="shared" si="24"/>
        <v>246000</v>
      </c>
      <c r="AZ16" s="98">
        <f t="shared" si="25"/>
        <v>253000</v>
      </c>
      <c r="BA16" s="99">
        <f t="shared" si="26"/>
        <v>319000</v>
      </c>
      <c r="BB16" s="77">
        <f t="shared" si="27"/>
        <v>35090</v>
      </c>
      <c r="BC16" s="78">
        <f t="shared" si="28"/>
        <v>283910</v>
      </c>
      <c r="BD16" s="77">
        <f t="shared" si="9"/>
        <v>41470</v>
      </c>
      <c r="BE16" s="78">
        <f t="shared" si="10"/>
        <v>277530</v>
      </c>
    </row>
    <row r="17" spans="2:57" s="42" customFormat="1" ht="15" customHeight="1">
      <c r="B17" s="250"/>
      <c r="C17" s="262"/>
      <c r="D17" s="266"/>
      <c r="E17" s="253"/>
      <c r="F17" s="250"/>
      <c r="G17" s="251"/>
      <c r="H17" s="90" t="s">
        <v>150</v>
      </c>
      <c r="I17" s="56">
        <v>198000</v>
      </c>
      <c r="J17" s="56">
        <v>205000</v>
      </c>
      <c r="K17" s="56">
        <v>291000</v>
      </c>
      <c r="L17" s="56">
        <v>101000</v>
      </c>
      <c r="M17" s="56">
        <v>115000</v>
      </c>
      <c r="N17" s="56">
        <v>27000</v>
      </c>
      <c r="O17" s="51">
        <f t="shared" si="11"/>
        <v>15000</v>
      </c>
      <c r="Q17" s="52">
        <v>198000</v>
      </c>
      <c r="R17" s="52">
        <v>205000</v>
      </c>
      <c r="S17" s="52">
        <v>291000</v>
      </c>
      <c r="T17" s="69">
        <f t="shared" si="12"/>
        <v>1.4195121951219511</v>
      </c>
      <c r="U17" s="52">
        <f t="shared" si="13"/>
        <v>86000</v>
      </c>
      <c r="W17" s="51">
        <v>198000</v>
      </c>
      <c r="X17" s="53">
        <f t="shared" si="0"/>
        <v>0</v>
      </c>
      <c r="Y17" s="51">
        <v>205000</v>
      </c>
      <c r="Z17" s="53">
        <f t="shared" si="1"/>
        <v>0</v>
      </c>
      <c r="AA17" s="51">
        <v>291000</v>
      </c>
      <c r="AB17" s="53">
        <f t="shared" si="2"/>
        <v>0</v>
      </c>
      <c r="AC17" s="51">
        <v>54000</v>
      </c>
      <c r="AD17" s="54">
        <f t="shared" si="3"/>
        <v>0.46534653465346532</v>
      </c>
      <c r="AE17" s="51">
        <f t="shared" si="14"/>
        <v>44000</v>
      </c>
      <c r="AF17" s="54">
        <f t="shared" si="4"/>
        <v>0.61739130434782608</v>
      </c>
      <c r="AG17" s="94">
        <v>0</v>
      </c>
      <c r="AH17" s="91">
        <f t="shared" si="5"/>
        <v>1</v>
      </c>
      <c r="AI17" s="94">
        <f t="shared" si="15"/>
        <v>12000</v>
      </c>
      <c r="AJ17" s="91">
        <f t="shared" si="16"/>
        <v>0.55555555555555558</v>
      </c>
      <c r="AK17" s="45">
        <v>0</v>
      </c>
      <c r="AL17" s="47">
        <f t="shared" si="17"/>
        <v>1</v>
      </c>
      <c r="AM17" s="45">
        <f t="shared" si="18"/>
        <v>12000</v>
      </c>
      <c r="AN17" s="47">
        <f t="shared" si="6"/>
        <v>0.19999999999999996</v>
      </c>
      <c r="AP17" s="110">
        <f t="shared" si="19"/>
        <v>296000</v>
      </c>
      <c r="AQ17" s="111">
        <f t="shared" si="20"/>
        <v>303000</v>
      </c>
      <c r="AR17" s="112">
        <f t="shared" si="21"/>
        <v>389000</v>
      </c>
      <c r="AS17" s="77">
        <f t="shared" si="22"/>
        <v>42790</v>
      </c>
      <c r="AT17" s="78">
        <f t="shared" si="23"/>
        <v>346210</v>
      </c>
      <c r="AU17" s="77">
        <f t="shared" si="7"/>
        <v>50570</v>
      </c>
      <c r="AV17" s="78">
        <f t="shared" si="8"/>
        <v>338430</v>
      </c>
      <c r="AY17" s="97">
        <f t="shared" si="24"/>
        <v>266000</v>
      </c>
      <c r="AZ17" s="98">
        <f t="shared" si="25"/>
        <v>273000</v>
      </c>
      <c r="BA17" s="99">
        <f t="shared" si="26"/>
        <v>359000</v>
      </c>
      <c r="BB17" s="77">
        <f t="shared" si="27"/>
        <v>39490</v>
      </c>
      <c r="BC17" s="78">
        <f t="shared" si="28"/>
        <v>319510</v>
      </c>
      <c r="BD17" s="77">
        <f t="shared" si="9"/>
        <v>46670</v>
      </c>
      <c r="BE17" s="78">
        <f t="shared" si="10"/>
        <v>312330</v>
      </c>
    </row>
    <row r="18" spans="2:57" s="42" customFormat="1" ht="15" customHeight="1">
      <c r="B18" s="250"/>
      <c r="C18" s="262"/>
      <c r="D18" s="266"/>
      <c r="E18" s="253"/>
      <c r="F18" s="250"/>
      <c r="G18" s="251"/>
      <c r="H18" s="90" t="s">
        <v>146</v>
      </c>
      <c r="I18" s="56">
        <v>218000</v>
      </c>
      <c r="J18" s="56">
        <v>225000</v>
      </c>
      <c r="K18" s="56">
        <v>336000</v>
      </c>
      <c r="L18" s="56">
        <v>101000</v>
      </c>
      <c r="M18" s="56">
        <v>115000</v>
      </c>
      <c r="N18" s="56">
        <v>27000</v>
      </c>
      <c r="O18" s="51">
        <f t="shared" si="11"/>
        <v>15000</v>
      </c>
      <c r="Q18" s="52">
        <v>218000</v>
      </c>
      <c r="R18" s="52">
        <v>225000</v>
      </c>
      <c r="S18" s="52">
        <v>336000</v>
      </c>
      <c r="T18" s="69">
        <f t="shared" si="12"/>
        <v>1.4933333333333334</v>
      </c>
      <c r="U18" s="52">
        <f t="shared" si="13"/>
        <v>111000</v>
      </c>
      <c r="W18" s="56">
        <v>218000</v>
      </c>
      <c r="X18" s="53">
        <f t="shared" si="0"/>
        <v>0</v>
      </c>
      <c r="Y18" s="56">
        <v>225000</v>
      </c>
      <c r="Z18" s="53">
        <f t="shared" si="1"/>
        <v>0</v>
      </c>
      <c r="AA18" s="56">
        <v>336000</v>
      </c>
      <c r="AB18" s="53">
        <f t="shared" si="2"/>
        <v>0</v>
      </c>
      <c r="AC18" s="56">
        <v>54000</v>
      </c>
      <c r="AD18" s="54">
        <f t="shared" si="3"/>
        <v>0.46534653465346532</v>
      </c>
      <c r="AE18" s="56">
        <f t="shared" si="14"/>
        <v>44000</v>
      </c>
      <c r="AF18" s="54">
        <f t="shared" si="4"/>
        <v>0.61739130434782608</v>
      </c>
      <c r="AG18" s="94">
        <v>0</v>
      </c>
      <c r="AH18" s="91">
        <f t="shared" si="5"/>
        <v>1</v>
      </c>
      <c r="AI18" s="94">
        <f t="shared" si="15"/>
        <v>12000</v>
      </c>
      <c r="AJ18" s="91">
        <f t="shared" si="16"/>
        <v>0.55555555555555558</v>
      </c>
      <c r="AK18" s="45">
        <v>0</v>
      </c>
      <c r="AL18" s="47">
        <f t="shared" si="17"/>
        <v>1</v>
      </c>
      <c r="AM18" s="45">
        <f t="shared" si="18"/>
        <v>12000</v>
      </c>
      <c r="AN18" s="47">
        <f t="shared" si="6"/>
        <v>0.19999999999999996</v>
      </c>
      <c r="AP18" s="110">
        <f t="shared" si="19"/>
        <v>316000</v>
      </c>
      <c r="AQ18" s="111">
        <f t="shared" si="20"/>
        <v>323000</v>
      </c>
      <c r="AR18" s="112">
        <f t="shared" si="21"/>
        <v>434000</v>
      </c>
      <c r="AS18" s="77">
        <f t="shared" si="22"/>
        <v>47740</v>
      </c>
      <c r="AT18" s="78">
        <f t="shared" si="23"/>
        <v>386260</v>
      </c>
      <c r="AU18" s="77">
        <f t="shared" si="7"/>
        <v>56420</v>
      </c>
      <c r="AV18" s="78">
        <f t="shared" si="8"/>
        <v>377580</v>
      </c>
      <c r="AY18" s="103">
        <f t="shared" si="24"/>
        <v>286000</v>
      </c>
      <c r="AZ18" s="98">
        <f t="shared" si="25"/>
        <v>293000</v>
      </c>
      <c r="BA18" s="99">
        <f t="shared" si="26"/>
        <v>404000</v>
      </c>
      <c r="BB18" s="77">
        <f t="shared" si="27"/>
        <v>44440</v>
      </c>
      <c r="BC18" s="78">
        <f t="shared" si="28"/>
        <v>359560</v>
      </c>
      <c r="BD18" s="77">
        <f t="shared" si="9"/>
        <v>52520</v>
      </c>
      <c r="BE18" s="78">
        <f t="shared" si="10"/>
        <v>351480</v>
      </c>
    </row>
    <row r="19" spans="2:57" s="42" customFormat="1" ht="15" customHeight="1">
      <c r="B19" s="250"/>
      <c r="C19" s="262"/>
      <c r="D19" s="266"/>
      <c r="E19" s="252" t="s">
        <v>24</v>
      </c>
      <c r="F19" s="248" t="s">
        <v>79</v>
      </c>
      <c r="G19" s="249"/>
      <c r="H19" s="59" t="s">
        <v>156</v>
      </c>
      <c r="I19" s="48">
        <v>179000</v>
      </c>
      <c r="J19" s="48">
        <v>189000</v>
      </c>
      <c r="K19" s="48">
        <v>252000</v>
      </c>
      <c r="L19" s="48">
        <v>101000</v>
      </c>
      <c r="M19" s="48">
        <v>115000</v>
      </c>
      <c r="N19" s="48">
        <v>27000</v>
      </c>
      <c r="O19" s="48">
        <f t="shared" si="11"/>
        <v>15000</v>
      </c>
      <c r="Q19" s="72">
        <v>159000</v>
      </c>
      <c r="R19" s="72">
        <v>169000</v>
      </c>
      <c r="S19" s="72">
        <v>222000</v>
      </c>
      <c r="T19" s="68">
        <f t="shared" si="12"/>
        <v>1.3136094674556213</v>
      </c>
      <c r="U19" s="46">
        <f t="shared" si="13"/>
        <v>53000</v>
      </c>
      <c r="W19" s="48">
        <v>159000</v>
      </c>
      <c r="X19" s="49">
        <f t="shared" si="0"/>
        <v>0.11173184357541899</v>
      </c>
      <c r="Y19" s="48">
        <v>169000</v>
      </c>
      <c r="Z19" s="49">
        <f t="shared" si="1"/>
        <v>0.10582010582010581</v>
      </c>
      <c r="AA19" s="48">
        <v>222000</v>
      </c>
      <c r="AB19" s="49">
        <f t="shared" si="2"/>
        <v>0.11904761904761907</v>
      </c>
      <c r="AC19" s="48">
        <v>54000</v>
      </c>
      <c r="AD19" s="63">
        <f t="shared" si="3"/>
        <v>0.46534653465346532</v>
      </c>
      <c r="AE19" s="48">
        <f t="shared" si="14"/>
        <v>44000</v>
      </c>
      <c r="AF19" s="49">
        <f t="shared" si="4"/>
        <v>0.61739130434782608</v>
      </c>
      <c r="AG19" s="95">
        <v>0</v>
      </c>
      <c r="AH19" s="92">
        <f t="shared" si="5"/>
        <v>1</v>
      </c>
      <c r="AI19" s="95">
        <f t="shared" si="15"/>
        <v>12000</v>
      </c>
      <c r="AJ19" s="92">
        <f t="shared" si="16"/>
        <v>0.55555555555555558</v>
      </c>
      <c r="AK19" s="45">
        <v>0</v>
      </c>
      <c r="AL19" s="47">
        <f t="shared" si="17"/>
        <v>1</v>
      </c>
      <c r="AM19" s="45">
        <f t="shared" si="18"/>
        <v>12000</v>
      </c>
      <c r="AN19" s="47">
        <f t="shared" si="6"/>
        <v>0.19999999999999996</v>
      </c>
      <c r="AP19" s="113">
        <f t="shared" si="19"/>
        <v>257000</v>
      </c>
      <c r="AQ19" s="114">
        <f t="shared" si="20"/>
        <v>267000</v>
      </c>
      <c r="AR19" s="115">
        <f t="shared" si="21"/>
        <v>320000</v>
      </c>
      <c r="AS19" s="77">
        <f t="shared" si="22"/>
        <v>35200</v>
      </c>
      <c r="AT19" s="78">
        <f t="shared" si="23"/>
        <v>284800</v>
      </c>
      <c r="AU19" s="77">
        <f t="shared" si="7"/>
        <v>41600</v>
      </c>
      <c r="AV19" s="78">
        <f t="shared" si="8"/>
        <v>278400</v>
      </c>
      <c r="AY19" s="100">
        <f t="shared" si="24"/>
        <v>227000</v>
      </c>
      <c r="AZ19" s="101">
        <f t="shared" si="25"/>
        <v>237000</v>
      </c>
      <c r="BA19" s="102">
        <f t="shared" si="26"/>
        <v>290000</v>
      </c>
      <c r="BB19" s="77">
        <f t="shared" si="27"/>
        <v>31900</v>
      </c>
      <c r="BC19" s="78">
        <f t="shared" si="28"/>
        <v>258100</v>
      </c>
      <c r="BD19" s="77">
        <f t="shared" si="9"/>
        <v>37700</v>
      </c>
      <c r="BE19" s="78">
        <f t="shared" si="10"/>
        <v>252300</v>
      </c>
    </row>
    <row r="20" spans="2:57" s="42" customFormat="1" ht="15" customHeight="1">
      <c r="B20" s="250"/>
      <c r="C20" s="262"/>
      <c r="D20" s="266"/>
      <c r="E20" s="253"/>
      <c r="F20" s="250"/>
      <c r="G20" s="251"/>
      <c r="H20" s="55" t="s">
        <v>157</v>
      </c>
      <c r="I20" s="51">
        <v>179000</v>
      </c>
      <c r="J20" s="51">
        <v>189000</v>
      </c>
      <c r="K20" s="51">
        <v>252000</v>
      </c>
      <c r="L20" s="51">
        <v>101000</v>
      </c>
      <c r="M20" s="51">
        <v>115000</v>
      </c>
      <c r="N20" s="51">
        <v>27000</v>
      </c>
      <c r="O20" s="51">
        <f t="shared" si="11"/>
        <v>15000</v>
      </c>
      <c r="Q20" s="52">
        <v>179000</v>
      </c>
      <c r="R20" s="52">
        <v>189000</v>
      </c>
      <c r="S20" s="52">
        <v>242000</v>
      </c>
      <c r="T20" s="69">
        <f t="shared" si="12"/>
        <v>1.2804232804232805</v>
      </c>
      <c r="U20" s="52">
        <f t="shared" si="13"/>
        <v>53000</v>
      </c>
      <c r="W20" s="51">
        <v>179000</v>
      </c>
      <c r="X20" s="53">
        <f t="shared" si="0"/>
        <v>0</v>
      </c>
      <c r="Y20" s="51">
        <v>189000</v>
      </c>
      <c r="Z20" s="53">
        <f t="shared" si="1"/>
        <v>0</v>
      </c>
      <c r="AA20" s="51">
        <v>242000</v>
      </c>
      <c r="AB20" s="53">
        <f t="shared" si="2"/>
        <v>3.9682539682539653E-2</v>
      </c>
      <c r="AC20" s="51">
        <v>54000</v>
      </c>
      <c r="AD20" s="54">
        <f t="shared" si="3"/>
        <v>0.46534653465346532</v>
      </c>
      <c r="AE20" s="51">
        <f t="shared" si="14"/>
        <v>44000</v>
      </c>
      <c r="AF20" s="54">
        <f t="shared" si="4"/>
        <v>0.61739130434782608</v>
      </c>
      <c r="AG20" s="94">
        <v>0</v>
      </c>
      <c r="AH20" s="91">
        <f t="shared" si="5"/>
        <v>1</v>
      </c>
      <c r="AI20" s="94">
        <f t="shared" si="15"/>
        <v>12000</v>
      </c>
      <c r="AJ20" s="91">
        <f t="shared" si="16"/>
        <v>0.55555555555555558</v>
      </c>
      <c r="AK20" s="45">
        <v>0</v>
      </c>
      <c r="AL20" s="47">
        <f t="shared" si="17"/>
        <v>1</v>
      </c>
      <c r="AM20" s="45">
        <f t="shared" si="18"/>
        <v>12000</v>
      </c>
      <c r="AN20" s="47">
        <f t="shared" si="6"/>
        <v>0.19999999999999996</v>
      </c>
      <c r="AP20" s="110">
        <f t="shared" si="19"/>
        <v>277000</v>
      </c>
      <c r="AQ20" s="111">
        <f t="shared" si="20"/>
        <v>287000</v>
      </c>
      <c r="AR20" s="112">
        <f t="shared" si="21"/>
        <v>340000</v>
      </c>
      <c r="AS20" s="77">
        <f t="shared" si="22"/>
        <v>37400</v>
      </c>
      <c r="AT20" s="78">
        <f t="shared" si="23"/>
        <v>302600</v>
      </c>
      <c r="AU20" s="77">
        <f t="shared" si="7"/>
        <v>44200</v>
      </c>
      <c r="AV20" s="78">
        <f t="shared" si="8"/>
        <v>295800</v>
      </c>
      <c r="AY20" s="103">
        <f t="shared" si="24"/>
        <v>247000</v>
      </c>
      <c r="AZ20" s="98">
        <f t="shared" si="25"/>
        <v>257000</v>
      </c>
      <c r="BA20" s="99">
        <f t="shared" si="26"/>
        <v>310000</v>
      </c>
      <c r="BB20" s="77">
        <f t="shared" si="27"/>
        <v>34100</v>
      </c>
      <c r="BC20" s="78">
        <f t="shared" si="28"/>
        <v>275900</v>
      </c>
      <c r="BD20" s="77">
        <f t="shared" si="9"/>
        <v>40300</v>
      </c>
      <c r="BE20" s="78">
        <f t="shared" si="10"/>
        <v>269700</v>
      </c>
    </row>
    <row r="21" spans="2:57" s="42" customFormat="1" ht="15" customHeight="1">
      <c r="B21" s="250"/>
      <c r="C21" s="262"/>
      <c r="D21" s="266"/>
      <c r="E21" s="253"/>
      <c r="F21" s="250"/>
      <c r="G21" s="251"/>
      <c r="H21" s="50" t="s">
        <v>149</v>
      </c>
      <c r="I21" s="51">
        <v>214000</v>
      </c>
      <c r="J21" s="51">
        <v>223000</v>
      </c>
      <c r="K21" s="51">
        <v>322000</v>
      </c>
      <c r="L21" s="51">
        <v>101000</v>
      </c>
      <c r="M21" s="51">
        <v>115000</v>
      </c>
      <c r="N21" s="51">
        <v>27000</v>
      </c>
      <c r="O21" s="51">
        <f t="shared" si="11"/>
        <v>15000</v>
      </c>
      <c r="Q21" s="52">
        <v>194000</v>
      </c>
      <c r="R21" s="52">
        <v>203000</v>
      </c>
      <c r="S21" s="52">
        <v>282000</v>
      </c>
      <c r="T21" s="69">
        <f t="shared" si="12"/>
        <v>1.3891625615763548</v>
      </c>
      <c r="U21" s="52">
        <f t="shared" si="13"/>
        <v>79000</v>
      </c>
      <c r="W21" s="51">
        <v>194000</v>
      </c>
      <c r="X21" s="53">
        <f t="shared" si="0"/>
        <v>9.3457943925233655E-2</v>
      </c>
      <c r="Y21" s="51">
        <v>203000</v>
      </c>
      <c r="Z21" s="53">
        <f t="shared" si="1"/>
        <v>8.9686098654708557E-2</v>
      </c>
      <c r="AA21" s="51">
        <v>282000</v>
      </c>
      <c r="AB21" s="53">
        <f t="shared" si="2"/>
        <v>0.12422360248447206</v>
      </c>
      <c r="AC21" s="51">
        <v>54000</v>
      </c>
      <c r="AD21" s="54">
        <f t="shared" si="3"/>
        <v>0.46534653465346532</v>
      </c>
      <c r="AE21" s="51">
        <f t="shared" si="14"/>
        <v>44000</v>
      </c>
      <c r="AF21" s="54">
        <f t="shared" si="4"/>
        <v>0.61739130434782608</v>
      </c>
      <c r="AG21" s="94">
        <v>0</v>
      </c>
      <c r="AH21" s="91">
        <f t="shared" si="5"/>
        <v>1</v>
      </c>
      <c r="AI21" s="94">
        <f t="shared" si="15"/>
        <v>12000</v>
      </c>
      <c r="AJ21" s="91">
        <f t="shared" si="16"/>
        <v>0.55555555555555558</v>
      </c>
      <c r="AK21" s="45">
        <v>0</v>
      </c>
      <c r="AL21" s="47">
        <f t="shared" si="17"/>
        <v>1</v>
      </c>
      <c r="AM21" s="45">
        <f t="shared" si="18"/>
        <v>12000</v>
      </c>
      <c r="AN21" s="47">
        <f t="shared" si="6"/>
        <v>0.19999999999999996</v>
      </c>
      <c r="AP21" s="110">
        <f t="shared" si="19"/>
        <v>292000</v>
      </c>
      <c r="AQ21" s="111">
        <f t="shared" si="20"/>
        <v>301000</v>
      </c>
      <c r="AR21" s="112">
        <f t="shared" si="21"/>
        <v>380000</v>
      </c>
      <c r="AS21" s="77">
        <f t="shared" si="22"/>
        <v>41800</v>
      </c>
      <c r="AT21" s="78">
        <f t="shared" si="23"/>
        <v>338200</v>
      </c>
      <c r="AU21" s="77">
        <f t="shared" si="7"/>
        <v>49400</v>
      </c>
      <c r="AV21" s="78">
        <f t="shared" si="8"/>
        <v>330600</v>
      </c>
      <c r="AY21" s="103">
        <f t="shared" si="24"/>
        <v>262000</v>
      </c>
      <c r="AZ21" s="98">
        <f t="shared" si="25"/>
        <v>271000</v>
      </c>
      <c r="BA21" s="99">
        <f t="shared" si="26"/>
        <v>350000</v>
      </c>
      <c r="BB21" s="77">
        <f t="shared" si="27"/>
        <v>38500</v>
      </c>
      <c r="BC21" s="78">
        <f t="shared" si="28"/>
        <v>311500</v>
      </c>
      <c r="BD21" s="77">
        <f t="shared" si="9"/>
        <v>45500</v>
      </c>
      <c r="BE21" s="78">
        <f t="shared" si="10"/>
        <v>304500</v>
      </c>
    </row>
    <row r="22" spans="2:57" s="42" customFormat="1" ht="15" customHeight="1">
      <c r="B22" s="250"/>
      <c r="C22" s="262"/>
      <c r="D22" s="266"/>
      <c r="E22" s="253"/>
      <c r="F22" s="250"/>
      <c r="G22" s="251"/>
      <c r="H22" s="90" t="s">
        <v>150</v>
      </c>
      <c r="I22" s="56">
        <v>214000</v>
      </c>
      <c r="J22" s="56">
        <v>223000</v>
      </c>
      <c r="K22" s="56">
        <v>322000</v>
      </c>
      <c r="L22" s="56">
        <v>101000</v>
      </c>
      <c r="M22" s="56">
        <v>115000</v>
      </c>
      <c r="N22" s="56">
        <v>27000</v>
      </c>
      <c r="O22" s="51">
        <f t="shared" si="11"/>
        <v>15000</v>
      </c>
      <c r="Q22" s="52">
        <v>214000</v>
      </c>
      <c r="R22" s="52">
        <v>223000</v>
      </c>
      <c r="S22" s="52">
        <v>322000</v>
      </c>
      <c r="T22" s="69">
        <f t="shared" si="12"/>
        <v>1.4439461883408071</v>
      </c>
      <c r="U22" s="52">
        <f t="shared" si="13"/>
        <v>99000</v>
      </c>
      <c r="W22" s="51">
        <v>214000</v>
      </c>
      <c r="X22" s="53">
        <f t="shared" si="0"/>
        <v>0</v>
      </c>
      <c r="Y22" s="51">
        <v>223000</v>
      </c>
      <c r="Z22" s="53">
        <f t="shared" si="1"/>
        <v>0</v>
      </c>
      <c r="AA22" s="51">
        <v>322000</v>
      </c>
      <c r="AB22" s="53">
        <f t="shared" si="2"/>
        <v>0</v>
      </c>
      <c r="AC22" s="51">
        <v>54000</v>
      </c>
      <c r="AD22" s="54">
        <f t="shared" si="3"/>
        <v>0.46534653465346532</v>
      </c>
      <c r="AE22" s="51">
        <f t="shared" si="14"/>
        <v>44000</v>
      </c>
      <c r="AF22" s="54">
        <f t="shared" si="4"/>
        <v>0.61739130434782608</v>
      </c>
      <c r="AG22" s="94">
        <v>0</v>
      </c>
      <c r="AH22" s="91">
        <f t="shared" si="5"/>
        <v>1</v>
      </c>
      <c r="AI22" s="94">
        <f t="shared" si="15"/>
        <v>12000</v>
      </c>
      <c r="AJ22" s="91">
        <f t="shared" si="16"/>
        <v>0.55555555555555558</v>
      </c>
      <c r="AK22" s="45">
        <v>0</v>
      </c>
      <c r="AL22" s="47">
        <f t="shared" si="17"/>
        <v>1</v>
      </c>
      <c r="AM22" s="45">
        <f t="shared" si="18"/>
        <v>12000</v>
      </c>
      <c r="AN22" s="47">
        <f t="shared" si="6"/>
        <v>0.19999999999999996</v>
      </c>
      <c r="AP22" s="110">
        <f t="shared" si="19"/>
        <v>312000</v>
      </c>
      <c r="AQ22" s="111">
        <f t="shared" si="20"/>
        <v>321000</v>
      </c>
      <c r="AR22" s="112">
        <f t="shared" si="21"/>
        <v>420000</v>
      </c>
      <c r="AS22" s="77">
        <f t="shared" si="22"/>
        <v>46200</v>
      </c>
      <c r="AT22" s="78">
        <f t="shared" si="23"/>
        <v>373800</v>
      </c>
      <c r="AU22" s="77">
        <f t="shared" si="7"/>
        <v>54600</v>
      </c>
      <c r="AV22" s="78">
        <f t="shared" si="8"/>
        <v>365400</v>
      </c>
      <c r="AY22" s="97">
        <f t="shared" si="24"/>
        <v>282000</v>
      </c>
      <c r="AZ22" s="98">
        <f t="shared" si="25"/>
        <v>291000</v>
      </c>
      <c r="BA22" s="99">
        <f t="shared" si="26"/>
        <v>390000</v>
      </c>
      <c r="BB22" s="77">
        <f t="shared" si="27"/>
        <v>42900</v>
      </c>
      <c r="BC22" s="78">
        <f t="shared" si="28"/>
        <v>347100</v>
      </c>
      <c r="BD22" s="77">
        <f t="shared" si="9"/>
        <v>50700</v>
      </c>
      <c r="BE22" s="78">
        <f t="shared" si="10"/>
        <v>339300</v>
      </c>
    </row>
    <row r="23" spans="2:57" s="42" customFormat="1" ht="15" customHeight="1">
      <c r="B23" s="250"/>
      <c r="C23" s="262"/>
      <c r="D23" s="266"/>
      <c r="E23" s="253"/>
      <c r="F23" s="250"/>
      <c r="G23" s="251"/>
      <c r="H23" s="90" t="s">
        <v>146</v>
      </c>
      <c r="I23" s="56">
        <v>238000</v>
      </c>
      <c r="J23" s="56">
        <v>248000</v>
      </c>
      <c r="K23" s="56">
        <v>367000</v>
      </c>
      <c r="L23" s="56">
        <v>101000</v>
      </c>
      <c r="M23" s="56">
        <v>115000</v>
      </c>
      <c r="N23" s="56">
        <v>27000</v>
      </c>
      <c r="O23" s="51">
        <f t="shared" si="11"/>
        <v>15000</v>
      </c>
      <c r="Q23" s="52">
        <v>238000</v>
      </c>
      <c r="R23" s="52">
        <v>248000</v>
      </c>
      <c r="S23" s="52">
        <v>367000</v>
      </c>
      <c r="T23" s="69">
        <f t="shared" si="12"/>
        <v>1.4798387096774193</v>
      </c>
      <c r="U23" s="52">
        <f t="shared" si="13"/>
        <v>119000</v>
      </c>
      <c r="W23" s="56">
        <v>238000</v>
      </c>
      <c r="X23" s="53">
        <f t="shared" si="0"/>
        <v>0</v>
      </c>
      <c r="Y23" s="56">
        <v>248000</v>
      </c>
      <c r="Z23" s="53">
        <f t="shared" si="1"/>
        <v>0</v>
      </c>
      <c r="AA23" s="56">
        <v>367000</v>
      </c>
      <c r="AB23" s="53">
        <f t="shared" si="2"/>
        <v>0</v>
      </c>
      <c r="AC23" s="56">
        <v>54000</v>
      </c>
      <c r="AD23" s="54">
        <f t="shared" si="3"/>
        <v>0.46534653465346532</v>
      </c>
      <c r="AE23" s="56">
        <f t="shared" si="14"/>
        <v>44000</v>
      </c>
      <c r="AF23" s="54">
        <f t="shared" si="4"/>
        <v>0.61739130434782608</v>
      </c>
      <c r="AG23" s="94">
        <v>0</v>
      </c>
      <c r="AH23" s="91">
        <f t="shared" si="5"/>
        <v>1</v>
      </c>
      <c r="AI23" s="94">
        <f t="shared" si="15"/>
        <v>12000</v>
      </c>
      <c r="AJ23" s="91">
        <f t="shared" si="16"/>
        <v>0.55555555555555558</v>
      </c>
      <c r="AK23" s="45">
        <v>0</v>
      </c>
      <c r="AL23" s="47">
        <f t="shared" si="17"/>
        <v>1</v>
      </c>
      <c r="AM23" s="45">
        <f t="shared" si="18"/>
        <v>12000</v>
      </c>
      <c r="AN23" s="47">
        <f t="shared" si="6"/>
        <v>0.19999999999999996</v>
      </c>
      <c r="AP23" s="110">
        <f t="shared" si="19"/>
        <v>336000</v>
      </c>
      <c r="AQ23" s="111">
        <f t="shared" si="20"/>
        <v>346000</v>
      </c>
      <c r="AR23" s="112">
        <f t="shared" si="21"/>
        <v>465000</v>
      </c>
      <c r="AS23" s="77">
        <f t="shared" si="22"/>
        <v>51150</v>
      </c>
      <c r="AT23" s="78">
        <f t="shared" si="23"/>
        <v>413850</v>
      </c>
      <c r="AU23" s="77">
        <f t="shared" si="7"/>
        <v>60450</v>
      </c>
      <c r="AV23" s="78">
        <f t="shared" si="8"/>
        <v>404550</v>
      </c>
      <c r="AY23" s="103">
        <f t="shared" si="24"/>
        <v>306000</v>
      </c>
      <c r="AZ23" s="98">
        <f t="shared" si="25"/>
        <v>316000</v>
      </c>
      <c r="BA23" s="99">
        <f t="shared" si="26"/>
        <v>435000</v>
      </c>
      <c r="BB23" s="77">
        <f t="shared" si="27"/>
        <v>47850</v>
      </c>
      <c r="BC23" s="78">
        <f t="shared" si="28"/>
        <v>387150</v>
      </c>
      <c r="BD23" s="77">
        <f t="shared" si="9"/>
        <v>56550</v>
      </c>
      <c r="BE23" s="78">
        <f t="shared" si="10"/>
        <v>378450</v>
      </c>
    </row>
    <row r="24" spans="2:57" s="42" customFormat="1" ht="15" customHeight="1">
      <c r="B24" s="250"/>
      <c r="C24" s="262"/>
      <c r="D24" s="266"/>
      <c r="E24" s="253"/>
      <c r="F24" s="248" t="s">
        <v>80</v>
      </c>
      <c r="G24" s="249"/>
      <c r="H24" s="59" t="s">
        <v>156</v>
      </c>
      <c r="I24" s="48">
        <v>201000</v>
      </c>
      <c r="J24" s="48">
        <v>211000</v>
      </c>
      <c r="K24" s="48">
        <v>274000</v>
      </c>
      <c r="L24" s="48">
        <v>101000</v>
      </c>
      <c r="M24" s="48">
        <v>115000</v>
      </c>
      <c r="N24" s="48">
        <v>27000</v>
      </c>
      <c r="O24" s="48">
        <f t="shared" si="11"/>
        <v>15000</v>
      </c>
      <c r="Q24" s="72">
        <v>181000</v>
      </c>
      <c r="R24" s="72">
        <v>191000</v>
      </c>
      <c r="S24" s="72">
        <v>244000</v>
      </c>
      <c r="T24" s="68">
        <f t="shared" si="12"/>
        <v>1.2774869109947644</v>
      </c>
      <c r="U24" s="46">
        <f t="shared" si="13"/>
        <v>53000</v>
      </c>
      <c r="W24" s="48">
        <v>181000</v>
      </c>
      <c r="X24" s="49">
        <f t="shared" si="0"/>
        <v>9.9502487562189046E-2</v>
      </c>
      <c r="Y24" s="48">
        <v>191000</v>
      </c>
      <c r="Z24" s="49">
        <f t="shared" si="1"/>
        <v>9.4786729857819885E-2</v>
      </c>
      <c r="AA24" s="48">
        <v>244000</v>
      </c>
      <c r="AB24" s="49">
        <f t="shared" si="2"/>
        <v>0.10948905109489049</v>
      </c>
      <c r="AC24" s="48">
        <v>54000</v>
      </c>
      <c r="AD24" s="63">
        <f t="shared" si="3"/>
        <v>0.46534653465346532</v>
      </c>
      <c r="AE24" s="48">
        <f t="shared" si="14"/>
        <v>44000</v>
      </c>
      <c r="AF24" s="49">
        <f t="shared" si="4"/>
        <v>0.61739130434782608</v>
      </c>
      <c r="AG24" s="95">
        <v>0</v>
      </c>
      <c r="AH24" s="92">
        <f t="shared" si="5"/>
        <v>1</v>
      </c>
      <c r="AI24" s="95">
        <f t="shared" si="15"/>
        <v>12000</v>
      </c>
      <c r="AJ24" s="92">
        <f t="shared" si="16"/>
        <v>0.55555555555555558</v>
      </c>
      <c r="AK24" s="45">
        <v>0</v>
      </c>
      <c r="AL24" s="47">
        <f t="shared" si="17"/>
        <v>1</v>
      </c>
      <c r="AM24" s="45">
        <f t="shared" si="18"/>
        <v>12000</v>
      </c>
      <c r="AN24" s="47">
        <f t="shared" si="6"/>
        <v>0.19999999999999996</v>
      </c>
      <c r="AP24" s="113">
        <f t="shared" si="19"/>
        <v>279000</v>
      </c>
      <c r="AQ24" s="114">
        <f t="shared" si="20"/>
        <v>289000</v>
      </c>
      <c r="AR24" s="115">
        <f t="shared" si="21"/>
        <v>342000</v>
      </c>
      <c r="AS24" s="77">
        <f t="shared" si="22"/>
        <v>37620</v>
      </c>
      <c r="AT24" s="78">
        <f t="shared" si="23"/>
        <v>304380</v>
      </c>
      <c r="AU24" s="77">
        <f t="shared" si="7"/>
        <v>44460</v>
      </c>
      <c r="AV24" s="78">
        <f t="shared" si="8"/>
        <v>297540</v>
      </c>
      <c r="AY24" s="100">
        <f t="shared" si="24"/>
        <v>249000</v>
      </c>
      <c r="AZ24" s="101">
        <f t="shared" si="25"/>
        <v>259000</v>
      </c>
      <c r="BA24" s="102">
        <f t="shared" si="26"/>
        <v>312000</v>
      </c>
      <c r="BB24" s="77">
        <f t="shared" si="27"/>
        <v>34320</v>
      </c>
      <c r="BC24" s="78">
        <f t="shared" si="28"/>
        <v>277680</v>
      </c>
      <c r="BD24" s="77">
        <f t="shared" si="9"/>
        <v>40560</v>
      </c>
      <c r="BE24" s="78">
        <f t="shared" si="10"/>
        <v>271440</v>
      </c>
    </row>
    <row r="25" spans="2:57" s="42" customFormat="1" ht="15" customHeight="1">
      <c r="B25" s="250"/>
      <c r="C25" s="262"/>
      <c r="D25" s="266"/>
      <c r="E25" s="253"/>
      <c r="F25" s="250"/>
      <c r="G25" s="251"/>
      <c r="H25" s="55" t="s">
        <v>157</v>
      </c>
      <c r="I25" s="51">
        <v>201000</v>
      </c>
      <c r="J25" s="51">
        <v>211000</v>
      </c>
      <c r="K25" s="51">
        <v>274000</v>
      </c>
      <c r="L25" s="51">
        <v>101000</v>
      </c>
      <c r="M25" s="51">
        <v>115000</v>
      </c>
      <c r="N25" s="51">
        <v>27000</v>
      </c>
      <c r="O25" s="51">
        <f t="shared" si="11"/>
        <v>15000</v>
      </c>
      <c r="Q25" s="52">
        <v>201000</v>
      </c>
      <c r="R25" s="52">
        <v>211000</v>
      </c>
      <c r="S25" s="52">
        <v>264000</v>
      </c>
      <c r="T25" s="69">
        <f t="shared" si="12"/>
        <v>1.2511848341232228</v>
      </c>
      <c r="U25" s="52">
        <f t="shared" si="13"/>
        <v>53000</v>
      </c>
      <c r="W25" s="56">
        <v>201000</v>
      </c>
      <c r="X25" s="54">
        <f t="shared" si="0"/>
        <v>0</v>
      </c>
      <c r="Y25" s="56">
        <v>211000</v>
      </c>
      <c r="Z25" s="54">
        <f t="shared" si="1"/>
        <v>0</v>
      </c>
      <c r="AA25" s="56">
        <v>264000</v>
      </c>
      <c r="AB25" s="53">
        <f t="shared" si="2"/>
        <v>3.6496350364963459E-2</v>
      </c>
      <c r="AC25" s="51">
        <v>54000</v>
      </c>
      <c r="AD25" s="54">
        <f t="shared" si="3"/>
        <v>0.46534653465346532</v>
      </c>
      <c r="AE25" s="51">
        <f t="shared" si="14"/>
        <v>44000</v>
      </c>
      <c r="AF25" s="54">
        <f t="shared" si="4"/>
        <v>0.61739130434782608</v>
      </c>
      <c r="AG25" s="94">
        <v>0</v>
      </c>
      <c r="AH25" s="91">
        <f t="shared" si="5"/>
        <v>1</v>
      </c>
      <c r="AI25" s="94">
        <f t="shared" si="15"/>
        <v>12000</v>
      </c>
      <c r="AJ25" s="91">
        <f t="shared" si="16"/>
        <v>0.55555555555555558</v>
      </c>
      <c r="AK25" s="45">
        <v>0</v>
      </c>
      <c r="AL25" s="47">
        <f t="shared" si="17"/>
        <v>1</v>
      </c>
      <c r="AM25" s="45">
        <f t="shared" si="18"/>
        <v>12000</v>
      </c>
      <c r="AN25" s="47">
        <f t="shared" si="6"/>
        <v>0.19999999999999996</v>
      </c>
      <c r="AP25" s="110">
        <f t="shared" si="19"/>
        <v>299000</v>
      </c>
      <c r="AQ25" s="111">
        <f t="shared" si="20"/>
        <v>309000</v>
      </c>
      <c r="AR25" s="112">
        <f t="shared" si="21"/>
        <v>362000</v>
      </c>
      <c r="AS25" s="77">
        <f t="shared" si="22"/>
        <v>39820</v>
      </c>
      <c r="AT25" s="78">
        <f t="shared" si="23"/>
        <v>322180</v>
      </c>
      <c r="AU25" s="77">
        <f t="shared" si="7"/>
        <v>47060</v>
      </c>
      <c r="AV25" s="78">
        <f t="shared" si="8"/>
        <v>314940</v>
      </c>
      <c r="AY25" s="103">
        <f t="shared" si="24"/>
        <v>269000</v>
      </c>
      <c r="AZ25" s="98">
        <f t="shared" si="25"/>
        <v>279000</v>
      </c>
      <c r="BA25" s="99">
        <f t="shared" si="26"/>
        <v>332000</v>
      </c>
      <c r="BB25" s="77">
        <f t="shared" si="27"/>
        <v>36520</v>
      </c>
      <c r="BC25" s="78">
        <f t="shared" si="28"/>
        <v>295480</v>
      </c>
      <c r="BD25" s="77">
        <f t="shared" si="9"/>
        <v>43160</v>
      </c>
      <c r="BE25" s="78">
        <f t="shared" si="10"/>
        <v>288840</v>
      </c>
    </row>
    <row r="26" spans="2:57" s="42" customFormat="1" ht="15" customHeight="1">
      <c r="B26" s="250"/>
      <c r="C26" s="262"/>
      <c r="D26" s="266"/>
      <c r="E26" s="253"/>
      <c r="F26" s="250"/>
      <c r="G26" s="251"/>
      <c r="H26" s="50" t="s">
        <v>149</v>
      </c>
      <c r="I26" s="51">
        <v>236000</v>
      </c>
      <c r="J26" s="51">
        <v>245000</v>
      </c>
      <c r="K26" s="51">
        <v>344000</v>
      </c>
      <c r="L26" s="51">
        <v>101000</v>
      </c>
      <c r="M26" s="51">
        <v>115000</v>
      </c>
      <c r="N26" s="51">
        <v>27000</v>
      </c>
      <c r="O26" s="51">
        <f t="shared" si="11"/>
        <v>15000</v>
      </c>
      <c r="Q26" s="52">
        <v>216000</v>
      </c>
      <c r="R26" s="52">
        <v>225000</v>
      </c>
      <c r="S26" s="52">
        <v>304000</v>
      </c>
      <c r="T26" s="69">
        <f t="shared" si="12"/>
        <v>1.3511111111111112</v>
      </c>
      <c r="U26" s="52">
        <f t="shared" si="13"/>
        <v>79000</v>
      </c>
      <c r="W26" s="51">
        <v>216000</v>
      </c>
      <c r="X26" s="53">
        <f t="shared" si="0"/>
        <v>8.4745762711864403E-2</v>
      </c>
      <c r="Y26" s="51">
        <v>225000</v>
      </c>
      <c r="Z26" s="53">
        <f t="shared" si="1"/>
        <v>8.1632653061224469E-2</v>
      </c>
      <c r="AA26" s="51">
        <v>304000</v>
      </c>
      <c r="AB26" s="53">
        <f t="shared" si="2"/>
        <v>0.11627906976744184</v>
      </c>
      <c r="AC26" s="51">
        <v>54000</v>
      </c>
      <c r="AD26" s="54">
        <f t="shared" si="3"/>
        <v>0.46534653465346532</v>
      </c>
      <c r="AE26" s="51">
        <f t="shared" si="14"/>
        <v>44000</v>
      </c>
      <c r="AF26" s="54">
        <f t="shared" si="4"/>
        <v>0.61739130434782608</v>
      </c>
      <c r="AG26" s="94">
        <v>0</v>
      </c>
      <c r="AH26" s="91">
        <f t="shared" si="5"/>
        <v>1</v>
      </c>
      <c r="AI26" s="94">
        <f t="shared" si="15"/>
        <v>12000</v>
      </c>
      <c r="AJ26" s="91">
        <f t="shared" si="16"/>
        <v>0.55555555555555558</v>
      </c>
      <c r="AK26" s="45">
        <v>0</v>
      </c>
      <c r="AL26" s="47">
        <f t="shared" si="17"/>
        <v>1</v>
      </c>
      <c r="AM26" s="45">
        <f t="shared" si="18"/>
        <v>12000</v>
      </c>
      <c r="AN26" s="47">
        <f t="shared" si="6"/>
        <v>0.19999999999999996</v>
      </c>
      <c r="AP26" s="110">
        <f t="shared" si="19"/>
        <v>314000</v>
      </c>
      <c r="AQ26" s="111">
        <f t="shared" si="20"/>
        <v>323000</v>
      </c>
      <c r="AR26" s="112">
        <f t="shared" si="21"/>
        <v>402000</v>
      </c>
      <c r="AS26" s="77">
        <f t="shared" si="22"/>
        <v>44220</v>
      </c>
      <c r="AT26" s="78">
        <f t="shared" si="23"/>
        <v>357780</v>
      </c>
      <c r="AU26" s="77">
        <f t="shared" si="7"/>
        <v>52260</v>
      </c>
      <c r="AV26" s="78">
        <f t="shared" si="8"/>
        <v>349740</v>
      </c>
      <c r="AY26" s="97">
        <f t="shared" si="24"/>
        <v>284000</v>
      </c>
      <c r="AZ26" s="98">
        <f t="shared" si="25"/>
        <v>293000</v>
      </c>
      <c r="BA26" s="99">
        <f t="shared" si="26"/>
        <v>372000</v>
      </c>
      <c r="BB26" s="77">
        <f t="shared" si="27"/>
        <v>40920</v>
      </c>
      <c r="BC26" s="78">
        <f t="shared" si="28"/>
        <v>331080</v>
      </c>
      <c r="BD26" s="77">
        <f t="shared" si="9"/>
        <v>48360</v>
      </c>
      <c r="BE26" s="78">
        <f t="shared" si="10"/>
        <v>323640</v>
      </c>
    </row>
    <row r="27" spans="2:57" s="42" customFormat="1" ht="15" customHeight="1">
      <c r="B27" s="250"/>
      <c r="C27" s="262"/>
      <c r="D27" s="266"/>
      <c r="E27" s="253"/>
      <c r="F27" s="250"/>
      <c r="G27" s="251"/>
      <c r="H27" s="90" t="s">
        <v>150</v>
      </c>
      <c r="I27" s="56">
        <v>236000</v>
      </c>
      <c r="J27" s="56">
        <v>245000</v>
      </c>
      <c r="K27" s="56">
        <v>344000</v>
      </c>
      <c r="L27" s="56">
        <v>101000</v>
      </c>
      <c r="M27" s="56">
        <v>115000</v>
      </c>
      <c r="N27" s="56">
        <v>27000</v>
      </c>
      <c r="O27" s="51">
        <f t="shared" si="11"/>
        <v>15000</v>
      </c>
      <c r="Q27" s="52">
        <v>236000</v>
      </c>
      <c r="R27" s="52">
        <v>245000</v>
      </c>
      <c r="S27" s="52">
        <v>344000</v>
      </c>
      <c r="T27" s="69">
        <f t="shared" si="12"/>
        <v>1.4040816326530612</v>
      </c>
      <c r="U27" s="52">
        <f t="shared" si="13"/>
        <v>99000</v>
      </c>
      <c r="W27" s="51">
        <v>236000</v>
      </c>
      <c r="X27" s="53">
        <f t="shared" si="0"/>
        <v>0</v>
      </c>
      <c r="Y27" s="51">
        <v>245000</v>
      </c>
      <c r="Z27" s="53">
        <f t="shared" si="1"/>
        <v>0</v>
      </c>
      <c r="AA27" s="51">
        <v>344000</v>
      </c>
      <c r="AB27" s="53">
        <f t="shared" si="2"/>
        <v>0</v>
      </c>
      <c r="AC27" s="51">
        <v>54000</v>
      </c>
      <c r="AD27" s="54">
        <f t="shared" si="3"/>
        <v>0.46534653465346532</v>
      </c>
      <c r="AE27" s="51">
        <f t="shared" si="14"/>
        <v>44000</v>
      </c>
      <c r="AF27" s="54">
        <f t="shared" si="4"/>
        <v>0.61739130434782608</v>
      </c>
      <c r="AG27" s="94">
        <v>0</v>
      </c>
      <c r="AH27" s="91">
        <f t="shared" si="5"/>
        <v>1</v>
      </c>
      <c r="AI27" s="94">
        <f t="shared" si="15"/>
        <v>12000</v>
      </c>
      <c r="AJ27" s="91">
        <f t="shared" si="16"/>
        <v>0.55555555555555558</v>
      </c>
      <c r="AK27" s="45">
        <v>0</v>
      </c>
      <c r="AL27" s="47">
        <f t="shared" si="17"/>
        <v>1</v>
      </c>
      <c r="AM27" s="45">
        <f t="shared" si="18"/>
        <v>12000</v>
      </c>
      <c r="AN27" s="47">
        <f t="shared" si="6"/>
        <v>0.19999999999999996</v>
      </c>
      <c r="AP27" s="110">
        <f t="shared" si="19"/>
        <v>334000</v>
      </c>
      <c r="AQ27" s="111">
        <f t="shared" si="20"/>
        <v>343000</v>
      </c>
      <c r="AR27" s="112">
        <f t="shared" si="21"/>
        <v>442000</v>
      </c>
      <c r="AS27" s="77">
        <f t="shared" si="22"/>
        <v>48620</v>
      </c>
      <c r="AT27" s="78">
        <f t="shared" si="23"/>
        <v>393380</v>
      </c>
      <c r="AU27" s="77">
        <f t="shared" si="7"/>
        <v>57460</v>
      </c>
      <c r="AV27" s="78">
        <f t="shared" si="8"/>
        <v>384540</v>
      </c>
      <c r="AY27" s="97">
        <f t="shared" si="24"/>
        <v>304000</v>
      </c>
      <c r="AZ27" s="98">
        <f t="shared" si="25"/>
        <v>313000</v>
      </c>
      <c r="BA27" s="99">
        <f t="shared" si="26"/>
        <v>412000</v>
      </c>
      <c r="BB27" s="77">
        <f t="shared" si="27"/>
        <v>45320</v>
      </c>
      <c r="BC27" s="78">
        <f t="shared" si="28"/>
        <v>366680</v>
      </c>
      <c r="BD27" s="77">
        <f t="shared" si="9"/>
        <v>53560</v>
      </c>
      <c r="BE27" s="78">
        <f t="shared" si="10"/>
        <v>358440</v>
      </c>
    </row>
    <row r="28" spans="2:57" s="42" customFormat="1" ht="15" customHeight="1">
      <c r="B28" s="250"/>
      <c r="C28" s="262"/>
      <c r="D28" s="266"/>
      <c r="E28" s="253"/>
      <c r="F28" s="263"/>
      <c r="G28" s="269"/>
      <c r="H28" s="90" t="s">
        <v>146</v>
      </c>
      <c r="I28" s="56">
        <v>260000</v>
      </c>
      <c r="J28" s="56">
        <v>270000</v>
      </c>
      <c r="K28" s="56">
        <v>389000</v>
      </c>
      <c r="L28" s="56">
        <v>101000</v>
      </c>
      <c r="M28" s="56">
        <v>115000</v>
      </c>
      <c r="N28" s="56">
        <v>27000</v>
      </c>
      <c r="O28" s="51">
        <f t="shared" si="11"/>
        <v>15000</v>
      </c>
      <c r="Q28" s="52">
        <v>260000</v>
      </c>
      <c r="R28" s="52">
        <v>270000</v>
      </c>
      <c r="S28" s="52">
        <v>389000</v>
      </c>
      <c r="T28" s="69">
        <f t="shared" si="12"/>
        <v>1.4407407407407407</v>
      </c>
      <c r="U28" s="52">
        <f t="shared" si="13"/>
        <v>119000</v>
      </c>
      <c r="W28" s="56">
        <v>260000</v>
      </c>
      <c r="X28" s="54">
        <f t="shared" si="0"/>
        <v>0</v>
      </c>
      <c r="Y28" s="56">
        <v>270000</v>
      </c>
      <c r="Z28" s="54">
        <f t="shared" si="1"/>
        <v>0</v>
      </c>
      <c r="AA28" s="56">
        <v>389000</v>
      </c>
      <c r="AB28" s="53">
        <f t="shared" si="2"/>
        <v>0</v>
      </c>
      <c r="AC28" s="56">
        <v>54000</v>
      </c>
      <c r="AD28" s="54">
        <f t="shared" si="3"/>
        <v>0.46534653465346532</v>
      </c>
      <c r="AE28" s="56">
        <f t="shared" si="14"/>
        <v>44000</v>
      </c>
      <c r="AF28" s="54">
        <f t="shared" si="4"/>
        <v>0.61739130434782608</v>
      </c>
      <c r="AG28" s="94">
        <v>0</v>
      </c>
      <c r="AH28" s="91">
        <f t="shared" si="5"/>
        <v>1</v>
      </c>
      <c r="AI28" s="94">
        <f t="shared" si="15"/>
        <v>12000</v>
      </c>
      <c r="AJ28" s="91">
        <f t="shared" si="16"/>
        <v>0.55555555555555558</v>
      </c>
      <c r="AK28" s="45">
        <v>0</v>
      </c>
      <c r="AL28" s="47">
        <f t="shared" si="17"/>
        <v>1</v>
      </c>
      <c r="AM28" s="45">
        <f t="shared" si="18"/>
        <v>12000</v>
      </c>
      <c r="AN28" s="47">
        <f t="shared" si="6"/>
        <v>0.19999999999999996</v>
      </c>
      <c r="AP28" s="110">
        <f t="shared" si="19"/>
        <v>358000</v>
      </c>
      <c r="AQ28" s="111">
        <f t="shared" si="20"/>
        <v>368000</v>
      </c>
      <c r="AR28" s="112">
        <f t="shared" si="21"/>
        <v>487000</v>
      </c>
      <c r="AS28" s="77">
        <f t="shared" si="22"/>
        <v>53570</v>
      </c>
      <c r="AT28" s="78">
        <f t="shared" si="23"/>
        <v>433430</v>
      </c>
      <c r="AU28" s="77">
        <f t="shared" si="7"/>
        <v>63310</v>
      </c>
      <c r="AV28" s="78">
        <f t="shared" si="8"/>
        <v>423690</v>
      </c>
      <c r="AY28" s="103">
        <f t="shared" si="24"/>
        <v>328000</v>
      </c>
      <c r="AZ28" s="98">
        <f t="shared" si="25"/>
        <v>338000</v>
      </c>
      <c r="BA28" s="99">
        <f t="shared" si="26"/>
        <v>457000</v>
      </c>
      <c r="BB28" s="77">
        <f t="shared" si="27"/>
        <v>50270</v>
      </c>
      <c r="BC28" s="78">
        <f t="shared" si="28"/>
        <v>406730</v>
      </c>
      <c r="BD28" s="77">
        <f t="shared" si="9"/>
        <v>59410</v>
      </c>
      <c r="BE28" s="78">
        <f t="shared" si="10"/>
        <v>397590</v>
      </c>
    </row>
    <row r="29" spans="2:57" s="42" customFormat="1" ht="15" customHeight="1">
      <c r="B29" s="250"/>
      <c r="C29" s="262"/>
      <c r="D29" s="270" t="s">
        <v>81</v>
      </c>
      <c r="E29" s="252" t="s">
        <v>21</v>
      </c>
      <c r="F29" s="248" t="s">
        <v>79</v>
      </c>
      <c r="G29" s="249"/>
      <c r="H29" s="59" t="s">
        <v>156</v>
      </c>
      <c r="I29" s="48">
        <v>162000</v>
      </c>
      <c r="J29" s="48">
        <v>170000</v>
      </c>
      <c r="K29" s="48">
        <v>233000</v>
      </c>
      <c r="L29" s="48">
        <v>101000</v>
      </c>
      <c r="M29" s="48">
        <v>115000</v>
      </c>
      <c r="N29" s="48">
        <v>27000</v>
      </c>
      <c r="O29" s="48">
        <f t="shared" si="11"/>
        <v>15000</v>
      </c>
      <c r="Q29" s="72">
        <v>142000</v>
      </c>
      <c r="R29" s="72">
        <v>150000</v>
      </c>
      <c r="S29" s="72">
        <v>203000</v>
      </c>
      <c r="T29" s="68">
        <f t="shared" si="12"/>
        <v>1.3533333333333333</v>
      </c>
      <c r="U29" s="46">
        <f t="shared" si="13"/>
        <v>53000</v>
      </c>
      <c r="W29" s="48">
        <v>142000</v>
      </c>
      <c r="X29" s="49">
        <f t="shared" si="0"/>
        <v>0.12345679012345678</v>
      </c>
      <c r="Y29" s="48">
        <v>150000</v>
      </c>
      <c r="Z29" s="49">
        <f t="shared" si="1"/>
        <v>0.11764705882352944</v>
      </c>
      <c r="AA29" s="48">
        <v>203000</v>
      </c>
      <c r="AB29" s="49">
        <f t="shared" si="2"/>
        <v>0.128755364806867</v>
      </c>
      <c r="AC29" s="48">
        <v>54000</v>
      </c>
      <c r="AD29" s="63">
        <f t="shared" si="3"/>
        <v>0.46534653465346532</v>
      </c>
      <c r="AE29" s="48">
        <f t="shared" si="14"/>
        <v>44000</v>
      </c>
      <c r="AF29" s="49">
        <f t="shared" si="4"/>
        <v>0.61739130434782608</v>
      </c>
      <c r="AG29" s="95">
        <v>0</v>
      </c>
      <c r="AH29" s="92">
        <f t="shared" si="5"/>
        <v>1</v>
      </c>
      <c r="AI29" s="95">
        <f t="shared" si="15"/>
        <v>12000</v>
      </c>
      <c r="AJ29" s="92">
        <f t="shared" si="16"/>
        <v>0.55555555555555558</v>
      </c>
      <c r="AK29" s="45">
        <v>0</v>
      </c>
      <c r="AL29" s="47">
        <f t="shared" si="17"/>
        <v>1</v>
      </c>
      <c r="AM29" s="45">
        <f t="shared" si="18"/>
        <v>12000</v>
      </c>
      <c r="AN29" s="47">
        <f t="shared" si="6"/>
        <v>0.19999999999999996</v>
      </c>
      <c r="AP29" s="113">
        <f t="shared" si="19"/>
        <v>240000</v>
      </c>
      <c r="AQ29" s="114">
        <f t="shared" si="20"/>
        <v>248000</v>
      </c>
      <c r="AR29" s="115">
        <f t="shared" si="21"/>
        <v>301000</v>
      </c>
      <c r="AS29" s="77">
        <f t="shared" si="22"/>
        <v>33110</v>
      </c>
      <c r="AT29" s="78">
        <f t="shared" si="23"/>
        <v>267890</v>
      </c>
      <c r="AU29" s="77">
        <f t="shared" si="7"/>
        <v>39130</v>
      </c>
      <c r="AV29" s="78">
        <f t="shared" si="8"/>
        <v>261870</v>
      </c>
      <c r="AY29" s="100">
        <f t="shared" si="24"/>
        <v>210000</v>
      </c>
      <c r="AZ29" s="101">
        <f t="shared" si="25"/>
        <v>218000</v>
      </c>
      <c r="BA29" s="102">
        <f t="shared" si="26"/>
        <v>271000</v>
      </c>
      <c r="BB29" s="77">
        <f t="shared" si="27"/>
        <v>29810</v>
      </c>
      <c r="BC29" s="78">
        <f t="shared" si="28"/>
        <v>241190</v>
      </c>
      <c r="BD29" s="77">
        <f t="shared" si="9"/>
        <v>35230</v>
      </c>
      <c r="BE29" s="78">
        <f t="shared" si="10"/>
        <v>235770</v>
      </c>
    </row>
    <row r="30" spans="2:57" s="42" customFormat="1" ht="15" customHeight="1">
      <c r="B30" s="250"/>
      <c r="C30" s="262"/>
      <c r="D30" s="266"/>
      <c r="E30" s="253"/>
      <c r="F30" s="250"/>
      <c r="G30" s="251"/>
      <c r="H30" s="55" t="s">
        <v>157</v>
      </c>
      <c r="I30" s="51">
        <v>162000</v>
      </c>
      <c r="J30" s="51">
        <v>170000</v>
      </c>
      <c r="K30" s="51">
        <v>233000</v>
      </c>
      <c r="L30" s="51">
        <v>101000</v>
      </c>
      <c r="M30" s="51">
        <v>115000</v>
      </c>
      <c r="N30" s="51">
        <v>27000</v>
      </c>
      <c r="O30" s="51">
        <f t="shared" si="11"/>
        <v>15000</v>
      </c>
      <c r="Q30" s="52">
        <v>162000</v>
      </c>
      <c r="R30" s="52">
        <v>170000</v>
      </c>
      <c r="S30" s="52">
        <v>223000</v>
      </c>
      <c r="T30" s="69">
        <f t="shared" si="12"/>
        <v>1.3117647058823529</v>
      </c>
      <c r="U30" s="52">
        <f t="shared" si="13"/>
        <v>53000</v>
      </c>
      <c r="W30" s="56">
        <v>162000</v>
      </c>
      <c r="X30" s="54">
        <f t="shared" si="0"/>
        <v>0</v>
      </c>
      <c r="Y30" s="56">
        <v>170000</v>
      </c>
      <c r="Z30" s="54">
        <f t="shared" si="1"/>
        <v>0</v>
      </c>
      <c r="AA30" s="56">
        <v>223000</v>
      </c>
      <c r="AB30" s="53">
        <f t="shared" si="2"/>
        <v>4.2918454935622297E-2</v>
      </c>
      <c r="AC30" s="51">
        <v>54000</v>
      </c>
      <c r="AD30" s="54">
        <f t="shared" si="3"/>
        <v>0.46534653465346532</v>
      </c>
      <c r="AE30" s="51">
        <f t="shared" si="14"/>
        <v>44000</v>
      </c>
      <c r="AF30" s="54">
        <f t="shared" si="4"/>
        <v>0.61739130434782608</v>
      </c>
      <c r="AG30" s="94">
        <v>0</v>
      </c>
      <c r="AH30" s="91">
        <f t="shared" si="5"/>
        <v>1</v>
      </c>
      <c r="AI30" s="94">
        <f t="shared" si="15"/>
        <v>12000</v>
      </c>
      <c r="AJ30" s="91">
        <f t="shared" si="16"/>
        <v>0.55555555555555558</v>
      </c>
      <c r="AK30" s="45">
        <v>0</v>
      </c>
      <c r="AL30" s="47">
        <f t="shared" si="17"/>
        <v>1</v>
      </c>
      <c r="AM30" s="45">
        <f t="shared" si="18"/>
        <v>12000</v>
      </c>
      <c r="AN30" s="47">
        <f t="shared" si="6"/>
        <v>0.19999999999999996</v>
      </c>
      <c r="AP30" s="110">
        <f t="shared" si="19"/>
        <v>260000</v>
      </c>
      <c r="AQ30" s="111">
        <f t="shared" si="20"/>
        <v>268000</v>
      </c>
      <c r="AR30" s="112">
        <f t="shared" si="21"/>
        <v>321000</v>
      </c>
      <c r="AS30" s="77">
        <f t="shared" si="22"/>
        <v>35310</v>
      </c>
      <c r="AT30" s="78">
        <f t="shared" si="23"/>
        <v>285690</v>
      </c>
      <c r="AU30" s="77">
        <f t="shared" si="7"/>
        <v>41730</v>
      </c>
      <c r="AV30" s="78">
        <f t="shared" si="8"/>
        <v>279270</v>
      </c>
      <c r="AY30" s="103">
        <f t="shared" si="24"/>
        <v>230000</v>
      </c>
      <c r="AZ30" s="98">
        <f t="shared" si="25"/>
        <v>238000</v>
      </c>
      <c r="BA30" s="99">
        <f t="shared" si="26"/>
        <v>291000</v>
      </c>
      <c r="BB30" s="77">
        <f t="shared" si="27"/>
        <v>32010</v>
      </c>
      <c r="BC30" s="78">
        <f t="shared" si="28"/>
        <v>258990</v>
      </c>
      <c r="BD30" s="77">
        <f t="shared" si="9"/>
        <v>37830</v>
      </c>
      <c r="BE30" s="78">
        <f t="shared" si="10"/>
        <v>253170</v>
      </c>
    </row>
    <row r="31" spans="2:57" s="42" customFormat="1" ht="15" customHeight="1">
      <c r="B31" s="250"/>
      <c r="C31" s="262"/>
      <c r="D31" s="266"/>
      <c r="E31" s="253"/>
      <c r="F31" s="250"/>
      <c r="G31" s="251"/>
      <c r="H31" s="50" t="s">
        <v>149</v>
      </c>
      <c r="I31" s="51">
        <v>196000</v>
      </c>
      <c r="J31" s="51">
        <v>203000</v>
      </c>
      <c r="K31" s="51">
        <v>289000</v>
      </c>
      <c r="L31" s="51">
        <v>101000</v>
      </c>
      <c r="M31" s="51">
        <v>115000</v>
      </c>
      <c r="N31" s="51">
        <v>27000</v>
      </c>
      <c r="O31" s="51">
        <f t="shared" si="11"/>
        <v>15000</v>
      </c>
      <c r="Q31" s="52">
        <v>176000</v>
      </c>
      <c r="R31" s="52">
        <v>183000</v>
      </c>
      <c r="S31" s="52">
        <v>249000</v>
      </c>
      <c r="T31" s="69">
        <f t="shared" si="12"/>
        <v>1.360655737704918</v>
      </c>
      <c r="U31" s="52">
        <f t="shared" si="13"/>
        <v>66000</v>
      </c>
      <c r="W31" s="56">
        <v>176000</v>
      </c>
      <c r="X31" s="54">
        <f t="shared" si="0"/>
        <v>0.10204081632653061</v>
      </c>
      <c r="Y31" s="56">
        <v>183000</v>
      </c>
      <c r="Z31" s="54">
        <f t="shared" si="1"/>
        <v>9.852216748768472E-2</v>
      </c>
      <c r="AA31" s="56">
        <v>249000</v>
      </c>
      <c r="AB31" s="53">
        <f t="shared" si="2"/>
        <v>0.13840830449826991</v>
      </c>
      <c r="AC31" s="51">
        <v>54000</v>
      </c>
      <c r="AD31" s="54">
        <f t="shared" si="3"/>
        <v>0.46534653465346532</v>
      </c>
      <c r="AE31" s="51">
        <f t="shared" si="14"/>
        <v>44000</v>
      </c>
      <c r="AF31" s="54">
        <f t="shared" si="4"/>
        <v>0.61739130434782608</v>
      </c>
      <c r="AG31" s="94">
        <v>0</v>
      </c>
      <c r="AH31" s="91">
        <f t="shared" si="5"/>
        <v>1</v>
      </c>
      <c r="AI31" s="94">
        <f t="shared" si="15"/>
        <v>12000</v>
      </c>
      <c r="AJ31" s="91">
        <f t="shared" si="16"/>
        <v>0.55555555555555558</v>
      </c>
      <c r="AK31" s="45">
        <v>0</v>
      </c>
      <c r="AL31" s="47">
        <f t="shared" si="17"/>
        <v>1</v>
      </c>
      <c r="AM31" s="45">
        <f t="shared" si="18"/>
        <v>12000</v>
      </c>
      <c r="AN31" s="47">
        <f t="shared" si="6"/>
        <v>0.19999999999999996</v>
      </c>
      <c r="AP31" s="110">
        <f t="shared" si="19"/>
        <v>274000</v>
      </c>
      <c r="AQ31" s="111">
        <f t="shared" si="20"/>
        <v>281000</v>
      </c>
      <c r="AR31" s="112">
        <f t="shared" si="21"/>
        <v>347000</v>
      </c>
      <c r="AS31" s="77">
        <f t="shared" si="22"/>
        <v>38170</v>
      </c>
      <c r="AT31" s="78">
        <f t="shared" si="23"/>
        <v>308830</v>
      </c>
      <c r="AU31" s="77">
        <f t="shared" si="7"/>
        <v>45110</v>
      </c>
      <c r="AV31" s="78">
        <f t="shared" si="8"/>
        <v>301890</v>
      </c>
      <c r="AY31" s="103">
        <f t="shared" si="24"/>
        <v>244000</v>
      </c>
      <c r="AZ31" s="98">
        <f t="shared" si="25"/>
        <v>251000</v>
      </c>
      <c r="BA31" s="99">
        <f t="shared" si="26"/>
        <v>317000</v>
      </c>
      <c r="BB31" s="77">
        <f t="shared" si="27"/>
        <v>34870</v>
      </c>
      <c r="BC31" s="78">
        <f t="shared" si="28"/>
        <v>282130</v>
      </c>
      <c r="BD31" s="77">
        <f t="shared" si="9"/>
        <v>41210</v>
      </c>
      <c r="BE31" s="78">
        <f t="shared" si="10"/>
        <v>275790</v>
      </c>
    </row>
    <row r="32" spans="2:57" s="42" customFormat="1" ht="15" customHeight="1">
      <c r="B32" s="250"/>
      <c r="C32" s="262"/>
      <c r="D32" s="266"/>
      <c r="E32" s="253"/>
      <c r="F32" s="250"/>
      <c r="G32" s="251"/>
      <c r="H32" s="90" t="s">
        <v>150</v>
      </c>
      <c r="I32" s="51">
        <v>196000</v>
      </c>
      <c r="J32" s="51">
        <v>203000</v>
      </c>
      <c r="K32" s="51">
        <v>289000</v>
      </c>
      <c r="L32" s="51">
        <v>101000</v>
      </c>
      <c r="M32" s="51">
        <v>115000</v>
      </c>
      <c r="N32" s="51">
        <v>27000</v>
      </c>
      <c r="O32" s="51">
        <f t="shared" si="11"/>
        <v>15000</v>
      </c>
      <c r="Q32" s="52">
        <v>196000</v>
      </c>
      <c r="R32" s="52">
        <v>203000</v>
      </c>
      <c r="S32" s="52">
        <v>289000</v>
      </c>
      <c r="T32" s="69">
        <f t="shared" si="12"/>
        <v>1.4236453201970443</v>
      </c>
      <c r="U32" s="52">
        <f t="shared" si="13"/>
        <v>86000</v>
      </c>
      <c r="W32" s="56">
        <v>196000</v>
      </c>
      <c r="X32" s="54">
        <f t="shared" si="0"/>
        <v>0</v>
      </c>
      <c r="Y32" s="56">
        <v>203000</v>
      </c>
      <c r="Z32" s="54">
        <f t="shared" si="1"/>
        <v>0</v>
      </c>
      <c r="AA32" s="56">
        <v>289000</v>
      </c>
      <c r="AB32" s="53">
        <f t="shared" si="2"/>
        <v>0</v>
      </c>
      <c r="AC32" s="51">
        <v>54000</v>
      </c>
      <c r="AD32" s="54">
        <f t="shared" si="3"/>
        <v>0.46534653465346532</v>
      </c>
      <c r="AE32" s="51">
        <f t="shared" si="14"/>
        <v>44000</v>
      </c>
      <c r="AF32" s="54">
        <f t="shared" si="4"/>
        <v>0.61739130434782608</v>
      </c>
      <c r="AG32" s="94">
        <v>0</v>
      </c>
      <c r="AH32" s="91">
        <f t="shared" si="5"/>
        <v>1</v>
      </c>
      <c r="AI32" s="94">
        <f t="shared" si="15"/>
        <v>12000</v>
      </c>
      <c r="AJ32" s="91">
        <f t="shared" si="16"/>
        <v>0.55555555555555558</v>
      </c>
      <c r="AK32" s="45">
        <v>0</v>
      </c>
      <c r="AL32" s="47">
        <f t="shared" si="17"/>
        <v>1</v>
      </c>
      <c r="AM32" s="45">
        <f t="shared" si="18"/>
        <v>12000</v>
      </c>
      <c r="AN32" s="47">
        <f t="shared" si="6"/>
        <v>0.19999999999999996</v>
      </c>
      <c r="AP32" s="110">
        <f t="shared" si="19"/>
        <v>294000</v>
      </c>
      <c r="AQ32" s="111">
        <f t="shared" si="20"/>
        <v>301000</v>
      </c>
      <c r="AR32" s="112">
        <f t="shared" si="21"/>
        <v>387000</v>
      </c>
      <c r="AS32" s="77">
        <f t="shared" si="22"/>
        <v>42570</v>
      </c>
      <c r="AT32" s="78">
        <f t="shared" si="23"/>
        <v>344430</v>
      </c>
      <c r="AU32" s="77">
        <f t="shared" si="7"/>
        <v>50310</v>
      </c>
      <c r="AV32" s="78">
        <f t="shared" si="8"/>
        <v>336690</v>
      </c>
      <c r="AY32" s="103">
        <f t="shared" si="24"/>
        <v>264000</v>
      </c>
      <c r="AZ32" s="98">
        <f t="shared" si="25"/>
        <v>271000</v>
      </c>
      <c r="BA32" s="99">
        <f t="shared" si="26"/>
        <v>357000</v>
      </c>
      <c r="BB32" s="77">
        <f t="shared" si="27"/>
        <v>39270</v>
      </c>
      <c r="BC32" s="78">
        <f t="shared" si="28"/>
        <v>317730</v>
      </c>
      <c r="BD32" s="77">
        <f t="shared" si="9"/>
        <v>46410</v>
      </c>
      <c r="BE32" s="78">
        <f t="shared" si="10"/>
        <v>310590</v>
      </c>
    </row>
    <row r="33" spans="2:57" s="42" customFormat="1" ht="15" customHeight="1">
      <c r="B33" s="250"/>
      <c r="C33" s="262"/>
      <c r="D33" s="266"/>
      <c r="E33" s="253"/>
      <c r="F33" s="250"/>
      <c r="G33" s="251"/>
      <c r="H33" s="90" t="s">
        <v>146</v>
      </c>
      <c r="I33" s="56">
        <v>216000</v>
      </c>
      <c r="J33" s="56">
        <v>223000</v>
      </c>
      <c r="K33" s="56">
        <v>334000</v>
      </c>
      <c r="L33" s="56">
        <v>101000</v>
      </c>
      <c r="M33" s="56">
        <v>115000</v>
      </c>
      <c r="N33" s="56">
        <v>27000</v>
      </c>
      <c r="O33" s="51">
        <f t="shared" si="11"/>
        <v>15000</v>
      </c>
      <c r="Q33" s="52">
        <v>216000</v>
      </c>
      <c r="R33" s="52">
        <v>223000</v>
      </c>
      <c r="S33" s="52">
        <v>334000</v>
      </c>
      <c r="T33" s="69">
        <f t="shared" si="12"/>
        <v>1.4977578475336324</v>
      </c>
      <c r="U33" s="52">
        <f t="shared" si="13"/>
        <v>111000</v>
      </c>
      <c r="W33" s="56">
        <v>216000</v>
      </c>
      <c r="X33" s="54">
        <f t="shared" si="0"/>
        <v>0</v>
      </c>
      <c r="Y33" s="56">
        <v>223000</v>
      </c>
      <c r="Z33" s="54">
        <f t="shared" si="1"/>
        <v>0</v>
      </c>
      <c r="AA33" s="56">
        <v>334000</v>
      </c>
      <c r="AB33" s="53">
        <f t="shared" si="2"/>
        <v>0</v>
      </c>
      <c r="AC33" s="56">
        <v>54000</v>
      </c>
      <c r="AD33" s="54">
        <f t="shared" si="3"/>
        <v>0.46534653465346532</v>
      </c>
      <c r="AE33" s="56">
        <f t="shared" si="14"/>
        <v>44000</v>
      </c>
      <c r="AF33" s="54">
        <f t="shared" si="4"/>
        <v>0.61739130434782608</v>
      </c>
      <c r="AG33" s="94">
        <v>0</v>
      </c>
      <c r="AH33" s="91">
        <f t="shared" si="5"/>
        <v>1</v>
      </c>
      <c r="AI33" s="94">
        <f t="shared" si="15"/>
        <v>12000</v>
      </c>
      <c r="AJ33" s="91">
        <f t="shared" si="16"/>
        <v>0.55555555555555558</v>
      </c>
      <c r="AK33" s="45">
        <v>0</v>
      </c>
      <c r="AL33" s="47">
        <f t="shared" si="17"/>
        <v>1</v>
      </c>
      <c r="AM33" s="45">
        <f t="shared" si="18"/>
        <v>12000</v>
      </c>
      <c r="AN33" s="47">
        <f t="shared" si="6"/>
        <v>0.19999999999999996</v>
      </c>
      <c r="AP33" s="110">
        <f t="shared" si="19"/>
        <v>314000</v>
      </c>
      <c r="AQ33" s="111">
        <f t="shared" si="20"/>
        <v>321000</v>
      </c>
      <c r="AR33" s="112">
        <f t="shared" si="21"/>
        <v>432000</v>
      </c>
      <c r="AS33" s="77">
        <f t="shared" si="22"/>
        <v>47520</v>
      </c>
      <c r="AT33" s="78">
        <f t="shared" si="23"/>
        <v>384480</v>
      </c>
      <c r="AU33" s="77">
        <f t="shared" si="7"/>
        <v>56160</v>
      </c>
      <c r="AV33" s="78">
        <f t="shared" si="8"/>
        <v>375840</v>
      </c>
      <c r="AY33" s="103">
        <f t="shared" si="24"/>
        <v>284000</v>
      </c>
      <c r="AZ33" s="98">
        <f t="shared" si="25"/>
        <v>291000</v>
      </c>
      <c r="BA33" s="99">
        <f t="shared" si="26"/>
        <v>402000</v>
      </c>
      <c r="BB33" s="77">
        <f t="shared" si="27"/>
        <v>44220</v>
      </c>
      <c r="BC33" s="78">
        <f t="shared" si="28"/>
        <v>357780</v>
      </c>
      <c r="BD33" s="77">
        <f t="shared" si="9"/>
        <v>52260</v>
      </c>
      <c r="BE33" s="78">
        <f t="shared" si="10"/>
        <v>349740</v>
      </c>
    </row>
    <row r="34" spans="2:57" s="42" customFormat="1" ht="15" customHeight="1">
      <c r="B34" s="250"/>
      <c r="C34" s="262"/>
      <c r="D34" s="266"/>
      <c r="E34" s="253"/>
      <c r="F34" s="248" t="s">
        <v>82</v>
      </c>
      <c r="G34" s="249"/>
      <c r="H34" s="59" t="s">
        <v>156</v>
      </c>
      <c r="I34" s="48">
        <v>173000</v>
      </c>
      <c r="J34" s="48">
        <v>181000</v>
      </c>
      <c r="K34" s="48">
        <v>244000</v>
      </c>
      <c r="L34" s="48">
        <v>101000</v>
      </c>
      <c r="M34" s="48">
        <v>115000</v>
      </c>
      <c r="N34" s="48">
        <v>27000</v>
      </c>
      <c r="O34" s="48">
        <f t="shared" si="11"/>
        <v>15000</v>
      </c>
      <c r="Q34" s="72">
        <v>153000</v>
      </c>
      <c r="R34" s="72">
        <v>161000</v>
      </c>
      <c r="S34" s="72">
        <v>214000</v>
      </c>
      <c r="T34" s="68">
        <f t="shared" si="12"/>
        <v>1.329192546583851</v>
      </c>
      <c r="U34" s="46">
        <f t="shared" si="13"/>
        <v>53000</v>
      </c>
      <c r="W34" s="48">
        <v>153000</v>
      </c>
      <c r="X34" s="49">
        <f t="shared" si="0"/>
        <v>0.11560693641618502</v>
      </c>
      <c r="Y34" s="48">
        <v>161000</v>
      </c>
      <c r="Z34" s="49">
        <f t="shared" si="1"/>
        <v>0.11049723756906082</v>
      </c>
      <c r="AA34" s="48">
        <v>214000</v>
      </c>
      <c r="AB34" s="49">
        <f t="shared" si="2"/>
        <v>0.12295081967213117</v>
      </c>
      <c r="AC34" s="48">
        <v>54000</v>
      </c>
      <c r="AD34" s="63">
        <f t="shared" si="3"/>
        <v>0.46534653465346532</v>
      </c>
      <c r="AE34" s="48">
        <f t="shared" si="14"/>
        <v>44000</v>
      </c>
      <c r="AF34" s="49">
        <f t="shared" si="4"/>
        <v>0.61739130434782608</v>
      </c>
      <c r="AG34" s="95">
        <v>0</v>
      </c>
      <c r="AH34" s="92">
        <f t="shared" si="5"/>
        <v>1</v>
      </c>
      <c r="AI34" s="95">
        <f t="shared" si="15"/>
        <v>12000</v>
      </c>
      <c r="AJ34" s="92">
        <f t="shared" si="16"/>
        <v>0.55555555555555558</v>
      </c>
      <c r="AK34" s="45">
        <v>0</v>
      </c>
      <c r="AL34" s="47">
        <f t="shared" si="17"/>
        <v>1</v>
      </c>
      <c r="AM34" s="45">
        <f t="shared" si="18"/>
        <v>12000</v>
      </c>
      <c r="AN34" s="47">
        <f t="shared" si="6"/>
        <v>0.19999999999999996</v>
      </c>
      <c r="AP34" s="113">
        <f t="shared" si="19"/>
        <v>251000</v>
      </c>
      <c r="AQ34" s="114">
        <f t="shared" si="20"/>
        <v>259000</v>
      </c>
      <c r="AR34" s="115">
        <f t="shared" si="21"/>
        <v>312000</v>
      </c>
      <c r="AS34" s="77">
        <f t="shared" si="22"/>
        <v>34320</v>
      </c>
      <c r="AT34" s="78">
        <f t="shared" si="23"/>
        <v>277680</v>
      </c>
      <c r="AU34" s="77">
        <f t="shared" si="7"/>
        <v>40560</v>
      </c>
      <c r="AV34" s="78">
        <f t="shared" si="8"/>
        <v>271440</v>
      </c>
      <c r="AY34" s="100">
        <f t="shared" si="24"/>
        <v>221000</v>
      </c>
      <c r="AZ34" s="101">
        <f t="shared" si="25"/>
        <v>229000</v>
      </c>
      <c r="BA34" s="102">
        <f t="shared" si="26"/>
        <v>282000</v>
      </c>
      <c r="BB34" s="77">
        <f t="shared" si="27"/>
        <v>31020</v>
      </c>
      <c r="BC34" s="78">
        <f t="shared" si="28"/>
        <v>250980</v>
      </c>
      <c r="BD34" s="77">
        <f t="shared" si="9"/>
        <v>36660</v>
      </c>
      <c r="BE34" s="78">
        <f t="shared" si="10"/>
        <v>245340</v>
      </c>
    </row>
    <row r="35" spans="2:57" s="42" customFormat="1" ht="15" customHeight="1">
      <c r="B35" s="250"/>
      <c r="C35" s="262"/>
      <c r="D35" s="266"/>
      <c r="E35" s="253"/>
      <c r="F35" s="250"/>
      <c r="G35" s="251"/>
      <c r="H35" s="55" t="s">
        <v>157</v>
      </c>
      <c r="I35" s="51">
        <v>173000</v>
      </c>
      <c r="J35" s="51">
        <v>181000</v>
      </c>
      <c r="K35" s="51">
        <v>244000</v>
      </c>
      <c r="L35" s="51">
        <v>101000</v>
      </c>
      <c r="M35" s="51">
        <v>115000</v>
      </c>
      <c r="N35" s="51">
        <v>27000</v>
      </c>
      <c r="O35" s="51">
        <f t="shared" si="11"/>
        <v>15000</v>
      </c>
      <c r="Q35" s="52">
        <v>173000</v>
      </c>
      <c r="R35" s="52">
        <v>181000</v>
      </c>
      <c r="S35" s="52">
        <v>234000</v>
      </c>
      <c r="T35" s="69">
        <f t="shared" si="12"/>
        <v>1.2928176795580111</v>
      </c>
      <c r="U35" s="52">
        <f t="shared" si="13"/>
        <v>53000</v>
      </c>
      <c r="W35" s="56">
        <v>173000</v>
      </c>
      <c r="X35" s="54">
        <f t="shared" si="0"/>
        <v>0</v>
      </c>
      <c r="Y35" s="56">
        <v>181000</v>
      </c>
      <c r="Z35" s="54">
        <f t="shared" si="1"/>
        <v>0</v>
      </c>
      <c r="AA35" s="56">
        <v>234000</v>
      </c>
      <c r="AB35" s="54">
        <f t="shared" si="2"/>
        <v>4.0983606557377095E-2</v>
      </c>
      <c r="AC35" s="51">
        <v>54000</v>
      </c>
      <c r="AD35" s="54">
        <f t="shared" si="3"/>
        <v>0.46534653465346532</v>
      </c>
      <c r="AE35" s="51">
        <f t="shared" si="14"/>
        <v>44000</v>
      </c>
      <c r="AF35" s="54">
        <f t="shared" si="4"/>
        <v>0.61739130434782608</v>
      </c>
      <c r="AG35" s="94">
        <v>0</v>
      </c>
      <c r="AH35" s="91">
        <f t="shared" si="5"/>
        <v>1</v>
      </c>
      <c r="AI35" s="94">
        <f t="shared" si="15"/>
        <v>12000</v>
      </c>
      <c r="AJ35" s="91">
        <f t="shared" si="16"/>
        <v>0.55555555555555558</v>
      </c>
      <c r="AK35" s="45">
        <v>0</v>
      </c>
      <c r="AL35" s="47">
        <f t="shared" si="17"/>
        <v>1</v>
      </c>
      <c r="AM35" s="45">
        <f t="shared" si="18"/>
        <v>12000</v>
      </c>
      <c r="AN35" s="47">
        <f t="shared" si="6"/>
        <v>0.19999999999999996</v>
      </c>
      <c r="AP35" s="110">
        <f t="shared" si="19"/>
        <v>271000</v>
      </c>
      <c r="AQ35" s="111">
        <f t="shared" si="20"/>
        <v>279000</v>
      </c>
      <c r="AR35" s="112">
        <f t="shared" si="21"/>
        <v>332000</v>
      </c>
      <c r="AS35" s="77">
        <f t="shared" si="22"/>
        <v>36520</v>
      </c>
      <c r="AT35" s="78">
        <f t="shared" si="23"/>
        <v>295480</v>
      </c>
      <c r="AU35" s="77">
        <f t="shared" si="7"/>
        <v>43160</v>
      </c>
      <c r="AV35" s="78">
        <f t="shared" si="8"/>
        <v>288840</v>
      </c>
      <c r="AY35" s="103">
        <f t="shared" si="24"/>
        <v>241000</v>
      </c>
      <c r="AZ35" s="98">
        <f t="shared" si="25"/>
        <v>249000</v>
      </c>
      <c r="BA35" s="99">
        <f t="shared" si="26"/>
        <v>302000</v>
      </c>
      <c r="BB35" s="77">
        <f t="shared" si="27"/>
        <v>33220</v>
      </c>
      <c r="BC35" s="78">
        <f t="shared" si="28"/>
        <v>268780</v>
      </c>
      <c r="BD35" s="77">
        <f t="shared" si="9"/>
        <v>39260</v>
      </c>
      <c r="BE35" s="78">
        <f t="shared" si="10"/>
        <v>262740</v>
      </c>
    </row>
    <row r="36" spans="2:57" s="42" customFormat="1" ht="15" customHeight="1">
      <c r="B36" s="250"/>
      <c r="C36" s="262"/>
      <c r="D36" s="266"/>
      <c r="E36" s="253"/>
      <c r="F36" s="250"/>
      <c r="G36" s="251"/>
      <c r="H36" s="50" t="s">
        <v>149</v>
      </c>
      <c r="I36" s="51">
        <v>207000</v>
      </c>
      <c r="J36" s="51">
        <v>214000</v>
      </c>
      <c r="K36" s="51">
        <v>300000</v>
      </c>
      <c r="L36" s="51">
        <v>101000</v>
      </c>
      <c r="M36" s="51">
        <v>115000</v>
      </c>
      <c r="N36" s="51">
        <v>27000</v>
      </c>
      <c r="O36" s="51">
        <f t="shared" si="11"/>
        <v>15000</v>
      </c>
      <c r="Q36" s="52">
        <v>187000</v>
      </c>
      <c r="R36" s="52">
        <v>194000</v>
      </c>
      <c r="S36" s="52">
        <v>260000</v>
      </c>
      <c r="T36" s="69">
        <f t="shared" si="12"/>
        <v>1.3402061855670102</v>
      </c>
      <c r="U36" s="52">
        <f t="shared" si="13"/>
        <v>66000</v>
      </c>
      <c r="W36" s="56">
        <v>187000</v>
      </c>
      <c r="X36" s="54">
        <f t="shared" si="0"/>
        <v>9.661835748792269E-2</v>
      </c>
      <c r="Y36" s="56">
        <v>194000</v>
      </c>
      <c r="Z36" s="54">
        <f t="shared" si="1"/>
        <v>9.3457943925233655E-2</v>
      </c>
      <c r="AA36" s="56">
        <v>260000</v>
      </c>
      <c r="AB36" s="54">
        <f t="shared" si="2"/>
        <v>0.1333333333333333</v>
      </c>
      <c r="AC36" s="51">
        <v>54000</v>
      </c>
      <c r="AD36" s="54">
        <f t="shared" si="3"/>
        <v>0.46534653465346532</v>
      </c>
      <c r="AE36" s="51">
        <f t="shared" si="14"/>
        <v>44000</v>
      </c>
      <c r="AF36" s="54">
        <f t="shared" si="4"/>
        <v>0.61739130434782608</v>
      </c>
      <c r="AG36" s="94">
        <v>0</v>
      </c>
      <c r="AH36" s="91">
        <f t="shared" si="5"/>
        <v>1</v>
      </c>
      <c r="AI36" s="94">
        <f t="shared" si="15"/>
        <v>12000</v>
      </c>
      <c r="AJ36" s="91">
        <f t="shared" si="16"/>
        <v>0.55555555555555558</v>
      </c>
      <c r="AK36" s="45">
        <v>0</v>
      </c>
      <c r="AL36" s="47">
        <f t="shared" si="17"/>
        <v>1</v>
      </c>
      <c r="AM36" s="45">
        <f t="shared" si="18"/>
        <v>12000</v>
      </c>
      <c r="AN36" s="47">
        <f t="shared" si="6"/>
        <v>0.19999999999999996</v>
      </c>
      <c r="AP36" s="110">
        <f t="shared" si="19"/>
        <v>285000</v>
      </c>
      <c r="AQ36" s="111">
        <f t="shared" si="20"/>
        <v>292000</v>
      </c>
      <c r="AR36" s="112">
        <f t="shared" si="21"/>
        <v>358000</v>
      </c>
      <c r="AS36" s="77">
        <f t="shared" si="22"/>
        <v>39380</v>
      </c>
      <c r="AT36" s="78">
        <f t="shared" si="23"/>
        <v>318620</v>
      </c>
      <c r="AU36" s="77">
        <f t="shared" si="7"/>
        <v>46540</v>
      </c>
      <c r="AV36" s="78">
        <f t="shared" si="8"/>
        <v>311460</v>
      </c>
      <c r="AY36" s="103">
        <f t="shared" si="24"/>
        <v>255000</v>
      </c>
      <c r="AZ36" s="98">
        <f t="shared" si="25"/>
        <v>262000</v>
      </c>
      <c r="BA36" s="99">
        <f t="shared" si="26"/>
        <v>328000</v>
      </c>
      <c r="BB36" s="77">
        <f t="shared" si="27"/>
        <v>36080</v>
      </c>
      <c r="BC36" s="78">
        <f t="shared" si="28"/>
        <v>291920</v>
      </c>
      <c r="BD36" s="77">
        <f t="shared" si="9"/>
        <v>42640</v>
      </c>
      <c r="BE36" s="78">
        <f t="shared" si="10"/>
        <v>285360</v>
      </c>
    </row>
    <row r="37" spans="2:57" s="42" customFormat="1" ht="15" customHeight="1">
      <c r="B37" s="250"/>
      <c r="C37" s="262"/>
      <c r="D37" s="266"/>
      <c r="E37" s="253"/>
      <c r="F37" s="250"/>
      <c r="G37" s="251"/>
      <c r="H37" s="90" t="s">
        <v>150</v>
      </c>
      <c r="I37" s="51">
        <v>207000</v>
      </c>
      <c r="J37" s="51">
        <v>214000</v>
      </c>
      <c r="K37" s="51">
        <v>300000</v>
      </c>
      <c r="L37" s="51">
        <v>101000</v>
      </c>
      <c r="M37" s="51">
        <v>115000</v>
      </c>
      <c r="N37" s="51">
        <v>27000</v>
      </c>
      <c r="O37" s="51">
        <f t="shared" si="11"/>
        <v>15000</v>
      </c>
      <c r="Q37" s="52">
        <v>207000</v>
      </c>
      <c r="R37" s="52">
        <v>214000</v>
      </c>
      <c r="S37" s="52">
        <v>300000</v>
      </c>
      <c r="T37" s="69">
        <f t="shared" si="12"/>
        <v>1.4018691588785046</v>
      </c>
      <c r="U37" s="52">
        <f t="shared" si="13"/>
        <v>86000</v>
      </c>
      <c r="W37" s="56">
        <v>207000</v>
      </c>
      <c r="X37" s="54">
        <f t="shared" si="0"/>
        <v>0</v>
      </c>
      <c r="Y37" s="56">
        <v>214000</v>
      </c>
      <c r="Z37" s="54">
        <f t="shared" si="1"/>
        <v>0</v>
      </c>
      <c r="AA37" s="56">
        <v>300000</v>
      </c>
      <c r="AB37" s="54">
        <f t="shared" si="2"/>
        <v>0</v>
      </c>
      <c r="AC37" s="51">
        <v>54000</v>
      </c>
      <c r="AD37" s="54">
        <f t="shared" si="3"/>
        <v>0.46534653465346532</v>
      </c>
      <c r="AE37" s="51">
        <f t="shared" si="14"/>
        <v>44000</v>
      </c>
      <c r="AF37" s="54">
        <f t="shared" si="4"/>
        <v>0.61739130434782608</v>
      </c>
      <c r="AG37" s="94">
        <v>0</v>
      </c>
      <c r="AH37" s="91">
        <f t="shared" si="5"/>
        <v>1</v>
      </c>
      <c r="AI37" s="94">
        <f t="shared" si="15"/>
        <v>12000</v>
      </c>
      <c r="AJ37" s="91">
        <f t="shared" si="16"/>
        <v>0.55555555555555558</v>
      </c>
      <c r="AK37" s="45">
        <v>0</v>
      </c>
      <c r="AL37" s="47">
        <f t="shared" si="17"/>
        <v>1</v>
      </c>
      <c r="AM37" s="45">
        <f t="shared" si="18"/>
        <v>12000</v>
      </c>
      <c r="AN37" s="47">
        <f t="shared" si="6"/>
        <v>0.19999999999999996</v>
      </c>
      <c r="AP37" s="110">
        <f t="shared" si="19"/>
        <v>305000</v>
      </c>
      <c r="AQ37" s="111">
        <f t="shared" si="20"/>
        <v>312000</v>
      </c>
      <c r="AR37" s="112">
        <f t="shared" si="21"/>
        <v>398000</v>
      </c>
      <c r="AS37" s="77">
        <f t="shared" si="22"/>
        <v>43780</v>
      </c>
      <c r="AT37" s="78">
        <f t="shared" si="23"/>
        <v>354220</v>
      </c>
      <c r="AU37" s="77">
        <f t="shared" si="7"/>
        <v>51740</v>
      </c>
      <c r="AV37" s="78">
        <f t="shared" si="8"/>
        <v>346260</v>
      </c>
      <c r="AY37" s="103">
        <f t="shared" si="24"/>
        <v>275000</v>
      </c>
      <c r="AZ37" s="98">
        <f t="shared" si="25"/>
        <v>282000</v>
      </c>
      <c r="BA37" s="99">
        <f t="shared" si="26"/>
        <v>368000</v>
      </c>
      <c r="BB37" s="77">
        <f t="shared" si="27"/>
        <v>40480</v>
      </c>
      <c r="BC37" s="78">
        <f t="shared" si="28"/>
        <v>327520</v>
      </c>
      <c r="BD37" s="77">
        <f t="shared" si="9"/>
        <v>47840</v>
      </c>
      <c r="BE37" s="78">
        <f t="shared" si="10"/>
        <v>320160</v>
      </c>
    </row>
    <row r="38" spans="2:57" s="42" customFormat="1" ht="15" customHeight="1">
      <c r="B38" s="250"/>
      <c r="C38" s="262"/>
      <c r="D38" s="266"/>
      <c r="E38" s="253"/>
      <c r="F38" s="250"/>
      <c r="G38" s="251"/>
      <c r="H38" s="90" t="s">
        <v>146</v>
      </c>
      <c r="I38" s="56">
        <v>227000</v>
      </c>
      <c r="J38" s="56">
        <v>234000</v>
      </c>
      <c r="K38" s="56">
        <v>345000</v>
      </c>
      <c r="L38" s="56">
        <v>101000</v>
      </c>
      <c r="M38" s="56">
        <v>115000</v>
      </c>
      <c r="N38" s="56">
        <v>27000</v>
      </c>
      <c r="O38" s="51">
        <f t="shared" si="11"/>
        <v>15000</v>
      </c>
      <c r="Q38" s="52">
        <v>227000</v>
      </c>
      <c r="R38" s="52">
        <v>234000</v>
      </c>
      <c r="S38" s="52">
        <v>345000</v>
      </c>
      <c r="T38" s="69">
        <f t="shared" si="12"/>
        <v>1.4743589743589745</v>
      </c>
      <c r="U38" s="52">
        <f t="shared" si="13"/>
        <v>111000</v>
      </c>
      <c r="W38" s="56">
        <v>227000</v>
      </c>
      <c r="X38" s="54">
        <f t="shared" si="0"/>
        <v>0</v>
      </c>
      <c r="Y38" s="56">
        <v>234000</v>
      </c>
      <c r="Z38" s="54">
        <f t="shared" si="1"/>
        <v>0</v>
      </c>
      <c r="AA38" s="56">
        <v>345000</v>
      </c>
      <c r="AB38" s="54">
        <f t="shared" si="2"/>
        <v>0</v>
      </c>
      <c r="AC38" s="56">
        <v>54000</v>
      </c>
      <c r="AD38" s="54">
        <f t="shared" si="3"/>
        <v>0.46534653465346532</v>
      </c>
      <c r="AE38" s="56">
        <f t="shared" si="14"/>
        <v>44000</v>
      </c>
      <c r="AF38" s="54">
        <f t="shared" si="4"/>
        <v>0.61739130434782608</v>
      </c>
      <c r="AG38" s="94">
        <v>0</v>
      </c>
      <c r="AH38" s="91">
        <f t="shared" si="5"/>
        <v>1</v>
      </c>
      <c r="AI38" s="94">
        <f t="shared" si="15"/>
        <v>12000</v>
      </c>
      <c r="AJ38" s="91">
        <f t="shared" si="16"/>
        <v>0.55555555555555558</v>
      </c>
      <c r="AK38" s="45">
        <v>0</v>
      </c>
      <c r="AL38" s="47">
        <f t="shared" si="17"/>
        <v>1</v>
      </c>
      <c r="AM38" s="45">
        <f t="shared" si="18"/>
        <v>12000</v>
      </c>
      <c r="AN38" s="47">
        <f t="shared" si="6"/>
        <v>0.19999999999999996</v>
      </c>
      <c r="AP38" s="110">
        <f t="shared" si="19"/>
        <v>325000</v>
      </c>
      <c r="AQ38" s="111">
        <f t="shared" si="20"/>
        <v>332000</v>
      </c>
      <c r="AR38" s="112">
        <f t="shared" si="21"/>
        <v>443000</v>
      </c>
      <c r="AS38" s="77">
        <f t="shared" si="22"/>
        <v>48730</v>
      </c>
      <c r="AT38" s="78">
        <f t="shared" si="23"/>
        <v>394270</v>
      </c>
      <c r="AU38" s="77">
        <f t="shared" si="7"/>
        <v>57590</v>
      </c>
      <c r="AV38" s="78">
        <f t="shared" si="8"/>
        <v>385410</v>
      </c>
      <c r="AY38" s="103">
        <f t="shared" si="24"/>
        <v>295000</v>
      </c>
      <c r="AZ38" s="98">
        <f t="shared" si="25"/>
        <v>302000</v>
      </c>
      <c r="BA38" s="99">
        <f t="shared" si="26"/>
        <v>413000</v>
      </c>
      <c r="BB38" s="77">
        <f t="shared" si="27"/>
        <v>45430</v>
      </c>
      <c r="BC38" s="78">
        <f t="shared" si="28"/>
        <v>367570</v>
      </c>
      <c r="BD38" s="77">
        <f t="shared" si="9"/>
        <v>53690</v>
      </c>
      <c r="BE38" s="78">
        <f t="shared" si="10"/>
        <v>359310</v>
      </c>
    </row>
    <row r="39" spans="2:57" s="42" customFormat="1" ht="15" customHeight="1">
      <c r="B39" s="250"/>
      <c r="C39" s="262"/>
      <c r="D39" s="266"/>
      <c r="E39" s="253"/>
      <c r="F39" s="248" t="s">
        <v>80</v>
      </c>
      <c r="G39" s="249"/>
      <c r="H39" s="59" t="s">
        <v>156</v>
      </c>
      <c r="I39" s="48">
        <v>184000</v>
      </c>
      <c r="J39" s="48">
        <v>192000</v>
      </c>
      <c r="K39" s="48">
        <v>255000</v>
      </c>
      <c r="L39" s="48">
        <v>101000</v>
      </c>
      <c r="M39" s="48">
        <v>115000</v>
      </c>
      <c r="N39" s="48">
        <v>27000</v>
      </c>
      <c r="O39" s="48">
        <f t="shared" si="11"/>
        <v>15000</v>
      </c>
      <c r="Q39" s="72">
        <v>164000</v>
      </c>
      <c r="R39" s="72">
        <v>172000</v>
      </c>
      <c r="S39" s="72">
        <v>225000</v>
      </c>
      <c r="T39" s="68">
        <f t="shared" si="12"/>
        <v>1.308139534883721</v>
      </c>
      <c r="U39" s="46">
        <f t="shared" si="13"/>
        <v>53000</v>
      </c>
      <c r="W39" s="48">
        <v>164000</v>
      </c>
      <c r="X39" s="49">
        <f t="shared" si="0"/>
        <v>0.10869565217391308</v>
      </c>
      <c r="Y39" s="48">
        <v>172000</v>
      </c>
      <c r="Z39" s="49">
        <f t="shared" si="1"/>
        <v>0.10416666666666663</v>
      </c>
      <c r="AA39" s="48">
        <v>225000</v>
      </c>
      <c r="AB39" s="49">
        <f t="shared" si="2"/>
        <v>0.11764705882352944</v>
      </c>
      <c r="AC39" s="48">
        <v>54000</v>
      </c>
      <c r="AD39" s="63">
        <f t="shared" si="3"/>
        <v>0.46534653465346532</v>
      </c>
      <c r="AE39" s="48">
        <f t="shared" si="14"/>
        <v>44000</v>
      </c>
      <c r="AF39" s="49">
        <f t="shared" si="4"/>
        <v>0.61739130434782608</v>
      </c>
      <c r="AG39" s="95">
        <v>0</v>
      </c>
      <c r="AH39" s="92">
        <f t="shared" si="5"/>
        <v>1</v>
      </c>
      <c r="AI39" s="95">
        <f t="shared" si="15"/>
        <v>12000</v>
      </c>
      <c r="AJ39" s="92">
        <f t="shared" si="16"/>
        <v>0.55555555555555558</v>
      </c>
      <c r="AK39" s="45">
        <v>0</v>
      </c>
      <c r="AL39" s="47">
        <f t="shared" si="17"/>
        <v>1</v>
      </c>
      <c r="AM39" s="45">
        <f t="shared" si="18"/>
        <v>12000</v>
      </c>
      <c r="AN39" s="47">
        <f t="shared" si="6"/>
        <v>0.19999999999999996</v>
      </c>
      <c r="AP39" s="113">
        <f t="shared" si="19"/>
        <v>262000</v>
      </c>
      <c r="AQ39" s="114">
        <f t="shared" si="20"/>
        <v>270000</v>
      </c>
      <c r="AR39" s="115">
        <f t="shared" si="21"/>
        <v>323000</v>
      </c>
      <c r="AS39" s="77">
        <f t="shared" si="22"/>
        <v>35530</v>
      </c>
      <c r="AT39" s="78">
        <f t="shared" si="23"/>
        <v>287470</v>
      </c>
      <c r="AU39" s="77">
        <f t="shared" si="7"/>
        <v>41990</v>
      </c>
      <c r="AV39" s="78">
        <f t="shared" si="8"/>
        <v>281010</v>
      </c>
      <c r="AY39" s="100">
        <f t="shared" si="24"/>
        <v>232000</v>
      </c>
      <c r="AZ39" s="101">
        <f t="shared" si="25"/>
        <v>240000</v>
      </c>
      <c r="BA39" s="102">
        <f t="shared" si="26"/>
        <v>293000</v>
      </c>
      <c r="BB39" s="77">
        <f t="shared" si="27"/>
        <v>32230</v>
      </c>
      <c r="BC39" s="78">
        <f t="shared" si="28"/>
        <v>260770</v>
      </c>
      <c r="BD39" s="77">
        <f t="shared" si="9"/>
        <v>38090</v>
      </c>
      <c r="BE39" s="78">
        <f t="shared" si="10"/>
        <v>254910</v>
      </c>
    </row>
    <row r="40" spans="2:57" s="42" customFormat="1" ht="15" customHeight="1">
      <c r="B40" s="250"/>
      <c r="C40" s="262"/>
      <c r="D40" s="266"/>
      <c r="E40" s="253"/>
      <c r="F40" s="250"/>
      <c r="G40" s="251"/>
      <c r="H40" s="55" t="s">
        <v>157</v>
      </c>
      <c r="I40" s="51">
        <v>184000</v>
      </c>
      <c r="J40" s="51">
        <v>192000</v>
      </c>
      <c r="K40" s="51">
        <v>255000</v>
      </c>
      <c r="L40" s="51">
        <v>101000</v>
      </c>
      <c r="M40" s="51">
        <v>115000</v>
      </c>
      <c r="N40" s="51">
        <v>27000</v>
      </c>
      <c r="O40" s="51">
        <f t="shared" si="11"/>
        <v>15000</v>
      </c>
      <c r="Q40" s="52">
        <v>184000</v>
      </c>
      <c r="R40" s="52">
        <v>192000</v>
      </c>
      <c r="S40" s="52">
        <v>245000</v>
      </c>
      <c r="T40" s="69">
        <f t="shared" si="12"/>
        <v>1.2760416666666667</v>
      </c>
      <c r="U40" s="52">
        <f t="shared" si="13"/>
        <v>53000</v>
      </c>
      <c r="W40" s="56">
        <v>184000</v>
      </c>
      <c r="X40" s="54">
        <f t="shared" si="0"/>
        <v>0</v>
      </c>
      <c r="Y40" s="56">
        <v>192000</v>
      </c>
      <c r="Z40" s="54">
        <f t="shared" si="1"/>
        <v>0</v>
      </c>
      <c r="AA40" s="56">
        <v>245000</v>
      </c>
      <c r="AB40" s="54">
        <f t="shared" si="2"/>
        <v>3.9215686274509776E-2</v>
      </c>
      <c r="AC40" s="51">
        <v>54000</v>
      </c>
      <c r="AD40" s="54">
        <f t="shared" si="3"/>
        <v>0.46534653465346532</v>
      </c>
      <c r="AE40" s="51">
        <f t="shared" si="14"/>
        <v>44000</v>
      </c>
      <c r="AF40" s="54">
        <f t="shared" si="4"/>
        <v>0.61739130434782608</v>
      </c>
      <c r="AG40" s="94">
        <v>0</v>
      </c>
      <c r="AH40" s="91">
        <f t="shared" si="5"/>
        <v>1</v>
      </c>
      <c r="AI40" s="94">
        <f t="shared" si="15"/>
        <v>12000</v>
      </c>
      <c r="AJ40" s="91">
        <f t="shared" si="16"/>
        <v>0.55555555555555558</v>
      </c>
      <c r="AK40" s="45">
        <v>0</v>
      </c>
      <c r="AL40" s="47">
        <f t="shared" si="17"/>
        <v>1</v>
      </c>
      <c r="AM40" s="45">
        <f t="shared" si="18"/>
        <v>12000</v>
      </c>
      <c r="AN40" s="47">
        <f t="shared" si="6"/>
        <v>0.19999999999999996</v>
      </c>
      <c r="AP40" s="110">
        <f t="shared" si="19"/>
        <v>282000</v>
      </c>
      <c r="AQ40" s="111">
        <f t="shared" si="20"/>
        <v>290000</v>
      </c>
      <c r="AR40" s="112">
        <f t="shared" si="21"/>
        <v>343000</v>
      </c>
      <c r="AS40" s="77">
        <f t="shared" si="22"/>
        <v>37730</v>
      </c>
      <c r="AT40" s="78">
        <f t="shared" si="23"/>
        <v>305270</v>
      </c>
      <c r="AU40" s="77">
        <f t="shared" si="7"/>
        <v>44590</v>
      </c>
      <c r="AV40" s="78">
        <f t="shared" si="8"/>
        <v>298410</v>
      </c>
      <c r="AY40" s="103">
        <f t="shared" si="24"/>
        <v>252000</v>
      </c>
      <c r="AZ40" s="98">
        <f t="shared" si="25"/>
        <v>260000</v>
      </c>
      <c r="BA40" s="99">
        <f t="shared" si="26"/>
        <v>313000</v>
      </c>
      <c r="BB40" s="77">
        <f t="shared" si="27"/>
        <v>34430</v>
      </c>
      <c r="BC40" s="78">
        <f t="shared" si="28"/>
        <v>278570</v>
      </c>
      <c r="BD40" s="77">
        <f t="shared" si="9"/>
        <v>40690</v>
      </c>
      <c r="BE40" s="78">
        <f t="shared" si="10"/>
        <v>272310</v>
      </c>
    </row>
    <row r="41" spans="2:57" s="42" customFormat="1" ht="15" customHeight="1">
      <c r="B41" s="250"/>
      <c r="C41" s="262"/>
      <c r="D41" s="266"/>
      <c r="E41" s="253"/>
      <c r="F41" s="250"/>
      <c r="G41" s="251"/>
      <c r="H41" s="50" t="s">
        <v>149</v>
      </c>
      <c r="I41" s="51">
        <v>218000</v>
      </c>
      <c r="J41" s="51">
        <v>225000</v>
      </c>
      <c r="K41" s="51">
        <v>311000</v>
      </c>
      <c r="L41" s="51">
        <v>101000</v>
      </c>
      <c r="M41" s="51">
        <v>115000</v>
      </c>
      <c r="N41" s="51">
        <v>27000</v>
      </c>
      <c r="O41" s="51">
        <f t="shared" si="11"/>
        <v>15000</v>
      </c>
      <c r="Q41" s="52">
        <v>198000</v>
      </c>
      <c r="R41" s="52">
        <v>205000</v>
      </c>
      <c r="S41" s="52">
        <v>271000</v>
      </c>
      <c r="T41" s="69">
        <f t="shared" si="12"/>
        <v>1.3219512195121952</v>
      </c>
      <c r="U41" s="52">
        <f t="shared" si="13"/>
        <v>66000</v>
      </c>
      <c r="W41" s="56">
        <v>198000</v>
      </c>
      <c r="X41" s="54">
        <f t="shared" si="0"/>
        <v>9.1743119266055051E-2</v>
      </c>
      <c r="Y41" s="56">
        <v>205000</v>
      </c>
      <c r="Z41" s="54">
        <f t="shared" si="1"/>
        <v>8.8888888888888906E-2</v>
      </c>
      <c r="AA41" s="56">
        <v>271000</v>
      </c>
      <c r="AB41" s="54">
        <f t="shared" si="2"/>
        <v>0.12861736334405149</v>
      </c>
      <c r="AC41" s="51">
        <v>54000</v>
      </c>
      <c r="AD41" s="54">
        <f t="shared" si="3"/>
        <v>0.46534653465346532</v>
      </c>
      <c r="AE41" s="51">
        <f t="shared" si="14"/>
        <v>44000</v>
      </c>
      <c r="AF41" s="54">
        <f t="shared" si="4"/>
        <v>0.61739130434782608</v>
      </c>
      <c r="AG41" s="94">
        <v>0</v>
      </c>
      <c r="AH41" s="91">
        <f t="shared" si="5"/>
        <v>1</v>
      </c>
      <c r="AI41" s="94">
        <f t="shared" si="15"/>
        <v>12000</v>
      </c>
      <c r="AJ41" s="91">
        <f t="shared" si="16"/>
        <v>0.55555555555555558</v>
      </c>
      <c r="AK41" s="45">
        <v>0</v>
      </c>
      <c r="AL41" s="47">
        <f t="shared" si="17"/>
        <v>1</v>
      </c>
      <c r="AM41" s="45">
        <f t="shared" si="18"/>
        <v>12000</v>
      </c>
      <c r="AN41" s="47">
        <f t="shared" si="6"/>
        <v>0.19999999999999996</v>
      </c>
      <c r="AP41" s="110">
        <f t="shared" si="19"/>
        <v>296000</v>
      </c>
      <c r="AQ41" s="111">
        <f t="shared" si="20"/>
        <v>303000</v>
      </c>
      <c r="AR41" s="112">
        <f t="shared" si="21"/>
        <v>369000</v>
      </c>
      <c r="AS41" s="77">
        <f t="shared" si="22"/>
        <v>40590</v>
      </c>
      <c r="AT41" s="78">
        <f t="shared" si="23"/>
        <v>328410</v>
      </c>
      <c r="AU41" s="77">
        <f t="shared" si="7"/>
        <v>47970</v>
      </c>
      <c r="AV41" s="78">
        <f t="shared" si="8"/>
        <v>321030</v>
      </c>
      <c r="AY41" s="103">
        <f t="shared" si="24"/>
        <v>266000</v>
      </c>
      <c r="AZ41" s="98">
        <f t="shared" si="25"/>
        <v>273000</v>
      </c>
      <c r="BA41" s="99">
        <f t="shared" si="26"/>
        <v>339000</v>
      </c>
      <c r="BB41" s="77">
        <f t="shared" si="27"/>
        <v>37290</v>
      </c>
      <c r="BC41" s="78">
        <f t="shared" si="28"/>
        <v>301710</v>
      </c>
      <c r="BD41" s="77">
        <f t="shared" si="9"/>
        <v>44070</v>
      </c>
      <c r="BE41" s="78">
        <f t="shared" si="10"/>
        <v>294930</v>
      </c>
    </row>
    <row r="42" spans="2:57" s="42" customFormat="1" ht="15" customHeight="1">
      <c r="B42" s="250"/>
      <c r="C42" s="262"/>
      <c r="D42" s="266"/>
      <c r="E42" s="253"/>
      <c r="F42" s="250"/>
      <c r="G42" s="251"/>
      <c r="H42" s="90" t="s">
        <v>150</v>
      </c>
      <c r="I42" s="51">
        <v>218000</v>
      </c>
      <c r="J42" s="51">
        <v>225000</v>
      </c>
      <c r="K42" s="51">
        <v>311000</v>
      </c>
      <c r="L42" s="51">
        <v>101000</v>
      </c>
      <c r="M42" s="51">
        <v>115000</v>
      </c>
      <c r="N42" s="51">
        <v>27000</v>
      </c>
      <c r="O42" s="51">
        <f t="shared" si="11"/>
        <v>15000</v>
      </c>
      <c r="Q42" s="52">
        <v>218000</v>
      </c>
      <c r="R42" s="52">
        <v>225000</v>
      </c>
      <c r="S42" s="52">
        <v>311000</v>
      </c>
      <c r="T42" s="69">
        <f t="shared" si="12"/>
        <v>1.3822222222222222</v>
      </c>
      <c r="U42" s="52">
        <f t="shared" si="13"/>
        <v>86000</v>
      </c>
      <c r="W42" s="56">
        <v>218000</v>
      </c>
      <c r="X42" s="54">
        <f t="shared" si="0"/>
        <v>0</v>
      </c>
      <c r="Y42" s="56">
        <v>225000</v>
      </c>
      <c r="Z42" s="54">
        <f t="shared" si="1"/>
        <v>0</v>
      </c>
      <c r="AA42" s="56">
        <v>311000</v>
      </c>
      <c r="AB42" s="54">
        <f t="shared" si="2"/>
        <v>0</v>
      </c>
      <c r="AC42" s="51">
        <v>54000</v>
      </c>
      <c r="AD42" s="54">
        <f t="shared" si="3"/>
        <v>0.46534653465346532</v>
      </c>
      <c r="AE42" s="51">
        <f t="shared" si="14"/>
        <v>44000</v>
      </c>
      <c r="AF42" s="54">
        <f t="shared" si="4"/>
        <v>0.61739130434782608</v>
      </c>
      <c r="AG42" s="94">
        <v>0</v>
      </c>
      <c r="AH42" s="91">
        <f t="shared" si="5"/>
        <v>1</v>
      </c>
      <c r="AI42" s="94">
        <f t="shared" si="15"/>
        <v>12000</v>
      </c>
      <c r="AJ42" s="91">
        <f t="shared" si="16"/>
        <v>0.55555555555555558</v>
      </c>
      <c r="AK42" s="45">
        <v>0</v>
      </c>
      <c r="AL42" s="47">
        <f t="shared" si="17"/>
        <v>1</v>
      </c>
      <c r="AM42" s="45">
        <f t="shared" si="18"/>
        <v>12000</v>
      </c>
      <c r="AN42" s="47">
        <f t="shared" si="6"/>
        <v>0.19999999999999996</v>
      </c>
      <c r="AP42" s="110">
        <f t="shared" si="19"/>
        <v>316000</v>
      </c>
      <c r="AQ42" s="111">
        <f t="shared" si="20"/>
        <v>323000</v>
      </c>
      <c r="AR42" s="112">
        <f t="shared" si="21"/>
        <v>409000</v>
      </c>
      <c r="AS42" s="77">
        <f t="shared" si="22"/>
        <v>44990</v>
      </c>
      <c r="AT42" s="78">
        <f t="shared" si="23"/>
        <v>364010</v>
      </c>
      <c r="AU42" s="77">
        <f t="shared" si="7"/>
        <v>53170</v>
      </c>
      <c r="AV42" s="78">
        <f t="shared" si="8"/>
        <v>355830</v>
      </c>
      <c r="AY42" s="103">
        <f t="shared" si="24"/>
        <v>286000</v>
      </c>
      <c r="AZ42" s="98">
        <f t="shared" si="25"/>
        <v>293000</v>
      </c>
      <c r="BA42" s="99">
        <f t="shared" si="26"/>
        <v>379000</v>
      </c>
      <c r="BB42" s="77">
        <f t="shared" si="27"/>
        <v>41690</v>
      </c>
      <c r="BC42" s="78">
        <f t="shared" si="28"/>
        <v>337310</v>
      </c>
      <c r="BD42" s="77">
        <f t="shared" si="9"/>
        <v>49270</v>
      </c>
      <c r="BE42" s="78">
        <f t="shared" si="10"/>
        <v>329730</v>
      </c>
    </row>
    <row r="43" spans="2:57" s="42" customFormat="1" ht="15" customHeight="1">
      <c r="B43" s="250"/>
      <c r="C43" s="262"/>
      <c r="D43" s="266"/>
      <c r="E43" s="253"/>
      <c r="F43" s="250"/>
      <c r="G43" s="251"/>
      <c r="H43" s="90" t="s">
        <v>146</v>
      </c>
      <c r="I43" s="56">
        <v>238000</v>
      </c>
      <c r="J43" s="56">
        <v>245000</v>
      </c>
      <c r="K43" s="56">
        <v>356000</v>
      </c>
      <c r="L43" s="56">
        <v>101000</v>
      </c>
      <c r="M43" s="56">
        <v>115000</v>
      </c>
      <c r="N43" s="56">
        <v>27000</v>
      </c>
      <c r="O43" s="51">
        <f t="shared" si="11"/>
        <v>15000</v>
      </c>
      <c r="Q43" s="52">
        <v>238000</v>
      </c>
      <c r="R43" s="52">
        <v>245000</v>
      </c>
      <c r="S43" s="52">
        <v>356000</v>
      </c>
      <c r="T43" s="69">
        <f t="shared" si="12"/>
        <v>1.453061224489796</v>
      </c>
      <c r="U43" s="52">
        <f t="shared" si="13"/>
        <v>111000</v>
      </c>
      <c r="W43" s="56">
        <v>238000</v>
      </c>
      <c r="X43" s="54">
        <f t="shared" si="0"/>
        <v>0</v>
      </c>
      <c r="Y43" s="56">
        <v>245000</v>
      </c>
      <c r="Z43" s="54">
        <f t="shared" si="1"/>
        <v>0</v>
      </c>
      <c r="AA43" s="56">
        <v>356000</v>
      </c>
      <c r="AB43" s="54">
        <f t="shared" si="2"/>
        <v>0</v>
      </c>
      <c r="AC43" s="56">
        <v>54000</v>
      </c>
      <c r="AD43" s="54">
        <f t="shared" si="3"/>
        <v>0.46534653465346532</v>
      </c>
      <c r="AE43" s="56">
        <f t="shared" si="14"/>
        <v>44000</v>
      </c>
      <c r="AF43" s="54">
        <f t="shared" si="4"/>
        <v>0.61739130434782608</v>
      </c>
      <c r="AG43" s="94">
        <v>0</v>
      </c>
      <c r="AH43" s="91">
        <f t="shared" si="5"/>
        <v>1</v>
      </c>
      <c r="AI43" s="94">
        <f t="shared" si="15"/>
        <v>12000</v>
      </c>
      <c r="AJ43" s="91">
        <f t="shared" si="16"/>
        <v>0.55555555555555558</v>
      </c>
      <c r="AK43" s="45">
        <v>0</v>
      </c>
      <c r="AL43" s="47">
        <f t="shared" si="17"/>
        <v>1</v>
      </c>
      <c r="AM43" s="45">
        <f t="shared" si="18"/>
        <v>12000</v>
      </c>
      <c r="AN43" s="47">
        <f t="shared" si="6"/>
        <v>0.19999999999999996</v>
      </c>
      <c r="AP43" s="110">
        <f t="shared" si="19"/>
        <v>336000</v>
      </c>
      <c r="AQ43" s="111">
        <f t="shared" si="20"/>
        <v>343000</v>
      </c>
      <c r="AR43" s="112">
        <f t="shared" si="21"/>
        <v>454000</v>
      </c>
      <c r="AS43" s="77">
        <f t="shared" si="22"/>
        <v>49940</v>
      </c>
      <c r="AT43" s="78">
        <f t="shared" si="23"/>
        <v>404060</v>
      </c>
      <c r="AU43" s="77">
        <f t="shared" si="7"/>
        <v>59020</v>
      </c>
      <c r="AV43" s="78">
        <f t="shared" si="8"/>
        <v>394980</v>
      </c>
      <c r="AY43" s="103">
        <f t="shared" si="24"/>
        <v>306000</v>
      </c>
      <c r="AZ43" s="98">
        <f t="shared" si="25"/>
        <v>313000</v>
      </c>
      <c r="BA43" s="99">
        <f t="shared" si="26"/>
        <v>424000</v>
      </c>
      <c r="BB43" s="77">
        <f t="shared" si="27"/>
        <v>46640</v>
      </c>
      <c r="BC43" s="78">
        <f t="shared" si="28"/>
        <v>377360</v>
      </c>
      <c r="BD43" s="77">
        <f t="shared" si="9"/>
        <v>55120</v>
      </c>
      <c r="BE43" s="78">
        <f t="shared" si="10"/>
        <v>368880</v>
      </c>
    </row>
    <row r="44" spans="2:57" s="42" customFormat="1" ht="15" customHeight="1">
      <c r="B44" s="250"/>
      <c r="C44" s="262"/>
      <c r="D44" s="266"/>
      <c r="E44" s="253"/>
      <c r="F44" s="248" t="s">
        <v>83</v>
      </c>
      <c r="G44" s="249"/>
      <c r="H44" s="59" t="s">
        <v>156</v>
      </c>
      <c r="I44" s="48">
        <v>195000</v>
      </c>
      <c r="J44" s="48">
        <v>203000</v>
      </c>
      <c r="K44" s="48">
        <v>266000</v>
      </c>
      <c r="L44" s="48">
        <v>101000</v>
      </c>
      <c r="M44" s="48">
        <v>115000</v>
      </c>
      <c r="N44" s="48">
        <v>27000</v>
      </c>
      <c r="O44" s="48">
        <f t="shared" si="11"/>
        <v>15000</v>
      </c>
      <c r="Q44" s="72">
        <v>175000</v>
      </c>
      <c r="R44" s="72">
        <v>183000</v>
      </c>
      <c r="S44" s="72">
        <v>236000</v>
      </c>
      <c r="T44" s="68">
        <f t="shared" si="12"/>
        <v>1.2896174863387979</v>
      </c>
      <c r="U44" s="46">
        <f t="shared" si="13"/>
        <v>53000</v>
      </c>
      <c r="W44" s="48">
        <v>175000</v>
      </c>
      <c r="X44" s="49">
        <f t="shared" si="0"/>
        <v>0.10256410256410253</v>
      </c>
      <c r="Y44" s="48">
        <v>183000</v>
      </c>
      <c r="Z44" s="49">
        <f t="shared" si="1"/>
        <v>9.852216748768472E-2</v>
      </c>
      <c r="AA44" s="48">
        <v>236000</v>
      </c>
      <c r="AB44" s="49">
        <f t="shared" si="2"/>
        <v>0.11278195488721809</v>
      </c>
      <c r="AC44" s="48">
        <v>54000</v>
      </c>
      <c r="AD44" s="63">
        <f t="shared" si="3"/>
        <v>0.46534653465346532</v>
      </c>
      <c r="AE44" s="48">
        <f t="shared" si="14"/>
        <v>44000</v>
      </c>
      <c r="AF44" s="49">
        <f t="shared" si="4"/>
        <v>0.61739130434782608</v>
      </c>
      <c r="AG44" s="95">
        <v>0</v>
      </c>
      <c r="AH44" s="92">
        <f t="shared" si="5"/>
        <v>1</v>
      </c>
      <c r="AI44" s="95">
        <f t="shared" si="15"/>
        <v>12000</v>
      </c>
      <c r="AJ44" s="92">
        <f t="shared" si="16"/>
        <v>0.55555555555555558</v>
      </c>
      <c r="AK44" s="45">
        <v>0</v>
      </c>
      <c r="AL44" s="47">
        <f t="shared" si="17"/>
        <v>1</v>
      </c>
      <c r="AM44" s="45">
        <f t="shared" si="18"/>
        <v>12000</v>
      </c>
      <c r="AN44" s="47">
        <f t="shared" si="6"/>
        <v>0.19999999999999996</v>
      </c>
      <c r="AP44" s="113">
        <f t="shared" si="19"/>
        <v>273000</v>
      </c>
      <c r="AQ44" s="114">
        <f t="shared" si="20"/>
        <v>281000</v>
      </c>
      <c r="AR44" s="115">
        <f t="shared" si="21"/>
        <v>334000</v>
      </c>
      <c r="AS44" s="77">
        <f t="shared" si="22"/>
        <v>36740</v>
      </c>
      <c r="AT44" s="78">
        <f t="shared" si="23"/>
        <v>297260</v>
      </c>
      <c r="AU44" s="77">
        <f t="shared" si="7"/>
        <v>43420</v>
      </c>
      <c r="AV44" s="78">
        <f t="shared" si="8"/>
        <v>290580</v>
      </c>
      <c r="AY44" s="100">
        <f t="shared" si="24"/>
        <v>243000</v>
      </c>
      <c r="AZ44" s="101">
        <f t="shared" si="25"/>
        <v>251000</v>
      </c>
      <c r="BA44" s="102">
        <f t="shared" si="26"/>
        <v>304000</v>
      </c>
      <c r="BB44" s="77">
        <f t="shared" si="27"/>
        <v>33440</v>
      </c>
      <c r="BC44" s="78">
        <f t="shared" si="28"/>
        <v>270560</v>
      </c>
      <c r="BD44" s="77">
        <f t="shared" si="9"/>
        <v>39520</v>
      </c>
      <c r="BE44" s="78">
        <f t="shared" si="10"/>
        <v>264480</v>
      </c>
    </row>
    <row r="45" spans="2:57" s="42" customFormat="1" ht="15" customHeight="1">
      <c r="B45" s="250"/>
      <c r="C45" s="262"/>
      <c r="D45" s="266"/>
      <c r="E45" s="253"/>
      <c r="F45" s="250"/>
      <c r="G45" s="251"/>
      <c r="H45" s="55" t="s">
        <v>157</v>
      </c>
      <c r="I45" s="51">
        <v>195000</v>
      </c>
      <c r="J45" s="51">
        <v>203000</v>
      </c>
      <c r="K45" s="51">
        <v>266000</v>
      </c>
      <c r="L45" s="51">
        <v>101000</v>
      </c>
      <c r="M45" s="51">
        <v>115000</v>
      </c>
      <c r="N45" s="51">
        <v>27000</v>
      </c>
      <c r="O45" s="51">
        <f t="shared" si="11"/>
        <v>15000</v>
      </c>
      <c r="Q45" s="52">
        <v>195000</v>
      </c>
      <c r="R45" s="52">
        <v>203000</v>
      </c>
      <c r="S45" s="52">
        <v>256000</v>
      </c>
      <c r="T45" s="69">
        <f t="shared" si="12"/>
        <v>1.2610837438423645</v>
      </c>
      <c r="U45" s="52">
        <f t="shared" si="13"/>
        <v>53000</v>
      </c>
      <c r="W45" s="56">
        <v>195000</v>
      </c>
      <c r="X45" s="54">
        <f t="shared" si="0"/>
        <v>0</v>
      </c>
      <c r="Y45" s="56">
        <v>203000</v>
      </c>
      <c r="Z45" s="54">
        <f t="shared" si="1"/>
        <v>0</v>
      </c>
      <c r="AA45" s="56">
        <v>256000</v>
      </c>
      <c r="AB45" s="54">
        <f t="shared" si="2"/>
        <v>3.7593984962406068E-2</v>
      </c>
      <c r="AC45" s="51">
        <v>54000</v>
      </c>
      <c r="AD45" s="54">
        <f t="shared" si="3"/>
        <v>0.46534653465346532</v>
      </c>
      <c r="AE45" s="51">
        <f t="shared" si="14"/>
        <v>44000</v>
      </c>
      <c r="AF45" s="54">
        <f t="shared" si="4"/>
        <v>0.61739130434782608</v>
      </c>
      <c r="AG45" s="94">
        <v>0</v>
      </c>
      <c r="AH45" s="91">
        <f t="shared" si="5"/>
        <v>1</v>
      </c>
      <c r="AI45" s="94">
        <f t="shared" si="15"/>
        <v>12000</v>
      </c>
      <c r="AJ45" s="91">
        <f t="shared" si="16"/>
        <v>0.55555555555555558</v>
      </c>
      <c r="AK45" s="45">
        <v>0</v>
      </c>
      <c r="AL45" s="47">
        <f t="shared" si="17"/>
        <v>1</v>
      </c>
      <c r="AM45" s="45">
        <f t="shared" si="18"/>
        <v>12000</v>
      </c>
      <c r="AN45" s="47">
        <f t="shared" si="6"/>
        <v>0.19999999999999996</v>
      </c>
      <c r="AP45" s="110">
        <f t="shared" si="19"/>
        <v>293000</v>
      </c>
      <c r="AQ45" s="111">
        <f t="shared" si="20"/>
        <v>301000</v>
      </c>
      <c r="AR45" s="112">
        <f t="shared" si="21"/>
        <v>354000</v>
      </c>
      <c r="AS45" s="77">
        <f t="shared" si="22"/>
        <v>38940</v>
      </c>
      <c r="AT45" s="78">
        <f t="shared" si="23"/>
        <v>315060</v>
      </c>
      <c r="AU45" s="77">
        <f t="shared" si="7"/>
        <v>46020</v>
      </c>
      <c r="AV45" s="78">
        <f t="shared" si="8"/>
        <v>307980</v>
      </c>
      <c r="AY45" s="103">
        <f t="shared" si="24"/>
        <v>263000</v>
      </c>
      <c r="AZ45" s="98">
        <f t="shared" si="25"/>
        <v>271000</v>
      </c>
      <c r="BA45" s="99">
        <f t="shared" si="26"/>
        <v>324000</v>
      </c>
      <c r="BB45" s="77">
        <f t="shared" si="27"/>
        <v>35640</v>
      </c>
      <c r="BC45" s="78">
        <f t="shared" si="28"/>
        <v>288360</v>
      </c>
      <c r="BD45" s="77">
        <f t="shared" si="9"/>
        <v>42120</v>
      </c>
      <c r="BE45" s="78">
        <f t="shared" si="10"/>
        <v>281880</v>
      </c>
    </row>
    <row r="46" spans="2:57" s="42" customFormat="1" ht="15" customHeight="1">
      <c r="B46" s="250"/>
      <c r="C46" s="262"/>
      <c r="D46" s="266"/>
      <c r="E46" s="253"/>
      <c r="F46" s="250"/>
      <c r="G46" s="251"/>
      <c r="H46" s="50" t="s">
        <v>149</v>
      </c>
      <c r="I46" s="51">
        <v>229000</v>
      </c>
      <c r="J46" s="51">
        <v>236000</v>
      </c>
      <c r="K46" s="51">
        <v>322000</v>
      </c>
      <c r="L46" s="51">
        <v>101000</v>
      </c>
      <c r="M46" s="51">
        <v>115000</v>
      </c>
      <c r="N46" s="51">
        <v>27000</v>
      </c>
      <c r="O46" s="51">
        <f t="shared" si="11"/>
        <v>15000</v>
      </c>
      <c r="Q46" s="52">
        <v>209000</v>
      </c>
      <c r="R46" s="52">
        <v>216000</v>
      </c>
      <c r="S46" s="52">
        <v>282000</v>
      </c>
      <c r="T46" s="69">
        <f t="shared" si="12"/>
        <v>1.3055555555555556</v>
      </c>
      <c r="U46" s="52">
        <f t="shared" si="13"/>
        <v>66000</v>
      </c>
      <c r="W46" s="56">
        <v>209000</v>
      </c>
      <c r="X46" s="54">
        <f t="shared" si="0"/>
        <v>8.7336244541484698E-2</v>
      </c>
      <c r="Y46" s="56">
        <v>216000</v>
      </c>
      <c r="Z46" s="54">
        <f t="shared" si="1"/>
        <v>8.4745762711864403E-2</v>
      </c>
      <c r="AA46" s="56">
        <v>282000</v>
      </c>
      <c r="AB46" s="54">
        <f t="shared" si="2"/>
        <v>0.12422360248447206</v>
      </c>
      <c r="AC46" s="51">
        <v>54000</v>
      </c>
      <c r="AD46" s="54">
        <f t="shared" si="3"/>
        <v>0.46534653465346532</v>
      </c>
      <c r="AE46" s="51">
        <f t="shared" si="14"/>
        <v>44000</v>
      </c>
      <c r="AF46" s="54">
        <f t="shared" si="4"/>
        <v>0.61739130434782608</v>
      </c>
      <c r="AG46" s="94">
        <v>0</v>
      </c>
      <c r="AH46" s="91">
        <f t="shared" si="5"/>
        <v>1</v>
      </c>
      <c r="AI46" s="94">
        <f t="shared" si="15"/>
        <v>12000</v>
      </c>
      <c r="AJ46" s="91">
        <f t="shared" si="16"/>
        <v>0.55555555555555558</v>
      </c>
      <c r="AK46" s="45">
        <v>0</v>
      </c>
      <c r="AL46" s="47">
        <f t="shared" si="17"/>
        <v>1</v>
      </c>
      <c r="AM46" s="45">
        <f t="shared" si="18"/>
        <v>12000</v>
      </c>
      <c r="AN46" s="47">
        <f t="shared" si="6"/>
        <v>0.19999999999999996</v>
      </c>
      <c r="AP46" s="110">
        <f t="shared" si="19"/>
        <v>307000</v>
      </c>
      <c r="AQ46" s="111">
        <f t="shared" si="20"/>
        <v>314000</v>
      </c>
      <c r="AR46" s="112">
        <f t="shared" si="21"/>
        <v>380000</v>
      </c>
      <c r="AS46" s="77">
        <f t="shared" si="22"/>
        <v>41800</v>
      </c>
      <c r="AT46" s="78">
        <f t="shared" si="23"/>
        <v>338200</v>
      </c>
      <c r="AU46" s="77">
        <f t="shared" si="7"/>
        <v>49400</v>
      </c>
      <c r="AV46" s="78">
        <f t="shared" si="8"/>
        <v>330600</v>
      </c>
      <c r="AY46" s="103">
        <f t="shared" si="24"/>
        <v>277000</v>
      </c>
      <c r="AZ46" s="98">
        <f t="shared" si="25"/>
        <v>284000</v>
      </c>
      <c r="BA46" s="99">
        <f t="shared" si="26"/>
        <v>350000</v>
      </c>
      <c r="BB46" s="77">
        <f t="shared" si="27"/>
        <v>38500</v>
      </c>
      <c r="BC46" s="78">
        <f t="shared" si="28"/>
        <v>311500</v>
      </c>
      <c r="BD46" s="77">
        <f t="shared" si="9"/>
        <v>45500</v>
      </c>
      <c r="BE46" s="78">
        <f t="shared" si="10"/>
        <v>304500</v>
      </c>
    </row>
    <row r="47" spans="2:57" s="42" customFormat="1" ht="15" customHeight="1">
      <c r="B47" s="250"/>
      <c r="C47" s="262"/>
      <c r="D47" s="266"/>
      <c r="E47" s="253"/>
      <c r="F47" s="250"/>
      <c r="G47" s="251"/>
      <c r="H47" s="90" t="s">
        <v>150</v>
      </c>
      <c r="I47" s="51">
        <v>229000</v>
      </c>
      <c r="J47" s="51">
        <v>236000</v>
      </c>
      <c r="K47" s="51">
        <v>322000</v>
      </c>
      <c r="L47" s="51">
        <v>101000</v>
      </c>
      <c r="M47" s="51">
        <v>115000</v>
      </c>
      <c r="N47" s="51">
        <v>27000</v>
      </c>
      <c r="O47" s="51">
        <f t="shared" si="11"/>
        <v>15000</v>
      </c>
      <c r="Q47" s="52">
        <v>229000</v>
      </c>
      <c r="R47" s="52">
        <v>236000</v>
      </c>
      <c r="S47" s="52">
        <v>322000</v>
      </c>
      <c r="T47" s="69">
        <f t="shared" si="12"/>
        <v>1.3644067796610169</v>
      </c>
      <c r="U47" s="52">
        <f t="shared" si="13"/>
        <v>86000</v>
      </c>
      <c r="W47" s="56">
        <v>229000</v>
      </c>
      <c r="X47" s="54">
        <f t="shared" si="0"/>
        <v>0</v>
      </c>
      <c r="Y47" s="56">
        <v>236000</v>
      </c>
      <c r="Z47" s="54">
        <f t="shared" si="1"/>
        <v>0</v>
      </c>
      <c r="AA47" s="56">
        <v>322000</v>
      </c>
      <c r="AB47" s="54">
        <f t="shared" si="2"/>
        <v>0</v>
      </c>
      <c r="AC47" s="51">
        <v>54000</v>
      </c>
      <c r="AD47" s="54">
        <f t="shared" si="3"/>
        <v>0.46534653465346532</v>
      </c>
      <c r="AE47" s="51">
        <f t="shared" si="14"/>
        <v>44000</v>
      </c>
      <c r="AF47" s="54">
        <f t="shared" si="4"/>
        <v>0.61739130434782608</v>
      </c>
      <c r="AG47" s="94">
        <v>0</v>
      </c>
      <c r="AH47" s="91">
        <f t="shared" si="5"/>
        <v>1</v>
      </c>
      <c r="AI47" s="94">
        <f t="shared" si="15"/>
        <v>12000</v>
      </c>
      <c r="AJ47" s="91">
        <f t="shared" si="16"/>
        <v>0.55555555555555558</v>
      </c>
      <c r="AK47" s="45">
        <v>0</v>
      </c>
      <c r="AL47" s="47">
        <f t="shared" si="17"/>
        <v>1</v>
      </c>
      <c r="AM47" s="45">
        <f t="shared" si="18"/>
        <v>12000</v>
      </c>
      <c r="AN47" s="47">
        <f t="shared" si="6"/>
        <v>0.19999999999999996</v>
      </c>
      <c r="AP47" s="110">
        <f t="shared" si="19"/>
        <v>327000</v>
      </c>
      <c r="AQ47" s="111">
        <f t="shared" si="20"/>
        <v>334000</v>
      </c>
      <c r="AR47" s="112">
        <f t="shared" si="21"/>
        <v>420000</v>
      </c>
      <c r="AS47" s="77">
        <f t="shared" si="22"/>
        <v>46200</v>
      </c>
      <c r="AT47" s="78">
        <f t="shared" si="23"/>
        <v>373800</v>
      </c>
      <c r="AU47" s="77">
        <f t="shared" si="7"/>
        <v>54600</v>
      </c>
      <c r="AV47" s="78">
        <f t="shared" si="8"/>
        <v>365400</v>
      </c>
      <c r="AY47" s="103">
        <f t="shared" si="24"/>
        <v>297000</v>
      </c>
      <c r="AZ47" s="98">
        <f t="shared" si="25"/>
        <v>304000</v>
      </c>
      <c r="BA47" s="99">
        <f t="shared" si="26"/>
        <v>390000</v>
      </c>
      <c r="BB47" s="77">
        <f t="shared" si="27"/>
        <v>42900</v>
      </c>
      <c r="BC47" s="78">
        <f t="shared" si="28"/>
        <v>347100</v>
      </c>
      <c r="BD47" s="77">
        <f t="shared" si="9"/>
        <v>50700</v>
      </c>
      <c r="BE47" s="78">
        <f t="shared" si="10"/>
        <v>339300</v>
      </c>
    </row>
    <row r="48" spans="2:57" s="42" customFormat="1" ht="15" customHeight="1">
      <c r="B48" s="250"/>
      <c r="C48" s="262"/>
      <c r="D48" s="266"/>
      <c r="E48" s="253"/>
      <c r="F48" s="250"/>
      <c r="G48" s="251"/>
      <c r="H48" s="90" t="s">
        <v>146</v>
      </c>
      <c r="I48" s="56">
        <v>249000</v>
      </c>
      <c r="J48" s="56">
        <v>256000</v>
      </c>
      <c r="K48" s="56">
        <v>367000</v>
      </c>
      <c r="L48" s="56">
        <v>101000</v>
      </c>
      <c r="M48" s="56">
        <v>115000</v>
      </c>
      <c r="N48" s="56">
        <v>27000</v>
      </c>
      <c r="O48" s="51">
        <f t="shared" si="11"/>
        <v>15000</v>
      </c>
      <c r="Q48" s="52">
        <v>249000</v>
      </c>
      <c r="R48" s="52">
        <v>256000</v>
      </c>
      <c r="S48" s="52">
        <v>367000</v>
      </c>
      <c r="T48" s="69">
        <f t="shared" si="12"/>
        <v>1.43359375</v>
      </c>
      <c r="U48" s="52">
        <f t="shared" si="13"/>
        <v>111000</v>
      </c>
      <c r="W48" s="56">
        <v>249000</v>
      </c>
      <c r="X48" s="54">
        <f t="shared" si="0"/>
        <v>0</v>
      </c>
      <c r="Y48" s="56">
        <v>256000</v>
      </c>
      <c r="Z48" s="54">
        <f t="shared" si="1"/>
        <v>0</v>
      </c>
      <c r="AA48" s="56">
        <v>367000</v>
      </c>
      <c r="AB48" s="54">
        <f t="shared" si="2"/>
        <v>0</v>
      </c>
      <c r="AC48" s="56">
        <v>54000</v>
      </c>
      <c r="AD48" s="54">
        <f t="shared" si="3"/>
        <v>0.46534653465346532</v>
      </c>
      <c r="AE48" s="56">
        <f t="shared" si="14"/>
        <v>44000</v>
      </c>
      <c r="AF48" s="54">
        <f t="shared" si="4"/>
        <v>0.61739130434782608</v>
      </c>
      <c r="AG48" s="94">
        <v>0</v>
      </c>
      <c r="AH48" s="91">
        <f t="shared" si="5"/>
        <v>1</v>
      </c>
      <c r="AI48" s="94">
        <f t="shared" si="15"/>
        <v>12000</v>
      </c>
      <c r="AJ48" s="91">
        <f t="shared" si="16"/>
        <v>0.55555555555555558</v>
      </c>
      <c r="AK48" s="45">
        <v>0</v>
      </c>
      <c r="AL48" s="47">
        <f t="shared" si="17"/>
        <v>1</v>
      </c>
      <c r="AM48" s="45">
        <f t="shared" si="18"/>
        <v>12000</v>
      </c>
      <c r="AN48" s="47">
        <f t="shared" si="6"/>
        <v>0.19999999999999996</v>
      </c>
      <c r="AP48" s="110">
        <f t="shared" si="19"/>
        <v>347000</v>
      </c>
      <c r="AQ48" s="111">
        <f t="shared" si="20"/>
        <v>354000</v>
      </c>
      <c r="AR48" s="112">
        <f t="shared" si="21"/>
        <v>465000</v>
      </c>
      <c r="AS48" s="77">
        <f t="shared" si="22"/>
        <v>51150</v>
      </c>
      <c r="AT48" s="78">
        <f t="shared" si="23"/>
        <v>413850</v>
      </c>
      <c r="AU48" s="77">
        <f t="shared" si="7"/>
        <v>60450</v>
      </c>
      <c r="AV48" s="78">
        <f t="shared" si="8"/>
        <v>404550</v>
      </c>
      <c r="AY48" s="103">
        <f t="shared" si="24"/>
        <v>317000</v>
      </c>
      <c r="AZ48" s="98">
        <f t="shared" si="25"/>
        <v>324000</v>
      </c>
      <c r="BA48" s="99">
        <f t="shared" si="26"/>
        <v>435000</v>
      </c>
      <c r="BB48" s="77">
        <f t="shared" si="27"/>
        <v>47850</v>
      </c>
      <c r="BC48" s="78">
        <f t="shared" si="28"/>
        <v>387150</v>
      </c>
      <c r="BD48" s="77">
        <f t="shared" si="9"/>
        <v>56550</v>
      </c>
      <c r="BE48" s="78">
        <f t="shared" si="10"/>
        <v>378450</v>
      </c>
    </row>
    <row r="49" spans="2:57" s="42" customFormat="1" ht="15" customHeight="1">
      <c r="B49" s="250"/>
      <c r="C49" s="262"/>
      <c r="D49" s="266"/>
      <c r="E49" s="252" t="s">
        <v>24</v>
      </c>
      <c r="F49" s="248" t="s">
        <v>79</v>
      </c>
      <c r="G49" s="249"/>
      <c r="H49" s="59" t="s">
        <v>156</v>
      </c>
      <c r="I49" s="48">
        <v>199000</v>
      </c>
      <c r="J49" s="48">
        <v>209000</v>
      </c>
      <c r="K49" s="48">
        <v>272000</v>
      </c>
      <c r="L49" s="48">
        <v>101000</v>
      </c>
      <c r="M49" s="48">
        <v>115000</v>
      </c>
      <c r="N49" s="48">
        <v>27000</v>
      </c>
      <c r="O49" s="48">
        <f t="shared" si="11"/>
        <v>15000</v>
      </c>
      <c r="Q49" s="72">
        <v>179000</v>
      </c>
      <c r="R49" s="72">
        <v>189000</v>
      </c>
      <c r="S49" s="72">
        <v>242000</v>
      </c>
      <c r="T49" s="68">
        <f t="shared" si="12"/>
        <v>1.2804232804232805</v>
      </c>
      <c r="U49" s="46">
        <f t="shared" si="13"/>
        <v>53000</v>
      </c>
      <c r="W49" s="48">
        <v>179000</v>
      </c>
      <c r="X49" s="49">
        <f t="shared" si="0"/>
        <v>0.10050251256281406</v>
      </c>
      <c r="Y49" s="48">
        <v>189000</v>
      </c>
      <c r="Z49" s="49">
        <f t="shared" si="1"/>
        <v>9.5693779904306275E-2</v>
      </c>
      <c r="AA49" s="48">
        <v>242000</v>
      </c>
      <c r="AB49" s="49">
        <f t="shared" si="2"/>
        <v>0.11029411764705888</v>
      </c>
      <c r="AC49" s="48">
        <v>54000</v>
      </c>
      <c r="AD49" s="49">
        <f t="shared" si="3"/>
        <v>0.46534653465346532</v>
      </c>
      <c r="AE49" s="48">
        <f t="shared" si="14"/>
        <v>44000</v>
      </c>
      <c r="AF49" s="49">
        <f t="shared" si="4"/>
        <v>0.61739130434782608</v>
      </c>
      <c r="AG49" s="95">
        <v>0</v>
      </c>
      <c r="AH49" s="92">
        <f t="shared" si="5"/>
        <v>1</v>
      </c>
      <c r="AI49" s="95">
        <f t="shared" si="15"/>
        <v>12000</v>
      </c>
      <c r="AJ49" s="92">
        <f t="shared" si="16"/>
        <v>0.55555555555555558</v>
      </c>
      <c r="AK49" s="45">
        <v>0</v>
      </c>
      <c r="AL49" s="47">
        <f t="shared" si="17"/>
        <v>1</v>
      </c>
      <c r="AM49" s="45">
        <f t="shared" si="18"/>
        <v>12000</v>
      </c>
      <c r="AN49" s="47">
        <f t="shared" si="6"/>
        <v>0.19999999999999996</v>
      </c>
      <c r="AP49" s="113">
        <f t="shared" si="19"/>
        <v>277000</v>
      </c>
      <c r="AQ49" s="114">
        <f t="shared" si="20"/>
        <v>287000</v>
      </c>
      <c r="AR49" s="115">
        <f t="shared" si="21"/>
        <v>340000</v>
      </c>
      <c r="AS49" s="77">
        <f t="shared" si="22"/>
        <v>37400</v>
      </c>
      <c r="AT49" s="78">
        <f t="shared" si="23"/>
        <v>302600</v>
      </c>
      <c r="AU49" s="77">
        <f t="shared" si="7"/>
        <v>44200</v>
      </c>
      <c r="AV49" s="78">
        <f t="shared" si="8"/>
        <v>295800</v>
      </c>
      <c r="AY49" s="100">
        <f t="shared" si="24"/>
        <v>247000</v>
      </c>
      <c r="AZ49" s="101">
        <f t="shared" si="25"/>
        <v>257000</v>
      </c>
      <c r="BA49" s="102">
        <f t="shared" si="26"/>
        <v>310000</v>
      </c>
      <c r="BB49" s="77">
        <f t="shared" si="27"/>
        <v>34100</v>
      </c>
      <c r="BC49" s="78">
        <f t="shared" si="28"/>
        <v>275900</v>
      </c>
      <c r="BD49" s="77">
        <f t="shared" si="9"/>
        <v>40300</v>
      </c>
      <c r="BE49" s="78">
        <f t="shared" si="10"/>
        <v>269700</v>
      </c>
    </row>
    <row r="50" spans="2:57" s="42" customFormat="1" ht="15" customHeight="1">
      <c r="B50" s="250"/>
      <c r="C50" s="262"/>
      <c r="D50" s="266"/>
      <c r="E50" s="253"/>
      <c r="F50" s="250"/>
      <c r="G50" s="251"/>
      <c r="H50" s="55" t="s">
        <v>157</v>
      </c>
      <c r="I50" s="51">
        <v>199000</v>
      </c>
      <c r="J50" s="51">
        <v>209000</v>
      </c>
      <c r="K50" s="51">
        <v>272000</v>
      </c>
      <c r="L50" s="51">
        <v>101000</v>
      </c>
      <c r="M50" s="51">
        <v>115000</v>
      </c>
      <c r="N50" s="51">
        <v>27000</v>
      </c>
      <c r="O50" s="51">
        <f t="shared" si="11"/>
        <v>15000</v>
      </c>
      <c r="Q50" s="52">
        <v>199000</v>
      </c>
      <c r="R50" s="52">
        <v>209000</v>
      </c>
      <c r="S50" s="52">
        <v>262000</v>
      </c>
      <c r="T50" s="69">
        <f t="shared" si="12"/>
        <v>1.2535885167464116</v>
      </c>
      <c r="U50" s="52">
        <f t="shared" si="13"/>
        <v>53000</v>
      </c>
      <c r="W50" s="51">
        <v>199000</v>
      </c>
      <c r="X50" s="53">
        <f t="shared" si="0"/>
        <v>0</v>
      </c>
      <c r="Y50" s="51">
        <v>209000</v>
      </c>
      <c r="Z50" s="53">
        <f t="shared" si="1"/>
        <v>0</v>
      </c>
      <c r="AA50" s="51">
        <v>262000</v>
      </c>
      <c r="AB50" s="53">
        <f t="shared" si="2"/>
        <v>3.6764705882352922E-2</v>
      </c>
      <c r="AC50" s="51">
        <v>54000</v>
      </c>
      <c r="AD50" s="54">
        <f t="shared" si="3"/>
        <v>0.46534653465346532</v>
      </c>
      <c r="AE50" s="51">
        <f t="shared" si="14"/>
        <v>44000</v>
      </c>
      <c r="AF50" s="54">
        <f t="shared" si="4"/>
        <v>0.61739130434782608</v>
      </c>
      <c r="AG50" s="94">
        <v>0</v>
      </c>
      <c r="AH50" s="91">
        <f t="shared" si="5"/>
        <v>1</v>
      </c>
      <c r="AI50" s="94">
        <f t="shared" si="15"/>
        <v>12000</v>
      </c>
      <c r="AJ50" s="91">
        <f t="shared" si="16"/>
        <v>0.55555555555555558</v>
      </c>
      <c r="AK50" s="45">
        <v>0</v>
      </c>
      <c r="AL50" s="47">
        <f t="shared" si="17"/>
        <v>1</v>
      </c>
      <c r="AM50" s="45">
        <f t="shared" si="18"/>
        <v>12000</v>
      </c>
      <c r="AN50" s="47">
        <f t="shared" si="6"/>
        <v>0.19999999999999996</v>
      </c>
      <c r="AP50" s="110">
        <f t="shared" si="19"/>
        <v>297000</v>
      </c>
      <c r="AQ50" s="111">
        <f t="shared" si="20"/>
        <v>307000</v>
      </c>
      <c r="AR50" s="112">
        <f t="shared" si="21"/>
        <v>360000</v>
      </c>
      <c r="AS50" s="77">
        <f t="shared" si="22"/>
        <v>39600</v>
      </c>
      <c r="AT50" s="78">
        <f t="shared" si="23"/>
        <v>320400</v>
      </c>
      <c r="AU50" s="77">
        <f t="shared" si="7"/>
        <v>46800</v>
      </c>
      <c r="AV50" s="78">
        <f t="shared" si="8"/>
        <v>313200</v>
      </c>
      <c r="AY50" s="103">
        <f t="shared" si="24"/>
        <v>267000</v>
      </c>
      <c r="AZ50" s="98">
        <f t="shared" si="25"/>
        <v>277000</v>
      </c>
      <c r="BA50" s="99">
        <f t="shared" si="26"/>
        <v>330000</v>
      </c>
      <c r="BB50" s="77">
        <f t="shared" si="27"/>
        <v>36300</v>
      </c>
      <c r="BC50" s="78">
        <f t="shared" si="28"/>
        <v>293700</v>
      </c>
      <c r="BD50" s="77">
        <f t="shared" si="9"/>
        <v>42900</v>
      </c>
      <c r="BE50" s="78">
        <f t="shared" si="10"/>
        <v>287100</v>
      </c>
    </row>
    <row r="51" spans="2:57" s="42" customFormat="1" ht="15" customHeight="1">
      <c r="B51" s="250"/>
      <c r="C51" s="262"/>
      <c r="D51" s="266"/>
      <c r="E51" s="253"/>
      <c r="F51" s="250"/>
      <c r="G51" s="251"/>
      <c r="H51" s="50" t="s">
        <v>149</v>
      </c>
      <c r="I51" s="51">
        <v>234000</v>
      </c>
      <c r="J51" s="51">
        <v>243000</v>
      </c>
      <c r="K51" s="51">
        <v>342000</v>
      </c>
      <c r="L51" s="51">
        <v>101000</v>
      </c>
      <c r="M51" s="51">
        <v>115000</v>
      </c>
      <c r="N51" s="51">
        <v>27000</v>
      </c>
      <c r="O51" s="51">
        <f t="shared" si="11"/>
        <v>15000</v>
      </c>
      <c r="Q51" s="52">
        <v>214000</v>
      </c>
      <c r="R51" s="52">
        <v>223000</v>
      </c>
      <c r="S51" s="52">
        <v>302000</v>
      </c>
      <c r="T51" s="69">
        <f t="shared" si="12"/>
        <v>1.3542600896860986</v>
      </c>
      <c r="U51" s="52">
        <f t="shared" si="13"/>
        <v>79000</v>
      </c>
      <c r="W51" s="51">
        <v>214000</v>
      </c>
      <c r="X51" s="53">
        <f t="shared" si="0"/>
        <v>8.54700854700855E-2</v>
      </c>
      <c r="Y51" s="51">
        <v>223000</v>
      </c>
      <c r="Z51" s="53">
        <f t="shared" si="1"/>
        <v>8.2304526748971152E-2</v>
      </c>
      <c r="AA51" s="51">
        <v>302000</v>
      </c>
      <c r="AB51" s="53">
        <f t="shared" si="2"/>
        <v>0.11695906432748537</v>
      </c>
      <c r="AC51" s="51">
        <v>54000</v>
      </c>
      <c r="AD51" s="54">
        <f t="shared" si="3"/>
        <v>0.46534653465346532</v>
      </c>
      <c r="AE51" s="51">
        <f t="shared" si="14"/>
        <v>44000</v>
      </c>
      <c r="AF51" s="54">
        <f t="shared" si="4"/>
        <v>0.61739130434782608</v>
      </c>
      <c r="AG51" s="94">
        <v>0</v>
      </c>
      <c r="AH51" s="91">
        <f t="shared" si="5"/>
        <v>1</v>
      </c>
      <c r="AI51" s="94">
        <f t="shared" si="15"/>
        <v>12000</v>
      </c>
      <c r="AJ51" s="91">
        <f t="shared" si="16"/>
        <v>0.55555555555555558</v>
      </c>
      <c r="AK51" s="45">
        <v>0</v>
      </c>
      <c r="AL51" s="47">
        <f t="shared" si="17"/>
        <v>1</v>
      </c>
      <c r="AM51" s="45">
        <f t="shared" si="18"/>
        <v>12000</v>
      </c>
      <c r="AN51" s="47">
        <f t="shared" si="6"/>
        <v>0.19999999999999996</v>
      </c>
      <c r="AP51" s="110">
        <f t="shared" si="19"/>
        <v>312000</v>
      </c>
      <c r="AQ51" s="111">
        <f t="shared" si="20"/>
        <v>321000</v>
      </c>
      <c r="AR51" s="112">
        <f t="shared" si="21"/>
        <v>400000</v>
      </c>
      <c r="AS51" s="77">
        <f t="shared" si="22"/>
        <v>44000</v>
      </c>
      <c r="AT51" s="78">
        <f t="shared" si="23"/>
        <v>356000</v>
      </c>
      <c r="AU51" s="77">
        <f t="shared" si="7"/>
        <v>52000</v>
      </c>
      <c r="AV51" s="78">
        <f t="shared" si="8"/>
        <v>348000</v>
      </c>
      <c r="AY51" s="103">
        <f t="shared" si="24"/>
        <v>282000</v>
      </c>
      <c r="AZ51" s="98">
        <f t="shared" si="25"/>
        <v>291000</v>
      </c>
      <c r="BA51" s="99">
        <f t="shared" si="26"/>
        <v>370000</v>
      </c>
      <c r="BB51" s="77">
        <f t="shared" si="27"/>
        <v>40700</v>
      </c>
      <c r="BC51" s="78">
        <f t="shared" si="28"/>
        <v>329300</v>
      </c>
      <c r="BD51" s="77">
        <f t="shared" si="9"/>
        <v>48100</v>
      </c>
      <c r="BE51" s="78">
        <f t="shared" si="10"/>
        <v>321900</v>
      </c>
    </row>
    <row r="52" spans="2:57" s="42" customFormat="1" ht="15" customHeight="1">
      <c r="B52" s="250"/>
      <c r="C52" s="262"/>
      <c r="D52" s="266"/>
      <c r="E52" s="253"/>
      <c r="F52" s="250"/>
      <c r="G52" s="251"/>
      <c r="H52" s="90" t="s">
        <v>150</v>
      </c>
      <c r="I52" s="51">
        <v>234000</v>
      </c>
      <c r="J52" s="51">
        <v>243000</v>
      </c>
      <c r="K52" s="51">
        <v>342000</v>
      </c>
      <c r="L52" s="51">
        <v>101000</v>
      </c>
      <c r="M52" s="51">
        <v>115000</v>
      </c>
      <c r="N52" s="51">
        <v>27000</v>
      </c>
      <c r="O52" s="51">
        <f t="shared" si="11"/>
        <v>15000</v>
      </c>
      <c r="Q52" s="52">
        <v>234000</v>
      </c>
      <c r="R52" s="52">
        <v>243000</v>
      </c>
      <c r="S52" s="52">
        <v>342000</v>
      </c>
      <c r="T52" s="69">
        <f t="shared" si="12"/>
        <v>1.4074074074074074</v>
      </c>
      <c r="U52" s="52">
        <f t="shared" si="13"/>
        <v>99000</v>
      </c>
      <c r="W52" s="51">
        <v>234000</v>
      </c>
      <c r="X52" s="53">
        <f t="shared" si="0"/>
        <v>0</v>
      </c>
      <c r="Y52" s="51">
        <v>243000</v>
      </c>
      <c r="Z52" s="53">
        <f t="shared" si="1"/>
        <v>0</v>
      </c>
      <c r="AA52" s="51">
        <v>342000</v>
      </c>
      <c r="AB52" s="53">
        <f t="shared" si="2"/>
        <v>0</v>
      </c>
      <c r="AC52" s="51">
        <v>54000</v>
      </c>
      <c r="AD52" s="54">
        <f t="shared" si="3"/>
        <v>0.46534653465346532</v>
      </c>
      <c r="AE52" s="51">
        <f t="shared" si="14"/>
        <v>44000</v>
      </c>
      <c r="AF52" s="54">
        <f t="shared" si="4"/>
        <v>0.61739130434782608</v>
      </c>
      <c r="AG52" s="94">
        <v>0</v>
      </c>
      <c r="AH52" s="91">
        <f t="shared" si="5"/>
        <v>1</v>
      </c>
      <c r="AI52" s="94">
        <f t="shared" si="15"/>
        <v>12000</v>
      </c>
      <c r="AJ52" s="91">
        <f t="shared" si="16"/>
        <v>0.55555555555555558</v>
      </c>
      <c r="AK52" s="45">
        <v>0</v>
      </c>
      <c r="AL52" s="47">
        <f t="shared" si="17"/>
        <v>1</v>
      </c>
      <c r="AM52" s="45">
        <f t="shared" si="18"/>
        <v>12000</v>
      </c>
      <c r="AN52" s="47">
        <f t="shared" si="6"/>
        <v>0.19999999999999996</v>
      </c>
      <c r="AP52" s="110">
        <f t="shared" si="19"/>
        <v>332000</v>
      </c>
      <c r="AQ52" s="111">
        <f t="shared" si="20"/>
        <v>341000</v>
      </c>
      <c r="AR52" s="112">
        <f t="shared" si="21"/>
        <v>440000</v>
      </c>
      <c r="AS52" s="77">
        <f t="shared" si="22"/>
        <v>48400</v>
      </c>
      <c r="AT52" s="78">
        <f t="shared" si="23"/>
        <v>391600</v>
      </c>
      <c r="AU52" s="77">
        <f t="shared" si="7"/>
        <v>57200</v>
      </c>
      <c r="AV52" s="78">
        <f t="shared" si="8"/>
        <v>382800</v>
      </c>
      <c r="AY52" s="103">
        <f t="shared" si="24"/>
        <v>302000</v>
      </c>
      <c r="AZ52" s="98">
        <f t="shared" si="25"/>
        <v>311000</v>
      </c>
      <c r="BA52" s="99">
        <f t="shared" si="26"/>
        <v>410000</v>
      </c>
      <c r="BB52" s="77">
        <f t="shared" si="27"/>
        <v>45100</v>
      </c>
      <c r="BC52" s="78">
        <f t="shared" si="28"/>
        <v>364900</v>
      </c>
      <c r="BD52" s="77">
        <f t="shared" si="9"/>
        <v>53300</v>
      </c>
      <c r="BE52" s="78">
        <f t="shared" si="10"/>
        <v>356700</v>
      </c>
    </row>
    <row r="53" spans="2:57" s="42" customFormat="1" ht="15" customHeight="1">
      <c r="B53" s="250"/>
      <c r="C53" s="262"/>
      <c r="D53" s="266"/>
      <c r="E53" s="253"/>
      <c r="F53" s="250"/>
      <c r="G53" s="251"/>
      <c r="H53" s="90" t="s">
        <v>146</v>
      </c>
      <c r="I53" s="56">
        <v>258000</v>
      </c>
      <c r="J53" s="56">
        <v>268000</v>
      </c>
      <c r="K53" s="56">
        <v>387000</v>
      </c>
      <c r="L53" s="56">
        <v>101000</v>
      </c>
      <c r="M53" s="56">
        <v>115000</v>
      </c>
      <c r="N53" s="56">
        <v>27000</v>
      </c>
      <c r="O53" s="51">
        <f t="shared" si="11"/>
        <v>15000</v>
      </c>
      <c r="Q53" s="52">
        <v>258000</v>
      </c>
      <c r="R53" s="52">
        <v>268000</v>
      </c>
      <c r="S53" s="52">
        <v>387000</v>
      </c>
      <c r="T53" s="69">
        <f t="shared" si="12"/>
        <v>1.4440298507462686</v>
      </c>
      <c r="U53" s="52">
        <f t="shared" si="13"/>
        <v>119000</v>
      </c>
      <c r="W53" s="56">
        <v>258000</v>
      </c>
      <c r="X53" s="53">
        <f t="shared" si="0"/>
        <v>0</v>
      </c>
      <c r="Y53" s="56">
        <v>268000</v>
      </c>
      <c r="Z53" s="53">
        <f t="shared" si="1"/>
        <v>0</v>
      </c>
      <c r="AA53" s="56">
        <v>387000</v>
      </c>
      <c r="AB53" s="53">
        <f t="shared" si="2"/>
        <v>0</v>
      </c>
      <c r="AC53" s="56">
        <v>54000</v>
      </c>
      <c r="AD53" s="54">
        <f t="shared" si="3"/>
        <v>0.46534653465346532</v>
      </c>
      <c r="AE53" s="56">
        <f t="shared" si="14"/>
        <v>44000</v>
      </c>
      <c r="AF53" s="54">
        <f t="shared" si="4"/>
        <v>0.61739130434782608</v>
      </c>
      <c r="AG53" s="94">
        <v>0</v>
      </c>
      <c r="AH53" s="91">
        <f t="shared" si="5"/>
        <v>1</v>
      </c>
      <c r="AI53" s="94">
        <f t="shared" si="15"/>
        <v>12000</v>
      </c>
      <c r="AJ53" s="91">
        <f t="shared" si="16"/>
        <v>0.55555555555555558</v>
      </c>
      <c r="AK53" s="45">
        <v>0</v>
      </c>
      <c r="AL53" s="47">
        <f t="shared" si="17"/>
        <v>1</v>
      </c>
      <c r="AM53" s="45">
        <f t="shared" si="18"/>
        <v>12000</v>
      </c>
      <c r="AN53" s="47">
        <f t="shared" si="6"/>
        <v>0.19999999999999996</v>
      </c>
      <c r="AP53" s="110">
        <f t="shared" si="19"/>
        <v>356000</v>
      </c>
      <c r="AQ53" s="111">
        <f t="shared" si="20"/>
        <v>366000</v>
      </c>
      <c r="AR53" s="112">
        <f t="shared" si="21"/>
        <v>485000</v>
      </c>
      <c r="AS53" s="77">
        <f t="shared" si="22"/>
        <v>53350</v>
      </c>
      <c r="AT53" s="78">
        <f t="shared" si="23"/>
        <v>431650</v>
      </c>
      <c r="AU53" s="77">
        <f t="shared" si="7"/>
        <v>63050</v>
      </c>
      <c r="AV53" s="78">
        <f t="shared" si="8"/>
        <v>421950</v>
      </c>
      <c r="AY53" s="103">
        <f t="shared" si="24"/>
        <v>326000</v>
      </c>
      <c r="AZ53" s="98">
        <f t="shared" si="25"/>
        <v>336000</v>
      </c>
      <c r="BA53" s="99">
        <f t="shared" si="26"/>
        <v>455000</v>
      </c>
      <c r="BB53" s="77">
        <f t="shared" si="27"/>
        <v>50050</v>
      </c>
      <c r="BC53" s="78">
        <f t="shared" si="28"/>
        <v>404950</v>
      </c>
      <c r="BD53" s="77">
        <f t="shared" si="9"/>
        <v>59150</v>
      </c>
      <c r="BE53" s="78">
        <f t="shared" si="10"/>
        <v>395850</v>
      </c>
    </row>
    <row r="54" spans="2:57" s="42" customFormat="1" ht="15" customHeight="1">
      <c r="B54" s="250"/>
      <c r="C54" s="262"/>
      <c r="D54" s="266"/>
      <c r="E54" s="253"/>
      <c r="F54" s="248" t="s">
        <v>82</v>
      </c>
      <c r="G54" s="249"/>
      <c r="H54" s="59" t="s">
        <v>156</v>
      </c>
      <c r="I54" s="48">
        <v>210000</v>
      </c>
      <c r="J54" s="48">
        <v>220000</v>
      </c>
      <c r="K54" s="48">
        <v>283000</v>
      </c>
      <c r="L54" s="48">
        <v>101000</v>
      </c>
      <c r="M54" s="48">
        <v>115000</v>
      </c>
      <c r="N54" s="48">
        <v>27000</v>
      </c>
      <c r="O54" s="48">
        <f t="shared" si="11"/>
        <v>15000</v>
      </c>
      <c r="Q54" s="72">
        <v>190000</v>
      </c>
      <c r="R54" s="72">
        <v>200000</v>
      </c>
      <c r="S54" s="72">
        <v>253000</v>
      </c>
      <c r="T54" s="68">
        <f t="shared" si="12"/>
        <v>1.2649999999999999</v>
      </c>
      <c r="U54" s="46">
        <f t="shared" si="13"/>
        <v>53000</v>
      </c>
      <c r="W54" s="48">
        <v>190000</v>
      </c>
      <c r="X54" s="49">
        <f t="shared" si="0"/>
        <v>9.5238095238095233E-2</v>
      </c>
      <c r="Y54" s="48">
        <v>200000</v>
      </c>
      <c r="Z54" s="49">
        <f t="shared" si="1"/>
        <v>9.0909090909090939E-2</v>
      </c>
      <c r="AA54" s="48">
        <v>253000</v>
      </c>
      <c r="AB54" s="49">
        <f t="shared" si="2"/>
        <v>0.10600706713780916</v>
      </c>
      <c r="AC54" s="48">
        <v>54000</v>
      </c>
      <c r="AD54" s="63">
        <f t="shared" si="3"/>
        <v>0.46534653465346532</v>
      </c>
      <c r="AE54" s="48">
        <f t="shared" si="14"/>
        <v>44000</v>
      </c>
      <c r="AF54" s="49">
        <f t="shared" si="4"/>
        <v>0.61739130434782608</v>
      </c>
      <c r="AG54" s="95">
        <v>0</v>
      </c>
      <c r="AH54" s="92">
        <f t="shared" si="5"/>
        <v>1</v>
      </c>
      <c r="AI54" s="95">
        <f t="shared" si="15"/>
        <v>12000</v>
      </c>
      <c r="AJ54" s="92">
        <f t="shared" si="16"/>
        <v>0.55555555555555558</v>
      </c>
      <c r="AK54" s="45">
        <v>0</v>
      </c>
      <c r="AL54" s="47">
        <f t="shared" si="17"/>
        <v>1</v>
      </c>
      <c r="AM54" s="45">
        <f t="shared" si="18"/>
        <v>12000</v>
      </c>
      <c r="AN54" s="47">
        <f t="shared" si="6"/>
        <v>0.19999999999999996</v>
      </c>
      <c r="AP54" s="113">
        <f t="shared" si="19"/>
        <v>288000</v>
      </c>
      <c r="AQ54" s="114">
        <f t="shared" si="20"/>
        <v>298000</v>
      </c>
      <c r="AR54" s="115">
        <f t="shared" si="21"/>
        <v>351000</v>
      </c>
      <c r="AS54" s="77">
        <f t="shared" si="22"/>
        <v>38610</v>
      </c>
      <c r="AT54" s="78">
        <f t="shared" si="23"/>
        <v>312390</v>
      </c>
      <c r="AU54" s="77">
        <f t="shared" si="7"/>
        <v>45630</v>
      </c>
      <c r="AV54" s="78">
        <f t="shared" si="8"/>
        <v>305370</v>
      </c>
      <c r="AY54" s="100">
        <f t="shared" si="24"/>
        <v>258000</v>
      </c>
      <c r="AZ54" s="101">
        <f t="shared" si="25"/>
        <v>268000</v>
      </c>
      <c r="BA54" s="102">
        <f t="shared" si="26"/>
        <v>321000</v>
      </c>
      <c r="BB54" s="77">
        <f t="shared" si="27"/>
        <v>35310</v>
      </c>
      <c r="BC54" s="78">
        <f t="shared" si="28"/>
        <v>285690</v>
      </c>
      <c r="BD54" s="77">
        <f t="shared" si="9"/>
        <v>41730</v>
      </c>
      <c r="BE54" s="78">
        <f t="shared" si="10"/>
        <v>279270</v>
      </c>
    </row>
    <row r="55" spans="2:57" s="42" customFormat="1" ht="15" customHeight="1">
      <c r="B55" s="250"/>
      <c r="C55" s="262"/>
      <c r="D55" s="266"/>
      <c r="E55" s="253"/>
      <c r="F55" s="250"/>
      <c r="G55" s="251"/>
      <c r="H55" s="55" t="s">
        <v>157</v>
      </c>
      <c r="I55" s="51">
        <v>210000</v>
      </c>
      <c r="J55" s="51">
        <v>220000</v>
      </c>
      <c r="K55" s="51">
        <v>283000</v>
      </c>
      <c r="L55" s="51">
        <v>101000</v>
      </c>
      <c r="M55" s="51">
        <v>115000</v>
      </c>
      <c r="N55" s="51">
        <v>27000</v>
      </c>
      <c r="O55" s="51">
        <f t="shared" si="11"/>
        <v>15000</v>
      </c>
      <c r="Q55" s="52">
        <v>210000</v>
      </c>
      <c r="R55" s="52">
        <v>220000</v>
      </c>
      <c r="S55" s="52">
        <v>273000</v>
      </c>
      <c r="T55" s="69">
        <f t="shared" si="12"/>
        <v>1.240909090909091</v>
      </c>
      <c r="U55" s="52">
        <f t="shared" si="13"/>
        <v>53000</v>
      </c>
      <c r="W55" s="56">
        <v>210000</v>
      </c>
      <c r="X55" s="54">
        <f t="shared" si="0"/>
        <v>0</v>
      </c>
      <c r="Y55" s="56">
        <v>220000</v>
      </c>
      <c r="Z55" s="54">
        <f t="shared" si="1"/>
        <v>0</v>
      </c>
      <c r="AA55" s="56">
        <v>273000</v>
      </c>
      <c r="AB55" s="53">
        <f t="shared" si="2"/>
        <v>3.5335689045936425E-2</v>
      </c>
      <c r="AC55" s="51">
        <v>54000</v>
      </c>
      <c r="AD55" s="54">
        <f t="shared" si="3"/>
        <v>0.46534653465346532</v>
      </c>
      <c r="AE55" s="51">
        <f t="shared" si="14"/>
        <v>44000</v>
      </c>
      <c r="AF55" s="54">
        <f t="shared" si="4"/>
        <v>0.61739130434782608</v>
      </c>
      <c r="AG55" s="94">
        <v>0</v>
      </c>
      <c r="AH55" s="91">
        <f t="shared" si="5"/>
        <v>1</v>
      </c>
      <c r="AI55" s="94">
        <f t="shared" si="15"/>
        <v>12000</v>
      </c>
      <c r="AJ55" s="91">
        <f t="shared" si="16"/>
        <v>0.55555555555555558</v>
      </c>
      <c r="AK55" s="45">
        <v>0</v>
      </c>
      <c r="AL55" s="47">
        <f t="shared" si="17"/>
        <v>1</v>
      </c>
      <c r="AM55" s="45">
        <f t="shared" si="18"/>
        <v>12000</v>
      </c>
      <c r="AN55" s="47">
        <f t="shared" si="6"/>
        <v>0.19999999999999996</v>
      </c>
      <c r="AP55" s="110">
        <f t="shared" si="19"/>
        <v>308000</v>
      </c>
      <c r="AQ55" s="111">
        <f t="shared" si="20"/>
        <v>318000</v>
      </c>
      <c r="AR55" s="112">
        <f t="shared" si="21"/>
        <v>371000</v>
      </c>
      <c r="AS55" s="77">
        <f t="shared" si="22"/>
        <v>40810</v>
      </c>
      <c r="AT55" s="78">
        <f t="shared" si="23"/>
        <v>330190</v>
      </c>
      <c r="AU55" s="77">
        <f t="shared" si="7"/>
        <v>48230</v>
      </c>
      <c r="AV55" s="78">
        <f t="shared" si="8"/>
        <v>322770</v>
      </c>
      <c r="AY55" s="103">
        <f t="shared" si="24"/>
        <v>278000</v>
      </c>
      <c r="AZ55" s="98">
        <f t="shared" si="25"/>
        <v>288000</v>
      </c>
      <c r="BA55" s="99">
        <f t="shared" si="26"/>
        <v>341000</v>
      </c>
      <c r="BB55" s="77">
        <f t="shared" si="27"/>
        <v>37510</v>
      </c>
      <c r="BC55" s="78">
        <f t="shared" si="28"/>
        <v>303490</v>
      </c>
      <c r="BD55" s="77">
        <f t="shared" si="9"/>
        <v>44330</v>
      </c>
      <c r="BE55" s="78">
        <f t="shared" si="10"/>
        <v>296670</v>
      </c>
    </row>
    <row r="56" spans="2:57" s="42" customFormat="1" ht="15" customHeight="1">
      <c r="B56" s="250"/>
      <c r="C56" s="262"/>
      <c r="D56" s="266"/>
      <c r="E56" s="253"/>
      <c r="F56" s="250"/>
      <c r="G56" s="251"/>
      <c r="H56" s="50" t="s">
        <v>149</v>
      </c>
      <c r="I56" s="51">
        <v>245000</v>
      </c>
      <c r="J56" s="51">
        <v>254000</v>
      </c>
      <c r="K56" s="51">
        <v>353000</v>
      </c>
      <c r="L56" s="51">
        <v>101000</v>
      </c>
      <c r="M56" s="51">
        <v>115000</v>
      </c>
      <c r="N56" s="51">
        <v>27000</v>
      </c>
      <c r="O56" s="51">
        <f t="shared" si="11"/>
        <v>15000</v>
      </c>
      <c r="Q56" s="52">
        <v>225000</v>
      </c>
      <c r="R56" s="52">
        <v>234000</v>
      </c>
      <c r="S56" s="52">
        <v>313000</v>
      </c>
      <c r="T56" s="69">
        <f t="shared" si="12"/>
        <v>1.3376068376068375</v>
      </c>
      <c r="U56" s="52">
        <f t="shared" si="13"/>
        <v>79000</v>
      </c>
      <c r="W56" s="56">
        <v>225000</v>
      </c>
      <c r="X56" s="54">
        <f t="shared" si="0"/>
        <v>8.1632653061224469E-2</v>
      </c>
      <c r="Y56" s="56">
        <v>234000</v>
      </c>
      <c r="Z56" s="54">
        <f t="shared" si="1"/>
        <v>7.8740157480314932E-2</v>
      </c>
      <c r="AA56" s="56">
        <v>313000</v>
      </c>
      <c r="AB56" s="53">
        <f t="shared" si="2"/>
        <v>0.11331444759206799</v>
      </c>
      <c r="AC56" s="51">
        <v>54000</v>
      </c>
      <c r="AD56" s="54">
        <f t="shared" si="3"/>
        <v>0.46534653465346532</v>
      </c>
      <c r="AE56" s="51">
        <f t="shared" si="14"/>
        <v>44000</v>
      </c>
      <c r="AF56" s="54">
        <f t="shared" si="4"/>
        <v>0.61739130434782608</v>
      </c>
      <c r="AG56" s="94">
        <v>0</v>
      </c>
      <c r="AH56" s="91">
        <f t="shared" si="5"/>
        <v>1</v>
      </c>
      <c r="AI56" s="94">
        <f t="shared" si="15"/>
        <v>12000</v>
      </c>
      <c r="AJ56" s="91">
        <f t="shared" si="16"/>
        <v>0.55555555555555558</v>
      </c>
      <c r="AK56" s="45">
        <v>0</v>
      </c>
      <c r="AL56" s="47">
        <f t="shared" si="17"/>
        <v>1</v>
      </c>
      <c r="AM56" s="45">
        <f t="shared" si="18"/>
        <v>12000</v>
      </c>
      <c r="AN56" s="47">
        <f t="shared" si="6"/>
        <v>0.19999999999999996</v>
      </c>
      <c r="AP56" s="110">
        <f t="shared" si="19"/>
        <v>323000</v>
      </c>
      <c r="AQ56" s="111">
        <f t="shared" si="20"/>
        <v>332000</v>
      </c>
      <c r="AR56" s="112">
        <f t="shared" si="21"/>
        <v>411000</v>
      </c>
      <c r="AS56" s="77">
        <f t="shared" si="22"/>
        <v>45210</v>
      </c>
      <c r="AT56" s="78">
        <f t="shared" si="23"/>
        <v>365790</v>
      </c>
      <c r="AU56" s="77">
        <f t="shared" si="7"/>
        <v>53430</v>
      </c>
      <c r="AV56" s="78">
        <f t="shared" si="8"/>
        <v>357570</v>
      </c>
      <c r="AY56" s="103">
        <f t="shared" si="24"/>
        <v>293000</v>
      </c>
      <c r="AZ56" s="98">
        <f t="shared" si="25"/>
        <v>302000</v>
      </c>
      <c r="BA56" s="99">
        <f t="shared" si="26"/>
        <v>381000</v>
      </c>
      <c r="BB56" s="77">
        <f t="shared" si="27"/>
        <v>41910</v>
      </c>
      <c r="BC56" s="78">
        <f t="shared" si="28"/>
        <v>339090</v>
      </c>
      <c r="BD56" s="77">
        <f t="shared" si="9"/>
        <v>49530</v>
      </c>
      <c r="BE56" s="78">
        <f t="shared" si="10"/>
        <v>331470</v>
      </c>
    </row>
    <row r="57" spans="2:57" s="42" customFormat="1" ht="15" customHeight="1">
      <c r="B57" s="250"/>
      <c r="C57" s="262"/>
      <c r="D57" s="266"/>
      <c r="E57" s="253"/>
      <c r="F57" s="250"/>
      <c r="G57" s="251"/>
      <c r="H57" s="90" t="s">
        <v>150</v>
      </c>
      <c r="I57" s="51">
        <v>245000</v>
      </c>
      <c r="J57" s="51">
        <v>254000</v>
      </c>
      <c r="K57" s="51">
        <v>353000</v>
      </c>
      <c r="L57" s="51">
        <v>101000</v>
      </c>
      <c r="M57" s="51">
        <v>115000</v>
      </c>
      <c r="N57" s="51">
        <v>27000</v>
      </c>
      <c r="O57" s="51">
        <f t="shared" si="11"/>
        <v>15000</v>
      </c>
      <c r="Q57" s="52">
        <v>245000</v>
      </c>
      <c r="R57" s="52">
        <v>254000</v>
      </c>
      <c r="S57" s="52">
        <v>353000</v>
      </c>
      <c r="T57" s="69">
        <f t="shared" si="12"/>
        <v>1.389763779527559</v>
      </c>
      <c r="U57" s="52">
        <f t="shared" si="13"/>
        <v>99000</v>
      </c>
      <c r="W57" s="56">
        <v>245000</v>
      </c>
      <c r="X57" s="54">
        <f t="shared" si="0"/>
        <v>0</v>
      </c>
      <c r="Y57" s="56">
        <v>254000</v>
      </c>
      <c r="Z57" s="54">
        <f t="shared" si="1"/>
        <v>0</v>
      </c>
      <c r="AA57" s="56">
        <v>353000</v>
      </c>
      <c r="AB57" s="53">
        <f t="shared" si="2"/>
        <v>0</v>
      </c>
      <c r="AC57" s="51">
        <v>54000</v>
      </c>
      <c r="AD57" s="54">
        <f t="shared" si="3"/>
        <v>0.46534653465346532</v>
      </c>
      <c r="AE57" s="51">
        <f t="shared" si="14"/>
        <v>44000</v>
      </c>
      <c r="AF57" s="54">
        <f t="shared" si="4"/>
        <v>0.61739130434782608</v>
      </c>
      <c r="AG57" s="94">
        <v>0</v>
      </c>
      <c r="AH57" s="91">
        <f t="shared" si="5"/>
        <v>1</v>
      </c>
      <c r="AI57" s="94">
        <f t="shared" si="15"/>
        <v>12000</v>
      </c>
      <c r="AJ57" s="91">
        <f t="shared" si="16"/>
        <v>0.55555555555555558</v>
      </c>
      <c r="AK57" s="45">
        <v>0</v>
      </c>
      <c r="AL57" s="47">
        <f t="shared" si="17"/>
        <v>1</v>
      </c>
      <c r="AM57" s="45">
        <f t="shared" si="18"/>
        <v>12000</v>
      </c>
      <c r="AN57" s="47">
        <f t="shared" si="6"/>
        <v>0.19999999999999996</v>
      </c>
      <c r="AP57" s="110">
        <f t="shared" si="19"/>
        <v>343000</v>
      </c>
      <c r="AQ57" s="111">
        <f t="shared" si="20"/>
        <v>352000</v>
      </c>
      <c r="AR57" s="112">
        <f t="shared" si="21"/>
        <v>451000</v>
      </c>
      <c r="AS57" s="77">
        <f t="shared" si="22"/>
        <v>49610</v>
      </c>
      <c r="AT57" s="78">
        <f t="shared" si="23"/>
        <v>401390</v>
      </c>
      <c r="AU57" s="77">
        <f t="shared" si="7"/>
        <v>58630</v>
      </c>
      <c r="AV57" s="78">
        <f t="shared" si="8"/>
        <v>392370</v>
      </c>
      <c r="AY57" s="103">
        <f t="shared" si="24"/>
        <v>313000</v>
      </c>
      <c r="AZ57" s="98">
        <f t="shared" si="25"/>
        <v>322000</v>
      </c>
      <c r="BA57" s="99">
        <f t="shared" si="26"/>
        <v>421000</v>
      </c>
      <c r="BB57" s="77">
        <f t="shared" si="27"/>
        <v>46310</v>
      </c>
      <c r="BC57" s="78">
        <f t="shared" si="28"/>
        <v>374690</v>
      </c>
      <c r="BD57" s="77">
        <f t="shared" si="9"/>
        <v>54730</v>
      </c>
      <c r="BE57" s="78">
        <f t="shared" si="10"/>
        <v>366270</v>
      </c>
    </row>
    <row r="58" spans="2:57" s="42" customFormat="1" ht="15" customHeight="1">
      <c r="B58" s="250"/>
      <c r="C58" s="262"/>
      <c r="D58" s="266"/>
      <c r="E58" s="253"/>
      <c r="F58" s="250"/>
      <c r="G58" s="251"/>
      <c r="H58" s="90" t="s">
        <v>146</v>
      </c>
      <c r="I58" s="56">
        <v>269000</v>
      </c>
      <c r="J58" s="56">
        <v>279000</v>
      </c>
      <c r="K58" s="56">
        <v>398000</v>
      </c>
      <c r="L58" s="56">
        <v>101000</v>
      </c>
      <c r="M58" s="56">
        <v>115000</v>
      </c>
      <c r="N58" s="56">
        <v>27000</v>
      </c>
      <c r="O58" s="51">
        <f t="shared" si="11"/>
        <v>15000</v>
      </c>
      <c r="Q58" s="52">
        <v>269000</v>
      </c>
      <c r="R58" s="52">
        <v>279000</v>
      </c>
      <c r="S58" s="52">
        <v>398000</v>
      </c>
      <c r="T58" s="69">
        <f t="shared" si="12"/>
        <v>1.4265232974910393</v>
      </c>
      <c r="U58" s="52">
        <f t="shared" si="13"/>
        <v>119000</v>
      </c>
      <c r="W58" s="56">
        <v>269000</v>
      </c>
      <c r="X58" s="54">
        <f t="shared" si="0"/>
        <v>0</v>
      </c>
      <c r="Y58" s="56">
        <v>279000</v>
      </c>
      <c r="Z58" s="54">
        <f t="shared" si="1"/>
        <v>0</v>
      </c>
      <c r="AA58" s="56">
        <v>398000</v>
      </c>
      <c r="AB58" s="53">
        <f t="shared" si="2"/>
        <v>0</v>
      </c>
      <c r="AC58" s="56">
        <v>54000</v>
      </c>
      <c r="AD58" s="54">
        <f t="shared" si="3"/>
        <v>0.46534653465346532</v>
      </c>
      <c r="AE58" s="56">
        <f t="shared" si="14"/>
        <v>44000</v>
      </c>
      <c r="AF58" s="54">
        <f t="shared" si="4"/>
        <v>0.61739130434782608</v>
      </c>
      <c r="AG58" s="94">
        <v>0</v>
      </c>
      <c r="AH58" s="91">
        <f t="shared" si="5"/>
        <v>1</v>
      </c>
      <c r="AI58" s="94">
        <f t="shared" si="15"/>
        <v>12000</v>
      </c>
      <c r="AJ58" s="91">
        <f t="shared" si="16"/>
        <v>0.55555555555555558</v>
      </c>
      <c r="AK58" s="45">
        <v>0</v>
      </c>
      <c r="AL58" s="47">
        <f t="shared" si="17"/>
        <v>1</v>
      </c>
      <c r="AM58" s="45">
        <f t="shared" si="18"/>
        <v>12000</v>
      </c>
      <c r="AN58" s="47">
        <f t="shared" si="6"/>
        <v>0.19999999999999996</v>
      </c>
      <c r="AP58" s="110">
        <f t="shared" si="19"/>
        <v>367000</v>
      </c>
      <c r="AQ58" s="111">
        <f t="shared" si="20"/>
        <v>377000</v>
      </c>
      <c r="AR58" s="112">
        <f t="shared" si="21"/>
        <v>496000</v>
      </c>
      <c r="AS58" s="77">
        <f t="shared" si="22"/>
        <v>54560</v>
      </c>
      <c r="AT58" s="78">
        <f t="shared" si="23"/>
        <v>441440</v>
      </c>
      <c r="AU58" s="77">
        <f t="shared" si="7"/>
        <v>64480</v>
      </c>
      <c r="AV58" s="78">
        <f t="shared" si="8"/>
        <v>431520</v>
      </c>
      <c r="AY58" s="103">
        <f t="shared" si="24"/>
        <v>337000</v>
      </c>
      <c r="AZ58" s="98">
        <f t="shared" si="25"/>
        <v>347000</v>
      </c>
      <c r="BA58" s="99">
        <f t="shared" si="26"/>
        <v>466000</v>
      </c>
      <c r="BB58" s="77">
        <f t="shared" si="27"/>
        <v>51260</v>
      </c>
      <c r="BC58" s="78">
        <f t="shared" si="28"/>
        <v>414740</v>
      </c>
      <c r="BD58" s="77">
        <f t="shared" si="9"/>
        <v>60580</v>
      </c>
      <c r="BE58" s="78">
        <f t="shared" si="10"/>
        <v>405420</v>
      </c>
    </row>
    <row r="59" spans="2:57" s="42" customFormat="1" ht="15" customHeight="1">
      <c r="B59" s="250"/>
      <c r="C59" s="262"/>
      <c r="D59" s="266"/>
      <c r="E59" s="253"/>
      <c r="F59" s="248" t="s">
        <v>80</v>
      </c>
      <c r="G59" s="249"/>
      <c r="H59" s="59" t="s">
        <v>156</v>
      </c>
      <c r="I59" s="48">
        <v>221000</v>
      </c>
      <c r="J59" s="48">
        <v>231000</v>
      </c>
      <c r="K59" s="48">
        <v>294000</v>
      </c>
      <c r="L59" s="48">
        <v>101000</v>
      </c>
      <c r="M59" s="48">
        <v>115000</v>
      </c>
      <c r="N59" s="48">
        <v>27000</v>
      </c>
      <c r="O59" s="48">
        <f t="shared" si="11"/>
        <v>15000</v>
      </c>
      <c r="Q59" s="72">
        <v>201000</v>
      </c>
      <c r="R59" s="72">
        <v>211000</v>
      </c>
      <c r="S59" s="72">
        <v>264000</v>
      </c>
      <c r="T59" s="68">
        <f t="shared" si="12"/>
        <v>1.2511848341232228</v>
      </c>
      <c r="U59" s="46">
        <f t="shared" si="13"/>
        <v>53000</v>
      </c>
      <c r="W59" s="48">
        <v>201000</v>
      </c>
      <c r="X59" s="49">
        <f t="shared" si="0"/>
        <v>9.0497737556561098E-2</v>
      </c>
      <c r="Y59" s="48">
        <v>211000</v>
      </c>
      <c r="Z59" s="49">
        <f t="shared" si="1"/>
        <v>8.6580086580086535E-2</v>
      </c>
      <c r="AA59" s="48">
        <v>264000</v>
      </c>
      <c r="AB59" s="49">
        <f t="shared" si="2"/>
        <v>0.10204081632653061</v>
      </c>
      <c r="AC59" s="48">
        <v>54000</v>
      </c>
      <c r="AD59" s="63">
        <f t="shared" si="3"/>
        <v>0.46534653465346532</v>
      </c>
      <c r="AE59" s="48">
        <f t="shared" si="14"/>
        <v>44000</v>
      </c>
      <c r="AF59" s="49">
        <f t="shared" si="4"/>
        <v>0.61739130434782608</v>
      </c>
      <c r="AG59" s="95">
        <v>0</v>
      </c>
      <c r="AH59" s="92">
        <f t="shared" si="5"/>
        <v>1</v>
      </c>
      <c r="AI59" s="95">
        <f t="shared" si="15"/>
        <v>12000</v>
      </c>
      <c r="AJ59" s="92">
        <f t="shared" si="16"/>
        <v>0.55555555555555558</v>
      </c>
      <c r="AK59" s="45">
        <v>0</v>
      </c>
      <c r="AL59" s="47">
        <f t="shared" si="17"/>
        <v>1</v>
      </c>
      <c r="AM59" s="45">
        <f t="shared" si="18"/>
        <v>12000</v>
      </c>
      <c r="AN59" s="47">
        <f t="shared" si="6"/>
        <v>0.19999999999999996</v>
      </c>
      <c r="AP59" s="113">
        <f t="shared" si="19"/>
        <v>299000</v>
      </c>
      <c r="AQ59" s="114">
        <f t="shared" si="20"/>
        <v>309000</v>
      </c>
      <c r="AR59" s="115">
        <f t="shared" si="21"/>
        <v>362000</v>
      </c>
      <c r="AS59" s="77">
        <f t="shared" si="22"/>
        <v>39820</v>
      </c>
      <c r="AT59" s="78">
        <f t="shared" si="23"/>
        <v>322180</v>
      </c>
      <c r="AU59" s="77">
        <f t="shared" si="7"/>
        <v>47060</v>
      </c>
      <c r="AV59" s="78">
        <f t="shared" si="8"/>
        <v>314940</v>
      </c>
      <c r="AY59" s="100">
        <f t="shared" si="24"/>
        <v>269000</v>
      </c>
      <c r="AZ59" s="101">
        <f t="shared" si="25"/>
        <v>279000</v>
      </c>
      <c r="BA59" s="102">
        <f t="shared" si="26"/>
        <v>332000</v>
      </c>
      <c r="BB59" s="77">
        <f t="shared" si="27"/>
        <v>36520</v>
      </c>
      <c r="BC59" s="78">
        <f t="shared" si="28"/>
        <v>295480</v>
      </c>
      <c r="BD59" s="77">
        <f t="shared" si="9"/>
        <v>43160</v>
      </c>
      <c r="BE59" s="78">
        <f t="shared" si="10"/>
        <v>288840</v>
      </c>
    </row>
    <row r="60" spans="2:57" s="42" customFormat="1" ht="15" customHeight="1">
      <c r="B60" s="250"/>
      <c r="C60" s="262"/>
      <c r="D60" s="266"/>
      <c r="E60" s="253"/>
      <c r="F60" s="250"/>
      <c r="G60" s="251"/>
      <c r="H60" s="55" t="s">
        <v>157</v>
      </c>
      <c r="I60" s="51">
        <v>221000</v>
      </c>
      <c r="J60" s="51">
        <v>231000</v>
      </c>
      <c r="K60" s="51">
        <v>294000</v>
      </c>
      <c r="L60" s="51">
        <v>101000</v>
      </c>
      <c r="M60" s="51">
        <v>115000</v>
      </c>
      <c r="N60" s="51">
        <v>27000</v>
      </c>
      <c r="O60" s="51">
        <f t="shared" si="11"/>
        <v>15000</v>
      </c>
      <c r="Q60" s="52">
        <v>221000</v>
      </c>
      <c r="R60" s="52">
        <v>231000</v>
      </c>
      <c r="S60" s="52">
        <v>284000</v>
      </c>
      <c r="T60" s="69">
        <f t="shared" si="12"/>
        <v>1.2294372294372293</v>
      </c>
      <c r="U60" s="52">
        <f t="shared" si="13"/>
        <v>53000</v>
      </c>
      <c r="W60" s="56">
        <v>221000</v>
      </c>
      <c r="X60" s="54">
        <f t="shared" si="0"/>
        <v>0</v>
      </c>
      <c r="Y60" s="56">
        <v>231000</v>
      </c>
      <c r="Z60" s="54">
        <f t="shared" si="1"/>
        <v>0</v>
      </c>
      <c r="AA60" s="56">
        <v>284000</v>
      </c>
      <c r="AB60" s="53">
        <f t="shared" si="2"/>
        <v>3.4013605442176909E-2</v>
      </c>
      <c r="AC60" s="51">
        <v>54000</v>
      </c>
      <c r="AD60" s="54">
        <f t="shared" si="3"/>
        <v>0.46534653465346532</v>
      </c>
      <c r="AE60" s="51">
        <f t="shared" si="14"/>
        <v>44000</v>
      </c>
      <c r="AF60" s="54">
        <f t="shared" si="4"/>
        <v>0.61739130434782608</v>
      </c>
      <c r="AG60" s="94">
        <v>0</v>
      </c>
      <c r="AH60" s="91">
        <f t="shared" si="5"/>
        <v>1</v>
      </c>
      <c r="AI60" s="94">
        <f t="shared" si="15"/>
        <v>12000</v>
      </c>
      <c r="AJ60" s="91">
        <f t="shared" si="16"/>
        <v>0.55555555555555558</v>
      </c>
      <c r="AK60" s="45">
        <v>0</v>
      </c>
      <c r="AL60" s="47">
        <f t="shared" si="17"/>
        <v>1</v>
      </c>
      <c r="AM60" s="45">
        <f t="shared" si="18"/>
        <v>12000</v>
      </c>
      <c r="AN60" s="47">
        <f t="shared" si="6"/>
        <v>0.19999999999999996</v>
      </c>
      <c r="AP60" s="110">
        <f t="shared" si="19"/>
        <v>319000</v>
      </c>
      <c r="AQ60" s="111">
        <f t="shared" si="20"/>
        <v>329000</v>
      </c>
      <c r="AR60" s="112">
        <f t="shared" si="21"/>
        <v>382000</v>
      </c>
      <c r="AS60" s="77">
        <f t="shared" si="22"/>
        <v>42020</v>
      </c>
      <c r="AT60" s="78">
        <f t="shared" si="23"/>
        <v>339980</v>
      </c>
      <c r="AU60" s="77">
        <f t="shared" si="7"/>
        <v>49660</v>
      </c>
      <c r="AV60" s="78">
        <f t="shared" si="8"/>
        <v>332340</v>
      </c>
      <c r="AY60" s="103">
        <f t="shared" si="24"/>
        <v>289000</v>
      </c>
      <c r="AZ60" s="98">
        <f t="shared" si="25"/>
        <v>299000</v>
      </c>
      <c r="BA60" s="99">
        <f t="shared" si="26"/>
        <v>352000</v>
      </c>
      <c r="BB60" s="77">
        <f t="shared" si="27"/>
        <v>38720</v>
      </c>
      <c r="BC60" s="78">
        <f t="shared" si="28"/>
        <v>313280</v>
      </c>
      <c r="BD60" s="77">
        <f t="shared" si="9"/>
        <v>45760</v>
      </c>
      <c r="BE60" s="78">
        <f t="shared" si="10"/>
        <v>306240</v>
      </c>
    </row>
    <row r="61" spans="2:57" s="42" customFormat="1" ht="15" customHeight="1">
      <c r="B61" s="250"/>
      <c r="C61" s="262"/>
      <c r="D61" s="266"/>
      <c r="E61" s="253"/>
      <c r="F61" s="250"/>
      <c r="G61" s="251"/>
      <c r="H61" s="50" t="s">
        <v>149</v>
      </c>
      <c r="I61" s="51">
        <v>256000</v>
      </c>
      <c r="J61" s="51">
        <v>265000</v>
      </c>
      <c r="K61" s="51">
        <v>364000</v>
      </c>
      <c r="L61" s="51">
        <v>101000</v>
      </c>
      <c r="M61" s="51">
        <v>115000</v>
      </c>
      <c r="N61" s="51">
        <v>27000</v>
      </c>
      <c r="O61" s="51">
        <f t="shared" si="11"/>
        <v>15000</v>
      </c>
      <c r="Q61" s="52">
        <v>236000</v>
      </c>
      <c r="R61" s="52">
        <v>245000</v>
      </c>
      <c r="S61" s="52">
        <v>324000</v>
      </c>
      <c r="T61" s="69">
        <f t="shared" si="12"/>
        <v>1.3224489795918368</v>
      </c>
      <c r="U61" s="52">
        <f t="shared" si="13"/>
        <v>79000</v>
      </c>
      <c r="W61" s="56">
        <v>236000</v>
      </c>
      <c r="X61" s="54">
        <f t="shared" si="0"/>
        <v>7.8125E-2</v>
      </c>
      <c r="Y61" s="56">
        <v>245000</v>
      </c>
      <c r="Z61" s="54">
        <f t="shared" si="1"/>
        <v>7.547169811320753E-2</v>
      </c>
      <c r="AA61" s="56">
        <v>324000</v>
      </c>
      <c r="AB61" s="53">
        <f t="shared" si="2"/>
        <v>0.10989010989010994</v>
      </c>
      <c r="AC61" s="51">
        <v>54000</v>
      </c>
      <c r="AD61" s="54">
        <f t="shared" si="3"/>
        <v>0.46534653465346532</v>
      </c>
      <c r="AE61" s="51">
        <f t="shared" si="14"/>
        <v>44000</v>
      </c>
      <c r="AF61" s="54">
        <f t="shared" si="4"/>
        <v>0.61739130434782608</v>
      </c>
      <c r="AG61" s="94">
        <v>0</v>
      </c>
      <c r="AH61" s="91">
        <f t="shared" si="5"/>
        <v>1</v>
      </c>
      <c r="AI61" s="94">
        <f t="shared" si="15"/>
        <v>12000</v>
      </c>
      <c r="AJ61" s="91">
        <f t="shared" si="16"/>
        <v>0.55555555555555558</v>
      </c>
      <c r="AK61" s="45">
        <v>0</v>
      </c>
      <c r="AL61" s="47">
        <f t="shared" si="17"/>
        <v>1</v>
      </c>
      <c r="AM61" s="45">
        <f t="shared" si="18"/>
        <v>12000</v>
      </c>
      <c r="AN61" s="47">
        <f t="shared" si="6"/>
        <v>0.19999999999999996</v>
      </c>
      <c r="AP61" s="110">
        <f t="shared" si="19"/>
        <v>334000</v>
      </c>
      <c r="AQ61" s="111">
        <f t="shared" si="20"/>
        <v>343000</v>
      </c>
      <c r="AR61" s="112">
        <f t="shared" si="21"/>
        <v>422000</v>
      </c>
      <c r="AS61" s="77">
        <f t="shared" si="22"/>
        <v>46420</v>
      </c>
      <c r="AT61" s="78">
        <f t="shared" si="23"/>
        <v>375580</v>
      </c>
      <c r="AU61" s="77">
        <f t="shared" si="7"/>
        <v>54860</v>
      </c>
      <c r="AV61" s="78">
        <f t="shared" si="8"/>
        <v>367140</v>
      </c>
      <c r="AY61" s="103">
        <f t="shared" si="24"/>
        <v>304000</v>
      </c>
      <c r="AZ61" s="98">
        <f t="shared" si="25"/>
        <v>313000</v>
      </c>
      <c r="BA61" s="99">
        <f t="shared" si="26"/>
        <v>392000</v>
      </c>
      <c r="BB61" s="77">
        <f t="shared" si="27"/>
        <v>43120</v>
      </c>
      <c r="BC61" s="78">
        <f t="shared" si="28"/>
        <v>348880</v>
      </c>
      <c r="BD61" s="77">
        <f t="shared" si="9"/>
        <v>50960</v>
      </c>
      <c r="BE61" s="78">
        <f t="shared" si="10"/>
        <v>341040</v>
      </c>
    </row>
    <row r="62" spans="2:57" s="42" customFormat="1" ht="15" customHeight="1">
      <c r="B62" s="250"/>
      <c r="C62" s="262"/>
      <c r="D62" s="266"/>
      <c r="E62" s="253"/>
      <c r="F62" s="250"/>
      <c r="G62" s="251"/>
      <c r="H62" s="90" t="s">
        <v>150</v>
      </c>
      <c r="I62" s="51">
        <v>256000</v>
      </c>
      <c r="J62" s="51">
        <v>265000</v>
      </c>
      <c r="K62" s="51">
        <v>364000</v>
      </c>
      <c r="L62" s="51">
        <v>101000</v>
      </c>
      <c r="M62" s="51">
        <v>115000</v>
      </c>
      <c r="N62" s="51">
        <v>27000</v>
      </c>
      <c r="O62" s="51">
        <f t="shared" si="11"/>
        <v>15000</v>
      </c>
      <c r="Q62" s="52">
        <v>256000</v>
      </c>
      <c r="R62" s="52">
        <v>265000</v>
      </c>
      <c r="S62" s="52">
        <v>364000</v>
      </c>
      <c r="T62" s="69">
        <f t="shared" si="12"/>
        <v>1.3735849056603773</v>
      </c>
      <c r="U62" s="52">
        <f t="shared" si="13"/>
        <v>99000</v>
      </c>
      <c r="W62" s="56">
        <v>256000</v>
      </c>
      <c r="X62" s="54">
        <f t="shared" si="0"/>
        <v>0</v>
      </c>
      <c r="Y62" s="56">
        <v>265000</v>
      </c>
      <c r="Z62" s="54">
        <f t="shared" si="1"/>
        <v>0</v>
      </c>
      <c r="AA62" s="56">
        <v>364000</v>
      </c>
      <c r="AB62" s="53">
        <f t="shared" si="2"/>
        <v>0</v>
      </c>
      <c r="AC62" s="51">
        <v>54000</v>
      </c>
      <c r="AD62" s="54">
        <f t="shared" si="3"/>
        <v>0.46534653465346532</v>
      </c>
      <c r="AE62" s="51">
        <f t="shared" si="14"/>
        <v>44000</v>
      </c>
      <c r="AF62" s="54">
        <f t="shared" si="4"/>
        <v>0.61739130434782608</v>
      </c>
      <c r="AG62" s="94">
        <v>0</v>
      </c>
      <c r="AH62" s="91">
        <f t="shared" si="5"/>
        <v>1</v>
      </c>
      <c r="AI62" s="94">
        <f t="shared" si="15"/>
        <v>12000</v>
      </c>
      <c r="AJ62" s="91">
        <f t="shared" si="16"/>
        <v>0.55555555555555558</v>
      </c>
      <c r="AK62" s="45">
        <v>0</v>
      </c>
      <c r="AL62" s="47">
        <f t="shared" si="17"/>
        <v>1</v>
      </c>
      <c r="AM62" s="45">
        <f t="shared" si="18"/>
        <v>12000</v>
      </c>
      <c r="AN62" s="47">
        <f t="shared" si="6"/>
        <v>0.19999999999999996</v>
      </c>
      <c r="AP62" s="110">
        <f t="shared" si="19"/>
        <v>354000</v>
      </c>
      <c r="AQ62" s="111">
        <f t="shared" si="20"/>
        <v>363000</v>
      </c>
      <c r="AR62" s="112">
        <f t="shared" si="21"/>
        <v>462000</v>
      </c>
      <c r="AS62" s="77">
        <f t="shared" si="22"/>
        <v>50820</v>
      </c>
      <c r="AT62" s="78">
        <f t="shared" si="23"/>
        <v>411180</v>
      </c>
      <c r="AU62" s="77">
        <f t="shared" si="7"/>
        <v>60060</v>
      </c>
      <c r="AV62" s="78">
        <f t="shared" si="8"/>
        <v>401940</v>
      </c>
      <c r="AY62" s="103">
        <f t="shared" si="24"/>
        <v>324000</v>
      </c>
      <c r="AZ62" s="98">
        <f t="shared" si="25"/>
        <v>333000</v>
      </c>
      <c r="BA62" s="99">
        <f t="shared" si="26"/>
        <v>432000</v>
      </c>
      <c r="BB62" s="77">
        <f t="shared" si="27"/>
        <v>47520</v>
      </c>
      <c r="BC62" s="78">
        <f t="shared" si="28"/>
        <v>384480</v>
      </c>
      <c r="BD62" s="77">
        <f t="shared" si="9"/>
        <v>56160</v>
      </c>
      <c r="BE62" s="78">
        <f t="shared" si="10"/>
        <v>375840</v>
      </c>
    </row>
    <row r="63" spans="2:57" s="42" customFormat="1" ht="15" customHeight="1">
      <c r="B63" s="250"/>
      <c r="C63" s="262"/>
      <c r="D63" s="266"/>
      <c r="E63" s="253"/>
      <c r="F63" s="250"/>
      <c r="G63" s="251"/>
      <c r="H63" s="90" t="s">
        <v>146</v>
      </c>
      <c r="I63" s="56">
        <v>280000</v>
      </c>
      <c r="J63" s="56">
        <v>290000</v>
      </c>
      <c r="K63" s="56">
        <v>409000</v>
      </c>
      <c r="L63" s="56">
        <v>101000</v>
      </c>
      <c r="M63" s="56">
        <v>115000</v>
      </c>
      <c r="N63" s="56">
        <v>27000</v>
      </c>
      <c r="O63" s="51">
        <f t="shared" si="11"/>
        <v>15000</v>
      </c>
      <c r="Q63" s="52">
        <v>280000</v>
      </c>
      <c r="R63" s="52">
        <v>290000</v>
      </c>
      <c r="S63" s="52">
        <v>409000</v>
      </c>
      <c r="T63" s="69">
        <f t="shared" si="12"/>
        <v>1.4103448275862069</v>
      </c>
      <c r="U63" s="52">
        <f t="shared" si="13"/>
        <v>119000</v>
      </c>
      <c r="W63" s="56">
        <v>280000</v>
      </c>
      <c r="X63" s="54">
        <f t="shared" si="0"/>
        <v>0</v>
      </c>
      <c r="Y63" s="56">
        <v>290000</v>
      </c>
      <c r="Z63" s="54">
        <f t="shared" si="1"/>
        <v>0</v>
      </c>
      <c r="AA63" s="56">
        <v>409000</v>
      </c>
      <c r="AB63" s="53">
        <f t="shared" si="2"/>
        <v>0</v>
      </c>
      <c r="AC63" s="56">
        <v>54000</v>
      </c>
      <c r="AD63" s="54">
        <f t="shared" si="3"/>
        <v>0.46534653465346532</v>
      </c>
      <c r="AE63" s="56">
        <f t="shared" si="14"/>
        <v>44000</v>
      </c>
      <c r="AF63" s="54">
        <f t="shared" si="4"/>
        <v>0.61739130434782608</v>
      </c>
      <c r="AG63" s="94">
        <v>0</v>
      </c>
      <c r="AH63" s="91">
        <f t="shared" si="5"/>
        <v>1</v>
      </c>
      <c r="AI63" s="94">
        <f t="shared" si="15"/>
        <v>12000</v>
      </c>
      <c r="AJ63" s="91">
        <f t="shared" si="16"/>
        <v>0.55555555555555558</v>
      </c>
      <c r="AK63" s="45">
        <v>0</v>
      </c>
      <c r="AL63" s="47">
        <f t="shared" si="17"/>
        <v>1</v>
      </c>
      <c r="AM63" s="45">
        <f t="shared" si="18"/>
        <v>12000</v>
      </c>
      <c r="AN63" s="47">
        <f t="shared" si="6"/>
        <v>0.19999999999999996</v>
      </c>
      <c r="AP63" s="110">
        <f t="shared" si="19"/>
        <v>378000</v>
      </c>
      <c r="AQ63" s="111">
        <f t="shared" si="20"/>
        <v>388000</v>
      </c>
      <c r="AR63" s="112">
        <f t="shared" si="21"/>
        <v>507000</v>
      </c>
      <c r="AS63" s="77">
        <f t="shared" si="22"/>
        <v>55770</v>
      </c>
      <c r="AT63" s="78">
        <f t="shared" si="23"/>
        <v>451230</v>
      </c>
      <c r="AU63" s="77">
        <f t="shared" si="7"/>
        <v>65910</v>
      </c>
      <c r="AV63" s="78">
        <f t="shared" si="8"/>
        <v>441090</v>
      </c>
      <c r="AY63" s="103">
        <f t="shared" si="24"/>
        <v>348000</v>
      </c>
      <c r="AZ63" s="98">
        <f t="shared" si="25"/>
        <v>358000</v>
      </c>
      <c r="BA63" s="99">
        <f t="shared" si="26"/>
        <v>477000</v>
      </c>
      <c r="BB63" s="77">
        <f t="shared" si="27"/>
        <v>52470</v>
      </c>
      <c r="BC63" s="78">
        <f t="shared" si="28"/>
        <v>424530</v>
      </c>
      <c r="BD63" s="77">
        <f t="shared" si="9"/>
        <v>62010</v>
      </c>
      <c r="BE63" s="78">
        <f t="shared" si="10"/>
        <v>414990</v>
      </c>
    </row>
    <row r="64" spans="2:57" s="42" customFormat="1" ht="15" customHeight="1">
      <c r="B64" s="250"/>
      <c r="C64" s="262"/>
      <c r="D64" s="266"/>
      <c r="E64" s="253"/>
      <c r="F64" s="248" t="s">
        <v>83</v>
      </c>
      <c r="G64" s="249"/>
      <c r="H64" s="59" t="s">
        <v>156</v>
      </c>
      <c r="I64" s="48">
        <v>232000</v>
      </c>
      <c r="J64" s="48">
        <v>242000</v>
      </c>
      <c r="K64" s="48">
        <v>305000</v>
      </c>
      <c r="L64" s="48">
        <v>101000</v>
      </c>
      <c r="M64" s="48">
        <v>115000</v>
      </c>
      <c r="N64" s="48">
        <v>27000</v>
      </c>
      <c r="O64" s="48">
        <f t="shared" si="11"/>
        <v>15000</v>
      </c>
      <c r="Q64" s="72">
        <v>212000</v>
      </c>
      <c r="R64" s="72">
        <v>222000</v>
      </c>
      <c r="S64" s="72">
        <v>275000</v>
      </c>
      <c r="T64" s="68">
        <f t="shared" si="12"/>
        <v>1.2387387387387387</v>
      </c>
      <c r="U64" s="46">
        <f t="shared" si="13"/>
        <v>53000</v>
      </c>
      <c r="W64" s="48">
        <v>212000</v>
      </c>
      <c r="X64" s="49">
        <f t="shared" si="0"/>
        <v>8.6206896551724088E-2</v>
      </c>
      <c r="Y64" s="48">
        <v>222000</v>
      </c>
      <c r="Z64" s="49">
        <f t="shared" si="1"/>
        <v>8.2644628099173501E-2</v>
      </c>
      <c r="AA64" s="48">
        <v>275000</v>
      </c>
      <c r="AB64" s="49">
        <f t="shared" si="2"/>
        <v>9.8360655737704916E-2</v>
      </c>
      <c r="AC64" s="48">
        <v>54000</v>
      </c>
      <c r="AD64" s="49">
        <f t="shared" si="3"/>
        <v>0.46534653465346532</v>
      </c>
      <c r="AE64" s="48">
        <f t="shared" si="14"/>
        <v>44000</v>
      </c>
      <c r="AF64" s="49">
        <f t="shared" si="4"/>
        <v>0.61739130434782608</v>
      </c>
      <c r="AG64" s="95">
        <v>0</v>
      </c>
      <c r="AH64" s="92">
        <f t="shared" si="5"/>
        <v>1</v>
      </c>
      <c r="AI64" s="95">
        <f t="shared" si="15"/>
        <v>12000</v>
      </c>
      <c r="AJ64" s="92">
        <f t="shared" si="16"/>
        <v>0.55555555555555558</v>
      </c>
      <c r="AK64" s="45">
        <v>0</v>
      </c>
      <c r="AL64" s="47">
        <f t="shared" si="17"/>
        <v>1</v>
      </c>
      <c r="AM64" s="45">
        <f t="shared" si="18"/>
        <v>12000</v>
      </c>
      <c r="AN64" s="47">
        <f t="shared" si="6"/>
        <v>0.19999999999999996</v>
      </c>
      <c r="AP64" s="113">
        <f t="shared" si="19"/>
        <v>310000</v>
      </c>
      <c r="AQ64" s="114">
        <f t="shared" si="20"/>
        <v>320000</v>
      </c>
      <c r="AR64" s="115">
        <f t="shared" si="21"/>
        <v>373000</v>
      </c>
      <c r="AS64" s="77">
        <f t="shared" si="22"/>
        <v>41030</v>
      </c>
      <c r="AT64" s="78">
        <f t="shared" si="23"/>
        <v>331970</v>
      </c>
      <c r="AU64" s="77">
        <f t="shared" si="7"/>
        <v>48490</v>
      </c>
      <c r="AV64" s="78">
        <f t="shared" si="8"/>
        <v>324510</v>
      </c>
      <c r="AY64" s="100">
        <f t="shared" si="24"/>
        <v>280000</v>
      </c>
      <c r="AZ64" s="101">
        <f t="shared" si="25"/>
        <v>290000</v>
      </c>
      <c r="BA64" s="102">
        <f t="shared" si="26"/>
        <v>343000</v>
      </c>
      <c r="BB64" s="77">
        <f t="shared" si="27"/>
        <v>37730</v>
      </c>
      <c r="BC64" s="78">
        <f t="shared" si="28"/>
        <v>305270</v>
      </c>
      <c r="BD64" s="77">
        <f t="shared" si="9"/>
        <v>44590</v>
      </c>
      <c r="BE64" s="78">
        <f t="shared" si="10"/>
        <v>298410</v>
      </c>
    </row>
    <row r="65" spans="2:57" s="42" customFormat="1" ht="15" customHeight="1">
      <c r="B65" s="250"/>
      <c r="C65" s="262"/>
      <c r="D65" s="266"/>
      <c r="E65" s="253"/>
      <c r="F65" s="250"/>
      <c r="G65" s="251"/>
      <c r="H65" s="55" t="s">
        <v>157</v>
      </c>
      <c r="I65" s="51">
        <v>232000</v>
      </c>
      <c r="J65" s="51">
        <v>242000</v>
      </c>
      <c r="K65" s="51">
        <v>305000</v>
      </c>
      <c r="L65" s="51">
        <v>101000</v>
      </c>
      <c r="M65" s="51">
        <v>115000</v>
      </c>
      <c r="N65" s="51">
        <v>27000</v>
      </c>
      <c r="O65" s="51">
        <f t="shared" si="11"/>
        <v>15000</v>
      </c>
      <c r="Q65" s="52">
        <v>232000</v>
      </c>
      <c r="R65" s="52">
        <v>242000</v>
      </c>
      <c r="S65" s="52">
        <v>295000</v>
      </c>
      <c r="T65" s="69">
        <f t="shared" si="12"/>
        <v>1.21900826446281</v>
      </c>
      <c r="U65" s="52">
        <f t="shared" si="13"/>
        <v>53000</v>
      </c>
      <c r="W65" s="56">
        <v>232000</v>
      </c>
      <c r="X65" s="54">
        <f t="shared" si="0"/>
        <v>0</v>
      </c>
      <c r="Y65" s="56">
        <v>242000</v>
      </c>
      <c r="Z65" s="54">
        <f t="shared" si="1"/>
        <v>0</v>
      </c>
      <c r="AA65" s="56">
        <v>295000</v>
      </c>
      <c r="AB65" s="53">
        <f t="shared" si="2"/>
        <v>3.2786885245901676E-2</v>
      </c>
      <c r="AC65" s="51">
        <v>54000</v>
      </c>
      <c r="AD65" s="54">
        <f t="shared" si="3"/>
        <v>0.46534653465346532</v>
      </c>
      <c r="AE65" s="51">
        <f t="shared" si="14"/>
        <v>44000</v>
      </c>
      <c r="AF65" s="54">
        <f t="shared" si="4"/>
        <v>0.61739130434782608</v>
      </c>
      <c r="AG65" s="94">
        <v>0</v>
      </c>
      <c r="AH65" s="91">
        <f t="shared" si="5"/>
        <v>1</v>
      </c>
      <c r="AI65" s="94">
        <f t="shared" si="15"/>
        <v>12000</v>
      </c>
      <c r="AJ65" s="91">
        <f t="shared" si="16"/>
        <v>0.55555555555555558</v>
      </c>
      <c r="AK65" s="45">
        <v>0</v>
      </c>
      <c r="AL65" s="47">
        <f t="shared" si="17"/>
        <v>1</v>
      </c>
      <c r="AM65" s="45">
        <f t="shared" si="18"/>
        <v>12000</v>
      </c>
      <c r="AN65" s="47">
        <f t="shared" si="6"/>
        <v>0.19999999999999996</v>
      </c>
      <c r="AP65" s="110">
        <f t="shared" si="19"/>
        <v>330000</v>
      </c>
      <c r="AQ65" s="111">
        <f t="shared" si="20"/>
        <v>340000</v>
      </c>
      <c r="AR65" s="112">
        <f t="shared" si="21"/>
        <v>393000</v>
      </c>
      <c r="AS65" s="77">
        <f t="shared" si="22"/>
        <v>43230</v>
      </c>
      <c r="AT65" s="78">
        <f t="shared" si="23"/>
        <v>349770</v>
      </c>
      <c r="AU65" s="77">
        <f t="shared" si="7"/>
        <v>51090</v>
      </c>
      <c r="AV65" s="78">
        <f t="shared" si="8"/>
        <v>341910</v>
      </c>
      <c r="AY65" s="103">
        <f t="shared" si="24"/>
        <v>300000</v>
      </c>
      <c r="AZ65" s="98">
        <f t="shared" si="25"/>
        <v>310000</v>
      </c>
      <c r="BA65" s="99">
        <f t="shared" si="26"/>
        <v>363000</v>
      </c>
      <c r="BB65" s="77">
        <f t="shared" si="27"/>
        <v>39930</v>
      </c>
      <c r="BC65" s="78">
        <f t="shared" si="28"/>
        <v>323070</v>
      </c>
      <c r="BD65" s="77">
        <f t="shared" si="9"/>
        <v>47190</v>
      </c>
      <c r="BE65" s="78">
        <f t="shared" si="10"/>
        <v>315810</v>
      </c>
    </row>
    <row r="66" spans="2:57" s="42" customFormat="1" ht="15" customHeight="1">
      <c r="B66" s="250"/>
      <c r="C66" s="262"/>
      <c r="D66" s="266"/>
      <c r="E66" s="253"/>
      <c r="F66" s="250"/>
      <c r="G66" s="251"/>
      <c r="H66" s="50" t="s">
        <v>149</v>
      </c>
      <c r="I66" s="51">
        <v>267000</v>
      </c>
      <c r="J66" s="51">
        <v>276000</v>
      </c>
      <c r="K66" s="51">
        <v>375000</v>
      </c>
      <c r="L66" s="51">
        <v>101000</v>
      </c>
      <c r="M66" s="51">
        <v>115000</v>
      </c>
      <c r="N66" s="51">
        <v>27000</v>
      </c>
      <c r="O66" s="51">
        <f t="shared" si="11"/>
        <v>15000</v>
      </c>
      <c r="Q66" s="52">
        <v>247000</v>
      </c>
      <c r="R66" s="52">
        <v>256000</v>
      </c>
      <c r="S66" s="52">
        <v>335000</v>
      </c>
      <c r="T66" s="69">
        <f t="shared" si="12"/>
        <v>1.30859375</v>
      </c>
      <c r="U66" s="52">
        <f t="shared" si="13"/>
        <v>79000</v>
      </c>
      <c r="W66" s="56">
        <v>247000</v>
      </c>
      <c r="X66" s="54">
        <f t="shared" si="0"/>
        <v>7.4906367041198463E-2</v>
      </c>
      <c r="Y66" s="56">
        <v>256000</v>
      </c>
      <c r="Z66" s="54">
        <f t="shared" si="1"/>
        <v>7.2463768115942018E-2</v>
      </c>
      <c r="AA66" s="56">
        <v>335000</v>
      </c>
      <c r="AB66" s="53">
        <f t="shared" si="2"/>
        <v>0.10666666666666669</v>
      </c>
      <c r="AC66" s="51">
        <v>54000</v>
      </c>
      <c r="AD66" s="54">
        <f t="shared" si="3"/>
        <v>0.46534653465346532</v>
      </c>
      <c r="AE66" s="51">
        <f t="shared" si="14"/>
        <v>44000</v>
      </c>
      <c r="AF66" s="54">
        <f t="shared" si="4"/>
        <v>0.61739130434782608</v>
      </c>
      <c r="AG66" s="94">
        <v>0</v>
      </c>
      <c r="AH66" s="91">
        <f t="shared" si="5"/>
        <v>1</v>
      </c>
      <c r="AI66" s="94">
        <f t="shared" si="15"/>
        <v>12000</v>
      </c>
      <c r="AJ66" s="91">
        <f t="shared" si="16"/>
        <v>0.55555555555555558</v>
      </c>
      <c r="AK66" s="45">
        <v>0</v>
      </c>
      <c r="AL66" s="47">
        <f t="shared" si="17"/>
        <v>1</v>
      </c>
      <c r="AM66" s="45">
        <f t="shared" si="18"/>
        <v>12000</v>
      </c>
      <c r="AN66" s="47">
        <f t="shared" si="6"/>
        <v>0.19999999999999996</v>
      </c>
      <c r="AP66" s="110">
        <f t="shared" si="19"/>
        <v>345000</v>
      </c>
      <c r="AQ66" s="111">
        <f t="shared" si="20"/>
        <v>354000</v>
      </c>
      <c r="AR66" s="112">
        <f t="shared" si="21"/>
        <v>433000</v>
      </c>
      <c r="AS66" s="77">
        <f t="shared" si="22"/>
        <v>47630</v>
      </c>
      <c r="AT66" s="78">
        <f t="shared" si="23"/>
        <v>385370</v>
      </c>
      <c r="AU66" s="77">
        <f t="shared" si="7"/>
        <v>56290</v>
      </c>
      <c r="AV66" s="78">
        <f t="shared" si="8"/>
        <v>376710</v>
      </c>
      <c r="AY66" s="103">
        <f t="shared" si="24"/>
        <v>315000</v>
      </c>
      <c r="AZ66" s="98">
        <f t="shared" si="25"/>
        <v>324000</v>
      </c>
      <c r="BA66" s="99">
        <f t="shared" si="26"/>
        <v>403000</v>
      </c>
      <c r="BB66" s="77">
        <f t="shared" si="27"/>
        <v>44330</v>
      </c>
      <c r="BC66" s="78">
        <f t="shared" si="28"/>
        <v>358670</v>
      </c>
      <c r="BD66" s="77">
        <f t="shared" si="9"/>
        <v>52390</v>
      </c>
      <c r="BE66" s="78">
        <f t="shared" si="10"/>
        <v>350610</v>
      </c>
    </row>
    <row r="67" spans="2:57" s="42" customFormat="1" ht="15" customHeight="1">
      <c r="B67" s="250"/>
      <c r="C67" s="262"/>
      <c r="D67" s="266"/>
      <c r="E67" s="253"/>
      <c r="F67" s="250"/>
      <c r="G67" s="251"/>
      <c r="H67" s="90" t="s">
        <v>150</v>
      </c>
      <c r="I67" s="51">
        <v>267000</v>
      </c>
      <c r="J67" s="51">
        <v>276000</v>
      </c>
      <c r="K67" s="51">
        <v>375000</v>
      </c>
      <c r="L67" s="51">
        <v>101000</v>
      </c>
      <c r="M67" s="51">
        <v>115000</v>
      </c>
      <c r="N67" s="51">
        <v>27000</v>
      </c>
      <c r="O67" s="51">
        <f t="shared" si="11"/>
        <v>15000</v>
      </c>
      <c r="Q67" s="52">
        <v>267000</v>
      </c>
      <c r="R67" s="52">
        <v>276000</v>
      </c>
      <c r="S67" s="52">
        <v>375000</v>
      </c>
      <c r="T67" s="69">
        <f t="shared" si="12"/>
        <v>1.3586956521739131</v>
      </c>
      <c r="U67" s="52">
        <f t="shared" si="13"/>
        <v>99000</v>
      </c>
      <c r="W67" s="56">
        <v>267000</v>
      </c>
      <c r="X67" s="54">
        <f t="shared" si="0"/>
        <v>0</v>
      </c>
      <c r="Y67" s="56">
        <v>276000</v>
      </c>
      <c r="Z67" s="54">
        <f t="shared" si="1"/>
        <v>0</v>
      </c>
      <c r="AA67" s="56">
        <v>375000</v>
      </c>
      <c r="AB67" s="53">
        <f t="shared" si="2"/>
        <v>0</v>
      </c>
      <c r="AC67" s="51">
        <v>54000</v>
      </c>
      <c r="AD67" s="54">
        <f t="shared" si="3"/>
        <v>0.46534653465346532</v>
      </c>
      <c r="AE67" s="51">
        <f t="shared" si="14"/>
        <v>44000</v>
      </c>
      <c r="AF67" s="54">
        <f t="shared" si="4"/>
        <v>0.61739130434782608</v>
      </c>
      <c r="AG67" s="94">
        <v>0</v>
      </c>
      <c r="AH67" s="91">
        <f t="shared" si="5"/>
        <v>1</v>
      </c>
      <c r="AI67" s="94">
        <f t="shared" si="15"/>
        <v>12000</v>
      </c>
      <c r="AJ67" s="91">
        <f t="shared" si="16"/>
        <v>0.55555555555555558</v>
      </c>
      <c r="AK67" s="45">
        <v>0</v>
      </c>
      <c r="AL67" s="47">
        <f t="shared" si="17"/>
        <v>1</v>
      </c>
      <c r="AM67" s="45">
        <f t="shared" si="18"/>
        <v>12000</v>
      </c>
      <c r="AN67" s="47">
        <f t="shared" si="6"/>
        <v>0.19999999999999996</v>
      </c>
      <c r="AP67" s="110">
        <f t="shared" si="19"/>
        <v>365000</v>
      </c>
      <c r="AQ67" s="111">
        <f t="shared" si="20"/>
        <v>374000</v>
      </c>
      <c r="AR67" s="112">
        <f t="shared" si="21"/>
        <v>473000</v>
      </c>
      <c r="AS67" s="77">
        <f t="shared" si="22"/>
        <v>52030</v>
      </c>
      <c r="AT67" s="78">
        <f t="shared" si="23"/>
        <v>420970</v>
      </c>
      <c r="AU67" s="77">
        <f t="shared" si="7"/>
        <v>61490</v>
      </c>
      <c r="AV67" s="78">
        <f t="shared" si="8"/>
        <v>411510</v>
      </c>
      <c r="AY67" s="103">
        <f t="shared" si="24"/>
        <v>335000</v>
      </c>
      <c r="AZ67" s="98">
        <f t="shared" si="25"/>
        <v>344000</v>
      </c>
      <c r="BA67" s="99">
        <f t="shared" si="26"/>
        <v>443000</v>
      </c>
      <c r="BB67" s="77">
        <f t="shared" si="27"/>
        <v>48730</v>
      </c>
      <c r="BC67" s="78">
        <f t="shared" si="28"/>
        <v>394270</v>
      </c>
      <c r="BD67" s="77">
        <f t="shared" si="9"/>
        <v>57590</v>
      </c>
      <c r="BE67" s="78">
        <f t="shared" si="10"/>
        <v>385410</v>
      </c>
    </row>
    <row r="68" spans="2:57" s="42" customFormat="1" ht="15" customHeight="1">
      <c r="B68" s="263"/>
      <c r="C68" s="264"/>
      <c r="D68" s="271"/>
      <c r="E68" s="254"/>
      <c r="F68" s="263"/>
      <c r="G68" s="269"/>
      <c r="H68" s="123" t="s">
        <v>146</v>
      </c>
      <c r="I68" s="60">
        <v>291000</v>
      </c>
      <c r="J68" s="60">
        <v>301000</v>
      </c>
      <c r="K68" s="60">
        <v>420000</v>
      </c>
      <c r="L68" s="60">
        <v>101000</v>
      </c>
      <c r="M68" s="60">
        <v>115000</v>
      </c>
      <c r="N68" s="60">
        <v>27000</v>
      </c>
      <c r="O68" s="60">
        <f t="shared" si="11"/>
        <v>15000</v>
      </c>
      <c r="Q68" s="61">
        <v>291000</v>
      </c>
      <c r="R68" s="61">
        <v>301000</v>
      </c>
      <c r="S68" s="61">
        <v>420000</v>
      </c>
      <c r="T68" s="70">
        <f t="shared" si="12"/>
        <v>1.3953488372093024</v>
      </c>
      <c r="U68" s="61">
        <f t="shared" si="13"/>
        <v>119000</v>
      </c>
      <c r="W68" s="60">
        <v>291000</v>
      </c>
      <c r="X68" s="62">
        <f t="shared" si="0"/>
        <v>0</v>
      </c>
      <c r="Y68" s="60">
        <v>301000</v>
      </c>
      <c r="Z68" s="62">
        <f t="shared" si="1"/>
        <v>0</v>
      </c>
      <c r="AA68" s="60">
        <v>420000</v>
      </c>
      <c r="AB68" s="62">
        <f t="shared" si="2"/>
        <v>0</v>
      </c>
      <c r="AC68" s="60">
        <v>54000</v>
      </c>
      <c r="AD68" s="62">
        <f t="shared" si="3"/>
        <v>0.46534653465346532</v>
      </c>
      <c r="AE68" s="60">
        <f t="shared" si="14"/>
        <v>44000</v>
      </c>
      <c r="AF68" s="62">
        <f t="shared" si="4"/>
        <v>0.61739130434782608</v>
      </c>
      <c r="AG68" s="96">
        <v>0</v>
      </c>
      <c r="AH68" s="93">
        <f t="shared" si="5"/>
        <v>1</v>
      </c>
      <c r="AI68" s="96">
        <f t="shared" si="15"/>
        <v>12000</v>
      </c>
      <c r="AJ68" s="93">
        <f t="shared" si="16"/>
        <v>0.55555555555555558</v>
      </c>
      <c r="AK68" s="124">
        <v>0</v>
      </c>
      <c r="AL68" s="125">
        <f t="shared" si="17"/>
        <v>1</v>
      </c>
      <c r="AM68" s="45">
        <f t="shared" si="18"/>
        <v>12000</v>
      </c>
      <c r="AN68" s="47">
        <f t="shared" si="6"/>
        <v>0.19999999999999996</v>
      </c>
      <c r="AP68" s="116">
        <f t="shared" si="19"/>
        <v>389000</v>
      </c>
      <c r="AQ68" s="117">
        <f t="shared" si="20"/>
        <v>399000</v>
      </c>
      <c r="AR68" s="118">
        <f t="shared" si="21"/>
        <v>518000</v>
      </c>
      <c r="AS68" s="77">
        <f t="shared" si="22"/>
        <v>56980</v>
      </c>
      <c r="AT68" s="78">
        <f t="shared" si="23"/>
        <v>461020</v>
      </c>
      <c r="AU68" s="77">
        <f t="shared" si="7"/>
        <v>67340</v>
      </c>
      <c r="AV68" s="78">
        <f t="shared" si="8"/>
        <v>450660</v>
      </c>
      <c r="AY68" s="104">
        <f t="shared" si="24"/>
        <v>359000</v>
      </c>
      <c r="AZ68" s="105">
        <f t="shared" si="25"/>
        <v>369000</v>
      </c>
      <c r="BA68" s="106">
        <f t="shared" si="26"/>
        <v>488000</v>
      </c>
      <c r="BB68" s="77">
        <f t="shared" si="27"/>
        <v>53680</v>
      </c>
      <c r="BC68" s="78">
        <f t="shared" si="28"/>
        <v>434320</v>
      </c>
      <c r="BD68" s="77">
        <f t="shared" si="9"/>
        <v>63440</v>
      </c>
      <c r="BE68" s="78">
        <f t="shared" si="10"/>
        <v>424560</v>
      </c>
    </row>
    <row r="69" spans="2:57" ht="8.25" customHeight="1">
      <c r="AD69" s="57"/>
      <c r="AE69" s="58"/>
      <c r="AF69" s="57"/>
    </row>
  </sheetData>
  <mergeCells count="40">
    <mergeCell ref="AU6:AV7"/>
    <mergeCell ref="AY6:BA6"/>
    <mergeCell ref="BB6:BC7"/>
    <mergeCell ref="F54:G58"/>
    <mergeCell ref="F59:G63"/>
    <mergeCell ref="F64:G68"/>
    <mergeCell ref="BD6:BE7"/>
    <mergeCell ref="B2:AF3"/>
    <mergeCell ref="B6:C8"/>
    <mergeCell ref="D6:G8"/>
    <mergeCell ref="H6:H8"/>
    <mergeCell ref="I6:O6"/>
    <mergeCell ref="Q6:U6"/>
    <mergeCell ref="W6:AN6"/>
    <mergeCell ref="I7:K7"/>
    <mergeCell ref="L7:O7"/>
    <mergeCell ref="Q7:S7"/>
    <mergeCell ref="AP6:AR6"/>
    <mergeCell ref="AS6:AT7"/>
    <mergeCell ref="AC7:AN7"/>
    <mergeCell ref="AP7:AR7"/>
    <mergeCell ref="AY7:BA7"/>
    <mergeCell ref="B9:C68"/>
    <mergeCell ref="D9:D28"/>
    <mergeCell ref="E9:E18"/>
    <mergeCell ref="F9:G13"/>
    <mergeCell ref="F14:G18"/>
    <mergeCell ref="D29:D68"/>
    <mergeCell ref="E29:E48"/>
    <mergeCell ref="F29:G33"/>
    <mergeCell ref="F34:G38"/>
    <mergeCell ref="F39:G43"/>
    <mergeCell ref="F44:G48"/>
    <mergeCell ref="E49:E68"/>
    <mergeCell ref="F49:G53"/>
    <mergeCell ref="E19:E28"/>
    <mergeCell ref="F19:G23"/>
    <mergeCell ref="F24:G28"/>
    <mergeCell ref="T7:U7"/>
    <mergeCell ref="W7:AB7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showGridLines="0" workbookViewId="0">
      <selection activeCell="H33" sqref="H33"/>
    </sheetView>
  </sheetViews>
  <sheetFormatPr defaultRowHeight="16.5"/>
  <cols>
    <col min="1" max="1" width="1.125" customWidth="1"/>
    <col min="2" max="15" width="7.125" customWidth="1"/>
    <col min="16" max="20" width="7.125" hidden="1" customWidth="1"/>
    <col min="21" max="21" width="10.25" hidden="1" customWidth="1"/>
    <col min="22" max="25" width="7.125" hidden="1" customWidth="1"/>
    <col min="26" max="72" width="6.125" customWidth="1"/>
  </cols>
  <sheetData>
    <row r="1" spans="1:25" ht="10.5" customHeight="1">
      <c r="A1" t="s">
        <v>26</v>
      </c>
    </row>
    <row r="2" spans="1:25" s="1" customFormat="1" ht="15" customHeight="1">
      <c r="B2" s="215" t="s">
        <v>46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</row>
    <row r="3" spans="1:25" s="1" customFormat="1" ht="15" customHeight="1"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</row>
    <row r="4" spans="1:25" s="1" customFormat="1" ht="15" customHeight="1"/>
    <row r="5" spans="1:25" s="1" customFormat="1" ht="18" customHeight="1">
      <c r="B5" s="284" t="s">
        <v>7</v>
      </c>
      <c r="C5" s="285"/>
      <c r="D5" s="285" t="s">
        <v>47</v>
      </c>
      <c r="E5" s="285"/>
      <c r="F5" s="285"/>
      <c r="G5" s="285"/>
      <c r="H5" s="285"/>
      <c r="I5" s="285"/>
      <c r="J5" s="285" t="s">
        <v>48</v>
      </c>
      <c r="K5" s="285"/>
      <c r="L5" s="285"/>
      <c r="M5" s="285"/>
      <c r="N5" s="285"/>
      <c r="O5" s="285"/>
      <c r="P5" s="285"/>
      <c r="Q5" s="285"/>
      <c r="R5" s="290" t="s">
        <v>49</v>
      </c>
      <c r="S5" s="290"/>
      <c r="T5" s="290"/>
      <c r="U5" s="290"/>
      <c r="V5" s="290"/>
      <c r="W5" s="290"/>
      <c r="X5" s="290"/>
      <c r="Y5" s="291"/>
    </row>
    <row r="6" spans="1:25" s="1" customFormat="1" ht="18" customHeight="1">
      <c r="B6" s="286"/>
      <c r="C6" s="287"/>
      <c r="D6" s="292" t="s">
        <v>17</v>
      </c>
      <c r="E6" s="293"/>
      <c r="F6" s="292" t="s">
        <v>18</v>
      </c>
      <c r="G6" s="293"/>
      <c r="H6" s="292" t="s">
        <v>50</v>
      </c>
      <c r="I6" s="293"/>
      <c r="J6" s="296" t="s">
        <v>51</v>
      </c>
      <c r="K6" s="296"/>
      <c r="L6" s="297" t="s">
        <v>52</v>
      </c>
      <c r="M6" s="298"/>
      <c r="N6" s="297" t="s">
        <v>74</v>
      </c>
      <c r="O6" s="298"/>
      <c r="P6" s="298" t="s">
        <v>53</v>
      </c>
      <c r="Q6" s="298"/>
      <c r="R6" s="297" t="s">
        <v>54</v>
      </c>
      <c r="S6" s="298"/>
      <c r="T6" s="297" t="s">
        <v>92</v>
      </c>
      <c r="U6" s="298"/>
      <c r="V6" s="297" t="s">
        <v>55</v>
      </c>
      <c r="W6" s="298"/>
      <c r="X6" s="297" t="s">
        <v>56</v>
      </c>
      <c r="Y6" s="299"/>
    </row>
    <row r="7" spans="1:25" s="1" customFormat="1" ht="18" customHeight="1">
      <c r="B7" s="288"/>
      <c r="C7" s="289"/>
      <c r="D7" s="294"/>
      <c r="E7" s="295"/>
      <c r="F7" s="294"/>
      <c r="G7" s="295"/>
      <c r="H7" s="294"/>
      <c r="I7" s="295"/>
      <c r="J7" s="306">
        <v>9.9000000000000005E-2</v>
      </c>
      <c r="K7" s="306"/>
      <c r="L7" s="300">
        <v>0.11</v>
      </c>
      <c r="M7" s="301"/>
      <c r="N7" s="300">
        <v>0.13</v>
      </c>
      <c r="O7" s="301"/>
      <c r="P7" s="301" t="s">
        <v>57</v>
      </c>
      <c r="Q7" s="301"/>
      <c r="R7" s="300">
        <v>0.12</v>
      </c>
      <c r="S7" s="301"/>
      <c r="T7" s="300">
        <v>0.13</v>
      </c>
      <c r="U7" s="301"/>
      <c r="V7" s="300">
        <v>0.15</v>
      </c>
      <c r="W7" s="301"/>
      <c r="X7" s="300" t="s">
        <v>58</v>
      </c>
      <c r="Y7" s="294"/>
    </row>
    <row r="8" spans="1:25" s="1" customFormat="1" ht="20.100000000000001" customHeight="1">
      <c r="B8" s="302" t="s">
        <v>59</v>
      </c>
      <c r="C8" s="303"/>
      <c r="D8" s="304" t="s">
        <v>60</v>
      </c>
      <c r="E8" s="304"/>
      <c r="F8" s="304" t="s">
        <v>60</v>
      </c>
      <c r="G8" s="304"/>
      <c r="H8" s="303" t="s">
        <v>61</v>
      </c>
      <c r="I8" s="303"/>
      <c r="J8" s="304" t="s">
        <v>62</v>
      </c>
      <c r="K8" s="304"/>
      <c r="L8" s="304"/>
      <c r="M8" s="304"/>
      <c r="N8" s="304"/>
      <c r="O8" s="304"/>
      <c r="P8" s="304"/>
      <c r="Q8" s="304"/>
      <c r="R8" s="304" t="s">
        <v>63</v>
      </c>
      <c r="S8" s="304"/>
      <c r="T8" s="304"/>
      <c r="U8" s="304"/>
      <c r="V8" s="304"/>
      <c r="W8" s="304"/>
      <c r="X8" s="304"/>
      <c r="Y8" s="305"/>
    </row>
    <row r="9" spans="1:25" s="1" customFormat="1" ht="20.100000000000001" customHeight="1" thickBot="1">
      <c r="B9" s="316" t="s">
        <v>64</v>
      </c>
      <c r="C9" s="312"/>
      <c r="D9" s="313" t="s">
        <v>65</v>
      </c>
      <c r="E9" s="313"/>
      <c r="F9" s="313" t="s">
        <v>65</v>
      </c>
      <c r="G9" s="313"/>
      <c r="H9" s="312" t="s">
        <v>66</v>
      </c>
      <c r="I9" s="312"/>
      <c r="J9" s="313" t="s">
        <v>66</v>
      </c>
      <c r="K9" s="313"/>
      <c r="L9" s="313" t="s">
        <v>66</v>
      </c>
      <c r="M9" s="313"/>
      <c r="N9" s="313" t="s">
        <v>66</v>
      </c>
      <c r="O9" s="313"/>
      <c r="P9" s="312" t="s">
        <v>66</v>
      </c>
      <c r="Q9" s="312"/>
      <c r="R9" s="313" t="s">
        <v>66</v>
      </c>
      <c r="S9" s="313"/>
      <c r="T9" s="313" t="s">
        <v>66</v>
      </c>
      <c r="U9" s="313"/>
      <c r="V9" s="312" t="s">
        <v>66</v>
      </c>
      <c r="W9" s="312"/>
      <c r="X9" s="314" t="s">
        <v>67</v>
      </c>
      <c r="Y9" s="315"/>
    </row>
    <row r="10" spans="1:25" s="1" customFormat="1" ht="20.100000000000001" hidden="1" customHeight="1" thickBot="1">
      <c r="B10" s="307" t="s">
        <v>68</v>
      </c>
      <c r="C10" s="308"/>
      <c r="D10" s="309" t="s">
        <v>69</v>
      </c>
      <c r="E10" s="309"/>
      <c r="F10" s="309" t="s">
        <v>69</v>
      </c>
      <c r="G10" s="309"/>
      <c r="H10" s="308" t="s">
        <v>69</v>
      </c>
      <c r="I10" s="308"/>
      <c r="J10" s="309" t="s">
        <v>70</v>
      </c>
      <c r="K10" s="309"/>
      <c r="L10" s="309" t="s">
        <v>70</v>
      </c>
      <c r="M10" s="309"/>
      <c r="N10" s="309" t="s">
        <v>69</v>
      </c>
      <c r="O10" s="309"/>
      <c r="P10" s="309" t="s">
        <v>70</v>
      </c>
      <c r="Q10" s="308"/>
      <c r="R10" s="309" t="s">
        <v>70</v>
      </c>
      <c r="S10" s="309"/>
      <c r="T10" s="309" t="s">
        <v>69</v>
      </c>
      <c r="U10" s="309"/>
      <c r="V10" s="308" t="s">
        <v>70</v>
      </c>
      <c r="W10" s="308"/>
      <c r="X10" s="310" t="s">
        <v>70</v>
      </c>
      <c r="Y10" s="311"/>
    </row>
    <row r="11" spans="1:25" s="1" customFormat="1" ht="20.100000000000001" customHeight="1">
      <c r="B11" s="278" t="s">
        <v>96</v>
      </c>
      <c r="C11" s="279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79"/>
      <c r="R11" s="280"/>
      <c r="S11" s="280"/>
      <c r="T11" s="280"/>
      <c r="U11" s="280"/>
      <c r="V11" s="279"/>
      <c r="W11" s="281"/>
      <c r="X11" s="282"/>
      <c r="Y11" s="283"/>
    </row>
    <row r="12" spans="1:25" s="1" customFormat="1" ht="20.100000000000001" customHeight="1" thickBot="1">
      <c r="B12" s="277" t="s">
        <v>97</v>
      </c>
      <c r="C12" s="272"/>
      <c r="D12" s="276"/>
      <c r="E12" s="276"/>
      <c r="F12" s="276"/>
      <c r="G12" s="276"/>
      <c r="H12" s="276"/>
      <c r="I12" s="276"/>
      <c r="J12" s="276"/>
      <c r="K12" s="276"/>
      <c r="L12" s="276"/>
      <c r="M12" s="276"/>
      <c r="N12" s="276"/>
      <c r="O12" s="276"/>
      <c r="P12" s="276"/>
      <c r="Q12" s="272"/>
      <c r="R12" s="276"/>
      <c r="S12" s="276"/>
      <c r="T12" s="276"/>
      <c r="U12" s="276"/>
      <c r="V12" s="272"/>
      <c r="W12" s="273"/>
      <c r="X12" s="274"/>
      <c r="Y12" s="275"/>
    </row>
    <row r="13" spans="1:25" s="1" customFormat="1" ht="20.100000000000001" customHeight="1">
      <c r="B13" s="29"/>
      <c r="C13" s="29"/>
      <c r="D13" s="30"/>
      <c r="E13" s="30"/>
      <c r="F13" s="30"/>
      <c r="G13" s="30"/>
      <c r="H13" s="29"/>
      <c r="I13" s="29"/>
      <c r="J13" s="30"/>
      <c r="K13" s="30"/>
      <c r="L13" s="30"/>
      <c r="M13" s="30"/>
      <c r="N13" s="30"/>
      <c r="O13" s="30"/>
      <c r="P13" s="30"/>
      <c r="Q13" s="29"/>
      <c r="R13" s="30"/>
      <c r="S13" s="30"/>
      <c r="T13" s="30"/>
      <c r="U13" s="30"/>
      <c r="V13" s="29"/>
      <c r="W13" s="29"/>
      <c r="X13" s="29"/>
      <c r="Y13" s="30"/>
    </row>
    <row r="14" spans="1:25" s="1" customFormat="1" ht="18" customHeight="1">
      <c r="B14" s="18" t="s">
        <v>71</v>
      </c>
      <c r="C14" s="18"/>
      <c r="D14" s="10"/>
      <c r="E14" s="10"/>
      <c r="F14" s="10"/>
      <c r="G14" s="10"/>
      <c r="H14" s="10"/>
      <c r="I14" s="10"/>
      <c r="J14" s="10"/>
      <c r="K14" s="10"/>
      <c r="L14" s="10"/>
      <c r="M14" s="2"/>
      <c r="N14" s="10"/>
      <c r="O14" s="2"/>
    </row>
    <row r="15" spans="1:25" s="3" customFormat="1" ht="18" customHeight="1">
      <c r="B15" s="18" t="s">
        <v>77</v>
      </c>
      <c r="C15" s="18"/>
      <c r="D15" s="10"/>
      <c r="E15" s="10"/>
      <c r="F15" s="10"/>
      <c r="G15" s="10"/>
      <c r="H15" s="10"/>
      <c r="I15" s="10"/>
      <c r="J15" s="10"/>
      <c r="K15" s="10"/>
      <c r="L15" s="10"/>
      <c r="N15" s="10"/>
    </row>
    <row r="16" spans="1:25" s="3" customFormat="1" ht="18" customHeight="1">
      <c r="B16" s="18" t="s">
        <v>72</v>
      </c>
      <c r="C16" s="18"/>
      <c r="D16" s="10"/>
      <c r="E16" s="10"/>
      <c r="F16" s="10"/>
      <c r="G16" s="10"/>
      <c r="H16" s="10"/>
      <c r="I16" s="10"/>
      <c r="J16" s="10"/>
      <c r="K16" s="10"/>
      <c r="L16" s="10"/>
      <c r="N16" s="10"/>
    </row>
    <row r="23" spans="15:15">
      <c r="O23" t="s">
        <v>75</v>
      </c>
    </row>
  </sheetData>
  <mergeCells count="78">
    <mergeCell ref="F9:G9"/>
    <mergeCell ref="L9:M9"/>
    <mergeCell ref="B9:C9"/>
    <mergeCell ref="D9:E9"/>
    <mergeCell ref="H9:I9"/>
    <mergeCell ref="J9:K9"/>
    <mergeCell ref="N9:O9"/>
    <mergeCell ref="N10:O10"/>
    <mergeCell ref="T10:U10"/>
    <mergeCell ref="L10:M10"/>
    <mergeCell ref="P10:Q10"/>
    <mergeCell ref="R10:S10"/>
    <mergeCell ref="V10:W10"/>
    <mergeCell ref="X10:Y10"/>
    <mergeCell ref="P9:Q9"/>
    <mergeCell ref="R9:S9"/>
    <mergeCell ref="T9:U9"/>
    <mergeCell ref="V9:W9"/>
    <mergeCell ref="X9:Y9"/>
    <mergeCell ref="B10:C10"/>
    <mergeCell ref="D10:E10"/>
    <mergeCell ref="F10:G10"/>
    <mergeCell ref="H10:I10"/>
    <mergeCell ref="J10:K10"/>
    <mergeCell ref="X6:Y6"/>
    <mergeCell ref="N6:O6"/>
    <mergeCell ref="V7:W7"/>
    <mergeCell ref="X7:Y7"/>
    <mergeCell ref="B8:C8"/>
    <mergeCell ref="D8:E8"/>
    <mergeCell ref="F8:G8"/>
    <mergeCell ref="H8:I8"/>
    <mergeCell ref="J8:Q8"/>
    <mergeCell ref="R8:Y8"/>
    <mergeCell ref="J7:K7"/>
    <mergeCell ref="L7:M7"/>
    <mergeCell ref="P7:Q7"/>
    <mergeCell ref="R7:S7"/>
    <mergeCell ref="T7:U7"/>
    <mergeCell ref="N7:O7"/>
    <mergeCell ref="V11:W11"/>
    <mergeCell ref="X11:Y11"/>
    <mergeCell ref="B2:Y3"/>
    <mergeCell ref="B5:C7"/>
    <mergeCell ref="D5:I5"/>
    <mergeCell ref="J5:Q5"/>
    <mergeCell ref="R5:Y5"/>
    <mergeCell ref="D6:E7"/>
    <mergeCell ref="F6:G7"/>
    <mergeCell ref="H6:I7"/>
    <mergeCell ref="J6:K6"/>
    <mergeCell ref="L6:M6"/>
    <mergeCell ref="P6:Q6"/>
    <mergeCell ref="R6:S6"/>
    <mergeCell ref="T6:U6"/>
    <mergeCell ref="V6:W6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  <mergeCell ref="B12:C12"/>
    <mergeCell ref="D12:E12"/>
    <mergeCell ref="F12:G12"/>
    <mergeCell ref="H12:I12"/>
    <mergeCell ref="J12:K12"/>
    <mergeCell ref="V12:W12"/>
    <mergeCell ref="X12:Y12"/>
    <mergeCell ref="L12:M12"/>
    <mergeCell ref="N12:O12"/>
    <mergeCell ref="P12:Q12"/>
    <mergeCell ref="R12:S12"/>
    <mergeCell ref="T12:U1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 </vt:lpstr>
      <vt:lpstr>상품안_6월</vt:lpstr>
      <vt:lpstr>상품안_7~7.16월</vt:lpstr>
      <vt:lpstr>상품안_성수기</vt:lpstr>
      <vt:lpstr>패키지번호요청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진수민</dc:creator>
  <cp:lastModifiedBy>최지성</cp:lastModifiedBy>
  <cp:lastPrinted>2025-07-15T03:58:23Z</cp:lastPrinted>
  <dcterms:created xsi:type="dcterms:W3CDTF">2025-04-10T00:35:40Z</dcterms:created>
  <dcterms:modified xsi:type="dcterms:W3CDTF">2026-05-26T01:05:24Z</dcterms:modified>
</cp:coreProperties>
</file>