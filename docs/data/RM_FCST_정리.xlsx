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chanminpark/Downloads/"/>
    </mc:Choice>
  </mc:AlternateContent>
  <xr:revisionPtr revIDLastSave="0" documentId="8_{C1C91D27-7749-384B-AA87-F201215448DF}" xr6:coauthVersionLast="47" xr6:coauthVersionMax="47" xr10:uidLastSave="{00000000-0000-0000-0000-000000000000}"/>
  <bookViews>
    <workbookView xWindow="0" yWindow="600" windowWidth="16380" windowHeight="8200" tabRatio="500" xr2:uid="{00000000-000D-0000-FFFF-FFFF00000000}"/>
  </bookViews>
  <sheets>
    <sheet name="사업장별 총괄" sheetId="1" r:id="rId1"/>
    <sheet name="세그먼트별 상세" sheetId="2" r:id="rId2"/>
    <sheet name="메타정보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1" i="2" l="1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J59" i="2"/>
  <c r="I59" i="2"/>
  <c r="J58" i="2"/>
  <c r="I58" i="2"/>
  <c r="J57" i="2"/>
  <c r="I57" i="2"/>
  <c r="J56" i="2"/>
  <c r="I56" i="2"/>
  <c r="J55" i="2"/>
  <c r="I55" i="2"/>
  <c r="J54" i="2"/>
  <c r="I54" i="2"/>
  <c r="J53" i="2"/>
  <c r="I53" i="2"/>
  <c r="J52" i="2"/>
  <c r="I52" i="2"/>
  <c r="J51" i="2"/>
  <c r="I51" i="2"/>
  <c r="J50" i="2"/>
  <c r="I50" i="2"/>
  <c r="J49" i="2"/>
  <c r="I49" i="2"/>
  <c r="J48" i="2"/>
  <c r="I48" i="2"/>
  <c r="J47" i="2"/>
  <c r="I47" i="2"/>
  <c r="J46" i="2"/>
  <c r="I46" i="2"/>
  <c r="J45" i="2"/>
  <c r="I45" i="2"/>
  <c r="J44" i="2"/>
  <c r="I44" i="2"/>
  <c r="J43" i="2"/>
  <c r="I43" i="2"/>
  <c r="J42" i="2"/>
  <c r="I42" i="2"/>
  <c r="J41" i="2"/>
  <c r="I41" i="2"/>
  <c r="J40" i="2"/>
  <c r="I40" i="2"/>
  <c r="J39" i="2"/>
  <c r="I39" i="2"/>
  <c r="J38" i="2"/>
  <c r="I38" i="2"/>
  <c r="J37" i="2"/>
  <c r="I37" i="2"/>
  <c r="J36" i="2"/>
  <c r="I36" i="2"/>
  <c r="J35" i="2"/>
  <c r="I35" i="2"/>
  <c r="J34" i="2"/>
  <c r="I34" i="2"/>
  <c r="J33" i="2"/>
  <c r="I33" i="2"/>
  <c r="J32" i="2"/>
  <c r="I32" i="2"/>
  <c r="J31" i="2"/>
  <c r="I31" i="2"/>
  <c r="J30" i="2"/>
  <c r="I30" i="2"/>
  <c r="J29" i="2"/>
  <c r="I29" i="2"/>
  <c r="J28" i="2"/>
  <c r="I28" i="2"/>
  <c r="J27" i="2"/>
  <c r="I27" i="2"/>
  <c r="J26" i="2"/>
  <c r="I26" i="2"/>
  <c r="J25" i="2"/>
  <c r="I25" i="2"/>
  <c r="J24" i="2"/>
  <c r="I24" i="2"/>
  <c r="J23" i="2"/>
  <c r="I23" i="2"/>
  <c r="J22" i="2"/>
  <c r="I22" i="2"/>
  <c r="J21" i="2"/>
  <c r="I21" i="2"/>
  <c r="J20" i="2"/>
  <c r="I20" i="2"/>
  <c r="J19" i="2"/>
  <c r="I19" i="2"/>
  <c r="J18" i="2"/>
  <c r="I18" i="2"/>
  <c r="J17" i="2"/>
  <c r="I17" i="2"/>
  <c r="J16" i="2"/>
  <c r="I16" i="2"/>
  <c r="J15" i="2"/>
  <c r="I15" i="2"/>
  <c r="J14" i="2"/>
  <c r="I14" i="2"/>
  <c r="J13" i="2"/>
  <c r="I13" i="2"/>
  <c r="J12" i="2"/>
  <c r="I12" i="2"/>
  <c r="J11" i="2"/>
  <c r="I11" i="2"/>
  <c r="J10" i="2"/>
  <c r="I10" i="2"/>
  <c r="J9" i="2"/>
  <c r="I9" i="2"/>
  <c r="J8" i="2"/>
  <c r="I8" i="2"/>
  <c r="J7" i="2"/>
  <c r="I7" i="2"/>
  <c r="J6" i="2"/>
  <c r="I6" i="2"/>
  <c r="J5" i="2"/>
  <c r="I5" i="2"/>
  <c r="J4" i="2"/>
  <c r="I4" i="2"/>
  <c r="J3" i="2"/>
  <c r="I3" i="2"/>
  <c r="H30" i="1"/>
  <c r="H29" i="1"/>
  <c r="H28" i="1"/>
  <c r="H27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</calcChain>
</file>

<file path=xl/sharedStrings.xml><?xml version="1.0" encoding="utf-8"?>
<sst xmlns="http://schemas.openxmlformats.org/spreadsheetml/2006/main" count="195" uniqueCount="52">
  <si>
    <t>RM FCST - 2026-05</t>
  </si>
  <si>
    <t>사업장</t>
  </si>
  <si>
    <r>
      <rPr>
        <b/>
        <sz val="10"/>
        <color rgb="FFFFFFFF"/>
        <rFont val="DejaVu Sans"/>
        <family val="2"/>
      </rPr>
      <t xml:space="preserve">예산 </t>
    </r>
    <r>
      <rPr>
        <b/>
        <sz val="10"/>
        <color rgb="FFFFFFFF"/>
        <rFont val="맑은 고딕"/>
        <family val="2"/>
        <charset val="129"/>
      </rPr>
      <t>RN</t>
    </r>
  </si>
  <si>
    <r>
      <rPr>
        <b/>
        <sz val="10"/>
        <color rgb="FFFFFFFF"/>
        <rFont val="DejaVu Sans"/>
        <family val="2"/>
      </rPr>
      <t xml:space="preserve">예산 </t>
    </r>
    <r>
      <rPr>
        <b/>
        <sz val="10"/>
        <color rgb="FFFFFFFF"/>
        <rFont val="맑은 고딕"/>
        <family val="2"/>
        <charset val="129"/>
      </rPr>
      <t>ADR</t>
    </r>
  </si>
  <si>
    <r>
      <rPr>
        <b/>
        <sz val="10"/>
        <color rgb="FFFFFFFF"/>
        <rFont val="DejaVu Sans"/>
        <family val="2"/>
      </rPr>
      <t>예산 매출</t>
    </r>
    <r>
      <rPr>
        <b/>
        <sz val="10"/>
        <color rgb="FFFFFFFF"/>
        <rFont val="맑은 고딕"/>
        <family val="2"/>
        <charset val="129"/>
      </rPr>
      <t>(</t>
    </r>
    <r>
      <rPr>
        <b/>
        <sz val="10"/>
        <color rgb="FFFFFFFF"/>
        <rFont val="DejaVu Sans"/>
        <family val="2"/>
      </rPr>
      <t>백만</t>
    </r>
    <r>
      <rPr>
        <b/>
        <sz val="10"/>
        <color rgb="FFFFFFFF"/>
        <rFont val="맑은 고딕"/>
        <family val="2"/>
        <charset val="129"/>
      </rPr>
      <t>)</t>
    </r>
  </si>
  <si>
    <t>FCST RN</t>
  </si>
  <si>
    <t>FCST ADR</t>
  </si>
  <si>
    <r>
      <rPr>
        <b/>
        <sz val="10"/>
        <color rgb="FFFFFFFF"/>
        <rFont val="맑은 고딕"/>
        <family val="2"/>
        <charset val="129"/>
      </rPr>
      <t xml:space="preserve">FCST </t>
    </r>
    <r>
      <rPr>
        <b/>
        <sz val="10"/>
        <color rgb="FFFFFFFF"/>
        <rFont val="DejaVu Sans"/>
        <family val="2"/>
      </rPr>
      <t>매출</t>
    </r>
    <r>
      <rPr>
        <b/>
        <sz val="10"/>
        <color rgb="FFFFFFFF"/>
        <rFont val="맑은 고딕"/>
        <family val="2"/>
        <charset val="129"/>
      </rPr>
      <t>(</t>
    </r>
    <r>
      <rPr>
        <b/>
        <sz val="10"/>
        <color rgb="FFFFFFFF"/>
        <rFont val="DejaVu Sans"/>
        <family val="2"/>
      </rPr>
      <t>백만</t>
    </r>
    <r>
      <rPr>
        <b/>
        <sz val="10"/>
        <color rgb="FFFFFFFF"/>
        <rFont val="맑은 고딕"/>
        <family val="2"/>
        <charset val="129"/>
      </rPr>
      <t>)</t>
    </r>
  </si>
  <si>
    <r>
      <rPr>
        <b/>
        <sz val="10"/>
        <color rgb="FFFFFFFF"/>
        <rFont val="맑은 고딕"/>
        <family val="2"/>
        <charset val="129"/>
      </rPr>
      <t>FCST/</t>
    </r>
    <r>
      <rPr>
        <b/>
        <sz val="10"/>
        <color rgb="FFFFFFFF"/>
        <rFont val="DejaVu Sans"/>
        <family val="2"/>
      </rPr>
      <t>예산</t>
    </r>
  </si>
  <si>
    <r>
      <rPr>
        <sz val="9"/>
        <rFont val="맑은 고딕"/>
        <family val="2"/>
        <charset val="129"/>
      </rPr>
      <t>01.</t>
    </r>
    <r>
      <rPr>
        <sz val="9"/>
        <rFont val="DejaVu Sans"/>
        <family val="2"/>
      </rPr>
      <t>벨비발디</t>
    </r>
  </si>
  <si>
    <r>
      <rPr>
        <sz val="9"/>
        <rFont val="맑은 고딕"/>
        <family val="2"/>
        <charset val="129"/>
      </rPr>
      <t>02.</t>
    </r>
    <r>
      <rPr>
        <sz val="9"/>
        <rFont val="DejaVu Sans"/>
        <family val="2"/>
      </rPr>
      <t>캄비발디</t>
    </r>
  </si>
  <si>
    <r>
      <rPr>
        <sz val="9"/>
        <rFont val="맑은 고딕"/>
        <family val="2"/>
        <charset val="129"/>
      </rPr>
      <t>03.</t>
    </r>
    <r>
      <rPr>
        <sz val="9"/>
        <rFont val="DejaVu Sans"/>
        <family val="2"/>
      </rPr>
      <t>펫비발디</t>
    </r>
  </si>
  <si>
    <r>
      <rPr>
        <sz val="9"/>
        <rFont val="맑은 고딕"/>
        <family val="2"/>
        <charset val="129"/>
      </rPr>
      <t>04.</t>
    </r>
    <r>
      <rPr>
        <sz val="9"/>
        <rFont val="DejaVu Sans"/>
        <family val="2"/>
      </rPr>
      <t>펠리체비발디</t>
    </r>
  </si>
  <si>
    <r>
      <rPr>
        <sz val="9"/>
        <rFont val="맑은 고딕"/>
        <family val="2"/>
        <charset val="129"/>
      </rPr>
      <t>05.</t>
    </r>
    <r>
      <rPr>
        <sz val="9"/>
        <rFont val="DejaVu Sans"/>
        <family val="2"/>
      </rPr>
      <t>빌리지비발디</t>
    </r>
  </si>
  <si>
    <r>
      <rPr>
        <sz val="9"/>
        <rFont val="맑은 고딕"/>
        <family val="2"/>
        <charset val="129"/>
      </rPr>
      <t>06.</t>
    </r>
    <r>
      <rPr>
        <sz val="9"/>
        <rFont val="DejaVu Sans"/>
        <family val="2"/>
      </rPr>
      <t>양평</t>
    </r>
  </si>
  <si>
    <r>
      <rPr>
        <sz val="9"/>
        <rFont val="맑은 고딕"/>
        <family val="2"/>
        <charset val="129"/>
      </rPr>
      <t>07.</t>
    </r>
    <r>
      <rPr>
        <sz val="9"/>
        <rFont val="DejaVu Sans"/>
        <family val="2"/>
      </rPr>
      <t>델피노</t>
    </r>
  </si>
  <si>
    <r>
      <rPr>
        <sz val="9"/>
        <rFont val="맑은 고딕"/>
        <family val="2"/>
        <charset val="129"/>
      </rPr>
      <t>08.</t>
    </r>
    <r>
      <rPr>
        <sz val="9"/>
        <rFont val="DejaVu Sans"/>
        <family val="2"/>
      </rPr>
      <t>쏠비치양양</t>
    </r>
  </si>
  <si>
    <r>
      <rPr>
        <sz val="9"/>
        <rFont val="맑은 고딕"/>
        <family val="2"/>
        <charset val="129"/>
      </rPr>
      <t>09.</t>
    </r>
    <r>
      <rPr>
        <sz val="9"/>
        <rFont val="DejaVu Sans"/>
        <family val="2"/>
      </rPr>
      <t>쏠비치삼척</t>
    </r>
  </si>
  <si>
    <r>
      <rPr>
        <sz val="9"/>
        <rFont val="맑은 고딕"/>
        <family val="2"/>
        <charset val="129"/>
      </rPr>
      <t>10.</t>
    </r>
    <r>
      <rPr>
        <sz val="9"/>
        <rFont val="DejaVu Sans"/>
        <family val="2"/>
      </rPr>
      <t>소노벨단양</t>
    </r>
  </si>
  <si>
    <r>
      <rPr>
        <sz val="9"/>
        <rFont val="맑은 고딕"/>
        <family val="2"/>
        <charset val="129"/>
      </rPr>
      <t>11.</t>
    </r>
    <r>
      <rPr>
        <sz val="9"/>
        <rFont val="DejaVu Sans"/>
        <family val="2"/>
      </rPr>
      <t>소노캄경주</t>
    </r>
  </si>
  <si>
    <r>
      <rPr>
        <sz val="9"/>
        <rFont val="맑은 고딕"/>
        <family val="2"/>
        <charset val="129"/>
      </rPr>
      <t>12.</t>
    </r>
    <r>
      <rPr>
        <sz val="9"/>
        <rFont val="DejaVu Sans"/>
        <family val="2"/>
      </rPr>
      <t>소노벨청송</t>
    </r>
  </si>
  <si>
    <r>
      <rPr>
        <sz val="9"/>
        <rFont val="맑은 고딕"/>
        <family val="2"/>
        <charset val="129"/>
      </rPr>
      <t>13.</t>
    </r>
    <r>
      <rPr>
        <sz val="9"/>
        <rFont val="DejaVu Sans"/>
        <family val="2"/>
      </rPr>
      <t>소노벨천안</t>
    </r>
  </si>
  <si>
    <r>
      <rPr>
        <sz val="9"/>
        <rFont val="맑은 고딕"/>
        <family val="2"/>
        <charset val="129"/>
      </rPr>
      <t>14.</t>
    </r>
    <r>
      <rPr>
        <sz val="9"/>
        <rFont val="DejaVu Sans"/>
        <family val="2"/>
      </rPr>
      <t>소노벨변산</t>
    </r>
  </si>
  <si>
    <r>
      <rPr>
        <sz val="9"/>
        <rFont val="맑은 고딕"/>
        <family val="2"/>
        <charset val="129"/>
      </rPr>
      <t>15.</t>
    </r>
    <r>
      <rPr>
        <sz val="9"/>
        <rFont val="DejaVu Sans"/>
        <family val="2"/>
      </rPr>
      <t>소노캄여수</t>
    </r>
  </si>
  <si>
    <r>
      <rPr>
        <sz val="9"/>
        <rFont val="맑은 고딕"/>
        <family val="2"/>
        <charset val="129"/>
      </rPr>
      <t>16.</t>
    </r>
    <r>
      <rPr>
        <sz val="9"/>
        <rFont val="DejaVu Sans"/>
        <family val="2"/>
      </rPr>
      <t>소노캄거제</t>
    </r>
  </si>
  <si>
    <r>
      <rPr>
        <sz val="9"/>
        <rFont val="맑은 고딕"/>
        <family val="2"/>
        <charset val="129"/>
      </rPr>
      <t>17.</t>
    </r>
    <r>
      <rPr>
        <sz val="9"/>
        <rFont val="DejaVu Sans"/>
        <family val="2"/>
      </rPr>
      <t>쏠비치진도</t>
    </r>
  </si>
  <si>
    <r>
      <rPr>
        <sz val="9"/>
        <rFont val="맑은 고딕"/>
        <family val="2"/>
        <charset val="129"/>
      </rPr>
      <t>18.</t>
    </r>
    <r>
      <rPr>
        <sz val="9"/>
        <rFont val="DejaVu Sans"/>
        <family val="2"/>
      </rPr>
      <t>소노벨제주</t>
    </r>
  </si>
  <si>
    <r>
      <rPr>
        <sz val="9"/>
        <rFont val="맑은 고딕"/>
        <family val="2"/>
        <charset val="129"/>
      </rPr>
      <t>19.</t>
    </r>
    <r>
      <rPr>
        <sz val="9"/>
        <rFont val="DejaVu Sans"/>
        <family val="2"/>
      </rPr>
      <t>소노캄제주</t>
    </r>
  </si>
  <si>
    <r>
      <rPr>
        <sz val="9"/>
        <rFont val="맑은 고딕"/>
        <family val="2"/>
        <charset val="129"/>
      </rPr>
      <t>20.</t>
    </r>
    <r>
      <rPr>
        <sz val="9"/>
        <rFont val="DejaVu Sans"/>
        <family val="2"/>
      </rPr>
      <t>소노캄고양</t>
    </r>
  </si>
  <si>
    <r>
      <rPr>
        <sz val="9"/>
        <rFont val="맑은 고딕"/>
        <family val="2"/>
        <charset val="129"/>
      </rPr>
      <t>21.</t>
    </r>
    <r>
      <rPr>
        <sz val="9"/>
        <rFont val="DejaVu Sans"/>
        <family val="2"/>
      </rPr>
      <t>소노문해운대</t>
    </r>
  </si>
  <si>
    <r>
      <rPr>
        <sz val="9"/>
        <rFont val="맑은 고딕"/>
        <family val="2"/>
        <charset val="129"/>
      </rPr>
      <t>22.</t>
    </r>
    <r>
      <rPr>
        <sz val="9"/>
        <rFont val="DejaVu Sans"/>
        <family val="2"/>
      </rPr>
      <t>쏠비치남해</t>
    </r>
  </si>
  <si>
    <r>
      <rPr>
        <sz val="9"/>
        <rFont val="맑은 고딕"/>
        <family val="2"/>
        <charset val="129"/>
      </rPr>
      <t>23.</t>
    </r>
    <r>
      <rPr>
        <sz val="9"/>
        <rFont val="DejaVu Sans"/>
        <family val="2"/>
      </rPr>
      <t>르네블루</t>
    </r>
  </si>
  <si>
    <r>
      <rPr>
        <b/>
        <sz val="9"/>
        <rFont val="맑은 고딕"/>
        <family val="2"/>
        <charset val="129"/>
      </rPr>
      <t>[</t>
    </r>
    <r>
      <rPr>
        <b/>
        <sz val="9"/>
        <rFont val="DejaVu Sans"/>
        <family val="2"/>
      </rPr>
      <t>비발디</t>
    </r>
    <r>
      <rPr>
        <b/>
        <sz val="9"/>
        <rFont val="맑은 고딕"/>
        <family val="2"/>
        <charset val="129"/>
      </rPr>
      <t>]</t>
    </r>
  </si>
  <si>
    <r>
      <rPr>
        <b/>
        <sz val="9"/>
        <rFont val="맑은 고딕"/>
        <family val="2"/>
        <charset val="129"/>
      </rPr>
      <t>[</t>
    </r>
    <r>
      <rPr>
        <b/>
        <sz val="9"/>
        <rFont val="DejaVu Sans"/>
        <family val="2"/>
      </rPr>
      <t>한국중부</t>
    </r>
    <r>
      <rPr>
        <b/>
        <sz val="9"/>
        <rFont val="맑은 고딕"/>
        <family val="2"/>
        <charset val="129"/>
      </rPr>
      <t>]</t>
    </r>
  </si>
  <si>
    <r>
      <rPr>
        <b/>
        <sz val="9"/>
        <rFont val="맑은 고딕"/>
        <family val="2"/>
        <charset val="129"/>
      </rPr>
      <t>[</t>
    </r>
    <r>
      <rPr>
        <b/>
        <sz val="9"/>
        <rFont val="DejaVu Sans"/>
        <family val="2"/>
      </rPr>
      <t>아시아퍼시픽</t>
    </r>
    <r>
      <rPr>
        <b/>
        <sz val="9"/>
        <rFont val="맑은 고딕"/>
        <family val="2"/>
        <charset val="129"/>
      </rPr>
      <t>]</t>
    </r>
  </si>
  <si>
    <r>
      <rPr>
        <b/>
        <sz val="9"/>
        <rFont val="맑은 고딕"/>
        <family val="2"/>
        <charset val="129"/>
      </rPr>
      <t>[</t>
    </r>
    <r>
      <rPr>
        <b/>
        <sz val="9"/>
        <rFont val="DejaVu Sans"/>
        <family val="2"/>
      </rPr>
      <t>한국남부</t>
    </r>
    <r>
      <rPr>
        <b/>
        <sz val="9"/>
        <rFont val="맑은 고딕"/>
        <family val="2"/>
        <charset val="129"/>
      </rPr>
      <t>]</t>
    </r>
  </si>
  <si>
    <r>
      <rPr>
        <b/>
        <sz val="10"/>
        <color rgb="FFC9A063"/>
        <rFont val="맑은 고딕"/>
        <family val="2"/>
        <charset val="129"/>
      </rPr>
      <t xml:space="preserve">RM FCST </t>
    </r>
    <r>
      <rPr>
        <b/>
        <sz val="10"/>
        <color rgb="FFC9A063"/>
        <rFont val="DejaVu Sans"/>
        <family val="2"/>
      </rPr>
      <t xml:space="preserve">세그먼트별 </t>
    </r>
    <r>
      <rPr>
        <b/>
        <sz val="10"/>
        <color rgb="FFC9A063"/>
        <rFont val="맑은 고딕"/>
        <family val="2"/>
        <charset val="129"/>
      </rPr>
      <t>- 2026-05</t>
    </r>
  </si>
  <si>
    <t>세그먼트</t>
  </si>
  <si>
    <r>
      <rPr>
        <b/>
        <sz val="10"/>
        <color rgb="FFFFFFFF"/>
        <rFont val="DejaVu Sans"/>
        <family val="2"/>
      </rPr>
      <t xml:space="preserve">차이 </t>
    </r>
    <r>
      <rPr>
        <b/>
        <sz val="10"/>
        <color rgb="FFFFFFFF"/>
        <rFont val="맑은 고딕"/>
        <family val="2"/>
        <charset val="129"/>
      </rPr>
      <t>RN</t>
    </r>
  </si>
  <si>
    <t>OTA</t>
  </si>
  <si>
    <t>G-OTA</t>
  </si>
  <si>
    <t>Inbound</t>
  </si>
  <si>
    <r>
      <rPr>
        <b/>
        <sz val="9"/>
        <rFont val="DejaVu Sans"/>
        <family val="2"/>
      </rPr>
      <t xml:space="preserve">소스 </t>
    </r>
    <r>
      <rPr>
        <b/>
        <sz val="9"/>
        <rFont val="맑은 고딕"/>
        <family val="2"/>
        <charset val="129"/>
      </rPr>
      <t>PDF</t>
    </r>
  </si>
  <si>
    <t>Revenue Meeting_2026.05.19.pdf</t>
  </si>
  <si>
    <t>추출일시</t>
  </si>
  <si>
    <t>2026-05-21T02:46:28.298409</t>
  </si>
  <si>
    <t>스냅샷일자</t>
  </si>
  <si>
    <t>2026.05.19</t>
  </si>
  <si>
    <t>대상월</t>
  </si>
  <si>
    <t>2026-05</t>
  </si>
  <si>
    <t>비고</t>
  </si>
  <si>
    <r>
      <rPr>
        <sz val="9"/>
        <rFont val="맑은 고딕"/>
        <family val="2"/>
        <charset val="129"/>
      </rPr>
      <t xml:space="preserve">OTA/G-OTA/Inbound </t>
    </r>
    <r>
      <rPr>
        <sz val="9"/>
        <rFont val="DejaVu Sans"/>
        <family val="2"/>
      </rPr>
      <t xml:space="preserve">세그먼트 </t>
    </r>
    <r>
      <rPr>
        <sz val="9"/>
        <rFont val="맑은 고딕"/>
        <family val="2"/>
        <charset val="129"/>
      </rPr>
      <t>Forecast (</t>
    </r>
    <r>
      <rPr>
        <sz val="9"/>
        <rFont val="DejaVu Sans"/>
        <family val="2"/>
      </rPr>
      <t xml:space="preserve">주요지표 </t>
    </r>
    <r>
      <rPr>
        <sz val="9"/>
        <rFont val="맑은 고딕"/>
        <family val="2"/>
        <charset val="129"/>
      </rPr>
      <t xml:space="preserve">2.Forecast[05/19]) / </t>
    </r>
    <r>
      <rPr>
        <sz val="9"/>
        <rFont val="DejaVu Sans"/>
        <family val="2"/>
      </rPr>
      <t>단위</t>
    </r>
    <r>
      <rPr>
        <sz val="9"/>
        <rFont val="맑은 고딕"/>
        <family val="2"/>
        <charset val="129"/>
      </rPr>
      <t>: RN=</t>
    </r>
    <r>
      <rPr>
        <sz val="9"/>
        <rFont val="DejaVu Sans"/>
        <family val="2"/>
      </rPr>
      <t>실</t>
    </r>
    <r>
      <rPr>
        <sz val="9"/>
        <rFont val="맑은 고딕"/>
        <family val="2"/>
        <charset val="129"/>
      </rPr>
      <t>, ADR=</t>
    </r>
    <r>
      <rPr>
        <sz val="9"/>
        <rFont val="DejaVu Sans"/>
        <family val="2"/>
      </rPr>
      <t>천원</t>
    </r>
    <r>
      <rPr>
        <sz val="9"/>
        <rFont val="맑은 고딕"/>
        <family val="2"/>
        <charset val="129"/>
      </rPr>
      <t xml:space="preserve">, </t>
    </r>
    <r>
      <rPr>
        <sz val="9"/>
        <rFont val="DejaVu Sans"/>
        <family val="2"/>
      </rPr>
      <t>매출</t>
    </r>
    <r>
      <rPr>
        <sz val="9"/>
        <rFont val="맑은 고딕"/>
        <family val="2"/>
        <charset val="129"/>
      </rPr>
      <t>=</t>
    </r>
    <r>
      <rPr>
        <sz val="9"/>
        <rFont val="DejaVu Sans"/>
        <family val="2"/>
      </rPr>
      <t>백만원</t>
    </r>
    <r>
      <rPr>
        <sz val="9"/>
        <rFont val="맑은 고딕"/>
        <family val="2"/>
        <charset val="129"/>
      </rPr>
      <t>, VAT</t>
    </r>
    <r>
      <rPr>
        <sz val="9"/>
        <rFont val="DejaVu Sans"/>
        <family val="2"/>
      </rPr>
      <t>제외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</si>
</sst>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\%"/>
  </numFmts>
  <fonts count="10">
    <font>
      <sz val="11"/>
      <color theme="1"/>
      <name val="Calibri"/>
      <family val="2"/>
      <charset val="1"/>
    </font>
    <font>
      <b/>
      <sz val="10"/>
      <color rgb="FFC9A063"/>
      <name val="맑은 고딕"/>
      <family val="2"/>
      <charset val="129"/>
    </font>
    <font>
      <b/>
      <sz val="10"/>
      <color rgb="FFFFFFFF"/>
      <name val="DejaVu Sans"/>
      <family val="2"/>
    </font>
    <font>
      <b/>
      <sz val="10"/>
      <color rgb="FFFFFFFF"/>
      <name val="맑은 고딕"/>
      <family val="2"/>
      <charset val="129"/>
    </font>
    <font>
      <sz val="9"/>
      <name val="맑은 고딕"/>
      <family val="2"/>
      <charset val="129"/>
    </font>
    <font>
      <sz val="9"/>
      <name val="DejaVu Sans"/>
      <family val="2"/>
    </font>
    <font>
      <b/>
      <sz val="9"/>
      <name val="맑은 고딕"/>
      <family val="2"/>
      <charset val="129"/>
    </font>
    <font>
      <b/>
      <sz val="9"/>
      <name val="DejaVu Sans"/>
      <family val="2"/>
    </font>
    <font>
      <b/>
      <sz val="10"/>
      <color rgb="FFC9A063"/>
      <name val="DejaVu Sans"/>
      <family val="2"/>
    </font>
    <font>
      <sz val="8"/>
      <name val="나눔명조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F0F0F0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4" fillId="0" borderId="0" xfId="0" applyFont="1"/>
    <xf numFmtId="3" fontId="4" fillId="0" borderId="0" xfId="0" applyNumberFormat="1" applyFont="1" applyAlignment="1">
      <alignment horizontal="right"/>
    </xf>
    <xf numFmtId="176" fontId="4" fillId="0" borderId="0" xfId="0" applyNumberFormat="1" applyFont="1" applyAlignment="1">
      <alignment horizontal="right"/>
    </xf>
    <xf numFmtId="0" fontId="6" fillId="3" borderId="0" xfId="0" applyFont="1" applyFill="1"/>
    <xf numFmtId="3" fontId="6" fillId="3" borderId="0" xfId="0" applyNumberFormat="1" applyFont="1" applyFill="1" applyAlignment="1">
      <alignment horizontal="right"/>
    </xf>
    <xf numFmtId="176" fontId="6" fillId="3" borderId="0" xfId="0" applyNumberFormat="1" applyFont="1" applyFill="1" applyAlignment="1">
      <alignment horizontal="right"/>
    </xf>
    <xf numFmtId="0" fontId="7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0F0F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C9A063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"/>
  <sheetViews>
    <sheetView tabSelected="1" zoomScaleNormal="100" workbookViewId="0">
      <selection sqref="A1:H1"/>
    </sheetView>
  </sheetViews>
  <sheetFormatPr baseColWidth="10" defaultColWidth="8.6640625" defaultRowHeight="15"/>
  <cols>
    <col min="1" max="1" width="22" customWidth="1"/>
    <col min="2" max="2" width="15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2" t="s">
        <v>1</v>
      </c>
      <c r="B2" s="2" t="s">
        <v>2</v>
      </c>
      <c r="C2" s="2" t="s">
        <v>3</v>
      </c>
      <c r="D2" s="2" t="s">
        <v>4</v>
      </c>
      <c r="E2" s="3" t="s">
        <v>5</v>
      </c>
      <c r="F2" s="3" t="s">
        <v>6</v>
      </c>
      <c r="G2" s="3" t="s">
        <v>7</v>
      </c>
      <c r="H2" s="3" t="s">
        <v>8</v>
      </c>
    </row>
    <row r="3" spans="1:8">
      <c r="A3" s="4" t="s">
        <v>9</v>
      </c>
      <c r="B3" s="5">
        <v>18540</v>
      </c>
      <c r="C3" s="5">
        <v>153</v>
      </c>
      <c r="D3" s="5">
        <v>2828</v>
      </c>
      <c r="E3" s="5">
        <v>18660</v>
      </c>
      <c r="F3" s="5">
        <v>170</v>
      </c>
      <c r="G3" s="5">
        <v>3171</v>
      </c>
      <c r="H3" s="6">
        <f t="shared" ref="H3:H25" si="0">IF(B3=0,0,ROUND(E3/B3*100,1))</f>
        <v>100.6</v>
      </c>
    </row>
    <row r="4" spans="1:8">
      <c r="A4" s="4" t="s">
        <v>10</v>
      </c>
      <c r="B4" s="5">
        <v>3315</v>
      </c>
      <c r="C4" s="5">
        <v>246</v>
      </c>
      <c r="D4" s="5">
        <v>814</v>
      </c>
      <c r="E4" s="5">
        <v>2950</v>
      </c>
      <c r="F4" s="5">
        <v>245</v>
      </c>
      <c r="G4" s="5">
        <v>722</v>
      </c>
      <c r="H4" s="6">
        <f t="shared" si="0"/>
        <v>89</v>
      </c>
    </row>
    <row r="5" spans="1:8">
      <c r="A5" s="4" t="s">
        <v>11</v>
      </c>
      <c r="B5" s="5">
        <v>2287</v>
      </c>
      <c r="C5" s="5">
        <v>317</v>
      </c>
      <c r="D5" s="5">
        <v>725</v>
      </c>
      <c r="E5" s="5">
        <v>2312</v>
      </c>
      <c r="F5" s="5">
        <v>318</v>
      </c>
      <c r="G5" s="5">
        <v>736</v>
      </c>
      <c r="H5" s="6">
        <f t="shared" si="0"/>
        <v>101.1</v>
      </c>
    </row>
    <row r="6" spans="1:8">
      <c r="A6" s="4" t="s">
        <v>12</v>
      </c>
      <c r="B6" s="5">
        <v>5530</v>
      </c>
      <c r="C6" s="5">
        <v>266</v>
      </c>
      <c r="D6" s="5">
        <v>1474</v>
      </c>
      <c r="E6" s="5">
        <v>4740</v>
      </c>
      <c r="F6" s="5">
        <v>287</v>
      </c>
      <c r="G6" s="5">
        <v>1358</v>
      </c>
      <c r="H6" s="6">
        <f t="shared" si="0"/>
        <v>85.7</v>
      </c>
    </row>
    <row r="7" spans="1:8">
      <c r="A7" s="4" t="s">
        <v>13</v>
      </c>
      <c r="B7" s="5">
        <v>3192</v>
      </c>
      <c r="C7" s="5">
        <v>307</v>
      </c>
      <c r="D7" s="5">
        <v>981</v>
      </c>
      <c r="E7" s="5">
        <v>2495</v>
      </c>
      <c r="F7" s="5">
        <v>322</v>
      </c>
      <c r="G7" s="5">
        <v>803</v>
      </c>
      <c r="H7" s="6">
        <f t="shared" si="0"/>
        <v>78.2</v>
      </c>
    </row>
    <row r="8" spans="1:8">
      <c r="A8" s="4" t="s">
        <v>14</v>
      </c>
      <c r="B8" s="5">
        <v>3900</v>
      </c>
      <c r="C8" s="5">
        <v>122</v>
      </c>
      <c r="D8" s="5">
        <v>476</v>
      </c>
      <c r="E8" s="5">
        <v>3756</v>
      </c>
      <c r="F8" s="5">
        <v>119</v>
      </c>
      <c r="G8" s="5">
        <v>448</v>
      </c>
      <c r="H8" s="6">
        <f t="shared" si="0"/>
        <v>96.3</v>
      </c>
    </row>
    <row r="9" spans="1:8">
      <c r="A9" s="4" t="s">
        <v>15</v>
      </c>
      <c r="B9" s="5">
        <v>21765</v>
      </c>
      <c r="C9" s="5">
        <v>214</v>
      </c>
      <c r="D9" s="5">
        <v>4660</v>
      </c>
      <c r="E9" s="5">
        <v>20977</v>
      </c>
      <c r="F9" s="5">
        <v>209</v>
      </c>
      <c r="G9" s="5">
        <v>4380</v>
      </c>
      <c r="H9" s="6">
        <f t="shared" si="0"/>
        <v>96.4</v>
      </c>
    </row>
    <row r="10" spans="1:8">
      <c r="A10" s="4" t="s">
        <v>16</v>
      </c>
      <c r="B10" s="5">
        <v>11695</v>
      </c>
      <c r="C10" s="5">
        <v>192</v>
      </c>
      <c r="D10" s="5">
        <v>2242</v>
      </c>
      <c r="E10" s="5">
        <v>9462</v>
      </c>
      <c r="F10" s="5">
        <v>192</v>
      </c>
      <c r="G10" s="5">
        <v>1817</v>
      </c>
      <c r="H10" s="6">
        <f t="shared" si="0"/>
        <v>80.900000000000006</v>
      </c>
    </row>
    <row r="11" spans="1:8">
      <c r="A11" s="4" t="s">
        <v>17</v>
      </c>
      <c r="B11" s="5">
        <v>18350</v>
      </c>
      <c r="C11" s="5">
        <v>204</v>
      </c>
      <c r="D11" s="5">
        <v>3746</v>
      </c>
      <c r="E11" s="5">
        <v>14990</v>
      </c>
      <c r="F11" s="5">
        <v>202</v>
      </c>
      <c r="G11" s="5">
        <v>3025</v>
      </c>
      <c r="H11" s="6">
        <f t="shared" si="0"/>
        <v>81.7</v>
      </c>
    </row>
    <row r="12" spans="1:8">
      <c r="A12" s="4" t="s">
        <v>18</v>
      </c>
      <c r="B12" s="5">
        <v>12040</v>
      </c>
      <c r="C12" s="5">
        <v>145</v>
      </c>
      <c r="D12" s="5">
        <v>1751</v>
      </c>
      <c r="E12" s="5">
        <v>12665</v>
      </c>
      <c r="F12" s="5">
        <v>153</v>
      </c>
      <c r="G12" s="5">
        <v>1936</v>
      </c>
      <c r="H12" s="6">
        <f t="shared" si="0"/>
        <v>105.2</v>
      </c>
    </row>
    <row r="13" spans="1:8">
      <c r="A13" s="4" t="s">
        <v>19</v>
      </c>
      <c r="B13" s="5">
        <v>10011</v>
      </c>
      <c r="C13" s="5">
        <v>236</v>
      </c>
      <c r="D13" s="5">
        <v>2361</v>
      </c>
      <c r="E13" s="5">
        <v>9651</v>
      </c>
      <c r="F13" s="5">
        <v>228</v>
      </c>
      <c r="G13" s="5">
        <v>2198</v>
      </c>
      <c r="H13" s="6">
        <f t="shared" si="0"/>
        <v>96.4</v>
      </c>
    </row>
    <row r="14" spans="1:8">
      <c r="A14" s="4" t="s">
        <v>20</v>
      </c>
      <c r="B14" s="5">
        <v>4290</v>
      </c>
      <c r="C14" s="5">
        <v>150</v>
      </c>
      <c r="D14" s="5">
        <v>645</v>
      </c>
      <c r="E14" s="5">
        <v>4435</v>
      </c>
      <c r="F14" s="5">
        <v>166</v>
      </c>
      <c r="G14" s="5">
        <v>737</v>
      </c>
      <c r="H14" s="6">
        <f t="shared" si="0"/>
        <v>103.4</v>
      </c>
    </row>
    <row r="15" spans="1:8">
      <c r="A15" s="4" t="s">
        <v>21</v>
      </c>
      <c r="B15" s="5">
        <v>9550</v>
      </c>
      <c r="C15" s="5">
        <v>159</v>
      </c>
      <c r="D15" s="5">
        <v>1522</v>
      </c>
      <c r="E15" s="5">
        <v>9134</v>
      </c>
      <c r="F15" s="5">
        <v>165</v>
      </c>
      <c r="G15" s="5">
        <v>1505</v>
      </c>
      <c r="H15" s="6">
        <f t="shared" si="0"/>
        <v>95.6</v>
      </c>
    </row>
    <row r="16" spans="1:8">
      <c r="A16" s="4" t="s">
        <v>22</v>
      </c>
      <c r="B16" s="5">
        <v>10420</v>
      </c>
      <c r="C16" s="5">
        <v>153</v>
      </c>
      <c r="D16" s="5">
        <v>1599</v>
      </c>
      <c r="E16" s="5">
        <v>9405</v>
      </c>
      <c r="F16" s="5">
        <v>161</v>
      </c>
      <c r="G16" s="5">
        <v>1515</v>
      </c>
      <c r="H16" s="6">
        <f t="shared" si="0"/>
        <v>90.3</v>
      </c>
    </row>
    <row r="17" spans="1:8">
      <c r="A17" s="4" t="s">
        <v>23</v>
      </c>
      <c r="B17" s="5">
        <v>6460</v>
      </c>
      <c r="C17" s="5">
        <v>251</v>
      </c>
      <c r="D17" s="5">
        <v>1623</v>
      </c>
      <c r="E17" s="5">
        <v>5832</v>
      </c>
      <c r="F17" s="5">
        <v>258</v>
      </c>
      <c r="G17" s="5">
        <v>1507</v>
      </c>
      <c r="H17" s="6">
        <f t="shared" si="0"/>
        <v>90.3</v>
      </c>
    </row>
    <row r="18" spans="1:8">
      <c r="A18" s="4" t="s">
        <v>24</v>
      </c>
      <c r="B18" s="5">
        <v>10100</v>
      </c>
      <c r="C18" s="5">
        <v>209</v>
      </c>
      <c r="D18" s="5">
        <v>2113</v>
      </c>
      <c r="E18" s="5">
        <v>9311</v>
      </c>
      <c r="F18" s="5">
        <v>219</v>
      </c>
      <c r="G18" s="5">
        <v>2041</v>
      </c>
      <c r="H18" s="6">
        <f t="shared" si="0"/>
        <v>92.2</v>
      </c>
    </row>
    <row r="19" spans="1:8">
      <c r="A19" s="4" t="s">
        <v>25</v>
      </c>
      <c r="B19" s="5">
        <v>11860</v>
      </c>
      <c r="C19" s="5">
        <v>203</v>
      </c>
      <c r="D19" s="5">
        <v>2405</v>
      </c>
      <c r="E19" s="5">
        <v>10463</v>
      </c>
      <c r="F19" s="5">
        <v>200</v>
      </c>
      <c r="G19" s="5">
        <v>2095</v>
      </c>
      <c r="H19" s="6">
        <f t="shared" si="0"/>
        <v>88.2</v>
      </c>
    </row>
    <row r="20" spans="1:8">
      <c r="A20" s="4" t="s">
        <v>26</v>
      </c>
      <c r="B20" s="5">
        <v>9470</v>
      </c>
      <c r="C20" s="5">
        <v>166</v>
      </c>
      <c r="D20" s="5">
        <v>1572</v>
      </c>
      <c r="E20" s="5">
        <v>9167</v>
      </c>
      <c r="F20" s="5">
        <v>166</v>
      </c>
      <c r="G20" s="5">
        <v>1521</v>
      </c>
      <c r="H20" s="6">
        <f t="shared" si="0"/>
        <v>96.8</v>
      </c>
    </row>
    <row r="21" spans="1:8">
      <c r="A21" s="4" t="s">
        <v>27</v>
      </c>
      <c r="B21" s="5">
        <v>7410</v>
      </c>
      <c r="C21" s="5">
        <v>201</v>
      </c>
      <c r="D21" s="5">
        <v>1490</v>
      </c>
      <c r="E21" s="5">
        <v>7365</v>
      </c>
      <c r="F21" s="5">
        <v>183</v>
      </c>
      <c r="G21" s="5">
        <v>1346</v>
      </c>
      <c r="H21" s="6">
        <f t="shared" si="0"/>
        <v>99.4</v>
      </c>
    </row>
    <row r="22" spans="1:8">
      <c r="A22" s="4" t="s">
        <v>28</v>
      </c>
      <c r="B22" s="5">
        <v>14980</v>
      </c>
      <c r="C22" s="5">
        <v>141</v>
      </c>
      <c r="D22" s="5">
        <v>2109</v>
      </c>
      <c r="E22" s="5">
        <v>13160</v>
      </c>
      <c r="F22" s="5">
        <v>149</v>
      </c>
      <c r="G22" s="5">
        <v>1956</v>
      </c>
      <c r="H22" s="6">
        <f t="shared" si="0"/>
        <v>87.9</v>
      </c>
    </row>
    <row r="23" spans="1:8">
      <c r="A23" s="4" t="s">
        <v>29</v>
      </c>
      <c r="B23" s="5">
        <v>5880</v>
      </c>
      <c r="C23" s="5">
        <v>99</v>
      </c>
      <c r="D23" s="5">
        <v>580</v>
      </c>
      <c r="E23" s="5">
        <v>6100</v>
      </c>
      <c r="F23" s="5">
        <v>97</v>
      </c>
      <c r="G23" s="5">
        <v>594</v>
      </c>
      <c r="H23" s="6">
        <f t="shared" si="0"/>
        <v>103.7</v>
      </c>
    </row>
    <row r="24" spans="1:8">
      <c r="A24" s="4" t="s">
        <v>30</v>
      </c>
      <c r="B24" s="5">
        <v>11970</v>
      </c>
      <c r="C24" s="5">
        <v>306</v>
      </c>
      <c r="D24" s="5">
        <v>3663</v>
      </c>
      <c r="E24" s="5">
        <v>8954</v>
      </c>
      <c r="F24" s="5">
        <v>325</v>
      </c>
      <c r="G24" s="5">
        <v>2912</v>
      </c>
      <c r="H24" s="6">
        <f t="shared" si="0"/>
        <v>74.8</v>
      </c>
    </row>
    <row r="25" spans="1:8">
      <c r="A25" s="4" t="s">
        <v>31</v>
      </c>
      <c r="B25" s="5">
        <v>2265</v>
      </c>
      <c r="C25" s="5">
        <v>242</v>
      </c>
      <c r="D25" s="5">
        <v>548</v>
      </c>
      <c r="E25" s="5">
        <v>2000</v>
      </c>
      <c r="F25" s="5">
        <v>231</v>
      </c>
      <c r="G25" s="5">
        <v>462</v>
      </c>
      <c r="H25" s="6">
        <f t="shared" si="0"/>
        <v>88.3</v>
      </c>
    </row>
    <row r="27" spans="1:8">
      <c r="A27" s="7" t="s">
        <v>32</v>
      </c>
      <c r="B27" s="8">
        <v>36764</v>
      </c>
      <c r="C27" s="8">
        <v>198</v>
      </c>
      <c r="D27" s="8">
        <v>7297</v>
      </c>
      <c r="E27" s="8">
        <v>34913</v>
      </c>
      <c r="F27" s="8">
        <v>207</v>
      </c>
      <c r="G27" s="8">
        <v>7239</v>
      </c>
      <c r="H27" s="9">
        <f>IF(B27=0,0,ROUND(E27/B27*100,1))</f>
        <v>95</v>
      </c>
    </row>
    <row r="28" spans="1:8">
      <c r="A28" s="7" t="s">
        <v>33</v>
      </c>
      <c r="B28" s="8">
        <v>75665</v>
      </c>
      <c r="C28" s="8">
        <v>191</v>
      </c>
      <c r="D28" s="8">
        <v>14469</v>
      </c>
      <c r="E28" s="8">
        <v>69228</v>
      </c>
      <c r="F28" s="8">
        <v>190</v>
      </c>
      <c r="G28" s="8">
        <v>13125</v>
      </c>
      <c r="H28" s="9">
        <f>IF(B28=0,0,ROUND(E28/B28*100,1))</f>
        <v>91.5</v>
      </c>
    </row>
    <row r="29" spans="1:8">
      <c r="A29" s="7" t="s">
        <v>34</v>
      </c>
      <c r="B29" s="8">
        <v>31860</v>
      </c>
      <c r="C29" s="8">
        <v>162</v>
      </c>
      <c r="D29" s="8">
        <v>5171</v>
      </c>
      <c r="E29" s="8">
        <v>29692</v>
      </c>
      <c r="F29" s="8">
        <v>162</v>
      </c>
      <c r="G29" s="8">
        <v>4823</v>
      </c>
      <c r="H29" s="9">
        <f>IF(B29=0,0,ROUND(E29/B29*100,1))</f>
        <v>93.2</v>
      </c>
    </row>
    <row r="30" spans="1:8">
      <c r="A30" s="7" t="s">
        <v>35</v>
      </c>
      <c r="B30" s="8">
        <v>70991</v>
      </c>
      <c r="C30" s="8">
        <v>211</v>
      </c>
      <c r="D30" s="8">
        <v>14989</v>
      </c>
      <c r="E30" s="8">
        <v>64151</v>
      </c>
      <c r="F30" s="8">
        <v>212</v>
      </c>
      <c r="G30" s="8">
        <v>13598</v>
      </c>
      <c r="H30" s="9">
        <f>IF(B30=0,0,ROUND(E30/B30*100,1))</f>
        <v>90.4</v>
      </c>
    </row>
  </sheetData>
  <mergeCells count="1">
    <mergeCell ref="A1:H1"/>
  </mergeCells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1"/>
  <sheetViews>
    <sheetView zoomScaleNormal="100" workbookViewId="0"/>
  </sheetViews>
  <sheetFormatPr baseColWidth="10" defaultColWidth="8.6640625" defaultRowHeight="15"/>
  <cols>
    <col min="1" max="1" width="26" customWidth="1"/>
    <col min="2" max="2" width="12" customWidth="1"/>
    <col min="3" max="3" width="15" customWidth="1"/>
  </cols>
  <sheetData>
    <row r="1" spans="1:10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 t="s">
        <v>37</v>
      </c>
      <c r="C2" s="2" t="s">
        <v>2</v>
      </c>
      <c r="D2" s="2" t="s">
        <v>3</v>
      </c>
      <c r="E2" s="2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2" t="s">
        <v>38</v>
      </c>
    </row>
    <row r="3" spans="1:10">
      <c r="A3" s="4" t="s">
        <v>9</v>
      </c>
      <c r="B3" s="4" t="s">
        <v>39</v>
      </c>
      <c r="C3" s="5">
        <v>4200</v>
      </c>
      <c r="D3" s="5">
        <v>160</v>
      </c>
      <c r="E3" s="5">
        <v>672</v>
      </c>
      <c r="F3" s="5">
        <v>5100</v>
      </c>
      <c r="G3" s="5">
        <v>198</v>
      </c>
      <c r="H3" s="5">
        <v>1009</v>
      </c>
      <c r="I3" s="6">
        <f t="shared" ref="I3:I34" si="0">IF(C3=0,0,ROUND(F3/C3*100,1))</f>
        <v>121.4</v>
      </c>
      <c r="J3" s="5">
        <f t="shared" ref="J3:J34" si="1">F3-C3</f>
        <v>900</v>
      </c>
    </row>
    <row r="4" spans="1:10">
      <c r="A4" s="4" t="s">
        <v>9</v>
      </c>
      <c r="B4" s="4" t="s">
        <v>40</v>
      </c>
      <c r="C4" s="5">
        <v>1000</v>
      </c>
      <c r="D4" s="5">
        <v>174</v>
      </c>
      <c r="E4" s="5">
        <v>174</v>
      </c>
      <c r="F4" s="5">
        <v>1300</v>
      </c>
      <c r="G4" s="5">
        <v>210</v>
      </c>
      <c r="H4" s="5">
        <v>273</v>
      </c>
      <c r="I4" s="6">
        <f t="shared" si="0"/>
        <v>130</v>
      </c>
      <c r="J4" s="5">
        <f t="shared" si="1"/>
        <v>300</v>
      </c>
    </row>
    <row r="5" spans="1:10">
      <c r="A5" s="4" t="s">
        <v>9</v>
      </c>
      <c r="B5" s="4" t="s">
        <v>41</v>
      </c>
      <c r="C5" s="5">
        <v>50</v>
      </c>
      <c r="D5" s="5">
        <v>113</v>
      </c>
      <c r="E5" s="5">
        <v>6</v>
      </c>
      <c r="F5" s="5">
        <v>118</v>
      </c>
      <c r="G5" s="5">
        <v>78</v>
      </c>
      <c r="H5" s="5">
        <v>9</v>
      </c>
      <c r="I5" s="6">
        <f t="shared" si="0"/>
        <v>236</v>
      </c>
      <c r="J5" s="5">
        <f t="shared" si="1"/>
        <v>68</v>
      </c>
    </row>
    <row r="6" spans="1:10">
      <c r="A6" s="4" t="s">
        <v>10</v>
      </c>
      <c r="B6" s="4" t="s">
        <v>39</v>
      </c>
      <c r="C6" s="5">
        <v>1120</v>
      </c>
      <c r="D6" s="5">
        <v>231</v>
      </c>
      <c r="E6" s="5">
        <v>259</v>
      </c>
      <c r="F6" s="5">
        <v>650</v>
      </c>
      <c r="G6" s="5">
        <v>279</v>
      </c>
      <c r="H6" s="5">
        <v>181</v>
      </c>
      <c r="I6" s="6">
        <f t="shared" si="0"/>
        <v>58</v>
      </c>
      <c r="J6" s="5">
        <f t="shared" si="1"/>
        <v>-470</v>
      </c>
    </row>
    <row r="7" spans="1:10">
      <c r="A7" s="4" t="s">
        <v>10</v>
      </c>
      <c r="B7" s="4" t="s">
        <v>40</v>
      </c>
      <c r="C7" s="5">
        <v>510</v>
      </c>
      <c r="D7" s="5">
        <v>248</v>
      </c>
      <c r="E7" s="5">
        <v>126</v>
      </c>
      <c r="F7" s="5">
        <v>385</v>
      </c>
      <c r="G7" s="5">
        <v>303</v>
      </c>
      <c r="H7" s="5">
        <v>117</v>
      </c>
      <c r="I7" s="6">
        <f t="shared" si="0"/>
        <v>75.5</v>
      </c>
      <c r="J7" s="5">
        <f t="shared" si="1"/>
        <v>-125</v>
      </c>
    </row>
    <row r="8" spans="1:10">
      <c r="A8" s="4" t="s">
        <v>10</v>
      </c>
      <c r="B8" s="4" t="s">
        <v>41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6">
        <f t="shared" si="0"/>
        <v>0</v>
      </c>
      <c r="J8" s="5">
        <f t="shared" si="1"/>
        <v>0</v>
      </c>
    </row>
    <row r="9" spans="1:10">
      <c r="A9" s="4" t="s">
        <v>11</v>
      </c>
      <c r="B9" s="4" t="s">
        <v>39</v>
      </c>
      <c r="C9" s="5">
        <v>600</v>
      </c>
      <c r="D9" s="5">
        <v>323</v>
      </c>
      <c r="E9" s="5">
        <v>194</v>
      </c>
      <c r="F9" s="5">
        <v>670</v>
      </c>
      <c r="G9" s="5">
        <v>348</v>
      </c>
      <c r="H9" s="5">
        <v>233</v>
      </c>
      <c r="I9" s="6">
        <f t="shared" si="0"/>
        <v>111.7</v>
      </c>
      <c r="J9" s="5">
        <f t="shared" si="1"/>
        <v>70</v>
      </c>
    </row>
    <row r="10" spans="1:10">
      <c r="A10" s="4" t="s">
        <v>11</v>
      </c>
      <c r="B10" s="4" t="s">
        <v>40</v>
      </c>
      <c r="C10" s="5">
        <v>500</v>
      </c>
      <c r="D10" s="5">
        <v>315</v>
      </c>
      <c r="E10" s="5">
        <v>158</v>
      </c>
      <c r="F10" s="5">
        <v>380</v>
      </c>
      <c r="G10" s="5">
        <v>343</v>
      </c>
      <c r="H10" s="5">
        <v>130</v>
      </c>
      <c r="I10" s="6">
        <f t="shared" si="0"/>
        <v>76</v>
      </c>
      <c r="J10" s="5">
        <f t="shared" si="1"/>
        <v>-120</v>
      </c>
    </row>
    <row r="11" spans="1:10">
      <c r="A11" s="4" t="s">
        <v>11</v>
      </c>
      <c r="B11" s="4" t="s">
        <v>41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6">
        <f t="shared" si="0"/>
        <v>0</v>
      </c>
      <c r="J11" s="5">
        <f t="shared" si="1"/>
        <v>0</v>
      </c>
    </row>
    <row r="12" spans="1:10">
      <c r="A12" s="4" t="s">
        <v>12</v>
      </c>
      <c r="B12" s="4" t="s">
        <v>39</v>
      </c>
      <c r="C12" s="5">
        <v>1000</v>
      </c>
      <c r="D12" s="5">
        <v>281</v>
      </c>
      <c r="E12" s="5">
        <v>281</v>
      </c>
      <c r="F12" s="5">
        <v>950</v>
      </c>
      <c r="G12" s="5">
        <v>339</v>
      </c>
      <c r="H12" s="5">
        <v>322</v>
      </c>
      <c r="I12" s="6">
        <f t="shared" si="0"/>
        <v>95</v>
      </c>
      <c r="J12" s="5">
        <f t="shared" si="1"/>
        <v>-50</v>
      </c>
    </row>
    <row r="13" spans="1:10">
      <c r="A13" s="4" t="s">
        <v>12</v>
      </c>
      <c r="B13" s="4" t="s">
        <v>40</v>
      </c>
      <c r="C13" s="5">
        <v>800</v>
      </c>
      <c r="D13" s="5">
        <v>300</v>
      </c>
      <c r="E13" s="5">
        <v>240</v>
      </c>
      <c r="F13" s="5">
        <v>510</v>
      </c>
      <c r="G13" s="5">
        <v>337</v>
      </c>
      <c r="H13" s="5">
        <v>172</v>
      </c>
      <c r="I13" s="6">
        <f t="shared" si="0"/>
        <v>63.8</v>
      </c>
      <c r="J13" s="5">
        <f t="shared" si="1"/>
        <v>-290</v>
      </c>
    </row>
    <row r="14" spans="1:10">
      <c r="A14" s="4" t="s">
        <v>12</v>
      </c>
      <c r="B14" s="4" t="s">
        <v>41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6">
        <f t="shared" si="0"/>
        <v>0</v>
      </c>
      <c r="J14" s="5">
        <f t="shared" si="1"/>
        <v>0</v>
      </c>
    </row>
    <row r="15" spans="1:10">
      <c r="A15" s="4" t="s">
        <v>13</v>
      </c>
      <c r="B15" s="4" t="s">
        <v>39</v>
      </c>
      <c r="C15" s="5">
        <v>750</v>
      </c>
      <c r="D15" s="5">
        <v>317</v>
      </c>
      <c r="E15" s="5">
        <v>238</v>
      </c>
      <c r="F15" s="5">
        <v>500</v>
      </c>
      <c r="G15" s="5">
        <v>391</v>
      </c>
      <c r="H15" s="5">
        <v>195</v>
      </c>
      <c r="I15" s="6">
        <f t="shared" si="0"/>
        <v>66.7</v>
      </c>
      <c r="J15" s="5">
        <f t="shared" si="1"/>
        <v>-250</v>
      </c>
    </row>
    <row r="16" spans="1:10">
      <c r="A16" s="4" t="s">
        <v>13</v>
      </c>
      <c r="B16" s="4" t="s">
        <v>40</v>
      </c>
      <c r="C16" s="5">
        <v>400</v>
      </c>
      <c r="D16" s="5">
        <v>325</v>
      </c>
      <c r="E16" s="5">
        <v>130</v>
      </c>
      <c r="F16" s="5">
        <v>270</v>
      </c>
      <c r="G16" s="5">
        <v>356</v>
      </c>
      <c r="H16" s="5">
        <v>96</v>
      </c>
      <c r="I16" s="6">
        <f t="shared" si="0"/>
        <v>67.5</v>
      </c>
      <c r="J16" s="5">
        <f t="shared" si="1"/>
        <v>-130</v>
      </c>
    </row>
    <row r="17" spans="1:10">
      <c r="A17" s="4" t="s">
        <v>13</v>
      </c>
      <c r="B17" s="4" t="s">
        <v>41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6">
        <f t="shared" si="0"/>
        <v>0</v>
      </c>
      <c r="J17" s="5">
        <f t="shared" si="1"/>
        <v>0</v>
      </c>
    </row>
    <row r="18" spans="1:10">
      <c r="A18" s="4" t="s">
        <v>14</v>
      </c>
      <c r="B18" s="4" t="s">
        <v>39</v>
      </c>
      <c r="C18" s="5">
        <v>410</v>
      </c>
      <c r="D18" s="5">
        <v>140</v>
      </c>
      <c r="E18" s="5">
        <v>57</v>
      </c>
      <c r="F18" s="5">
        <v>500</v>
      </c>
      <c r="G18" s="5">
        <v>157</v>
      </c>
      <c r="H18" s="5">
        <v>79</v>
      </c>
      <c r="I18" s="6">
        <f t="shared" si="0"/>
        <v>122</v>
      </c>
      <c r="J18" s="5">
        <f t="shared" si="1"/>
        <v>90</v>
      </c>
    </row>
    <row r="19" spans="1:10">
      <c r="A19" s="4" t="s">
        <v>14</v>
      </c>
      <c r="B19" s="4" t="s">
        <v>40</v>
      </c>
      <c r="C19" s="5">
        <v>330</v>
      </c>
      <c r="D19" s="5">
        <v>133</v>
      </c>
      <c r="E19" s="5">
        <v>44</v>
      </c>
      <c r="F19" s="5">
        <v>360</v>
      </c>
      <c r="G19" s="5">
        <v>141</v>
      </c>
      <c r="H19" s="5">
        <v>51</v>
      </c>
      <c r="I19" s="6">
        <f t="shared" si="0"/>
        <v>109.1</v>
      </c>
      <c r="J19" s="5">
        <f t="shared" si="1"/>
        <v>30</v>
      </c>
    </row>
    <row r="20" spans="1:10">
      <c r="A20" s="4" t="s">
        <v>14</v>
      </c>
      <c r="B20" s="4" t="s">
        <v>41</v>
      </c>
      <c r="C20" s="5">
        <v>50</v>
      </c>
      <c r="D20" s="5">
        <v>65</v>
      </c>
      <c r="E20" s="5">
        <v>3</v>
      </c>
      <c r="F20" s="5">
        <v>42</v>
      </c>
      <c r="G20" s="5">
        <v>60</v>
      </c>
      <c r="H20" s="5">
        <v>3</v>
      </c>
      <c r="I20" s="6">
        <f t="shared" si="0"/>
        <v>84</v>
      </c>
      <c r="J20" s="5">
        <f t="shared" si="1"/>
        <v>-8</v>
      </c>
    </row>
    <row r="21" spans="1:10">
      <c r="A21" s="4" t="s">
        <v>15</v>
      </c>
      <c r="B21" s="4" t="s">
        <v>39</v>
      </c>
      <c r="C21" s="5">
        <v>2620</v>
      </c>
      <c r="D21" s="5">
        <v>291</v>
      </c>
      <c r="E21" s="5">
        <v>763</v>
      </c>
      <c r="F21" s="5">
        <v>4700</v>
      </c>
      <c r="G21" s="5">
        <v>259</v>
      </c>
      <c r="H21" s="5">
        <v>1217</v>
      </c>
      <c r="I21" s="6">
        <f t="shared" si="0"/>
        <v>179.4</v>
      </c>
      <c r="J21" s="5">
        <f t="shared" si="1"/>
        <v>2080</v>
      </c>
    </row>
    <row r="22" spans="1:10">
      <c r="A22" s="4" t="s">
        <v>15</v>
      </c>
      <c r="B22" s="4" t="s">
        <v>40</v>
      </c>
      <c r="C22" s="5">
        <v>2380</v>
      </c>
      <c r="D22" s="5">
        <v>266</v>
      </c>
      <c r="E22" s="5">
        <v>632</v>
      </c>
      <c r="F22" s="5">
        <v>2500</v>
      </c>
      <c r="G22" s="5">
        <v>236</v>
      </c>
      <c r="H22" s="5">
        <v>590</v>
      </c>
      <c r="I22" s="6">
        <f t="shared" si="0"/>
        <v>105</v>
      </c>
      <c r="J22" s="5">
        <f t="shared" si="1"/>
        <v>120</v>
      </c>
    </row>
    <row r="23" spans="1:10">
      <c r="A23" s="4" t="s">
        <v>15</v>
      </c>
      <c r="B23" s="4" t="s">
        <v>41</v>
      </c>
      <c r="C23" s="5">
        <v>50</v>
      </c>
      <c r="D23" s="5">
        <v>85</v>
      </c>
      <c r="E23" s="5">
        <v>4</v>
      </c>
      <c r="F23" s="5">
        <v>112</v>
      </c>
      <c r="G23" s="5">
        <v>79</v>
      </c>
      <c r="H23" s="5">
        <v>9</v>
      </c>
      <c r="I23" s="6">
        <f t="shared" si="0"/>
        <v>224</v>
      </c>
      <c r="J23" s="5">
        <f t="shared" si="1"/>
        <v>62</v>
      </c>
    </row>
    <row r="24" spans="1:10">
      <c r="A24" s="4" t="s">
        <v>16</v>
      </c>
      <c r="B24" s="4" t="s">
        <v>39</v>
      </c>
      <c r="C24" s="5">
        <v>1800</v>
      </c>
      <c r="D24" s="5">
        <v>212</v>
      </c>
      <c r="E24" s="5">
        <v>382</v>
      </c>
      <c r="F24" s="5">
        <v>1650</v>
      </c>
      <c r="G24" s="5">
        <v>240</v>
      </c>
      <c r="H24" s="5">
        <v>396</v>
      </c>
      <c r="I24" s="6">
        <f t="shared" si="0"/>
        <v>91.7</v>
      </c>
      <c r="J24" s="5">
        <f t="shared" si="1"/>
        <v>-150</v>
      </c>
    </row>
    <row r="25" spans="1:10">
      <c r="A25" s="4" t="s">
        <v>16</v>
      </c>
      <c r="B25" s="4" t="s">
        <v>40</v>
      </c>
      <c r="C25" s="5">
        <v>1300</v>
      </c>
      <c r="D25" s="5">
        <v>187</v>
      </c>
      <c r="E25" s="5">
        <v>243</v>
      </c>
      <c r="F25" s="5">
        <v>780</v>
      </c>
      <c r="G25" s="5">
        <v>189</v>
      </c>
      <c r="H25" s="5">
        <v>147</v>
      </c>
      <c r="I25" s="6">
        <f t="shared" si="0"/>
        <v>60</v>
      </c>
      <c r="J25" s="5">
        <f t="shared" si="1"/>
        <v>-520</v>
      </c>
    </row>
    <row r="26" spans="1:10">
      <c r="A26" s="4" t="s">
        <v>16</v>
      </c>
      <c r="B26" s="4" t="s">
        <v>41</v>
      </c>
      <c r="C26" s="5">
        <v>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6">
        <f t="shared" si="0"/>
        <v>0</v>
      </c>
      <c r="J26" s="5">
        <f t="shared" si="1"/>
        <v>0</v>
      </c>
    </row>
    <row r="27" spans="1:10">
      <c r="A27" s="4" t="s">
        <v>17</v>
      </c>
      <c r="B27" s="4" t="s">
        <v>39</v>
      </c>
      <c r="C27" s="5">
        <v>3300</v>
      </c>
      <c r="D27" s="5">
        <v>232</v>
      </c>
      <c r="E27" s="5">
        <v>766</v>
      </c>
      <c r="F27" s="5">
        <v>2800</v>
      </c>
      <c r="G27" s="5">
        <v>242</v>
      </c>
      <c r="H27" s="5">
        <v>678</v>
      </c>
      <c r="I27" s="6">
        <f t="shared" si="0"/>
        <v>84.8</v>
      </c>
      <c r="J27" s="5">
        <f t="shared" si="1"/>
        <v>-500</v>
      </c>
    </row>
    <row r="28" spans="1:10">
      <c r="A28" s="4" t="s">
        <v>17</v>
      </c>
      <c r="B28" s="4" t="s">
        <v>40</v>
      </c>
      <c r="C28" s="5">
        <v>2100</v>
      </c>
      <c r="D28" s="5">
        <v>212</v>
      </c>
      <c r="E28" s="5">
        <v>445</v>
      </c>
      <c r="F28" s="5">
        <v>2100</v>
      </c>
      <c r="G28" s="5">
        <v>209</v>
      </c>
      <c r="H28" s="5">
        <v>440</v>
      </c>
      <c r="I28" s="6">
        <f t="shared" si="0"/>
        <v>100</v>
      </c>
      <c r="J28" s="5">
        <f t="shared" si="1"/>
        <v>0</v>
      </c>
    </row>
    <row r="29" spans="1:10">
      <c r="A29" s="4" t="s">
        <v>17</v>
      </c>
      <c r="B29" s="4" t="s">
        <v>41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6">
        <f t="shared" si="0"/>
        <v>0</v>
      </c>
      <c r="J29" s="5">
        <f t="shared" si="1"/>
        <v>0</v>
      </c>
    </row>
    <row r="30" spans="1:10">
      <c r="A30" s="4" t="s">
        <v>18</v>
      </c>
      <c r="B30" s="4" t="s">
        <v>39</v>
      </c>
      <c r="C30" s="5">
        <v>2450</v>
      </c>
      <c r="D30" s="5">
        <v>167</v>
      </c>
      <c r="E30" s="5">
        <v>410</v>
      </c>
      <c r="F30" s="5">
        <v>3400</v>
      </c>
      <c r="G30" s="5">
        <v>188</v>
      </c>
      <c r="H30" s="5">
        <v>638</v>
      </c>
      <c r="I30" s="6">
        <f t="shared" si="0"/>
        <v>138.80000000000001</v>
      </c>
      <c r="J30" s="5">
        <f t="shared" si="1"/>
        <v>950</v>
      </c>
    </row>
    <row r="31" spans="1:10">
      <c r="A31" s="4" t="s">
        <v>18</v>
      </c>
      <c r="B31" s="4" t="s">
        <v>40</v>
      </c>
      <c r="C31" s="5">
        <v>1250</v>
      </c>
      <c r="D31" s="5">
        <v>160</v>
      </c>
      <c r="E31" s="5">
        <v>200</v>
      </c>
      <c r="F31" s="5">
        <v>1520</v>
      </c>
      <c r="G31" s="5">
        <v>154</v>
      </c>
      <c r="H31" s="5">
        <v>234</v>
      </c>
      <c r="I31" s="6">
        <f t="shared" si="0"/>
        <v>121.6</v>
      </c>
      <c r="J31" s="5">
        <f t="shared" si="1"/>
        <v>270</v>
      </c>
    </row>
    <row r="32" spans="1:10">
      <c r="A32" s="4" t="s">
        <v>18</v>
      </c>
      <c r="B32" s="4" t="s">
        <v>41</v>
      </c>
      <c r="C32" s="5">
        <v>300</v>
      </c>
      <c r="D32" s="5">
        <v>68</v>
      </c>
      <c r="E32" s="5">
        <v>21</v>
      </c>
      <c r="F32" s="5">
        <v>200</v>
      </c>
      <c r="G32" s="5">
        <v>67</v>
      </c>
      <c r="H32" s="5">
        <v>13</v>
      </c>
      <c r="I32" s="6">
        <f t="shared" si="0"/>
        <v>66.7</v>
      </c>
      <c r="J32" s="5">
        <f t="shared" si="1"/>
        <v>-100</v>
      </c>
    </row>
    <row r="33" spans="1:10">
      <c r="A33" s="4" t="s">
        <v>19</v>
      </c>
      <c r="B33" s="4" t="s">
        <v>39</v>
      </c>
      <c r="C33" s="5">
        <v>1435</v>
      </c>
      <c r="D33" s="5">
        <v>270</v>
      </c>
      <c r="E33" s="5">
        <v>387</v>
      </c>
      <c r="F33" s="5">
        <v>1300</v>
      </c>
      <c r="G33" s="5">
        <v>296</v>
      </c>
      <c r="H33" s="5">
        <v>385</v>
      </c>
      <c r="I33" s="6">
        <f t="shared" si="0"/>
        <v>90.6</v>
      </c>
      <c r="J33" s="5">
        <f t="shared" si="1"/>
        <v>-135</v>
      </c>
    </row>
    <row r="34" spans="1:10">
      <c r="A34" s="4" t="s">
        <v>19</v>
      </c>
      <c r="B34" s="4" t="s">
        <v>40</v>
      </c>
      <c r="C34" s="5">
        <v>875</v>
      </c>
      <c r="D34" s="5">
        <v>270</v>
      </c>
      <c r="E34" s="5">
        <v>236</v>
      </c>
      <c r="F34" s="5">
        <v>930</v>
      </c>
      <c r="G34" s="5">
        <v>260</v>
      </c>
      <c r="H34" s="5">
        <v>242</v>
      </c>
      <c r="I34" s="6">
        <f t="shared" si="0"/>
        <v>106.3</v>
      </c>
      <c r="J34" s="5">
        <f t="shared" si="1"/>
        <v>55</v>
      </c>
    </row>
    <row r="35" spans="1:10">
      <c r="A35" s="4" t="s">
        <v>19</v>
      </c>
      <c r="B35" s="4" t="s">
        <v>41</v>
      </c>
      <c r="C35" s="5">
        <v>0</v>
      </c>
      <c r="D35" s="5">
        <v>0</v>
      </c>
      <c r="E35" s="5">
        <v>0</v>
      </c>
      <c r="F35" s="5">
        <v>35</v>
      </c>
      <c r="G35" s="5">
        <v>205</v>
      </c>
      <c r="H35" s="5">
        <v>7</v>
      </c>
      <c r="I35" s="6">
        <f t="shared" ref="I35:I71" si="2">IF(C35=0,0,ROUND(F35/C35*100,1))</f>
        <v>0</v>
      </c>
      <c r="J35" s="5">
        <f t="shared" ref="J35:J71" si="3">F35-C35</f>
        <v>35</v>
      </c>
    </row>
    <row r="36" spans="1:10">
      <c r="A36" s="4" t="s">
        <v>20</v>
      </c>
      <c r="B36" s="4" t="s">
        <v>39</v>
      </c>
      <c r="C36" s="5">
        <v>815</v>
      </c>
      <c r="D36" s="5">
        <v>158</v>
      </c>
      <c r="E36" s="5">
        <v>129</v>
      </c>
      <c r="F36" s="5">
        <v>900</v>
      </c>
      <c r="G36" s="5">
        <v>204</v>
      </c>
      <c r="H36" s="5">
        <v>184</v>
      </c>
      <c r="I36" s="6">
        <f t="shared" si="2"/>
        <v>110.4</v>
      </c>
      <c r="J36" s="5">
        <f t="shared" si="3"/>
        <v>85</v>
      </c>
    </row>
    <row r="37" spans="1:10">
      <c r="A37" s="4" t="s">
        <v>20</v>
      </c>
      <c r="B37" s="4" t="s">
        <v>40</v>
      </c>
      <c r="C37" s="5">
        <v>470</v>
      </c>
      <c r="D37" s="5">
        <v>149</v>
      </c>
      <c r="E37" s="5">
        <v>70</v>
      </c>
      <c r="F37" s="5">
        <v>600</v>
      </c>
      <c r="G37" s="5">
        <v>182</v>
      </c>
      <c r="H37" s="5">
        <v>109</v>
      </c>
      <c r="I37" s="6">
        <f t="shared" si="2"/>
        <v>127.7</v>
      </c>
      <c r="J37" s="5">
        <f t="shared" si="3"/>
        <v>130</v>
      </c>
    </row>
    <row r="38" spans="1:10">
      <c r="A38" s="4" t="s">
        <v>20</v>
      </c>
      <c r="B38" s="4" t="s">
        <v>41</v>
      </c>
      <c r="C38" s="5">
        <v>10</v>
      </c>
      <c r="D38" s="5">
        <v>130</v>
      </c>
      <c r="E38" s="5">
        <v>1</v>
      </c>
      <c r="F38" s="5">
        <v>8</v>
      </c>
      <c r="G38" s="5">
        <v>162</v>
      </c>
      <c r="H38" s="5">
        <v>1</v>
      </c>
      <c r="I38" s="6">
        <f t="shared" si="2"/>
        <v>80</v>
      </c>
      <c r="J38" s="5">
        <f t="shared" si="3"/>
        <v>-2</v>
      </c>
    </row>
    <row r="39" spans="1:10">
      <c r="A39" s="4" t="s">
        <v>21</v>
      </c>
      <c r="B39" s="4" t="s">
        <v>39</v>
      </c>
      <c r="C39" s="5">
        <v>1700</v>
      </c>
      <c r="D39" s="5">
        <v>186</v>
      </c>
      <c r="E39" s="5">
        <v>315</v>
      </c>
      <c r="F39" s="5">
        <v>1770</v>
      </c>
      <c r="G39" s="5">
        <v>204</v>
      </c>
      <c r="H39" s="5">
        <v>361</v>
      </c>
      <c r="I39" s="6">
        <f t="shared" si="2"/>
        <v>104.1</v>
      </c>
      <c r="J39" s="5">
        <f t="shared" si="3"/>
        <v>70</v>
      </c>
    </row>
    <row r="40" spans="1:10">
      <c r="A40" s="4" t="s">
        <v>21</v>
      </c>
      <c r="B40" s="4" t="s">
        <v>40</v>
      </c>
      <c r="C40" s="5">
        <v>600</v>
      </c>
      <c r="D40" s="5">
        <v>183</v>
      </c>
      <c r="E40" s="5">
        <v>110</v>
      </c>
      <c r="F40" s="5">
        <v>730</v>
      </c>
      <c r="G40" s="5">
        <v>183</v>
      </c>
      <c r="H40" s="5">
        <v>134</v>
      </c>
      <c r="I40" s="6">
        <f t="shared" si="2"/>
        <v>121.7</v>
      </c>
      <c r="J40" s="5">
        <f t="shared" si="3"/>
        <v>130</v>
      </c>
    </row>
    <row r="41" spans="1:10">
      <c r="A41" s="4" t="s">
        <v>21</v>
      </c>
      <c r="B41" s="4" t="s">
        <v>41</v>
      </c>
      <c r="C41" s="5">
        <v>0</v>
      </c>
      <c r="D41" s="5">
        <v>0</v>
      </c>
      <c r="E41" s="5">
        <v>0</v>
      </c>
      <c r="F41" s="5">
        <v>218</v>
      </c>
      <c r="G41" s="5">
        <v>104</v>
      </c>
      <c r="H41" s="5">
        <v>23</v>
      </c>
      <c r="I41" s="6">
        <f t="shared" si="2"/>
        <v>0</v>
      </c>
      <c r="J41" s="5">
        <f t="shared" si="3"/>
        <v>218</v>
      </c>
    </row>
    <row r="42" spans="1:10">
      <c r="A42" s="4" t="s">
        <v>22</v>
      </c>
      <c r="B42" s="4" t="s">
        <v>39</v>
      </c>
      <c r="C42" s="5">
        <v>1300</v>
      </c>
      <c r="D42" s="5">
        <v>178</v>
      </c>
      <c r="E42" s="5">
        <v>231</v>
      </c>
      <c r="F42" s="5">
        <v>1250</v>
      </c>
      <c r="G42" s="5">
        <v>205</v>
      </c>
      <c r="H42" s="5">
        <v>256</v>
      </c>
      <c r="I42" s="6">
        <f t="shared" si="2"/>
        <v>96.2</v>
      </c>
      <c r="J42" s="5">
        <f t="shared" si="3"/>
        <v>-50</v>
      </c>
    </row>
    <row r="43" spans="1:10">
      <c r="A43" s="4" t="s">
        <v>22</v>
      </c>
      <c r="B43" s="4" t="s">
        <v>40</v>
      </c>
      <c r="C43" s="5">
        <v>1300</v>
      </c>
      <c r="D43" s="5">
        <v>179</v>
      </c>
      <c r="E43" s="5">
        <v>233</v>
      </c>
      <c r="F43" s="5">
        <v>1184</v>
      </c>
      <c r="G43" s="5">
        <v>178</v>
      </c>
      <c r="H43" s="5">
        <v>211</v>
      </c>
      <c r="I43" s="6">
        <f t="shared" si="2"/>
        <v>91.1</v>
      </c>
      <c r="J43" s="5">
        <f t="shared" si="3"/>
        <v>-116</v>
      </c>
    </row>
    <row r="44" spans="1:10">
      <c r="A44" s="4" t="s">
        <v>22</v>
      </c>
      <c r="B44" s="4" t="s">
        <v>41</v>
      </c>
      <c r="C44" s="5">
        <v>0</v>
      </c>
      <c r="D44" s="5">
        <v>0</v>
      </c>
      <c r="E44" s="5">
        <v>0</v>
      </c>
      <c r="F44" s="5">
        <v>28</v>
      </c>
      <c r="G44" s="5">
        <v>79</v>
      </c>
      <c r="H44" s="5">
        <v>2</v>
      </c>
      <c r="I44" s="6">
        <f t="shared" si="2"/>
        <v>0</v>
      </c>
      <c r="J44" s="5">
        <f t="shared" si="3"/>
        <v>28</v>
      </c>
    </row>
    <row r="45" spans="1:10">
      <c r="A45" s="4" t="s">
        <v>23</v>
      </c>
      <c r="B45" s="4" t="s">
        <v>39</v>
      </c>
      <c r="C45" s="5">
        <v>600</v>
      </c>
      <c r="D45" s="5">
        <v>300</v>
      </c>
      <c r="E45" s="5">
        <v>180</v>
      </c>
      <c r="F45" s="5">
        <v>600</v>
      </c>
      <c r="G45" s="5">
        <v>309</v>
      </c>
      <c r="H45" s="5">
        <v>186</v>
      </c>
      <c r="I45" s="6">
        <f t="shared" si="2"/>
        <v>100</v>
      </c>
      <c r="J45" s="5">
        <f t="shared" si="3"/>
        <v>0</v>
      </c>
    </row>
    <row r="46" spans="1:10">
      <c r="A46" s="4" t="s">
        <v>23</v>
      </c>
      <c r="B46" s="4" t="s">
        <v>40</v>
      </c>
      <c r="C46" s="5">
        <v>700</v>
      </c>
      <c r="D46" s="5">
        <v>295</v>
      </c>
      <c r="E46" s="5">
        <v>207</v>
      </c>
      <c r="F46" s="5">
        <v>930</v>
      </c>
      <c r="G46" s="5">
        <v>284</v>
      </c>
      <c r="H46" s="5">
        <v>264</v>
      </c>
      <c r="I46" s="6">
        <f t="shared" si="2"/>
        <v>132.9</v>
      </c>
      <c r="J46" s="5">
        <f t="shared" si="3"/>
        <v>230</v>
      </c>
    </row>
    <row r="47" spans="1:10">
      <c r="A47" s="4" t="s">
        <v>23</v>
      </c>
      <c r="B47" s="4" t="s">
        <v>41</v>
      </c>
      <c r="C47" s="5">
        <v>150</v>
      </c>
      <c r="D47" s="5">
        <v>151</v>
      </c>
      <c r="E47" s="5">
        <v>23</v>
      </c>
      <c r="F47" s="5">
        <v>74</v>
      </c>
      <c r="G47" s="5">
        <v>169</v>
      </c>
      <c r="H47" s="5">
        <v>13</v>
      </c>
      <c r="I47" s="6">
        <f t="shared" si="2"/>
        <v>49.3</v>
      </c>
      <c r="J47" s="5">
        <f t="shared" si="3"/>
        <v>-76</v>
      </c>
    </row>
    <row r="48" spans="1:10">
      <c r="A48" s="4" t="s">
        <v>24</v>
      </c>
      <c r="B48" s="4" t="s">
        <v>39</v>
      </c>
      <c r="C48" s="5">
        <v>1500</v>
      </c>
      <c r="D48" s="5">
        <v>242</v>
      </c>
      <c r="E48" s="5">
        <v>363</v>
      </c>
      <c r="F48" s="5">
        <v>2180</v>
      </c>
      <c r="G48" s="5">
        <v>262</v>
      </c>
      <c r="H48" s="5">
        <v>572</v>
      </c>
      <c r="I48" s="6">
        <f t="shared" si="2"/>
        <v>145.30000000000001</v>
      </c>
      <c r="J48" s="5">
        <f t="shared" si="3"/>
        <v>680</v>
      </c>
    </row>
    <row r="49" spans="1:10">
      <c r="A49" s="4" t="s">
        <v>24</v>
      </c>
      <c r="B49" s="4" t="s">
        <v>40</v>
      </c>
      <c r="C49" s="5">
        <v>800</v>
      </c>
      <c r="D49" s="5">
        <v>228</v>
      </c>
      <c r="E49" s="5">
        <v>182</v>
      </c>
      <c r="F49" s="5">
        <v>1000</v>
      </c>
      <c r="G49" s="5">
        <v>250</v>
      </c>
      <c r="H49" s="5">
        <v>250</v>
      </c>
      <c r="I49" s="6">
        <f t="shared" si="2"/>
        <v>125</v>
      </c>
      <c r="J49" s="5">
        <f t="shared" si="3"/>
        <v>200</v>
      </c>
    </row>
    <row r="50" spans="1:10">
      <c r="A50" s="4" t="s">
        <v>24</v>
      </c>
      <c r="B50" s="4" t="s">
        <v>41</v>
      </c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6">
        <f t="shared" si="2"/>
        <v>0</v>
      </c>
      <c r="J50" s="5">
        <f t="shared" si="3"/>
        <v>0</v>
      </c>
    </row>
    <row r="51" spans="1:10">
      <c r="A51" s="4" t="s">
        <v>25</v>
      </c>
      <c r="B51" s="4" t="s">
        <v>39</v>
      </c>
      <c r="C51" s="5">
        <v>2300</v>
      </c>
      <c r="D51" s="5">
        <v>217</v>
      </c>
      <c r="E51" s="5">
        <v>499</v>
      </c>
      <c r="F51" s="5">
        <v>2400</v>
      </c>
      <c r="G51" s="5">
        <v>231</v>
      </c>
      <c r="H51" s="5">
        <v>555</v>
      </c>
      <c r="I51" s="6">
        <f t="shared" si="2"/>
        <v>104.3</v>
      </c>
      <c r="J51" s="5">
        <f t="shared" si="3"/>
        <v>100</v>
      </c>
    </row>
    <row r="52" spans="1:10">
      <c r="A52" s="4" t="s">
        <v>25</v>
      </c>
      <c r="B52" s="4" t="s">
        <v>40</v>
      </c>
      <c r="C52" s="5">
        <v>1500</v>
      </c>
      <c r="D52" s="5">
        <v>211</v>
      </c>
      <c r="E52" s="5">
        <v>317</v>
      </c>
      <c r="F52" s="5">
        <v>1500</v>
      </c>
      <c r="G52" s="5">
        <v>192</v>
      </c>
      <c r="H52" s="5">
        <v>289</v>
      </c>
      <c r="I52" s="6">
        <f t="shared" si="2"/>
        <v>100</v>
      </c>
      <c r="J52" s="5">
        <f t="shared" si="3"/>
        <v>0</v>
      </c>
    </row>
    <row r="53" spans="1:10">
      <c r="A53" s="4" t="s">
        <v>25</v>
      </c>
      <c r="B53" s="4" t="s">
        <v>41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6">
        <f t="shared" si="2"/>
        <v>0</v>
      </c>
      <c r="J53" s="5">
        <f t="shared" si="3"/>
        <v>0</v>
      </c>
    </row>
    <row r="54" spans="1:10">
      <c r="A54" s="4" t="s">
        <v>26</v>
      </c>
      <c r="B54" s="4" t="s">
        <v>39</v>
      </c>
      <c r="C54" s="5">
        <v>700</v>
      </c>
      <c r="D54" s="5">
        <v>183</v>
      </c>
      <c r="E54" s="5">
        <v>128</v>
      </c>
      <c r="F54" s="5">
        <v>730</v>
      </c>
      <c r="G54" s="5">
        <v>207</v>
      </c>
      <c r="H54" s="5">
        <v>151</v>
      </c>
      <c r="I54" s="6">
        <f t="shared" si="2"/>
        <v>104.3</v>
      </c>
      <c r="J54" s="5">
        <f t="shared" si="3"/>
        <v>30</v>
      </c>
    </row>
    <row r="55" spans="1:10">
      <c r="A55" s="4" t="s">
        <v>26</v>
      </c>
      <c r="B55" s="4" t="s">
        <v>40</v>
      </c>
      <c r="C55" s="5">
        <v>850</v>
      </c>
      <c r="D55" s="5">
        <v>185</v>
      </c>
      <c r="E55" s="5">
        <v>157</v>
      </c>
      <c r="F55" s="5">
        <v>1160</v>
      </c>
      <c r="G55" s="5">
        <v>182</v>
      </c>
      <c r="H55" s="5">
        <v>211</v>
      </c>
      <c r="I55" s="6">
        <f t="shared" si="2"/>
        <v>136.5</v>
      </c>
      <c r="J55" s="5">
        <f t="shared" si="3"/>
        <v>310</v>
      </c>
    </row>
    <row r="56" spans="1:10">
      <c r="A56" s="4" t="s">
        <v>26</v>
      </c>
      <c r="B56" s="4" t="s">
        <v>41</v>
      </c>
      <c r="C56" s="5">
        <v>100</v>
      </c>
      <c r="D56" s="5">
        <v>63</v>
      </c>
      <c r="E56" s="5">
        <v>6</v>
      </c>
      <c r="F56" s="5">
        <v>0</v>
      </c>
      <c r="G56" s="5">
        <v>0</v>
      </c>
      <c r="H56" s="5">
        <v>0</v>
      </c>
      <c r="I56" s="6">
        <f t="shared" si="2"/>
        <v>0</v>
      </c>
      <c r="J56" s="5">
        <f t="shared" si="3"/>
        <v>-100</v>
      </c>
    </row>
    <row r="57" spans="1:10">
      <c r="A57" s="4" t="s">
        <v>27</v>
      </c>
      <c r="B57" s="4" t="s">
        <v>39</v>
      </c>
      <c r="C57" s="5">
        <v>680</v>
      </c>
      <c r="D57" s="5">
        <v>254</v>
      </c>
      <c r="E57" s="5">
        <v>173</v>
      </c>
      <c r="F57" s="5">
        <v>520</v>
      </c>
      <c r="G57" s="5">
        <v>228</v>
      </c>
      <c r="H57" s="5">
        <v>119</v>
      </c>
      <c r="I57" s="6">
        <f t="shared" si="2"/>
        <v>76.5</v>
      </c>
      <c r="J57" s="5">
        <f t="shared" si="3"/>
        <v>-160</v>
      </c>
    </row>
    <row r="58" spans="1:10">
      <c r="A58" s="4" t="s">
        <v>27</v>
      </c>
      <c r="B58" s="4" t="s">
        <v>40</v>
      </c>
      <c r="C58" s="5">
        <v>770</v>
      </c>
      <c r="D58" s="5">
        <v>250</v>
      </c>
      <c r="E58" s="5">
        <v>192</v>
      </c>
      <c r="F58" s="5">
        <v>660</v>
      </c>
      <c r="G58" s="5">
        <v>195</v>
      </c>
      <c r="H58" s="5">
        <v>129</v>
      </c>
      <c r="I58" s="6">
        <f t="shared" si="2"/>
        <v>85.7</v>
      </c>
      <c r="J58" s="5">
        <f t="shared" si="3"/>
        <v>-110</v>
      </c>
    </row>
    <row r="59" spans="1:10">
      <c r="A59" s="4" t="s">
        <v>27</v>
      </c>
      <c r="B59" s="4" t="s">
        <v>41</v>
      </c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6">
        <f t="shared" si="2"/>
        <v>0</v>
      </c>
      <c r="J59" s="5">
        <f t="shared" si="3"/>
        <v>0</v>
      </c>
    </row>
    <row r="60" spans="1:10">
      <c r="A60" s="4" t="s">
        <v>28</v>
      </c>
      <c r="B60" s="4" t="s">
        <v>39</v>
      </c>
      <c r="C60" s="5">
        <v>1300</v>
      </c>
      <c r="D60" s="5">
        <v>185</v>
      </c>
      <c r="E60" s="5">
        <v>241</v>
      </c>
      <c r="F60" s="5">
        <v>950</v>
      </c>
      <c r="G60" s="5">
        <v>205</v>
      </c>
      <c r="H60" s="5">
        <v>195</v>
      </c>
      <c r="I60" s="6">
        <f t="shared" si="2"/>
        <v>73.099999999999994</v>
      </c>
      <c r="J60" s="5">
        <f t="shared" si="3"/>
        <v>-350</v>
      </c>
    </row>
    <row r="61" spans="1:10">
      <c r="A61" s="4" t="s">
        <v>28</v>
      </c>
      <c r="B61" s="4" t="s">
        <v>40</v>
      </c>
      <c r="C61" s="5">
        <v>2300</v>
      </c>
      <c r="D61" s="5">
        <v>187</v>
      </c>
      <c r="E61" s="5">
        <v>430</v>
      </c>
      <c r="F61" s="5">
        <v>3150</v>
      </c>
      <c r="G61" s="5">
        <v>193</v>
      </c>
      <c r="H61" s="5">
        <v>607</v>
      </c>
      <c r="I61" s="6">
        <f t="shared" si="2"/>
        <v>137</v>
      </c>
      <c r="J61" s="5">
        <f t="shared" si="3"/>
        <v>850</v>
      </c>
    </row>
    <row r="62" spans="1:10">
      <c r="A62" s="4" t="s">
        <v>28</v>
      </c>
      <c r="B62" s="4" t="s">
        <v>41</v>
      </c>
      <c r="C62" s="5">
        <v>3000</v>
      </c>
      <c r="D62" s="5">
        <v>90</v>
      </c>
      <c r="E62" s="5">
        <v>270</v>
      </c>
      <c r="F62" s="5">
        <v>2400</v>
      </c>
      <c r="G62" s="5">
        <v>96</v>
      </c>
      <c r="H62" s="5">
        <v>229</v>
      </c>
      <c r="I62" s="6">
        <f t="shared" si="2"/>
        <v>80</v>
      </c>
      <c r="J62" s="5">
        <f t="shared" si="3"/>
        <v>-600</v>
      </c>
    </row>
    <row r="63" spans="1:10">
      <c r="A63" s="4" t="s">
        <v>29</v>
      </c>
      <c r="B63" s="4" t="s">
        <v>39</v>
      </c>
      <c r="C63" s="5">
        <v>500</v>
      </c>
      <c r="D63" s="5">
        <v>113</v>
      </c>
      <c r="E63" s="5">
        <v>57</v>
      </c>
      <c r="F63" s="5">
        <v>610</v>
      </c>
      <c r="G63" s="5">
        <v>119</v>
      </c>
      <c r="H63" s="5">
        <v>73</v>
      </c>
      <c r="I63" s="6">
        <f t="shared" si="2"/>
        <v>122</v>
      </c>
      <c r="J63" s="5">
        <f t="shared" si="3"/>
        <v>110</v>
      </c>
    </row>
    <row r="64" spans="1:10">
      <c r="A64" s="4" t="s">
        <v>29</v>
      </c>
      <c r="B64" s="4" t="s">
        <v>40</v>
      </c>
      <c r="C64" s="5">
        <v>1100</v>
      </c>
      <c r="D64" s="5">
        <v>97</v>
      </c>
      <c r="E64" s="5">
        <v>107</v>
      </c>
      <c r="F64" s="5">
        <v>1120</v>
      </c>
      <c r="G64" s="5">
        <v>96</v>
      </c>
      <c r="H64" s="5">
        <v>108</v>
      </c>
      <c r="I64" s="6">
        <f t="shared" si="2"/>
        <v>101.8</v>
      </c>
      <c r="J64" s="5">
        <f t="shared" si="3"/>
        <v>20</v>
      </c>
    </row>
    <row r="65" spans="1:10">
      <c r="A65" s="4" t="s">
        <v>29</v>
      </c>
      <c r="B65" s="4" t="s">
        <v>41</v>
      </c>
      <c r="C65" s="5">
        <v>700</v>
      </c>
      <c r="D65" s="5">
        <v>60</v>
      </c>
      <c r="E65" s="5">
        <v>42</v>
      </c>
      <c r="F65" s="5">
        <v>1419</v>
      </c>
      <c r="G65" s="5">
        <v>71</v>
      </c>
      <c r="H65" s="5">
        <v>101</v>
      </c>
      <c r="I65" s="6">
        <f t="shared" si="2"/>
        <v>202.7</v>
      </c>
      <c r="J65" s="5">
        <f t="shared" si="3"/>
        <v>719</v>
      </c>
    </row>
    <row r="66" spans="1:10">
      <c r="A66" s="4" t="s">
        <v>30</v>
      </c>
      <c r="B66" s="4" t="s">
        <v>39</v>
      </c>
      <c r="C66" s="5">
        <v>1900</v>
      </c>
      <c r="D66" s="5">
        <v>362</v>
      </c>
      <c r="E66" s="5">
        <v>687</v>
      </c>
      <c r="F66" s="5">
        <v>1720</v>
      </c>
      <c r="G66" s="5">
        <v>398</v>
      </c>
      <c r="H66" s="5">
        <v>685</v>
      </c>
      <c r="I66" s="6">
        <f t="shared" si="2"/>
        <v>90.5</v>
      </c>
      <c r="J66" s="5">
        <f t="shared" si="3"/>
        <v>-180</v>
      </c>
    </row>
    <row r="67" spans="1:10">
      <c r="A67" s="4" t="s">
        <v>30</v>
      </c>
      <c r="B67" s="4" t="s">
        <v>40</v>
      </c>
      <c r="C67" s="5">
        <v>1030</v>
      </c>
      <c r="D67" s="5">
        <v>360</v>
      </c>
      <c r="E67" s="5">
        <v>371</v>
      </c>
      <c r="F67" s="5">
        <v>1050</v>
      </c>
      <c r="G67" s="5">
        <v>330</v>
      </c>
      <c r="H67" s="5">
        <v>347</v>
      </c>
      <c r="I67" s="6">
        <f t="shared" si="2"/>
        <v>101.9</v>
      </c>
      <c r="J67" s="5">
        <f t="shared" si="3"/>
        <v>20</v>
      </c>
    </row>
    <row r="68" spans="1:10">
      <c r="A68" s="4" t="s">
        <v>30</v>
      </c>
      <c r="B68" s="4" t="s">
        <v>41</v>
      </c>
      <c r="C68" s="5">
        <v>0</v>
      </c>
      <c r="D68" s="5">
        <v>0</v>
      </c>
      <c r="E68" s="5">
        <v>0</v>
      </c>
      <c r="F68" s="5">
        <v>1</v>
      </c>
      <c r="G68" s="5">
        <v>236</v>
      </c>
      <c r="H68" s="5">
        <v>0</v>
      </c>
      <c r="I68" s="6">
        <f t="shared" si="2"/>
        <v>0</v>
      </c>
      <c r="J68" s="5">
        <f t="shared" si="3"/>
        <v>1</v>
      </c>
    </row>
    <row r="69" spans="1:10">
      <c r="A69" s="4" t="s">
        <v>31</v>
      </c>
      <c r="B69" s="4" t="s">
        <v>39</v>
      </c>
      <c r="C69" s="5">
        <v>600</v>
      </c>
      <c r="D69" s="5">
        <v>269</v>
      </c>
      <c r="E69" s="5">
        <v>161</v>
      </c>
      <c r="F69" s="5">
        <v>660</v>
      </c>
      <c r="G69" s="5">
        <v>227</v>
      </c>
      <c r="H69" s="5">
        <v>150</v>
      </c>
      <c r="I69" s="6">
        <f t="shared" si="2"/>
        <v>110</v>
      </c>
      <c r="J69" s="5">
        <f t="shared" si="3"/>
        <v>60</v>
      </c>
    </row>
    <row r="70" spans="1:10">
      <c r="A70" s="4" t="s">
        <v>31</v>
      </c>
      <c r="B70" s="4" t="s">
        <v>40</v>
      </c>
      <c r="C70" s="5">
        <v>350</v>
      </c>
      <c r="D70" s="5">
        <v>268</v>
      </c>
      <c r="E70" s="5">
        <v>94</v>
      </c>
      <c r="F70" s="5">
        <v>400</v>
      </c>
      <c r="G70" s="5">
        <v>189</v>
      </c>
      <c r="H70" s="5">
        <v>76</v>
      </c>
      <c r="I70" s="6">
        <f t="shared" si="2"/>
        <v>114.3</v>
      </c>
      <c r="J70" s="5">
        <f t="shared" si="3"/>
        <v>50</v>
      </c>
    </row>
    <row r="71" spans="1:10">
      <c r="A71" s="4" t="s">
        <v>31</v>
      </c>
      <c r="B71" s="4" t="s">
        <v>41</v>
      </c>
      <c r="C71" s="5">
        <v>0</v>
      </c>
      <c r="D71" s="5">
        <v>0</v>
      </c>
      <c r="E71" s="5">
        <v>0</v>
      </c>
      <c r="F71" s="5">
        <v>0</v>
      </c>
      <c r="G71" s="5">
        <v>0</v>
      </c>
      <c r="H71" s="5">
        <v>0</v>
      </c>
      <c r="I71" s="6">
        <f t="shared" si="2"/>
        <v>0</v>
      </c>
      <c r="J71" s="5">
        <f t="shared" si="3"/>
        <v>0</v>
      </c>
    </row>
  </sheetData>
  <mergeCells count="1">
    <mergeCell ref="A1:J1"/>
  </mergeCells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zoomScaleNormal="100" workbookViewId="0"/>
  </sheetViews>
  <sheetFormatPr baseColWidth="10" defaultColWidth="8.6640625" defaultRowHeight="15"/>
  <cols>
    <col min="1" max="1" width="15" customWidth="1"/>
    <col min="2" max="2" width="45" customWidth="1"/>
  </cols>
  <sheetData>
    <row r="1" spans="1:2">
      <c r="A1" s="10" t="s">
        <v>42</v>
      </c>
      <c r="B1" s="4" t="s">
        <v>43</v>
      </c>
    </row>
    <row r="2" spans="1:2">
      <c r="A2" s="10" t="s">
        <v>44</v>
      </c>
      <c r="B2" s="4" t="s">
        <v>45</v>
      </c>
    </row>
    <row r="3" spans="1:2">
      <c r="A3" s="10" t="s">
        <v>46</v>
      </c>
      <c r="B3" s="4" t="s">
        <v>47</v>
      </c>
    </row>
    <row r="4" spans="1:2">
      <c r="A4" s="10" t="s">
        <v>48</v>
      </c>
      <c r="B4" s="4" t="s">
        <v>49</v>
      </c>
    </row>
    <row r="5" spans="1:2">
      <c r="A5" s="10" t="s">
        <v>50</v>
      </c>
      <c r="B5" s="4" t="s">
        <v>51</v>
      </c>
    </row>
  </sheetData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사업장별 총괄</vt:lpstr>
      <vt:lpstr>세그먼트별 상세</vt:lpstr>
      <vt:lpstr>메타정보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찬민 박</cp:lastModifiedBy>
  <cp:revision>0</cp:revision>
  <dcterms:created xsi:type="dcterms:W3CDTF">2026-05-21T02:46:28Z</dcterms:created>
  <dcterms:modified xsi:type="dcterms:W3CDTF">2026-05-21T03:41:58Z</dcterms:modified>
  <dc:language>en-US</dc:language>
</cp:coreProperties>
</file>