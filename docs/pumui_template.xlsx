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bookViews>
    <workbookView xWindow="-43395" yWindow="45" windowWidth="51840" windowHeight="21120" firstSheet="3" activeTab="3"/>
  </bookViews>
  <sheets>
    <sheet name="Sheet6" sheetId="48" state="hidden" r:id="rId1"/>
    <sheet name="Sheet7" sheetId="49" state="hidden" r:id="rId2"/>
    <sheet name="품의 양식(회원동반) (2)" sheetId="71" state="hidden" r:id="rId3"/>
    <sheet name="품의 양식(회원동반)" sheetId="66" r:id="rId4"/>
    <sheet name="품의 양식(FIT)_3" sheetId="76" r:id="rId5"/>
    <sheet name="품의 양식(FIT)_2" sheetId="72" state="hidden" r:id="rId6"/>
    <sheet name="품의 양식(FIT)" sheetId="69" state="hidden" r:id="rId7"/>
    <sheet name="첨부 내용(회원동반)" sheetId="68" r:id="rId8"/>
    <sheet name="첨부 내용(FIT)" sheetId="70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1" i="76" l="1"/>
  <c r="AH21" i="76"/>
  <c r="AB21" i="76"/>
  <c r="S21" i="76"/>
  <c r="P21" i="76"/>
  <c r="J21" i="76"/>
  <c r="AK20" i="76"/>
  <c r="AH20" i="76"/>
  <c r="AB20" i="76"/>
  <c r="S20" i="76"/>
  <c r="P20" i="76"/>
  <c r="J20" i="76"/>
  <c r="AK19" i="76"/>
  <c r="AH19" i="76"/>
  <c r="AB19" i="76"/>
  <c r="S19" i="76"/>
  <c r="P19" i="76"/>
  <c r="J19" i="76"/>
  <c r="AK18" i="76"/>
  <c r="AH18" i="76"/>
  <c r="AB18" i="76"/>
  <c r="S18" i="76"/>
  <c r="P18" i="76"/>
  <c r="J18" i="76"/>
  <c r="AK15" i="76"/>
  <c r="AH15" i="76"/>
  <c r="AB15" i="76"/>
  <c r="S15" i="76"/>
  <c r="P15" i="76"/>
  <c r="J15" i="76"/>
  <c r="AK14" i="76"/>
  <c r="AH14" i="76"/>
  <c r="AB14" i="76"/>
  <c r="S14" i="76"/>
  <c r="P14" i="76"/>
  <c r="J14" i="76"/>
  <c r="AK13" i="76"/>
  <c r="AH13" i="76"/>
  <c r="AB13" i="76"/>
  <c r="S13" i="76"/>
  <c r="P13" i="76"/>
  <c r="J13" i="76"/>
  <c r="AK12" i="76"/>
  <c r="AH12" i="76"/>
  <c r="AB12" i="76"/>
  <c r="S12" i="76"/>
  <c r="P12" i="76"/>
  <c r="J12" i="76"/>
  <c r="AK21" i="66"/>
  <c r="AH21" i="66"/>
  <c r="AB21" i="66"/>
  <c r="AK20" i="66"/>
  <c r="AH20" i="66"/>
  <c r="AB20" i="66"/>
  <c r="AK19" i="66"/>
  <c r="AH19" i="66"/>
  <c r="AB19" i="66"/>
  <c r="AK18" i="66"/>
  <c r="AH18" i="66"/>
  <c r="AB18" i="66"/>
  <c r="AK15" i="66"/>
  <c r="AH15" i="66"/>
  <c r="AB15" i="66"/>
  <c r="AK14" i="66"/>
  <c r="AH14" i="66"/>
  <c r="AB14" i="66"/>
  <c r="AK13" i="66"/>
  <c r="AH13" i="66"/>
  <c r="AB13" i="66"/>
  <c r="AK12" i="66"/>
  <c r="AH12" i="66"/>
  <c r="AB12" i="66"/>
  <c r="S21" i="66"/>
  <c r="P21" i="66"/>
  <c r="J21" i="66"/>
  <c r="S20" i="66"/>
  <c r="P20" i="66"/>
  <c r="J20" i="66"/>
  <c r="S19" i="66"/>
  <c r="P19" i="66"/>
  <c r="J19" i="66"/>
  <c r="S18" i="66"/>
  <c r="P18" i="66"/>
  <c r="J18" i="66"/>
  <c r="S15" i="66"/>
  <c r="S14" i="66"/>
  <c r="S13" i="66"/>
  <c r="S12" i="66"/>
  <c r="P15" i="66"/>
  <c r="P14" i="66"/>
  <c r="P13" i="66"/>
  <c r="P12" i="66"/>
  <c r="J15" i="66"/>
  <c r="J14" i="66"/>
  <c r="J13" i="66"/>
  <c r="J12" i="66"/>
  <c r="M40" i="70" l="1"/>
  <c r="K40" i="70"/>
  <c r="I40" i="70"/>
  <c r="G40" i="70"/>
  <c r="E40" i="70"/>
  <c r="O39" i="70"/>
  <c r="O38" i="70"/>
  <c r="M26" i="70"/>
  <c r="K26" i="70"/>
  <c r="I26" i="70"/>
  <c r="G26" i="70"/>
  <c r="E25" i="70"/>
  <c r="E24" i="70"/>
  <c r="E12" i="70"/>
  <c r="B12" i="70"/>
  <c r="E11" i="70"/>
  <c r="B11" i="70"/>
  <c r="E10" i="70"/>
  <c r="B10" i="70"/>
  <c r="E9" i="70"/>
  <c r="B9" i="70"/>
  <c r="E8" i="70"/>
  <c r="B8" i="70"/>
  <c r="E7" i="70"/>
  <c r="B7" i="70"/>
  <c r="B2" i="70"/>
  <c r="M38" i="68"/>
  <c r="K38" i="68"/>
  <c r="I38" i="68"/>
  <c r="G38" i="68"/>
  <c r="E38" i="68"/>
  <c r="E37" i="68"/>
  <c r="E36" i="68"/>
  <c r="O63" i="68"/>
  <c r="O62" i="68"/>
  <c r="M64" i="68"/>
  <c r="K64" i="68"/>
  <c r="I64" i="68"/>
  <c r="G64" i="68"/>
  <c r="E64" i="68"/>
  <c r="O64" i="68" s="1"/>
  <c r="E12" i="68"/>
  <c r="E11" i="68"/>
  <c r="E10" i="68"/>
  <c r="E9" i="68"/>
  <c r="E8" i="68"/>
  <c r="B12" i="68"/>
  <c r="B11" i="68"/>
  <c r="B10" i="68"/>
  <c r="B9" i="68"/>
  <c r="B8" i="68"/>
  <c r="E7" i="68"/>
  <c r="B7" i="68"/>
  <c r="B2" i="68"/>
  <c r="O40" i="70" l="1"/>
  <c r="E26" i="70"/>
</calcChain>
</file>

<file path=xl/sharedStrings.xml><?xml version="1.0" encoding="utf-8"?>
<sst xmlns="http://schemas.openxmlformats.org/spreadsheetml/2006/main" count="1561" uniqueCount="341">
  <si>
    <t>-  다     음  -</t>
    <phoneticPr fontId="2" type="noConversion"/>
  </si>
  <si>
    <t>구 분</t>
    <phoneticPr fontId="2" type="noConversion"/>
  </si>
  <si>
    <t>내 용</t>
    <phoneticPr fontId="2" type="noConversion"/>
  </si>
  <si>
    <t>이상/끝.</t>
    <phoneticPr fontId="2" type="noConversion"/>
  </si>
  <si>
    <t>내   용 : 다음과 같이 업무를 진행 하고자 하오니 검토 후 재가 하여 주시기 바랍니다.</t>
    <phoneticPr fontId="2" type="noConversion"/>
  </si>
  <si>
    <t>수수료</t>
    <phoneticPr fontId="2" type="noConversion"/>
  </si>
  <si>
    <t>진도</t>
  </si>
  <si>
    <t>여자</t>
  </si>
  <si>
    <t>20대</t>
  </si>
  <si>
    <t>30대</t>
  </si>
  <si>
    <t>40대</t>
  </si>
  <si>
    <t>50대</t>
  </si>
  <si>
    <t>60대이상</t>
  </si>
  <si>
    <t>남자</t>
  </si>
  <si>
    <t>지역별</t>
  </si>
  <si>
    <t>강원도</t>
  </si>
  <si>
    <t>경기도</t>
  </si>
  <si>
    <t>경상남도</t>
  </si>
  <si>
    <t>경상북도</t>
  </si>
  <si>
    <t>광주</t>
  </si>
  <si>
    <t>대구</t>
  </si>
  <si>
    <t>대전</t>
  </si>
  <si>
    <t>부산</t>
  </si>
  <si>
    <t>서울</t>
  </si>
  <si>
    <t>세종시</t>
  </si>
  <si>
    <t>울산</t>
  </si>
  <si>
    <t>인천</t>
  </si>
  <si>
    <t>전라남도</t>
  </si>
  <si>
    <t>전라북도</t>
  </si>
  <si>
    <t>제주도</t>
  </si>
  <si>
    <t>충청남도</t>
  </si>
  <si>
    <t>충청북도</t>
  </si>
  <si>
    <t>총합계</t>
  </si>
  <si>
    <t>F</t>
  </si>
  <si>
    <t>M</t>
  </si>
  <si>
    <t>연령별</t>
  </si>
  <si>
    <t>60대 이상</t>
  </si>
  <si>
    <t>여수</t>
  </si>
  <si>
    <t>주요지역</t>
  </si>
  <si>
    <t>경기</t>
  </si>
  <si>
    <t>전남</t>
  </si>
  <si>
    <t>전북</t>
  </si>
  <si>
    <t>기타</t>
  </si>
  <si>
    <t>비중</t>
  </si>
  <si>
    <t>전체지역</t>
  </si>
  <si>
    <r>
      <t>3.4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타켓</t>
    </r>
    <r>
      <rPr>
        <sz val="10"/>
        <color theme="1"/>
        <rFont val="Arial"/>
        <family val="2"/>
      </rPr>
      <t xml:space="preserve"> </t>
    </r>
    <phoneticPr fontId="2" type="noConversion"/>
  </si>
  <si>
    <r>
      <rPr>
        <sz val="10"/>
        <color theme="1"/>
        <rFont val="돋움"/>
        <family val="3"/>
        <charset val="129"/>
      </rPr>
      <t>소구포인트</t>
    </r>
    <r>
      <rPr>
        <sz val="10"/>
        <color theme="1"/>
        <rFont val="Arial"/>
        <family val="2"/>
      </rPr>
      <t xml:space="preserve"> // </t>
    </r>
    <r>
      <rPr>
        <sz val="10"/>
        <color theme="1"/>
        <rFont val="돋움"/>
        <family val="3"/>
        <charset val="129"/>
      </rPr>
      <t>사우나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조식</t>
    </r>
    <phoneticPr fontId="2" type="noConversion"/>
  </si>
  <si>
    <r>
      <t>20</t>
    </r>
    <r>
      <rPr>
        <sz val="10"/>
        <color theme="1"/>
        <rFont val="돋움"/>
        <family val="3"/>
        <charset val="129"/>
      </rPr>
      <t>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배제</t>
    </r>
    <r>
      <rPr>
        <sz val="10"/>
        <color theme="1"/>
        <rFont val="Arial"/>
        <family val="2"/>
      </rPr>
      <t xml:space="preserve"> 30,40</t>
    </r>
    <r>
      <rPr>
        <sz val="10"/>
        <color theme="1"/>
        <rFont val="돋움"/>
        <family val="3"/>
        <charset val="129"/>
      </rPr>
      <t>타겟</t>
    </r>
    <phoneticPr fontId="2" type="noConversion"/>
  </si>
  <si>
    <r>
      <rPr>
        <sz val="10"/>
        <color theme="1"/>
        <rFont val="돋움"/>
        <family val="3"/>
        <charset val="129"/>
      </rPr>
      <t>인당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산출필요</t>
    </r>
    <r>
      <rPr>
        <sz val="10"/>
        <color theme="1"/>
        <rFont val="Arial"/>
        <family val="2"/>
      </rPr>
      <t xml:space="preserve"> </t>
    </r>
    <phoneticPr fontId="2" type="noConversion"/>
  </si>
  <si>
    <t>대형평형타겟</t>
    <phoneticPr fontId="2" type="noConversion"/>
  </si>
  <si>
    <r>
      <rPr>
        <sz val="10"/>
        <color theme="1"/>
        <rFont val="돋움"/>
        <family val="3"/>
        <charset val="129"/>
      </rPr>
      <t>조식</t>
    </r>
    <r>
      <rPr>
        <sz val="10"/>
        <color theme="1"/>
        <rFont val="Arial"/>
        <family val="2"/>
      </rPr>
      <t>:</t>
    </r>
    <r>
      <rPr>
        <sz val="10"/>
        <color theme="1"/>
        <rFont val="돋움"/>
        <family val="3"/>
        <charset val="129"/>
      </rPr>
      <t>유아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소인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성인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프로모션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phoneticPr fontId="2" type="noConversion"/>
  </si>
  <si>
    <r>
      <rPr>
        <sz val="10"/>
        <color theme="1"/>
        <rFont val="돋움"/>
        <family val="3"/>
        <charset val="129"/>
      </rPr>
      <t>교통수단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코레일제휴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항공사제휴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</si>
  <si>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돋움"/>
        <family val="3"/>
        <charset val="129"/>
      </rPr>
      <t>사우나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어필이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시설이가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</si>
  <si>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돋움"/>
        <family val="3"/>
        <charset val="129"/>
      </rPr>
      <t>조식</t>
    </r>
    <r>
      <rPr>
        <sz val="10"/>
        <color theme="1"/>
        <rFont val="Arial"/>
        <family val="2"/>
      </rPr>
      <t>(5</t>
    </r>
    <r>
      <rPr>
        <sz val="10"/>
        <color theme="1"/>
        <rFont val="돋움"/>
        <family val="3"/>
        <charset val="129"/>
      </rPr>
      <t>성급에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준하는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수준일까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</si>
  <si>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돋움"/>
        <family val="3"/>
        <charset val="129"/>
      </rPr>
      <t>여수지역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외국인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확인필요</t>
    </r>
    <phoneticPr fontId="2" type="noConversion"/>
  </si>
  <si>
    <t>가족중심타겟 서비스디자인 필요</t>
    <phoneticPr fontId="2" type="noConversion"/>
  </si>
  <si>
    <r>
      <rPr>
        <sz val="10"/>
        <color theme="1"/>
        <rFont val="돋움"/>
        <family val="3"/>
        <charset val="129"/>
      </rPr>
      <t>홍보</t>
    </r>
    <r>
      <rPr>
        <sz val="10"/>
        <color theme="1"/>
        <rFont val="Arial"/>
        <family val="2"/>
      </rPr>
      <t xml:space="preserve">/mpr </t>
    </r>
    <r>
      <rPr>
        <sz val="10"/>
        <color theme="1"/>
        <rFont val="돋움"/>
        <family val="3"/>
        <charset val="129"/>
      </rPr>
      <t>활동필요</t>
    </r>
    <phoneticPr fontId="2" type="noConversion"/>
  </si>
  <si>
    <r>
      <rPr>
        <sz val="10"/>
        <color theme="1"/>
        <rFont val="돋움"/>
        <family val="3"/>
        <charset val="129"/>
      </rPr>
      <t>경쟁사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대비하여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소통할것인가</t>
    </r>
    <r>
      <rPr>
        <sz val="10"/>
        <color theme="1"/>
        <rFont val="Arial"/>
        <family val="2"/>
      </rPr>
      <t>,</t>
    </r>
    <phoneticPr fontId="2" type="noConversion"/>
  </si>
  <si>
    <r>
      <rPr>
        <sz val="10"/>
        <color theme="1"/>
        <rFont val="돋움"/>
        <family val="3"/>
        <charset val="129"/>
      </rPr>
      <t>현장과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조율필요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타겟</t>
    </r>
    <r>
      <rPr>
        <sz val="10"/>
        <color theme="1"/>
        <rFont val="Arial"/>
        <family val="2"/>
      </rPr>
      <t>)</t>
    </r>
    <phoneticPr fontId="2" type="noConversion"/>
  </si>
  <si>
    <r>
      <rPr>
        <sz val="10"/>
        <color theme="1"/>
        <rFont val="돋움"/>
        <family val="3"/>
        <charset val="129"/>
      </rPr>
      <t>가격고수</t>
    </r>
    <r>
      <rPr>
        <sz val="10"/>
        <color theme="1"/>
        <rFont val="Arial"/>
        <family val="2"/>
      </rPr>
      <t xml:space="preserve">/ </t>
    </r>
    <phoneticPr fontId="2" type="noConversion"/>
  </si>
  <si>
    <t>경쟁사분석</t>
    <phoneticPr fontId="2" type="noConversion"/>
  </si>
  <si>
    <r>
      <rPr>
        <sz val="10"/>
        <color theme="1"/>
        <rFont val="돋움"/>
        <family val="3"/>
        <charset val="129"/>
      </rPr>
      <t>고객이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이유</t>
    </r>
    <phoneticPr fontId="2" type="noConversion"/>
  </si>
  <si>
    <r>
      <rPr>
        <sz val="10"/>
        <color theme="1"/>
        <rFont val="돋움"/>
        <family val="3"/>
        <charset val="129"/>
      </rPr>
      <t>시설</t>
    </r>
    <r>
      <rPr>
        <sz val="10"/>
        <color theme="1"/>
        <rFont val="Arial"/>
        <family val="2"/>
      </rPr>
      <t xml:space="preserve">/ </t>
    </r>
    <r>
      <rPr>
        <sz val="10"/>
        <color theme="1"/>
        <rFont val="돋움"/>
        <family val="3"/>
        <charset val="129"/>
      </rPr>
      <t>가격</t>
    </r>
    <r>
      <rPr>
        <sz val="10"/>
        <color theme="1"/>
        <rFont val="Arial"/>
        <family val="2"/>
      </rPr>
      <t xml:space="preserve">/ </t>
    </r>
    <r>
      <rPr>
        <sz val="10"/>
        <color theme="1"/>
        <rFont val="돋움"/>
        <family val="3"/>
        <charset val="129"/>
      </rPr>
      <t>서비스</t>
    </r>
    <phoneticPr fontId="2" type="noConversion"/>
  </si>
  <si>
    <r>
      <t xml:space="preserve"> - </t>
    </r>
    <r>
      <rPr>
        <sz val="8"/>
        <color theme="0" tint="-0.249977111117893"/>
        <rFont val="대명체 보통"/>
        <family val="3"/>
        <charset val="129"/>
      </rPr>
      <t xml:space="preserve">(해당 목적 작성) </t>
    </r>
    <phoneticPr fontId="2" type="noConversion"/>
  </si>
  <si>
    <t>5월</t>
    <phoneticPr fontId="2" type="noConversion"/>
  </si>
  <si>
    <t>전체</t>
    <phoneticPr fontId="2" type="noConversion"/>
  </si>
  <si>
    <t>GS</t>
    <phoneticPr fontId="2" type="noConversion"/>
  </si>
  <si>
    <t>목표</t>
    <phoneticPr fontId="2" type="noConversion"/>
  </si>
  <si>
    <t>OTB</t>
    <phoneticPr fontId="2" type="noConversion"/>
  </si>
  <si>
    <t>진행률</t>
    <phoneticPr fontId="2" type="noConversion"/>
  </si>
  <si>
    <t>FCST</t>
    <phoneticPr fontId="2" type="noConversion"/>
  </si>
  <si>
    <t>증감</t>
    <phoneticPr fontId="2" type="noConversion"/>
  </si>
  <si>
    <t>달성률</t>
    <phoneticPr fontId="2" type="noConversion"/>
  </si>
  <si>
    <t>OCC</t>
    <phoneticPr fontId="2" type="noConversion"/>
  </si>
  <si>
    <t>RNs</t>
    <phoneticPr fontId="2" type="noConversion"/>
  </si>
  <si>
    <t>ADR</t>
    <phoneticPr fontId="2" type="noConversion"/>
  </si>
  <si>
    <t>REV</t>
    <phoneticPr fontId="2" type="noConversion"/>
  </si>
  <si>
    <t>6월</t>
    <phoneticPr fontId="2" type="noConversion"/>
  </si>
  <si>
    <t>1. 목  적</t>
    <phoneticPr fontId="2" type="noConversion"/>
  </si>
  <si>
    <t>[단위: RNs_실 / ADR_천원 / REV_백만]</t>
    <phoneticPr fontId="2" type="noConversion"/>
  </si>
  <si>
    <t>3. 내  용</t>
    <phoneticPr fontId="2" type="noConversion"/>
  </si>
  <si>
    <t>사업장</t>
    <phoneticPr fontId="2" type="noConversion"/>
  </si>
  <si>
    <t>판매채널</t>
    <phoneticPr fontId="2" type="noConversion"/>
  </si>
  <si>
    <t>판매기간</t>
    <phoneticPr fontId="2" type="noConversion"/>
  </si>
  <si>
    <t>투숙기간</t>
    <phoneticPr fontId="2" type="noConversion"/>
  </si>
  <si>
    <t>상품구성</t>
    <phoneticPr fontId="2" type="noConversion"/>
  </si>
  <si>
    <t>추가 지원</t>
    <phoneticPr fontId="2" type="noConversion"/>
  </si>
  <si>
    <t>정상 요금</t>
    <phoneticPr fontId="2" type="noConversion"/>
  </si>
  <si>
    <t>104 ~ 366</t>
    <phoneticPr fontId="2" type="noConversion"/>
  </si>
  <si>
    <t>160 ~ 487</t>
    <phoneticPr fontId="2" type="noConversion"/>
  </si>
  <si>
    <t>220 ~ 642</t>
    <phoneticPr fontId="2" type="noConversion"/>
  </si>
  <si>
    <t>175 ~ 508</t>
    <phoneticPr fontId="2" type="noConversion"/>
  </si>
  <si>
    <t>203 ~ 553</t>
    <phoneticPr fontId="2" type="noConversion"/>
  </si>
  <si>
    <t>스마트 요금</t>
    <phoneticPr fontId="2" type="noConversion"/>
  </si>
  <si>
    <t>94 ~ 338</t>
    <phoneticPr fontId="2" type="noConversion"/>
  </si>
  <si>
    <t>200 ~ 611</t>
    <phoneticPr fontId="2" type="noConversion"/>
  </si>
  <si>
    <t>155 ~ 473</t>
    <phoneticPr fontId="2" type="noConversion"/>
  </si>
  <si>
    <t>183 ~ 528</t>
    <phoneticPr fontId="2" type="noConversion"/>
  </si>
  <si>
    <t>PKG 배분가</t>
    <phoneticPr fontId="2" type="noConversion"/>
  </si>
  <si>
    <t>74 ~ 338</t>
    <phoneticPr fontId="2" type="noConversion"/>
  </si>
  <si>
    <t>180 ~ 611</t>
    <phoneticPr fontId="2" type="noConversion"/>
  </si>
  <si>
    <t>135 ~ 473</t>
    <phoneticPr fontId="2" type="noConversion"/>
  </si>
  <si>
    <t>163 ~ 528</t>
    <phoneticPr fontId="2" type="noConversion"/>
  </si>
  <si>
    <t>정상가 比 할인율</t>
    <phoneticPr fontId="2" type="noConversion"/>
  </si>
  <si>
    <t>0 ~ 39%</t>
    <phoneticPr fontId="2" type="noConversion"/>
  </si>
  <si>
    <t>0 ~ 26%</t>
    <phoneticPr fontId="2" type="noConversion"/>
  </si>
  <si>
    <t>0 ~ 41%</t>
    <phoneticPr fontId="2" type="noConversion"/>
  </si>
  <si>
    <t>0 ~ 35%</t>
    <phoneticPr fontId="2" type="noConversion"/>
  </si>
  <si>
    <t>스마트 比 할인율</t>
    <phoneticPr fontId="2" type="noConversion"/>
  </si>
  <si>
    <t>-3 ~ 21%</t>
    <phoneticPr fontId="2" type="noConversion"/>
  </si>
  <si>
    <t>-13 ~ 12%</t>
    <phoneticPr fontId="2" type="noConversion"/>
  </si>
  <si>
    <t>-3 ~ 13%</t>
    <phoneticPr fontId="2" type="noConversion"/>
  </si>
  <si>
    <t>0~ 11%</t>
    <phoneticPr fontId="2" type="noConversion"/>
  </si>
  <si>
    <t>비 고</t>
    <phoneticPr fontId="2" type="noConversion"/>
  </si>
  <si>
    <t>배분가</t>
    <phoneticPr fontId="2" type="noConversion"/>
  </si>
  <si>
    <t>판매가</t>
    <phoneticPr fontId="2" type="noConversion"/>
  </si>
  <si>
    <t xml:space="preserve"> · 11~13%</t>
    <phoneticPr fontId="2" type="noConversion"/>
  </si>
  <si>
    <t>KPI</t>
    <phoneticPr fontId="2" type="noConversion"/>
  </si>
  <si>
    <t xml:space="preserve"> · 800RNs </t>
    <phoneticPr fontId="2" type="noConversion"/>
  </si>
  <si>
    <t>지원사항</t>
    <phoneticPr fontId="2" type="noConversion"/>
  </si>
  <si>
    <t>5. 기 타</t>
    <phoneticPr fontId="2" type="noConversion"/>
  </si>
  <si>
    <t xml:space="preserve"> - 영업기획: 패키지번호 세팅 및 회신 (첨부파일 內 시트참조)</t>
    <phoneticPr fontId="2" type="noConversion"/>
  </si>
  <si>
    <t xml:space="preserve"> - 판매 추이에 따라 추가 판매 여부 검토(PRM 협의) </t>
    <phoneticPr fontId="2" type="noConversion"/>
  </si>
  <si>
    <t xml:space="preserve">2. Forecast </t>
    <phoneticPr fontId="2" type="noConversion"/>
  </si>
  <si>
    <t>(익월)</t>
    <phoneticPr fontId="2" type="noConversion"/>
  </si>
  <si>
    <t>(당월)</t>
    <phoneticPr fontId="2" type="noConversion"/>
  </si>
  <si>
    <t>* 해당 숫자는 예시 작성</t>
    <phoneticPr fontId="2" type="noConversion"/>
  </si>
  <si>
    <t>상품명</t>
    <phoneticPr fontId="2" type="noConversion"/>
  </si>
  <si>
    <t>기명</t>
    <phoneticPr fontId="2" type="noConversion"/>
  </si>
  <si>
    <t>무기명</t>
    <phoneticPr fontId="2" type="noConversion"/>
  </si>
  <si>
    <t>D멤버스 / FIT</t>
    <phoneticPr fontId="2" type="noConversion"/>
  </si>
  <si>
    <t>최소</t>
    <phoneticPr fontId="2" type="noConversion"/>
  </si>
  <si>
    <t>최대</t>
    <phoneticPr fontId="2" type="noConversion"/>
  </si>
  <si>
    <t>[단위 : 천원, %]</t>
    <phoneticPr fontId="2" type="noConversion"/>
  </si>
  <si>
    <t>워터파크 2인</t>
    <phoneticPr fontId="2" type="noConversion"/>
  </si>
  <si>
    <t>사우나 2인</t>
    <phoneticPr fontId="2" type="noConversion"/>
  </si>
  <si>
    <t>조식 2인</t>
    <phoneticPr fontId="2" type="noConversion"/>
  </si>
  <si>
    <t xml:space="preserve">* 부대업장 표기는 예시 작성 </t>
    <phoneticPr fontId="2" type="noConversion"/>
  </si>
  <si>
    <t>객실</t>
    <phoneticPr fontId="2" type="noConversion"/>
  </si>
  <si>
    <t>부대업장</t>
    <phoneticPr fontId="2" type="noConversion"/>
  </si>
  <si>
    <t xml:space="preserve">(상세 KPI 첨부파일 참고) </t>
    <phoneticPr fontId="2" type="noConversion"/>
  </si>
  <si>
    <t xml:space="preserve">4. 판매 &amp; 홍보 일정 </t>
    <phoneticPr fontId="2" type="noConversion"/>
  </si>
  <si>
    <t>판매일정</t>
    <phoneticPr fontId="2" type="noConversion"/>
  </si>
  <si>
    <t>홍보일정</t>
    <phoneticPr fontId="2" type="noConversion"/>
  </si>
  <si>
    <t>구분</t>
    <phoneticPr fontId="19" type="noConversion"/>
  </si>
  <si>
    <t>내 용</t>
    <phoneticPr fontId="19" type="noConversion"/>
  </si>
  <si>
    <t>01. 상품정보</t>
    <phoneticPr fontId="19" type="noConversion"/>
  </si>
  <si>
    <t xml:space="preserve"> </t>
    <phoneticPr fontId="2" type="noConversion"/>
  </si>
  <si>
    <t xml:space="preserve"> · 채널별 판매일정 (자유표기) </t>
    <phoneticPr fontId="2" type="noConversion"/>
  </si>
  <si>
    <t xml:space="preserve"> · 홍보일정 (자유표기) </t>
    <phoneticPr fontId="2" type="noConversion"/>
  </si>
  <si>
    <t xml:space="preserve">  (자유표기)</t>
    <phoneticPr fontId="2" type="noConversion"/>
  </si>
  <si>
    <t xml:space="preserve"> · [핫딜] SONO WINNERS FESTA</t>
    <phoneticPr fontId="2" type="noConversion"/>
  </si>
  <si>
    <t xml:space="preserve"> · 전사업장</t>
    <phoneticPr fontId="2" type="noConversion"/>
  </si>
  <si>
    <t xml:space="preserve"> · 회원, D멤버스, OTA, GOTA 전채널 </t>
    <phoneticPr fontId="2" type="noConversion"/>
  </si>
  <si>
    <t xml:space="preserve"> · 26.05.18(수) ~ 26.06.01(월) </t>
    <phoneticPr fontId="2" type="noConversion"/>
  </si>
  <si>
    <t xml:space="preserve"> · 26.06.01(월) ~ 26.07.16(목)</t>
    <phoneticPr fontId="2" type="noConversion"/>
  </si>
  <si>
    <t xml:space="preserve"> · 객실 + 오션2인 + 키즈컨텐츠</t>
    <phoneticPr fontId="2" type="noConversion"/>
  </si>
  <si>
    <t xml:space="preserve"> · 소노스카이거너스 비치볼 증정 </t>
    <phoneticPr fontId="2" type="noConversion"/>
  </si>
  <si>
    <t xml:space="preserve"> · 배분가 최소/최대 범주 및 정상가 대비 할인율 (사업장 별 상세내용 첨부파일 참고) </t>
    <phoneticPr fontId="2" type="noConversion"/>
  </si>
  <si>
    <t>회원 (기명)</t>
    <phoneticPr fontId="19" type="noConversion"/>
  </si>
  <si>
    <t>회원 (무기명)</t>
    <phoneticPr fontId="19" type="noConversion"/>
  </si>
  <si>
    <t>FIT</t>
    <phoneticPr fontId="19" type="noConversion"/>
  </si>
  <si>
    <t>[단위: 천원]</t>
    <phoneticPr fontId="2" type="noConversion"/>
  </si>
  <si>
    <t>부대1</t>
    <phoneticPr fontId="2" type="noConversion"/>
  </si>
  <si>
    <t>부대2</t>
    <phoneticPr fontId="2" type="noConversion"/>
  </si>
  <si>
    <t>Total</t>
    <phoneticPr fontId="2" type="noConversion"/>
  </si>
  <si>
    <t>부대3</t>
    <phoneticPr fontId="2" type="noConversion"/>
  </si>
  <si>
    <t>부대4</t>
    <phoneticPr fontId="2" type="noConversion"/>
  </si>
  <si>
    <t>05. KPI</t>
    <phoneticPr fontId="19" type="noConversion"/>
  </si>
  <si>
    <t>02.객실 배분가 범위</t>
    <phoneticPr fontId="19" type="noConversion"/>
  </si>
  <si>
    <t>03.부대시설 배분가</t>
    <phoneticPr fontId="19" type="noConversion"/>
  </si>
  <si>
    <t xml:space="preserve">04.판매가 배분가 범위 </t>
    <phoneticPr fontId="19" type="noConversion"/>
  </si>
  <si>
    <t>[단위: 실]</t>
    <phoneticPr fontId="2" type="noConversion"/>
  </si>
  <si>
    <t>사업장1</t>
    <phoneticPr fontId="2" type="noConversion"/>
  </si>
  <si>
    <t>사업장2</t>
    <phoneticPr fontId="2" type="noConversion"/>
  </si>
  <si>
    <t>사업장3</t>
    <phoneticPr fontId="2" type="noConversion"/>
  </si>
  <si>
    <t>사업장4</t>
    <phoneticPr fontId="2" type="noConversion"/>
  </si>
  <si>
    <t>사업장5</t>
    <phoneticPr fontId="2" type="noConversion"/>
  </si>
  <si>
    <t>부대 (합계)</t>
    <phoneticPr fontId="2" type="noConversion"/>
  </si>
  <si>
    <t xml:space="preserve">요일별 할인율 </t>
    <phoneticPr fontId="2" type="noConversion"/>
  </si>
  <si>
    <t xml:space="preserve"> - 줃주중 / 금 / 토 </t>
    <phoneticPr fontId="2" type="noConversion"/>
  </si>
  <si>
    <t>주중</t>
    <phoneticPr fontId="2" type="noConversion"/>
  </si>
  <si>
    <t>금</t>
    <phoneticPr fontId="2" type="noConversion"/>
  </si>
  <si>
    <t>토</t>
    <phoneticPr fontId="2" type="noConversion"/>
  </si>
  <si>
    <t>3. 상품 운영(안)</t>
    <phoneticPr fontId="2" type="noConversion"/>
  </si>
  <si>
    <t>제공혜택</t>
    <phoneticPr fontId="2" type="noConversion"/>
  </si>
  <si>
    <t>4. 배분가</t>
    <phoneticPr fontId="2" type="noConversion"/>
  </si>
  <si>
    <t>기본구성</t>
    <phoneticPr fontId="2" type="noConversion"/>
  </si>
  <si>
    <t>기간</t>
    <phoneticPr fontId="2" type="noConversion"/>
  </si>
  <si>
    <t>판매</t>
    <phoneticPr fontId="2" type="noConversion"/>
  </si>
  <si>
    <t>투숙</t>
    <phoneticPr fontId="2" type="noConversion"/>
  </si>
  <si>
    <t>회원</t>
    <phoneticPr fontId="2" type="noConversion"/>
  </si>
  <si>
    <t>FIT</t>
    <phoneticPr fontId="2" type="noConversion"/>
  </si>
  <si>
    <t>GAP</t>
    <phoneticPr fontId="2" type="noConversion"/>
  </si>
  <si>
    <t>부대</t>
    <phoneticPr fontId="2" type="noConversion"/>
  </si>
  <si>
    <t>골드</t>
    <phoneticPr fontId="2" type="noConversion"/>
  </si>
  <si>
    <t>주중</t>
    <phoneticPr fontId="2" type="noConversion"/>
  </si>
  <si>
    <t>시즌</t>
    <phoneticPr fontId="2" type="noConversion"/>
  </si>
  <si>
    <t>정상가</t>
    <phoneticPr fontId="2" type="noConversion"/>
  </si>
  <si>
    <t>배분가</t>
    <phoneticPr fontId="2" type="noConversion"/>
  </si>
  <si>
    <t>할인율</t>
    <phoneticPr fontId="2" type="noConversion"/>
  </si>
  <si>
    <t>구분</t>
    <phoneticPr fontId="2" type="noConversion"/>
  </si>
  <si>
    <t>8~10만원</t>
    <phoneticPr fontId="2" type="noConversion"/>
  </si>
  <si>
    <t xml:space="preserve">5. 부대시설 상세내용 </t>
    <phoneticPr fontId="2" type="noConversion"/>
  </si>
  <si>
    <t>비고</t>
    <phoneticPr fontId="2" type="noConversion"/>
  </si>
  <si>
    <t>주말</t>
    <phoneticPr fontId="2" type="noConversion"/>
  </si>
  <si>
    <t>조식</t>
    <phoneticPr fontId="2" type="noConversion"/>
  </si>
  <si>
    <t>오션월드 2인</t>
    <phoneticPr fontId="2" type="noConversion"/>
  </si>
  <si>
    <t>부대1 0인</t>
    <phoneticPr fontId="2" type="noConversion"/>
  </si>
  <si>
    <t>부대2 0인</t>
    <phoneticPr fontId="2" type="noConversion"/>
  </si>
  <si>
    <t>부대시설 합계 금액</t>
    <phoneticPr fontId="2" type="noConversion"/>
  </si>
  <si>
    <t>객실 + 부대</t>
    <phoneticPr fontId="2" type="noConversion"/>
  </si>
  <si>
    <t xml:space="preserve">6. 판매 &amp; 홍보 일정 </t>
    <phoneticPr fontId="2" type="noConversion"/>
  </si>
  <si>
    <t>7. 기 타</t>
    <phoneticPr fontId="2" type="noConversion"/>
  </si>
  <si>
    <t>오션</t>
    <phoneticPr fontId="2" type="noConversion"/>
  </si>
  <si>
    <t xml:space="preserve"> 부대시설 2개 시 판매가 우측 이동 (우측 표 참고) </t>
    <phoneticPr fontId="2" type="noConversion"/>
  </si>
  <si>
    <t xml:space="preserve"> 부대시설 3개 이상 시 하기 5번 추가 </t>
    <phoneticPr fontId="2" type="noConversion"/>
  </si>
  <si>
    <t>미판매</t>
    <phoneticPr fontId="2" type="noConversion"/>
  </si>
  <si>
    <r>
      <t xml:space="preserve">※ FIT 배분가 Gap : 회원 정상가 </t>
    </r>
    <r>
      <rPr>
        <sz val="9"/>
        <color theme="1" tint="0.499984740745262"/>
        <rFont val="Gulim"/>
        <family val="3"/>
        <charset val="129"/>
      </rPr>
      <t>比</t>
    </r>
    <phoneticPr fontId="2" type="noConversion"/>
  </si>
  <si>
    <t>OTB</t>
    <phoneticPr fontId="2" type="noConversion"/>
  </si>
  <si>
    <t>진행률</t>
    <phoneticPr fontId="2" type="noConversion"/>
  </si>
  <si>
    <t>FCST</t>
    <phoneticPr fontId="2" type="noConversion"/>
  </si>
  <si>
    <t>증감</t>
    <phoneticPr fontId="2" type="noConversion"/>
  </si>
  <si>
    <t>달성률</t>
    <phoneticPr fontId="2" type="noConversion"/>
  </si>
  <si>
    <t>FIT</t>
    <phoneticPr fontId="2" type="noConversion"/>
  </si>
  <si>
    <t>GAP</t>
    <phoneticPr fontId="2" type="noConversion"/>
  </si>
  <si>
    <t>회원</t>
    <phoneticPr fontId="2" type="noConversion"/>
  </si>
  <si>
    <t>8~10만원</t>
    <phoneticPr fontId="2" type="noConversion"/>
  </si>
  <si>
    <t>부대 합계</t>
    <phoneticPr fontId="2" type="noConversion"/>
  </si>
  <si>
    <t>객실 + 부대</t>
    <phoneticPr fontId="2" type="noConversion"/>
  </si>
  <si>
    <t xml:space="preserve">* 퐅폰트 크기 9 이상 </t>
    <phoneticPr fontId="2" type="noConversion"/>
  </si>
  <si>
    <t>미판매</t>
  </si>
  <si>
    <t xml:space="preserve"> </t>
    <phoneticPr fontId="2" type="noConversion"/>
  </si>
  <si>
    <t xml:space="preserve"> </t>
    <phoneticPr fontId="2" type="noConversion"/>
  </si>
  <si>
    <t>금요일</t>
    <phoneticPr fontId="2" type="noConversion"/>
  </si>
  <si>
    <t>토요일</t>
    <phoneticPr fontId="2" type="noConversion"/>
  </si>
  <si>
    <t>하이</t>
    <phoneticPr fontId="2" type="noConversion"/>
  </si>
  <si>
    <t>스페셜</t>
    <phoneticPr fontId="2" type="noConversion"/>
  </si>
  <si>
    <t>92~352</t>
  </si>
  <si>
    <t>138~387</t>
  </si>
  <si>
    <t>113~387</t>
  </si>
  <si>
    <t>7/16</t>
    <phoneticPr fontId="2" type="noConversion"/>
  </si>
  <si>
    <t>165~472</t>
  </si>
  <si>
    <t>193~509</t>
  </si>
  <si>
    <t>173~509</t>
  </si>
  <si>
    <t>177~488</t>
  </si>
  <si>
    <t>167~488</t>
  </si>
  <si>
    <t>211~527</t>
  </si>
  <si>
    <t>211~565</t>
  </si>
  <si>
    <t>114~364</t>
  </si>
  <si>
    <t>147~422</t>
  </si>
  <si>
    <t>33~68</t>
  </si>
  <si>
    <t>402</t>
  </si>
  <si>
    <t>0</t>
  </si>
  <si>
    <t>516~766</t>
  </si>
  <si>
    <t>549~824</t>
  </si>
  <si>
    <t>125~407</t>
  </si>
  <si>
    <t>25~68</t>
  </si>
  <si>
    <t>129~159</t>
  </si>
  <si>
    <t>251~511</t>
  </si>
  <si>
    <t>284~566</t>
  </si>
  <si>
    <t>3%~19%</t>
  </si>
  <si>
    <t>4%~15%</t>
  </si>
  <si>
    <t>-</t>
  </si>
  <si>
    <t>60%~68%</t>
  </si>
  <si>
    <t>33%~51%</t>
  </si>
  <si>
    <t>31%~48%</t>
  </si>
  <si>
    <t>181~460</t>
  </si>
  <si>
    <t>33~73</t>
  </si>
  <si>
    <t>402~417</t>
  </si>
  <si>
    <t>540~789</t>
  </si>
  <si>
    <t>583~862</t>
  </si>
  <si>
    <t>156~460</t>
  </si>
  <si>
    <t>30~73</t>
  </si>
  <si>
    <t>129~204</t>
  </si>
  <si>
    <t>272~546</t>
  </si>
  <si>
    <t>315~619</t>
  </si>
  <si>
    <t>0%~18%</t>
  </si>
  <si>
    <t>0%~14%</t>
  </si>
  <si>
    <t>51%~68%</t>
  </si>
  <si>
    <t>31%~50%</t>
  </si>
  <si>
    <t>28%~46%</t>
  </si>
  <si>
    <t>238~587</t>
  </si>
  <si>
    <t>53~115</t>
  </si>
  <si>
    <t>417</t>
  </si>
  <si>
    <t>582~889</t>
  </si>
  <si>
    <t>655~1,004</t>
  </si>
  <si>
    <t>205~587</t>
  </si>
  <si>
    <t>40~115</t>
  </si>
  <si>
    <t>174~204</t>
  </si>
  <si>
    <t>369~676</t>
  </si>
  <si>
    <t>409~791</t>
  </si>
  <si>
    <t>0%</t>
  </si>
  <si>
    <t>51%~58%</t>
  </si>
  <si>
    <t>24%~37%</t>
  </si>
  <si>
    <t>21%~38%</t>
  </si>
  <si>
    <t>281~642</t>
  </si>
  <si>
    <t>53~133</t>
  </si>
  <si>
    <t>595~911</t>
  </si>
  <si>
    <t>683~1,044</t>
  </si>
  <si>
    <t>243~642</t>
  </si>
  <si>
    <t>377~713</t>
  </si>
  <si>
    <t>447~846</t>
  </si>
  <si>
    <t>0%~10%</t>
  </si>
  <si>
    <t>49%~57%</t>
  </si>
  <si>
    <t>22%~37%</t>
  </si>
  <si>
    <t>19%~35%</t>
  </si>
  <si>
    <t>245~596</t>
  </si>
  <si>
    <t>43~119</t>
  </si>
  <si>
    <t>594~905</t>
  </si>
  <si>
    <t>662~1,013</t>
  </si>
  <si>
    <t>202~596</t>
  </si>
  <si>
    <t>35~119</t>
  </si>
  <si>
    <t>159~189</t>
  </si>
  <si>
    <t>356~677</t>
  </si>
  <si>
    <t>391~785</t>
  </si>
  <si>
    <t>0%~6%</t>
  </si>
  <si>
    <t>55%~62%</t>
  </si>
  <si>
    <t>25%~40%</t>
  </si>
  <si>
    <t>23%~41%</t>
  </si>
  <si>
    <t>299~660</t>
  </si>
  <si>
    <t>432</t>
  </si>
  <si>
    <t>643~959</t>
  </si>
  <si>
    <t>731~1,092</t>
  </si>
  <si>
    <t>174~234</t>
  </si>
  <si>
    <t>445~761</t>
  </si>
  <si>
    <t>533~894</t>
  </si>
  <si>
    <t>46%~60%</t>
  </si>
  <si>
    <t>21%~31%</t>
  </si>
  <si>
    <t>18%~27%</t>
  </si>
  <si>
    <t>299~738</t>
  </si>
  <si>
    <t>53~173</t>
  </si>
  <si>
    <t>417~432</t>
  </si>
  <si>
    <t>628~997</t>
  </si>
  <si>
    <t>716~1,170</t>
  </si>
  <si>
    <t>189~234</t>
  </si>
  <si>
    <t>430~799</t>
  </si>
  <si>
    <t>518~972</t>
  </si>
  <si>
    <t>46%~55%</t>
  </si>
  <si>
    <t>20%~32%</t>
  </si>
  <si>
    <t>17%~28%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</si>
</sst>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;[Red]\-#,##0\ "/>
    <numFmt numFmtId="177" formatCode="0.0%"/>
    <numFmt numFmtId="178" formatCode="#,##0&quot; 천원&quot;"/>
    <numFmt numFmtId="179" formatCode="\+0%\p;[Red]\-0%\p;0%"/>
    <numFmt numFmtId="180" formatCode="mm&quot;월&quot;\ dd&quot;일&quot;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 tint="0.249977111117893"/>
      <name val="대명체 보통"/>
      <family val="3"/>
      <charset val="129"/>
    </font>
    <font>
      <sz val="9"/>
      <color theme="1" tint="0.249977111117893"/>
      <name val="대명체 보통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돋움"/>
      <family val="3"/>
      <charset val="129"/>
    </font>
    <font>
      <sz val="10"/>
      <color theme="1" tint="0.249977111117893"/>
      <name val="대명체 굵게"/>
      <family val="3"/>
      <charset val="129"/>
    </font>
    <font>
      <sz val="8"/>
      <color theme="1" tint="0.249977111117893"/>
      <name val="대명체 보통"/>
      <family val="3"/>
      <charset val="129"/>
    </font>
    <font>
      <sz val="8"/>
      <color theme="0" tint="-0.249977111117893"/>
      <name val="대명체 보통"/>
      <family val="3"/>
      <charset val="129"/>
    </font>
    <font>
      <sz val="9"/>
      <color theme="1"/>
      <name val="대명체 보통"/>
      <family val="3"/>
      <charset val="129"/>
    </font>
    <font>
      <sz val="9"/>
      <name val="대명체 보통"/>
      <family val="3"/>
      <charset val="129"/>
    </font>
    <font>
      <sz val="8"/>
      <name val="대명체 보통"/>
      <family val="3"/>
      <charset val="129"/>
    </font>
    <font>
      <sz val="8"/>
      <color rgb="FFFF0000"/>
      <name val="대명체 보통"/>
      <family val="3"/>
      <charset val="129"/>
    </font>
    <font>
      <sz val="8"/>
      <color theme="1" tint="0.14999847407452621"/>
      <name val="대명체 보통"/>
      <family val="3"/>
      <charset val="129"/>
    </font>
    <font>
      <sz val="10"/>
      <name val="대명체 보통"/>
      <family val="3"/>
      <charset val="129"/>
    </font>
    <font>
      <sz val="8"/>
      <name val="나눔스퀘어"/>
      <family val="2"/>
      <charset val="129"/>
    </font>
    <font>
      <sz val="11"/>
      <color theme="1"/>
      <name val="대명체 보통"/>
      <family val="3"/>
      <charset val="129"/>
    </font>
    <font>
      <sz val="16"/>
      <color theme="1" tint="0.249977111117893"/>
      <name val="대명체 굵게"/>
      <family val="3"/>
      <charset val="129"/>
    </font>
    <font>
      <sz val="9"/>
      <color theme="0" tint="-0.499984740745262"/>
      <name val="대명체 보통"/>
      <family val="3"/>
      <charset val="129"/>
    </font>
    <font>
      <sz val="7"/>
      <color theme="0" tint="-0.499984740745262"/>
      <name val="대명체 보통"/>
      <family val="3"/>
      <charset val="129"/>
    </font>
    <font>
      <sz val="7"/>
      <color rgb="FFC00000"/>
      <name val="대명체 보통"/>
      <family val="3"/>
      <charset val="129"/>
    </font>
    <font>
      <sz val="9"/>
      <color theme="1" tint="0.499984740745262"/>
      <name val="대명체 보통"/>
      <family val="3"/>
      <charset val="129"/>
    </font>
    <font>
      <sz val="9"/>
      <color theme="1" tint="0.499984740745262"/>
      <name val="Gulim"/>
      <family val="3"/>
      <charset val="129"/>
    </font>
    <font>
      <sz val="9"/>
      <color rgb="FFC00000"/>
      <name val="대명체 보통"/>
      <family val="3"/>
      <charset val="129"/>
    </font>
    <font>
      <sz val="9"/>
      <color rgb="FFFF0000"/>
      <name val="대명체 보통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5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/>
      <bottom style="thin">
        <color theme="0" tint="-0.24994659260841701"/>
      </bottom>
      <diagonal/>
    </border>
    <border>
      <left style="double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hair">
        <color theme="0" tint="-0.24994659260841701"/>
      </bottom>
      <diagonal/>
    </border>
    <border>
      <left/>
      <right/>
      <top style="double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01"/>
      </right>
      <top/>
      <bottom style="thin">
        <color theme="1" tint="0.499984740745262"/>
      </bottom>
      <diagonal/>
    </border>
    <border>
      <left/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/>
      <top/>
      <bottom style="thin">
        <color theme="1" tint="0.499984740745262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double">
        <color theme="0" tint="-0.24994659260841701"/>
      </bottom>
      <diagonal/>
    </border>
    <border>
      <left/>
      <right style="double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/>
      <top style="double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/>
      <diagonal/>
    </border>
    <border>
      <left style="double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/>
      <right style="hair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double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double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hair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/>
      <right style="double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double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double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hair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hair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hair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hair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double">
        <color theme="0" tint="-0.24994659260841701"/>
      </right>
      <top/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/>
      <bottom style="hair">
        <color theme="0" tint="-0.24994659260841701"/>
      </bottom>
      <diagonal/>
    </border>
    <border>
      <left style="double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thin">
        <color theme="0" tint="-0.24994659260841701"/>
      </right>
      <top/>
      <bottom style="double">
        <color theme="0" tint="-0.24994659260841701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62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20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6" fillId="0" borderId="23" xfId="0" applyFont="1" applyBorder="1" applyAlignment="1">
      <alignment wrapText="1"/>
    </xf>
    <xf numFmtId="9" fontId="6" fillId="0" borderId="23" xfId="0" applyNumberFormat="1" applyFont="1" applyBorder="1" applyAlignment="1">
      <alignment horizontal="right" wrapText="1"/>
    </xf>
    <xf numFmtId="0" fontId="7" fillId="0" borderId="21" xfId="0" applyFont="1" applyBorder="1" applyAlignment="1">
      <alignment wrapText="1"/>
    </xf>
    <xf numFmtId="10" fontId="6" fillId="0" borderId="23" xfId="0" applyNumberFormat="1" applyFont="1" applyBorder="1" applyAlignment="1">
      <alignment horizontal="right" wrapText="1"/>
    </xf>
    <xf numFmtId="10" fontId="6" fillId="0" borderId="20" xfId="0" applyNumberFormat="1" applyFont="1" applyBorder="1" applyAlignment="1">
      <alignment horizontal="right" wrapText="1"/>
    </xf>
    <xf numFmtId="0" fontId="6" fillId="0" borderId="23" xfId="0" applyFont="1" applyBorder="1" applyAlignment="1">
      <alignment horizontal="right" wrapText="1"/>
    </xf>
    <xf numFmtId="0" fontId="7" fillId="0" borderId="20" xfId="0" applyFont="1" applyBorder="1" applyAlignment="1">
      <alignment horizontal="center" wrapText="1"/>
    </xf>
    <xf numFmtId="0" fontId="8" fillId="4" borderId="20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wrapText="1"/>
    </xf>
    <xf numFmtId="9" fontId="8" fillId="4" borderId="20" xfId="0" applyNumberFormat="1" applyFont="1" applyFill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9" fontId="8" fillId="4" borderId="20" xfId="0" applyNumberFormat="1" applyFont="1" applyFill="1" applyBorder="1" applyAlignment="1">
      <alignment horizontal="right" wrapText="1"/>
    </xf>
    <xf numFmtId="0" fontId="9" fillId="0" borderId="20" xfId="0" applyFont="1" applyBorder="1" applyAlignment="1">
      <alignment wrapText="1"/>
    </xf>
    <xf numFmtId="0" fontId="6" fillId="5" borderId="20" xfId="0" applyFont="1" applyFill="1" applyBorder="1" applyAlignment="1">
      <alignment wrapText="1"/>
    </xf>
    <xf numFmtId="0" fontId="9" fillId="5" borderId="20" xfId="0" applyFont="1" applyFill="1" applyBorder="1" applyAlignment="1">
      <alignment wrapText="1"/>
    </xf>
    <xf numFmtId="0" fontId="3" fillId="3" borderId="0" xfId="0" applyFont="1" applyFill="1" applyAlignment="1">
      <alignment horizontal="left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9" fontId="15" fillId="0" borderId="26" xfId="1" applyFont="1" applyBorder="1" applyAlignment="1">
      <alignment horizontal="right" vertical="center"/>
    </xf>
    <xf numFmtId="9" fontId="15" fillId="0" borderId="27" xfId="1" applyFont="1" applyBorder="1" applyAlignment="1">
      <alignment horizontal="right" vertical="center"/>
    </xf>
    <xf numFmtId="9" fontId="16" fillId="0" borderId="27" xfId="1" applyFont="1" applyBorder="1" applyAlignment="1">
      <alignment horizontal="right" vertical="center"/>
    </xf>
    <xf numFmtId="0" fontId="14" fillId="0" borderId="28" xfId="0" applyFont="1" applyBorder="1" applyAlignment="1">
      <alignment horizontal="center" vertical="center"/>
    </xf>
    <xf numFmtId="41" fontId="15" fillId="0" borderId="29" xfId="3" applyFont="1" applyBorder="1" applyAlignment="1">
      <alignment horizontal="right" vertical="center"/>
    </xf>
    <xf numFmtId="41" fontId="15" fillId="0" borderId="30" xfId="3" applyFont="1" applyBorder="1" applyAlignment="1">
      <alignment horizontal="right" vertical="center"/>
    </xf>
    <xf numFmtId="9" fontId="15" fillId="0" borderId="30" xfId="1" applyFont="1" applyBorder="1" applyAlignment="1">
      <alignment horizontal="right" vertical="center"/>
    </xf>
    <xf numFmtId="176" fontId="16" fillId="0" borderId="30" xfId="3" applyNumberFormat="1" applyFont="1" applyBorder="1" applyAlignment="1">
      <alignment horizontal="right" vertical="center"/>
    </xf>
    <xf numFmtId="9" fontId="16" fillId="0" borderId="30" xfId="1" applyFont="1" applyBorder="1" applyAlignment="1">
      <alignment horizontal="right" vertical="center"/>
    </xf>
    <xf numFmtId="176" fontId="15" fillId="0" borderId="30" xfId="3" applyNumberFormat="1" applyFont="1" applyBorder="1" applyAlignment="1">
      <alignment horizontal="right" vertical="center"/>
    </xf>
    <xf numFmtId="0" fontId="14" fillId="0" borderId="31" xfId="0" applyFont="1" applyBorder="1" applyAlignment="1">
      <alignment horizontal="center" vertical="center"/>
    </xf>
    <xf numFmtId="41" fontId="15" fillId="0" borderId="32" xfId="3" applyFont="1" applyBorder="1" applyAlignment="1">
      <alignment horizontal="right" vertical="center"/>
    </xf>
    <xf numFmtId="41" fontId="15" fillId="0" borderId="33" xfId="3" applyFont="1" applyBorder="1" applyAlignment="1">
      <alignment horizontal="right" vertical="center"/>
    </xf>
    <xf numFmtId="9" fontId="15" fillId="0" borderId="33" xfId="1" applyFont="1" applyBorder="1" applyAlignment="1">
      <alignment horizontal="right" vertical="center"/>
    </xf>
    <xf numFmtId="176" fontId="15" fillId="0" borderId="33" xfId="3" applyNumberFormat="1" applyFont="1" applyBorder="1" applyAlignment="1">
      <alignment horizontal="right" vertical="center"/>
    </xf>
    <xf numFmtId="9" fontId="16" fillId="0" borderId="33" xfId="1" applyFont="1" applyBorder="1" applyAlignment="1">
      <alignment horizontal="right" vertical="center"/>
    </xf>
    <xf numFmtId="177" fontId="16" fillId="0" borderId="27" xfId="1" applyNumberFormat="1" applyFont="1" applyBorder="1" applyAlignment="1">
      <alignment horizontal="right" vertical="center"/>
    </xf>
    <xf numFmtId="176" fontId="17" fillId="0" borderId="30" xfId="3" applyNumberFormat="1" applyFont="1" applyBorder="1" applyAlignment="1">
      <alignment horizontal="right" vertical="center"/>
    </xf>
    <xf numFmtId="9" fontId="17" fillId="0" borderId="30" xfId="1" applyFont="1" applyBorder="1" applyAlignment="1">
      <alignment horizontal="right" vertical="center"/>
    </xf>
    <xf numFmtId="176" fontId="16" fillId="0" borderId="33" xfId="3" applyNumberFormat="1" applyFont="1" applyBorder="1" applyAlignment="1">
      <alignment horizontal="right" vertical="center"/>
    </xf>
    <xf numFmtId="176" fontId="17" fillId="0" borderId="33" xfId="3" applyNumberFormat="1" applyFont="1" applyBorder="1" applyAlignment="1">
      <alignment horizontal="right" vertical="center"/>
    </xf>
    <xf numFmtId="9" fontId="17" fillId="0" borderId="33" xfId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9" fontId="14" fillId="0" borderId="0" xfId="1" applyFont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15" fillId="0" borderId="14" xfId="0" applyFont="1" applyBorder="1" applyAlignment="1">
      <alignment horizontal="right"/>
    </xf>
    <xf numFmtId="0" fontId="14" fillId="2" borderId="6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3" borderId="47" xfId="0" applyFont="1" applyFill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3" borderId="46" xfId="0" applyFont="1" applyFill="1" applyBorder="1" applyAlignment="1">
      <alignment horizontal="left" vertical="center"/>
    </xf>
    <xf numFmtId="0" fontId="14" fillId="0" borderId="47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3" fillId="0" borderId="47" xfId="0" applyFont="1" applyBorder="1">
      <alignment vertical="center"/>
    </xf>
    <xf numFmtId="0" fontId="3" fillId="0" borderId="46" xfId="0" applyFont="1" applyBorder="1">
      <alignment vertical="center"/>
    </xf>
    <xf numFmtId="0" fontId="4" fillId="0" borderId="46" xfId="0" applyFont="1" applyBorder="1" applyAlignment="1">
      <alignment horizontal="center" vertical="center"/>
    </xf>
    <xf numFmtId="178" fontId="22" fillId="0" borderId="42" xfId="0" applyNumberFormat="1" applyFont="1" applyBorder="1">
      <alignment vertical="center"/>
    </xf>
    <xf numFmtId="178" fontId="22" fillId="0" borderId="43" xfId="0" applyNumberFormat="1" applyFont="1" applyBorder="1">
      <alignment vertical="center"/>
    </xf>
    <xf numFmtId="178" fontId="22" fillId="0" borderId="56" xfId="0" applyNumberFormat="1" applyFont="1" applyBorder="1">
      <alignment vertical="center"/>
    </xf>
    <xf numFmtId="178" fontId="22" fillId="0" borderId="44" xfId="0" applyNumberFormat="1" applyFont="1" applyBorder="1">
      <alignment vertical="center"/>
    </xf>
    <xf numFmtId="9" fontId="22" fillId="0" borderId="42" xfId="1" applyFont="1" applyBorder="1" applyAlignment="1">
      <alignment vertical="center"/>
    </xf>
    <xf numFmtId="9" fontId="22" fillId="0" borderId="43" xfId="1" applyFont="1" applyBorder="1" applyAlignment="1">
      <alignment vertical="center"/>
    </xf>
    <xf numFmtId="9" fontId="22" fillId="0" borderId="56" xfId="1" applyFont="1" applyBorder="1" applyAlignment="1">
      <alignment vertical="center"/>
    </xf>
    <xf numFmtId="9" fontId="22" fillId="0" borderId="44" xfId="1" applyFont="1" applyBorder="1" applyAlignment="1">
      <alignment vertical="center"/>
    </xf>
    <xf numFmtId="0" fontId="14" fillId="0" borderId="0" xfId="0" quotePrefix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2" borderId="40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4" fillId="2" borderId="67" xfId="0" applyFont="1" applyFill="1" applyBorder="1" applyAlignment="1">
      <alignment horizontal="center" vertical="center" wrapText="1"/>
    </xf>
    <xf numFmtId="0" fontId="14" fillId="2" borderId="68" xfId="0" applyFont="1" applyFill="1" applyBorder="1" applyAlignment="1">
      <alignment horizontal="center" vertical="center" wrapText="1"/>
    </xf>
    <xf numFmtId="0" fontId="14" fillId="2" borderId="78" xfId="0" applyFont="1" applyFill="1" applyBorder="1" applyAlignment="1">
      <alignment horizontal="center" vertical="center" wrapText="1"/>
    </xf>
    <xf numFmtId="0" fontId="14" fillId="2" borderId="85" xfId="0" applyFont="1" applyFill="1" applyBorder="1" applyAlignment="1">
      <alignment horizontal="center" vertical="center"/>
    </xf>
    <xf numFmtId="0" fontId="14" fillId="2" borderId="86" xfId="0" applyFont="1" applyFill="1" applyBorder="1" applyAlignment="1">
      <alignment horizontal="center" vertical="center"/>
    </xf>
    <xf numFmtId="0" fontId="14" fillId="2" borderId="87" xfId="0" applyFont="1" applyFill="1" applyBorder="1" applyAlignment="1">
      <alignment horizontal="center" vertical="center"/>
    </xf>
    <xf numFmtId="0" fontId="14" fillId="2" borderId="88" xfId="0" applyFont="1" applyFill="1" applyBorder="1" applyAlignment="1">
      <alignment horizontal="center" vertical="center"/>
    </xf>
    <xf numFmtId="0" fontId="14" fillId="2" borderId="104" xfId="0" applyFont="1" applyFill="1" applyBorder="1" applyAlignment="1">
      <alignment horizontal="center" vertical="center"/>
    </xf>
    <xf numFmtId="0" fontId="14" fillId="2" borderId="105" xfId="0" applyFont="1" applyFill="1" applyBorder="1" applyAlignment="1">
      <alignment horizontal="center" vertical="center"/>
    </xf>
    <xf numFmtId="178" fontId="23" fillId="0" borderId="69" xfId="0" applyNumberFormat="1" applyFont="1" applyBorder="1" applyAlignment="1">
      <alignment horizontal="right" vertical="center"/>
    </xf>
    <xf numFmtId="178" fontId="23" fillId="0" borderId="70" xfId="0" applyNumberFormat="1" applyFont="1" applyBorder="1" applyAlignment="1">
      <alignment horizontal="right" vertical="center"/>
    </xf>
    <xf numFmtId="178" fontId="23" fillId="0" borderId="71" xfId="0" applyNumberFormat="1" applyFont="1" applyBorder="1" applyAlignment="1">
      <alignment horizontal="right" vertical="center"/>
    </xf>
    <xf numFmtId="178" fontId="23" fillId="0" borderId="89" xfId="0" applyNumberFormat="1" applyFont="1" applyBorder="1" applyAlignment="1">
      <alignment horizontal="right" vertical="center"/>
    </xf>
    <xf numFmtId="178" fontId="23" fillId="0" borderId="71" xfId="0" applyNumberFormat="1" applyFont="1" applyBorder="1">
      <alignment vertical="center"/>
    </xf>
    <xf numFmtId="9" fontId="23" fillId="0" borderId="72" xfId="1" applyFont="1" applyBorder="1" applyAlignment="1">
      <alignment horizontal="right" vertical="center"/>
    </xf>
    <xf numFmtId="9" fontId="23" fillId="0" borderId="73" xfId="1" applyFont="1" applyBorder="1" applyAlignment="1">
      <alignment horizontal="right" vertical="center"/>
    </xf>
    <xf numFmtId="9" fontId="23" fillId="0" borderId="90" xfId="1" applyFont="1" applyBorder="1" applyAlignment="1">
      <alignment horizontal="right" vertical="center"/>
    </xf>
    <xf numFmtId="9" fontId="23" fillId="0" borderId="73" xfId="1" applyFont="1" applyBorder="1" applyAlignment="1">
      <alignment vertical="center"/>
    </xf>
    <xf numFmtId="9" fontId="23" fillId="0" borderId="75" xfId="1" applyFont="1" applyBorder="1" applyAlignment="1">
      <alignment horizontal="right" vertical="center"/>
    </xf>
    <xf numFmtId="9" fontId="23" fillId="0" borderId="76" xfId="1" applyFont="1" applyBorder="1" applyAlignment="1">
      <alignment horizontal="right" vertical="center"/>
    </xf>
    <xf numFmtId="9" fontId="23" fillId="0" borderId="91" xfId="1" applyFont="1" applyBorder="1" applyAlignment="1">
      <alignment horizontal="right" vertical="center"/>
    </xf>
    <xf numFmtId="9" fontId="23" fillId="0" borderId="76" xfId="1" applyFont="1" applyBorder="1" applyAlignment="1">
      <alignment vertical="center"/>
    </xf>
    <xf numFmtId="178" fontId="23" fillId="0" borderId="79" xfId="0" applyNumberFormat="1" applyFont="1" applyBorder="1" applyAlignment="1">
      <alignment horizontal="right" vertical="center"/>
    </xf>
    <xf numFmtId="178" fontId="23" fillId="0" borderId="80" xfId="0" applyNumberFormat="1" applyFont="1" applyBorder="1" applyAlignment="1">
      <alignment horizontal="right" vertical="center"/>
    </xf>
    <xf numFmtId="178" fontId="23" fillId="0" borderId="81" xfId="0" applyNumberFormat="1" applyFont="1" applyBorder="1" applyAlignment="1">
      <alignment horizontal="right" vertical="center"/>
    </xf>
    <xf numFmtId="178" fontId="23" fillId="0" borderId="92" xfId="0" applyNumberFormat="1" applyFont="1" applyBorder="1" applyAlignment="1">
      <alignment horizontal="right" vertical="center"/>
    </xf>
    <xf numFmtId="178" fontId="23" fillId="0" borderId="81" xfId="0" applyNumberFormat="1" applyFont="1" applyBorder="1">
      <alignment vertical="center"/>
    </xf>
    <xf numFmtId="178" fontId="23" fillId="0" borderId="62" xfId="0" applyNumberFormat="1" applyFont="1" applyBorder="1" applyAlignment="1">
      <alignment horizontal="right" vertical="center"/>
    </xf>
    <xf numFmtId="178" fontId="23" fillId="0" borderId="63" xfId="0" applyNumberFormat="1" applyFont="1" applyBorder="1" applyAlignment="1">
      <alignment horizontal="right" vertical="center"/>
    </xf>
    <xf numFmtId="178" fontId="23" fillId="0" borderId="64" xfId="0" applyNumberFormat="1" applyFont="1" applyBorder="1" applyAlignment="1">
      <alignment horizontal="right" vertical="center"/>
    </xf>
    <xf numFmtId="178" fontId="23" fillId="0" borderId="93" xfId="0" applyNumberFormat="1" applyFont="1" applyBorder="1" applyAlignment="1">
      <alignment horizontal="right" vertical="center"/>
    </xf>
    <xf numFmtId="178" fontId="23" fillId="0" borderId="64" xfId="0" applyNumberFormat="1" applyFont="1" applyBorder="1">
      <alignment vertical="center"/>
    </xf>
    <xf numFmtId="9" fontId="23" fillId="0" borderId="43" xfId="1" applyFont="1" applyBorder="1" applyAlignment="1">
      <alignment horizontal="right" vertical="center"/>
    </xf>
    <xf numFmtId="9" fontId="23" fillId="0" borderId="44" xfId="1" applyFont="1" applyBorder="1" applyAlignment="1">
      <alignment horizontal="right" vertical="center"/>
    </xf>
    <xf numFmtId="9" fontId="23" fillId="0" borderId="57" xfId="1" applyFont="1" applyBorder="1" applyAlignment="1">
      <alignment horizontal="right" vertical="center"/>
    </xf>
    <xf numFmtId="9" fontId="23" fillId="0" borderId="44" xfId="1" applyFont="1" applyBorder="1" applyAlignment="1">
      <alignment vertical="center"/>
    </xf>
    <xf numFmtId="178" fontId="23" fillId="0" borderId="89" xfId="0" applyNumberFormat="1" applyFont="1" applyBorder="1" applyAlignment="1">
      <alignment horizontal="right" vertical="center" shrinkToFit="1"/>
    </xf>
    <xf numFmtId="178" fontId="23" fillId="0" borderId="108" xfId="0" applyNumberFormat="1" applyFont="1" applyBorder="1" applyAlignment="1">
      <alignment horizontal="right" vertical="center"/>
    </xf>
    <xf numFmtId="9" fontId="23" fillId="0" borderId="109" xfId="1" applyFont="1" applyBorder="1" applyAlignment="1">
      <alignment horizontal="right" vertical="center"/>
    </xf>
    <xf numFmtId="9" fontId="23" fillId="0" borderId="110" xfId="1" applyFont="1" applyBorder="1" applyAlignment="1">
      <alignment horizontal="right" vertical="center"/>
    </xf>
    <xf numFmtId="178" fontId="23" fillId="0" borderId="111" xfId="0" applyNumberFormat="1" applyFont="1" applyBorder="1" applyAlignment="1">
      <alignment horizontal="right" vertical="center"/>
    </xf>
    <xf numFmtId="178" fontId="23" fillId="0" borderId="112" xfId="0" applyNumberFormat="1" applyFont="1" applyBorder="1" applyAlignment="1">
      <alignment horizontal="right" vertical="center"/>
    </xf>
    <xf numFmtId="9" fontId="23" fillId="0" borderId="56" xfId="1" applyFont="1" applyBorder="1" applyAlignment="1">
      <alignment horizontal="right" vertical="center"/>
    </xf>
    <xf numFmtId="178" fontId="23" fillId="0" borderId="113" xfId="0" applyNumberFormat="1" applyFont="1" applyBorder="1" applyAlignment="1">
      <alignment horizontal="right" vertical="center" shrinkToFit="1"/>
    </xf>
    <xf numFmtId="178" fontId="23" fillId="0" borderId="116" xfId="0" applyNumberFormat="1" applyFont="1" applyBorder="1" applyAlignment="1">
      <alignment horizontal="right" vertical="center"/>
    </xf>
    <xf numFmtId="178" fontId="23" fillId="0" borderId="115" xfId="0" applyNumberFormat="1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2" borderId="103" xfId="0" applyFont="1" applyFill="1" applyBorder="1" applyAlignment="1">
      <alignment horizontal="center" vertical="center" wrapText="1"/>
    </xf>
    <xf numFmtId="0" fontId="14" fillId="2" borderId="104" xfId="0" applyFont="1" applyFill="1" applyBorder="1" applyAlignment="1">
      <alignment horizontal="center" vertical="center" wrapText="1"/>
    </xf>
    <xf numFmtId="0" fontId="14" fillId="2" borderId="105" xfId="0" applyFont="1" applyFill="1" applyBorder="1" applyAlignment="1">
      <alignment horizontal="center" vertical="center" wrapText="1"/>
    </xf>
    <xf numFmtId="0" fontId="14" fillId="2" borderId="125" xfId="0" applyFont="1" applyFill="1" applyBorder="1" applyAlignment="1">
      <alignment horizontal="center" vertical="center" wrapText="1"/>
    </xf>
    <xf numFmtId="0" fontId="14" fillId="2" borderId="126" xfId="0" applyFont="1" applyFill="1" applyBorder="1" applyAlignment="1">
      <alignment horizontal="center" vertical="center" wrapText="1"/>
    </xf>
    <xf numFmtId="0" fontId="14" fillId="2" borderId="126" xfId="0" applyFont="1" applyFill="1" applyBorder="1" applyAlignment="1">
      <alignment horizontal="center" vertical="center"/>
    </xf>
    <xf numFmtId="0" fontId="14" fillId="2" borderId="125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7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178" fontId="22" fillId="0" borderId="43" xfId="0" applyNumberFormat="1" applyFont="1" applyBorder="1" applyAlignment="1">
      <alignment horizontal="right" vertical="center"/>
    </xf>
    <xf numFmtId="178" fontId="22" fillId="0" borderId="56" xfId="0" applyNumberFormat="1" applyFont="1" applyBorder="1" applyAlignment="1">
      <alignment horizontal="right" vertical="center"/>
    </xf>
    <xf numFmtId="178" fontId="22" fillId="0" borderId="44" xfId="0" applyNumberFormat="1" applyFont="1" applyBorder="1" applyAlignment="1">
      <alignment horizontal="right" vertical="center"/>
    </xf>
    <xf numFmtId="9" fontId="22" fillId="0" borderId="42" xfId="1" applyFont="1" applyBorder="1" applyAlignment="1">
      <alignment horizontal="right" vertical="center"/>
    </xf>
    <xf numFmtId="9" fontId="22" fillId="0" borderId="57" xfId="1" applyFont="1" applyBorder="1" applyAlignment="1">
      <alignment horizontal="right" vertical="center"/>
    </xf>
    <xf numFmtId="9" fontId="22" fillId="0" borderId="43" xfId="1" applyFont="1" applyBorder="1" applyAlignment="1">
      <alignment horizontal="right" vertical="center"/>
    </xf>
    <xf numFmtId="9" fontId="22" fillId="0" borderId="56" xfId="1" applyFont="1" applyBorder="1" applyAlignment="1">
      <alignment horizontal="right" vertical="center"/>
    </xf>
    <xf numFmtId="9" fontId="22" fillId="0" borderId="44" xfId="1" applyFont="1" applyBorder="1" applyAlignment="1">
      <alignment horizontal="right" vertical="center"/>
    </xf>
    <xf numFmtId="9" fontId="22" fillId="0" borderId="45" xfId="1" applyFont="1" applyBorder="1" applyAlignment="1">
      <alignment horizontal="right" vertical="center"/>
    </xf>
    <xf numFmtId="0" fontId="14" fillId="2" borderId="9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78" fontId="22" fillId="0" borderId="42" xfId="0" applyNumberFormat="1" applyFont="1" applyBorder="1" applyAlignment="1">
      <alignment horizontal="right" vertical="center"/>
    </xf>
    <xf numFmtId="178" fontId="22" fillId="0" borderId="57" xfId="0" applyNumberFormat="1" applyFont="1" applyBorder="1" applyAlignment="1">
      <alignment horizontal="right" vertical="center"/>
    </xf>
    <xf numFmtId="178" fontId="22" fillId="0" borderId="45" xfId="0" applyNumberFormat="1" applyFont="1" applyBorder="1" applyAlignment="1">
      <alignment horizontal="right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2" fillId="0" borderId="35" xfId="0" applyFont="1" applyBorder="1" applyAlignment="1">
      <alignment horizontal="left" vertical="center"/>
    </xf>
    <xf numFmtId="0" fontId="22" fillId="0" borderId="36" xfId="0" applyFont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left" vertical="center"/>
    </xf>
    <xf numFmtId="0" fontId="22" fillId="0" borderId="40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14" fillId="3" borderId="30" xfId="0" applyFont="1" applyFill="1" applyBorder="1" applyAlignment="1">
      <alignment horizontal="center" vertical="center"/>
    </xf>
    <xf numFmtId="0" fontId="14" fillId="3" borderId="134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61" xfId="0" applyFont="1" applyFill="1" applyBorder="1" applyAlignment="1">
      <alignment horizontal="center" vertical="center"/>
    </xf>
    <xf numFmtId="0" fontId="14" fillId="3" borderId="132" xfId="0" applyFont="1" applyFill="1" applyBorder="1" applyAlignment="1">
      <alignment horizontal="center" vertical="center" wrapText="1"/>
    </xf>
    <xf numFmtId="0" fontId="14" fillId="3" borderId="129" xfId="0" applyFont="1" applyFill="1" applyBorder="1" applyAlignment="1">
      <alignment horizontal="center" vertical="center"/>
    </xf>
    <xf numFmtId="0" fontId="14" fillId="3" borderId="77" xfId="0" applyFont="1" applyFill="1" applyBorder="1" applyAlignment="1">
      <alignment horizontal="center" vertical="center"/>
    </xf>
    <xf numFmtId="0" fontId="14" fillId="3" borderId="129" xfId="0" applyFont="1" applyFill="1" applyBorder="1" applyAlignment="1">
      <alignment horizontal="center" vertical="center" wrapText="1"/>
    </xf>
    <xf numFmtId="0" fontId="14" fillId="3" borderId="84" xfId="0" applyFont="1" applyFill="1" applyBorder="1" applyAlignment="1">
      <alignment horizontal="center" vertical="center" wrapText="1"/>
    </xf>
    <xf numFmtId="0" fontId="14" fillId="3" borderId="137" xfId="0" applyFont="1" applyFill="1" applyBorder="1" applyAlignment="1">
      <alignment horizontal="center" vertical="center" wrapText="1"/>
    </xf>
    <xf numFmtId="0" fontId="14" fillId="3" borderId="131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 wrapText="1"/>
    </xf>
    <xf numFmtId="0" fontId="14" fillId="3" borderId="131" xfId="0" applyFont="1" applyFill="1" applyBorder="1" applyAlignment="1">
      <alignment horizontal="center" vertical="center" wrapText="1"/>
    </xf>
    <xf numFmtId="0" fontId="14" fillId="3" borderId="60" xfId="0" applyFont="1" applyFill="1" applyBorder="1" applyAlignment="1">
      <alignment horizontal="center" vertical="center"/>
    </xf>
    <xf numFmtId="0" fontId="14" fillId="3" borderId="130" xfId="0" applyFont="1" applyFill="1" applyBorder="1" applyAlignment="1">
      <alignment horizontal="center" vertical="center" wrapText="1"/>
    </xf>
    <xf numFmtId="0" fontId="14" fillId="2" borderId="1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135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151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4" fillId="3" borderId="133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0" fontId="14" fillId="3" borderId="130" xfId="0" applyFont="1" applyFill="1" applyBorder="1" applyAlignment="1">
      <alignment horizontal="right" vertical="center"/>
    </xf>
    <xf numFmtId="0" fontId="14" fillId="3" borderId="131" xfId="0" applyFont="1" applyFill="1" applyBorder="1" applyAlignment="1">
      <alignment horizontal="right" vertical="center"/>
    </xf>
    <xf numFmtId="0" fontId="14" fillId="2" borderId="1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22" fillId="3" borderId="147" xfId="0" applyFont="1" applyFill="1" applyBorder="1" applyAlignment="1">
      <alignment horizontal="left" vertical="center"/>
    </xf>
    <xf numFmtId="0" fontId="22" fillId="3" borderId="148" xfId="0" applyFont="1" applyFill="1" applyBorder="1" applyAlignment="1">
      <alignment horizontal="left" vertical="center"/>
    </xf>
    <xf numFmtId="0" fontId="22" fillId="3" borderId="149" xfId="0" applyFont="1" applyFill="1" applyBorder="1" applyAlignment="1">
      <alignment horizontal="left" vertical="center"/>
    </xf>
    <xf numFmtId="0" fontId="14" fillId="2" borderId="127" xfId="0" applyFont="1" applyFill="1" applyBorder="1" applyAlignment="1">
      <alignment horizontal="center" vertical="center"/>
    </xf>
    <xf numFmtId="0" fontId="14" fillId="2" borderId="12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4" xfId="0" applyFont="1" applyFill="1" applyBorder="1" applyAlignment="1">
      <alignment horizontal="center" vertical="center"/>
    </xf>
    <xf numFmtId="0" fontId="14" fillId="2" borderId="129" xfId="0" applyFont="1" applyFill="1" applyBorder="1" applyAlignment="1">
      <alignment horizontal="center" vertical="center"/>
    </xf>
    <xf numFmtId="0" fontId="14" fillId="2" borderId="136" xfId="0" applyFont="1" applyFill="1" applyBorder="1" applyAlignment="1">
      <alignment horizontal="center" vertical="center"/>
    </xf>
    <xf numFmtId="0" fontId="22" fillId="3" borderId="124" xfId="0" applyFont="1" applyFill="1" applyBorder="1" applyAlignment="1">
      <alignment horizontal="left" vertical="center"/>
    </xf>
    <xf numFmtId="0" fontId="22" fillId="3" borderId="68" xfId="0" applyFont="1" applyFill="1" applyBorder="1" applyAlignment="1">
      <alignment horizontal="left" vertical="center"/>
    </xf>
    <xf numFmtId="0" fontId="22" fillId="3" borderId="32" xfId="0" applyFont="1" applyFill="1" applyBorder="1" applyAlignment="1">
      <alignment horizontal="left" vertical="center"/>
    </xf>
    <xf numFmtId="0" fontId="22" fillId="3" borderId="139" xfId="0" applyFont="1" applyFill="1" applyBorder="1" applyAlignment="1">
      <alignment horizontal="left" vertical="center"/>
    </xf>
    <xf numFmtId="0" fontId="22" fillId="3" borderId="67" xfId="0" applyFont="1" applyFill="1" applyBorder="1" applyAlignment="1">
      <alignment horizontal="left" vertical="center"/>
    </xf>
    <xf numFmtId="0" fontId="22" fillId="3" borderId="26" xfId="0" applyFont="1" applyFill="1" applyBorder="1" applyAlignment="1">
      <alignment horizontal="left" vertical="center"/>
    </xf>
    <xf numFmtId="0" fontId="22" fillId="3" borderId="83" xfId="0" applyFont="1" applyFill="1" applyBorder="1" applyAlignment="1">
      <alignment horizontal="left" vertical="center"/>
    </xf>
    <xf numFmtId="0" fontId="22" fillId="3" borderId="78" xfId="0" applyFont="1" applyFill="1" applyBorder="1" applyAlignment="1">
      <alignment horizontal="left" vertical="center"/>
    </xf>
    <xf numFmtId="0" fontId="22" fillId="3" borderId="84" xfId="0" applyFont="1" applyFill="1" applyBorder="1" applyAlignment="1">
      <alignment horizontal="left" vertical="center"/>
    </xf>
    <xf numFmtId="176" fontId="13" fillId="3" borderId="61" xfId="0" applyNumberFormat="1" applyFont="1" applyFill="1" applyBorder="1" applyAlignment="1">
      <alignment horizontal="right" vertical="center"/>
    </xf>
    <xf numFmtId="176" fontId="13" fillId="3" borderId="36" xfId="0" applyNumberFormat="1" applyFont="1" applyFill="1" applyBorder="1" applyAlignment="1">
      <alignment horizontal="right" vertical="center"/>
    </xf>
    <xf numFmtId="176" fontId="13" fillId="3" borderId="29" xfId="0" applyNumberFormat="1" applyFont="1" applyFill="1" applyBorder="1" applyAlignment="1">
      <alignment horizontal="right" vertical="center"/>
    </xf>
    <xf numFmtId="9" fontId="13" fillId="3" borderId="61" xfId="1" applyFont="1" applyFill="1" applyBorder="1" applyAlignment="1">
      <alignment horizontal="right" vertical="center"/>
    </xf>
    <xf numFmtId="9" fontId="13" fillId="3" borderId="36" xfId="1" applyFont="1" applyFill="1" applyBorder="1" applyAlignment="1">
      <alignment horizontal="right" vertical="center"/>
    </xf>
    <xf numFmtId="9" fontId="13" fillId="3" borderId="29" xfId="1" applyFont="1" applyFill="1" applyBorder="1" applyAlignment="1">
      <alignment horizontal="right" vertical="center"/>
    </xf>
    <xf numFmtId="41" fontId="14" fillId="3" borderId="124" xfId="3" applyFont="1" applyFill="1" applyBorder="1" applyAlignment="1">
      <alignment horizontal="right" vertical="center"/>
    </xf>
    <xf numFmtId="41" fontId="14" fillId="3" borderId="68" xfId="3" applyFont="1" applyFill="1" applyBorder="1" applyAlignment="1">
      <alignment horizontal="right" vertical="center"/>
    </xf>
    <xf numFmtId="41" fontId="14" fillId="3" borderId="32" xfId="3" applyFont="1" applyFill="1" applyBorder="1" applyAlignment="1">
      <alignment horizontal="right" vertical="center"/>
    </xf>
    <xf numFmtId="41" fontId="13" fillId="3" borderId="37" xfId="3" applyFont="1" applyFill="1" applyBorder="1" applyAlignment="1">
      <alignment horizontal="right" vertical="center"/>
    </xf>
    <xf numFmtId="41" fontId="13" fillId="3" borderId="68" xfId="3" applyFont="1" applyFill="1" applyBorder="1" applyAlignment="1">
      <alignment horizontal="right" vertical="center"/>
    </xf>
    <xf numFmtId="41" fontId="13" fillId="3" borderId="32" xfId="3" applyFont="1" applyFill="1" applyBorder="1" applyAlignment="1">
      <alignment horizontal="right" vertical="center"/>
    </xf>
    <xf numFmtId="9" fontId="13" fillId="3" borderId="37" xfId="1" applyFont="1" applyFill="1" applyBorder="1" applyAlignment="1">
      <alignment horizontal="right" vertical="center"/>
    </xf>
    <xf numFmtId="9" fontId="13" fillId="3" borderId="68" xfId="1" applyFont="1" applyFill="1" applyBorder="1" applyAlignment="1">
      <alignment horizontal="right" vertical="center"/>
    </xf>
    <xf numFmtId="9" fontId="13" fillId="3" borderId="32" xfId="1" applyFont="1" applyFill="1" applyBorder="1" applyAlignment="1">
      <alignment horizontal="right" vertical="center"/>
    </xf>
    <xf numFmtId="176" fontId="13" fillId="3" borderId="37" xfId="0" applyNumberFormat="1" applyFont="1" applyFill="1" applyBorder="1" applyAlignment="1">
      <alignment horizontal="right" vertical="center"/>
    </xf>
    <xf numFmtId="176" fontId="13" fillId="3" borderId="68" xfId="0" applyNumberFormat="1" applyFont="1" applyFill="1" applyBorder="1" applyAlignment="1">
      <alignment horizontal="right" vertical="center"/>
    </xf>
    <xf numFmtId="176" fontId="13" fillId="3" borderId="32" xfId="0" applyNumberFormat="1" applyFont="1" applyFill="1" applyBorder="1" applyAlignment="1">
      <alignment horizontal="right" vertical="center"/>
    </xf>
    <xf numFmtId="41" fontId="14" fillId="3" borderId="36" xfId="3" applyFont="1" applyFill="1" applyBorder="1" applyAlignment="1">
      <alignment horizontal="right" vertical="center"/>
    </xf>
    <xf numFmtId="41" fontId="14" fillId="3" borderId="29" xfId="3" applyFont="1" applyFill="1" applyBorder="1" applyAlignment="1">
      <alignment horizontal="right" vertical="center"/>
    </xf>
    <xf numFmtId="41" fontId="13" fillId="3" borderId="61" xfId="3" applyFont="1" applyFill="1" applyBorder="1" applyAlignment="1">
      <alignment horizontal="right" vertical="center"/>
    </xf>
    <xf numFmtId="41" fontId="13" fillId="3" borderId="36" xfId="3" applyFont="1" applyFill="1" applyBorder="1" applyAlignment="1">
      <alignment horizontal="right" vertical="center"/>
    </xf>
    <xf numFmtId="41" fontId="13" fillId="3" borderId="29" xfId="3" applyFont="1" applyFill="1" applyBorder="1" applyAlignment="1">
      <alignment horizontal="right" vertical="center"/>
    </xf>
    <xf numFmtId="41" fontId="14" fillId="3" borderId="35" xfId="3" applyFont="1" applyFill="1" applyBorder="1" applyAlignment="1">
      <alignment horizontal="right" vertical="center"/>
    </xf>
    <xf numFmtId="9" fontId="13" fillId="3" borderId="60" xfId="1" applyFont="1" applyFill="1" applyBorder="1" applyAlignment="1">
      <alignment horizontal="right" vertical="center"/>
    </xf>
    <xf numFmtId="9" fontId="13" fillId="3" borderId="40" xfId="1" applyFont="1" applyFill="1" applyBorder="1" applyAlignment="1">
      <alignment horizontal="right" vertical="center"/>
    </xf>
    <xf numFmtId="9" fontId="13" fillId="3" borderId="41" xfId="1" applyFont="1" applyFill="1" applyBorder="1" applyAlignment="1">
      <alignment horizontal="right" vertical="center"/>
    </xf>
    <xf numFmtId="176" fontId="13" fillId="3" borderId="61" xfId="3" applyNumberFormat="1" applyFont="1" applyFill="1" applyBorder="1" applyAlignment="1">
      <alignment horizontal="right" vertical="center"/>
    </xf>
    <xf numFmtId="176" fontId="13" fillId="3" borderId="36" xfId="3" applyNumberFormat="1" applyFont="1" applyFill="1" applyBorder="1" applyAlignment="1">
      <alignment horizontal="right" vertical="center"/>
    </xf>
    <xf numFmtId="176" fontId="13" fillId="3" borderId="29" xfId="3" applyNumberFormat="1" applyFont="1" applyFill="1" applyBorder="1" applyAlignment="1">
      <alignment horizontal="right" vertical="center"/>
    </xf>
    <xf numFmtId="9" fontId="14" fillId="3" borderId="40" xfId="1" applyFont="1" applyFill="1" applyBorder="1" applyAlignment="1">
      <alignment horizontal="right" vertical="center"/>
    </xf>
    <xf numFmtId="9" fontId="14" fillId="3" borderId="41" xfId="1" applyFont="1" applyFill="1" applyBorder="1" applyAlignment="1">
      <alignment horizontal="right" vertical="center"/>
    </xf>
    <xf numFmtId="9" fontId="14" fillId="3" borderId="39" xfId="1" applyFont="1" applyFill="1" applyBorder="1" applyAlignment="1">
      <alignment horizontal="right" vertical="center"/>
    </xf>
    <xf numFmtId="179" fontId="13" fillId="3" borderId="60" xfId="1" applyNumberFormat="1" applyFont="1" applyFill="1" applyBorder="1" applyAlignment="1">
      <alignment horizontal="right" vertical="center"/>
    </xf>
    <xf numFmtId="179" fontId="13" fillId="3" borderId="40" xfId="1" applyNumberFormat="1" applyFont="1" applyFill="1" applyBorder="1" applyAlignment="1">
      <alignment horizontal="right" vertical="center"/>
    </xf>
    <xf numFmtId="179" fontId="13" fillId="3" borderId="41" xfId="1" applyNumberFormat="1" applyFont="1" applyFill="1" applyBorder="1" applyAlignment="1">
      <alignment horizontal="right" vertical="center"/>
    </xf>
    <xf numFmtId="0" fontId="14" fillId="2" borderId="152" xfId="0" applyFont="1" applyFill="1" applyBorder="1" applyAlignment="1">
      <alignment horizontal="center" vertical="center"/>
    </xf>
    <xf numFmtId="0" fontId="14" fillId="2" borderId="153" xfId="0" applyFont="1" applyFill="1" applyBorder="1" applyAlignment="1">
      <alignment horizontal="center" vertical="center"/>
    </xf>
    <xf numFmtId="0" fontId="14" fillId="2" borderId="154" xfId="0" applyFont="1" applyFill="1" applyBorder="1" applyAlignment="1">
      <alignment horizontal="center" vertical="center"/>
    </xf>
    <xf numFmtId="0" fontId="13" fillId="2" borderId="153" xfId="0" applyFont="1" applyFill="1" applyBorder="1" applyAlignment="1">
      <alignment horizontal="center" vertical="center"/>
    </xf>
    <xf numFmtId="0" fontId="13" fillId="2" borderId="154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2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4" fillId="2" borderId="102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horizontal="center" vertical="center"/>
    </xf>
    <xf numFmtId="0" fontId="14" fillId="2" borderId="117" xfId="0" applyFont="1" applyFill="1" applyBorder="1" applyAlignment="1">
      <alignment horizontal="center" vertical="center"/>
    </xf>
    <xf numFmtId="0" fontId="14" fillId="2" borderId="6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2" borderId="100" xfId="0" applyFont="1" applyFill="1" applyBorder="1" applyAlignment="1">
      <alignment horizontal="center" vertical="center"/>
    </xf>
    <xf numFmtId="0" fontId="14" fillId="2" borderId="101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105" xfId="0" applyFont="1" applyBorder="1" applyAlignment="1">
      <alignment horizontal="center" vertical="center"/>
    </xf>
    <xf numFmtId="0" fontId="14" fillId="2" borderId="150" xfId="0" applyFont="1" applyFill="1" applyBorder="1" applyAlignment="1">
      <alignment horizontal="center" vertical="center"/>
    </xf>
    <xf numFmtId="0" fontId="14" fillId="2" borderId="143" xfId="0" applyFont="1" applyFill="1" applyBorder="1" applyAlignment="1">
      <alignment horizontal="center" vertical="center"/>
    </xf>
    <xf numFmtId="0" fontId="14" fillId="2" borderId="146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38" xfId="0" applyFont="1" applyFill="1" applyBorder="1" applyAlignment="1">
      <alignment horizontal="center" vertical="center"/>
    </xf>
    <xf numFmtId="0" fontId="14" fillId="2" borderId="10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6" xfId="0" applyFont="1" applyBorder="1" applyAlignment="1">
      <alignment horizontal="center" vertical="center"/>
    </xf>
    <xf numFmtId="0" fontId="14" fillId="2" borderId="128" xfId="0" applyFont="1" applyFill="1" applyBorder="1" applyAlignment="1">
      <alignment horizontal="center" vertical="center" wrapText="1"/>
    </xf>
    <xf numFmtId="0" fontId="14" fillId="2" borderId="144" xfId="0" applyFont="1" applyFill="1" applyBorder="1" applyAlignment="1">
      <alignment horizontal="center" vertical="center" wrapText="1"/>
    </xf>
    <xf numFmtId="0" fontId="14" fillId="2" borderId="82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14" fillId="2" borderId="131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53" xfId="0" applyFont="1" applyFill="1" applyBorder="1" applyAlignment="1">
      <alignment horizontal="center" vertical="center"/>
    </xf>
    <xf numFmtId="0" fontId="14" fillId="2" borderId="14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28" fillId="3" borderId="140" xfId="0" applyFont="1" applyFill="1" applyBorder="1" applyAlignment="1">
      <alignment horizontal="center" vertical="center" wrapText="1"/>
    </xf>
    <xf numFmtId="0" fontId="28" fillId="3" borderId="141" xfId="0" applyFont="1" applyFill="1" applyBorder="1" applyAlignment="1">
      <alignment horizontal="center" vertical="center" wrapText="1"/>
    </xf>
    <xf numFmtId="0" fontId="28" fillId="3" borderId="142" xfId="0" applyFont="1" applyFill="1" applyBorder="1" applyAlignment="1">
      <alignment horizontal="center" vertical="center" wrapText="1"/>
    </xf>
    <xf numFmtId="0" fontId="28" fillId="3" borderId="34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178" fontId="27" fillId="0" borderId="140" xfId="0" applyNumberFormat="1" applyFont="1" applyBorder="1" applyAlignment="1">
      <alignment horizontal="center" vertical="center"/>
    </xf>
    <xf numFmtId="178" fontId="27" fillId="0" borderId="141" xfId="0" applyNumberFormat="1" applyFont="1" applyBorder="1" applyAlignment="1">
      <alignment horizontal="center" vertical="center"/>
    </xf>
    <xf numFmtId="178" fontId="27" fillId="0" borderId="142" xfId="0" applyNumberFormat="1" applyFont="1" applyBorder="1" applyAlignment="1">
      <alignment horizontal="center" vertical="center"/>
    </xf>
    <xf numFmtId="178" fontId="27" fillId="0" borderId="34" xfId="0" applyNumberFormat="1" applyFont="1" applyBorder="1" applyAlignment="1">
      <alignment horizontal="center" vertical="center"/>
    </xf>
    <xf numFmtId="178" fontId="27" fillId="0" borderId="17" xfId="0" applyNumberFormat="1" applyFont="1" applyBorder="1" applyAlignment="1">
      <alignment horizontal="center" vertical="center"/>
    </xf>
    <xf numFmtId="178" fontId="27" fillId="0" borderId="14" xfId="0" applyNumberFormat="1" applyFont="1" applyBorder="1" applyAlignment="1">
      <alignment horizontal="center" vertical="center"/>
    </xf>
    <xf numFmtId="0" fontId="14" fillId="3" borderId="136" xfId="0" applyFont="1" applyFill="1" applyBorder="1" applyAlignment="1">
      <alignment horizontal="center" vertical="center"/>
    </xf>
    <xf numFmtId="0" fontId="14" fillId="2" borderId="77" xfId="0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4" fillId="2" borderId="58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4" fillId="2" borderId="97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29" xfId="0" applyFont="1" applyFill="1" applyBorder="1" applyAlignment="1">
      <alignment horizontal="left" vertical="center"/>
    </xf>
    <xf numFmtId="0" fontId="14" fillId="2" borderId="98" xfId="0" applyFont="1" applyFill="1" applyBorder="1" applyAlignment="1">
      <alignment horizontal="center" vertical="center"/>
    </xf>
    <xf numFmtId="0" fontId="14" fillId="2" borderId="99" xfId="0" applyFont="1" applyFill="1" applyBorder="1" applyAlignment="1">
      <alignment horizontal="center" vertical="center"/>
    </xf>
    <xf numFmtId="0" fontId="22" fillId="3" borderId="39" xfId="0" applyFont="1" applyFill="1" applyBorder="1" applyAlignment="1">
      <alignment horizontal="left" vertical="center"/>
    </xf>
    <xf numFmtId="0" fontId="22" fillId="3" borderId="40" xfId="0" applyFont="1" applyFill="1" applyBorder="1" applyAlignment="1">
      <alignment horizontal="left" vertical="center"/>
    </xf>
    <xf numFmtId="0" fontId="22" fillId="3" borderId="41" xfId="0" applyFont="1" applyFill="1" applyBorder="1" applyAlignment="1">
      <alignment horizontal="left" vertical="center"/>
    </xf>
    <xf numFmtId="9" fontId="13" fillId="3" borderId="105" xfId="1" applyFont="1" applyFill="1" applyBorder="1" applyAlignment="1">
      <alignment horizontal="right" vertical="center"/>
    </xf>
    <xf numFmtId="9" fontId="13" fillId="3" borderId="104" xfId="1" applyFont="1" applyFill="1" applyBorder="1" applyAlignment="1">
      <alignment horizontal="right" vertical="center"/>
    </xf>
    <xf numFmtId="9" fontId="13" fillId="3" borderId="103" xfId="1" applyFont="1" applyFill="1" applyBorder="1" applyAlignment="1">
      <alignment horizontal="right" vertical="center"/>
    </xf>
    <xf numFmtId="0" fontId="14" fillId="2" borderId="119" xfId="0" applyFont="1" applyFill="1" applyBorder="1" applyAlignment="1">
      <alignment horizontal="center" vertical="center"/>
    </xf>
    <xf numFmtId="0" fontId="14" fillId="2" borderId="118" xfId="0" applyFont="1" applyFill="1" applyBorder="1" applyAlignment="1">
      <alignment horizontal="center" vertical="center"/>
    </xf>
    <xf numFmtId="0" fontId="14" fillId="2" borderId="120" xfId="0" applyFont="1" applyFill="1" applyBorder="1" applyAlignment="1">
      <alignment horizontal="center" vertical="center"/>
    </xf>
    <xf numFmtId="0" fontId="13" fillId="2" borderId="118" xfId="0" applyFont="1" applyFill="1" applyBorder="1" applyAlignment="1">
      <alignment horizontal="center" vertical="center"/>
    </xf>
    <xf numFmtId="0" fontId="13" fillId="2" borderId="120" xfId="0" applyFont="1" applyFill="1" applyBorder="1" applyAlignment="1">
      <alignment horizontal="center" vertical="center"/>
    </xf>
    <xf numFmtId="0" fontId="13" fillId="2" borderId="121" xfId="0" applyFont="1" applyFill="1" applyBorder="1" applyAlignment="1">
      <alignment horizontal="center" vertical="center"/>
    </xf>
    <xf numFmtId="0" fontId="13" fillId="2" borderId="122" xfId="0" applyFont="1" applyFill="1" applyBorder="1" applyAlignment="1">
      <alignment horizontal="center" vertical="center"/>
    </xf>
    <xf numFmtId="0" fontId="14" fillId="2" borderId="139" xfId="0" applyFont="1" applyFill="1" applyBorder="1" applyAlignment="1">
      <alignment horizontal="center" vertical="center"/>
    </xf>
    <xf numFmtId="0" fontId="14" fillId="2" borderId="6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83" xfId="0" applyFont="1" applyFill="1" applyBorder="1" applyAlignment="1">
      <alignment horizontal="center" vertical="center"/>
    </xf>
    <xf numFmtId="0" fontId="14" fillId="2" borderId="78" xfId="0" applyFont="1" applyFill="1" applyBorder="1" applyAlignment="1">
      <alignment horizontal="center" vertical="center"/>
    </xf>
    <xf numFmtId="178" fontId="24" fillId="0" borderId="114" xfId="0" applyNumberFormat="1" applyFont="1" applyBorder="1" applyAlignment="1">
      <alignment horizontal="center" vertical="center"/>
    </xf>
    <xf numFmtId="178" fontId="24" fillId="0" borderId="115" xfId="0" applyNumberFormat="1" applyFont="1" applyBorder="1" applyAlignment="1">
      <alignment horizontal="center" vertical="center"/>
    </xf>
    <xf numFmtId="178" fontId="24" fillId="0" borderId="107" xfId="0" applyNumberFormat="1" applyFont="1" applyBorder="1" applyAlignment="1">
      <alignment horizontal="center" vertical="center"/>
    </xf>
    <xf numFmtId="178" fontId="24" fillId="0" borderId="62" xfId="0" applyNumberFormat="1" applyFont="1" applyBorder="1" applyAlignment="1">
      <alignment horizontal="center" vertical="center"/>
    </xf>
    <xf numFmtId="0" fontId="22" fillId="0" borderId="90" xfId="0" applyFont="1" applyBorder="1" applyAlignment="1">
      <alignment horizontal="left" vertical="center"/>
    </xf>
    <xf numFmtId="0" fontId="22" fillId="0" borderId="72" xfId="0" applyFont="1" applyBorder="1" applyAlignment="1">
      <alignment horizontal="left" vertical="center"/>
    </xf>
    <xf numFmtId="0" fontId="22" fillId="0" borderId="73" xfId="0" applyFont="1" applyBorder="1" applyAlignment="1">
      <alignment horizontal="left" vertical="center"/>
    </xf>
    <xf numFmtId="0" fontId="22" fillId="0" borderId="91" xfId="0" applyFont="1" applyBorder="1" applyAlignment="1">
      <alignment horizontal="left" vertical="center"/>
    </xf>
    <xf numFmtId="0" fontId="22" fillId="0" borderId="75" xfId="0" applyFont="1" applyBorder="1" applyAlignment="1">
      <alignment horizontal="left" vertical="center"/>
    </xf>
    <xf numFmtId="0" fontId="22" fillId="0" borderId="76" xfId="0" applyFont="1" applyBorder="1" applyAlignment="1">
      <alignment horizontal="left" vertical="center"/>
    </xf>
    <xf numFmtId="0" fontId="22" fillId="0" borderId="96" xfId="0" applyFont="1" applyBorder="1" applyAlignment="1">
      <alignment horizontal="left" vertical="center"/>
    </xf>
    <xf numFmtId="0" fontId="22" fillId="0" borderId="94" xfId="0" applyFont="1" applyBorder="1" applyAlignment="1">
      <alignment horizontal="left" vertical="center"/>
    </xf>
    <xf numFmtId="0" fontId="22" fillId="0" borderId="95" xfId="0" applyFont="1" applyBorder="1" applyAlignment="1">
      <alignment horizontal="left" vertical="center"/>
    </xf>
    <xf numFmtId="9" fontId="22" fillId="0" borderId="54" xfId="1" applyFont="1" applyBorder="1" applyAlignment="1">
      <alignment horizontal="right" vertical="center"/>
    </xf>
    <xf numFmtId="41" fontId="22" fillId="0" borderId="53" xfId="3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46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right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1" fontId="22" fillId="0" borderId="51" xfId="3" applyFont="1" applyBorder="1" applyAlignment="1">
      <alignment horizontal="center" vertical="center"/>
    </xf>
    <xf numFmtId="0" fontId="22" fillId="0" borderId="53" xfId="0" applyFont="1" applyBorder="1" applyAlignment="1">
      <alignment horizontal="right" vertical="center"/>
    </xf>
    <xf numFmtId="9" fontId="22" fillId="0" borderId="15" xfId="0" applyNumberFormat="1" applyFont="1" applyBorder="1" applyAlignment="1">
      <alignment horizontal="right" vertical="center"/>
    </xf>
    <xf numFmtId="9" fontId="22" fillId="0" borderId="16" xfId="0" applyNumberFormat="1" applyFont="1" applyBorder="1" applyAlignment="1">
      <alignment horizontal="right" vertical="center"/>
    </xf>
    <xf numFmtId="9" fontId="22" fillId="0" borderId="55" xfId="0" applyNumberFormat="1" applyFont="1" applyBorder="1" applyAlignment="1">
      <alignment horizontal="right" vertical="center"/>
    </xf>
    <xf numFmtId="9" fontId="22" fillId="0" borderId="49" xfId="0" applyNumberFormat="1" applyFont="1" applyBorder="1" applyAlignment="1">
      <alignment horizontal="right" vertical="center"/>
    </xf>
    <xf numFmtId="0" fontId="22" fillId="0" borderId="51" xfId="0" applyFont="1" applyBorder="1" applyAlignment="1">
      <alignment horizontal="right" vertical="center"/>
    </xf>
    <xf numFmtId="0" fontId="22" fillId="0" borderId="52" xfId="0" applyFont="1" applyBorder="1" applyAlignment="1">
      <alignment horizontal="right" vertical="center"/>
    </xf>
    <xf numFmtId="0" fontId="22" fillId="0" borderId="50" xfId="0" applyFont="1" applyBorder="1" applyAlignment="1">
      <alignment horizontal="right" vertical="center"/>
    </xf>
    <xf numFmtId="0" fontId="22" fillId="0" borderId="15" xfId="0" applyFont="1" applyBorder="1" applyAlignment="1">
      <alignment horizontal="right" vertical="center"/>
    </xf>
    <xf numFmtId="0" fontId="22" fillId="0" borderId="16" xfId="0" applyFont="1" applyBorder="1" applyAlignment="1">
      <alignment horizontal="right" vertical="center"/>
    </xf>
    <xf numFmtId="0" fontId="3" fillId="3" borderId="47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0" fontId="22" fillId="0" borderId="54" xfId="0" quotePrefix="1" applyFont="1" applyBorder="1" applyAlignment="1">
      <alignment horizontal="right" vertical="center"/>
    </xf>
    <xf numFmtId="0" fontId="22" fillId="0" borderId="54" xfId="0" applyFont="1" applyBorder="1" applyAlignment="1">
      <alignment horizontal="right" vertical="center"/>
    </xf>
    <xf numFmtId="41" fontId="4" fillId="0" borderId="55" xfId="3" applyFont="1" applyBorder="1" applyAlignment="1">
      <alignment horizontal="center" vertical="center"/>
    </xf>
    <xf numFmtId="41" fontId="4" fillId="0" borderId="46" xfId="3" applyFont="1" applyBorder="1" applyAlignment="1">
      <alignment horizontal="center" vertical="center"/>
    </xf>
    <xf numFmtId="41" fontId="4" fillId="0" borderId="15" xfId="3" applyFont="1" applyBorder="1" applyAlignment="1">
      <alignment horizontal="center" vertical="center"/>
    </xf>
    <xf numFmtId="41" fontId="4" fillId="0" borderId="0" xfId="3" applyFont="1" applyBorder="1" applyAlignment="1">
      <alignment horizontal="center" vertical="center"/>
    </xf>
    <xf numFmtId="41" fontId="4" fillId="0" borderId="52" xfId="3" applyFont="1" applyBorder="1" applyAlignment="1">
      <alignment horizontal="center" vertical="center"/>
    </xf>
    <xf numFmtId="41" fontId="4" fillId="0" borderId="47" xfId="3" applyFont="1" applyBorder="1" applyAlignment="1">
      <alignment horizontal="center" vertical="center"/>
    </xf>
    <xf numFmtId="41" fontId="14" fillId="0" borderId="55" xfId="3" applyFont="1" applyBorder="1" applyAlignment="1">
      <alignment horizontal="right" vertical="center"/>
    </xf>
    <xf numFmtId="41" fontId="14" fillId="0" borderId="49" xfId="3" applyFont="1" applyBorder="1" applyAlignment="1">
      <alignment horizontal="right" vertical="center"/>
    </xf>
    <xf numFmtId="41" fontId="14" fillId="0" borderId="52" xfId="3" applyFont="1" applyBorder="1" applyAlignment="1">
      <alignment horizontal="right" vertical="center"/>
    </xf>
    <xf numFmtId="41" fontId="14" fillId="0" borderId="50" xfId="3" applyFont="1" applyBorder="1" applyAlignment="1">
      <alignment horizontal="right" vertical="center"/>
    </xf>
    <xf numFmtId="41" fontId="14" fillId="0" borderId="15" xfId="3" applyFont="1" applyBorder="1" applyAlignment="1">
      <alignment horizontal="right" vertical="center"/>
    </xf>
    <xf numFmtId="41" fontId="14" fillId="0" borderId="16" xfId="3" applyFont="1" applyBorder="1" applyAlignment="1">
      <alignment horizontal="right" vertical="center"/>
    </xf>
    <xf numFmtId="41" fontId="14" fillId="0" borderId="46" xfId="3" applyFont="1" applyBorder="1" applyAlignment="1">
      <alignment horizontal="right" vertical="center"/>
    </xf>
    <xf numFmtId="41" fontId="14" fillId="0" borderId="0" xfId="3" applyFont="1" applyBorder="1" applyAlignment="1">
      <alignment horizontal="right" vertical="center"/>
    </xf>
    <xf numFmtId="41" fontId="14" fillId="0" borderId="47" xfId="3" applyFont="1" applyBorder="1" applyAlignment="1">
      <alignment horizontal="right" vertical="center"/>
    </xf>
    <xf numFmtId="0" fontId="14" fillId="3" borderId="38" xfId="0" applyFont="1" applyFill="1" applyBorder="1" applyAlignment="1">
      <alignment horizontal="right" vertical="center"/>
    </xf>
    <xf numFmtId="0" fontId="14" fillId="3" borderId="41" xfId="0" applyFont="1" applyFill="1" applyBorder="1" applyAlignment="1">
      <alignment horizontal="right" vertical="center"/>
    </xf>
    <xf numFmtId="0" fontId="14" fillId="3" borderId="132" xfId="0" applyFont="1" applyFill="1" applyBorder="1" applyAlignment="1">
      <alignment horizontal="right" vertical="center"/>
    </xf>
    <xf numFmtId="0" fontId="14" fillId="3" borderId="30" xfId="0" applyFont="1" applyFill="1" applyBorder="1" applyAlignment="1">
      <alignment horizontal="right" vertical="center"/>
    </xf>
    <xf numFmtId="0" fontId="14" fillId="3" borderId="28" xfId="0" applyFont="1" applyFill="1" applyBorder="1" applyAlignment="1">
      <alignment horizontal="right" vertical="center"/>
    </xf>
    <xf numFmtId="0" fontId="14" fillId="3" borderId="29" xfId="0" applyFont="1" applyFill="1" applyBorder="1" applyAlignment="1">
      <alignment horizontal="right" vertical="center"/>
    </xf>
    <xf numFmtId="0" fontId="14" fillId="3" borderId="134" xfId="0" applyFont="1" applyFill="1" applyBorder="1" applyAlignment="1">
      <alignment horizontal="right" vertical="center"/>
    </xf>
    <xf numFmtId="0" fontId="14" fillId="3" borderId="33" xfId="0" applyFont="1" applyFill="1" applyBorder="1" applyAlignment="1">
      <alignment horizontal="right" vertical="center"/>
    </xf>
    <xf numFmtId="0" fontId="14" fillId="3" borderId="31" xfId="0" applyFont="1" applyFill="1" applyBorder="1" applyAlignment="1">
      <alignment horizontal="right" vertical="center"/>
    </xf>
    <xf numFmtId="0" fontId="14" fillId="3" borderId="32" xfId="0" applyFont="1" applyFill="1" applyBorder="1" applyAlignment="1">
      <alignment horizontal="right" vertical="center"/>
    </xf>
    <xf numFmtId="0" fontId="14" fillId="3" borderId="133" xfId="0" applyFont="1" applyFill="1" applyBorder="1" applyAlignment="1">
      <alignment horizontal="right" vertical="center"/>
    </xf>
    <xf numFmtId="0" fontId="14" fillId="3" borderId="27" xfId="0" applyFont="1" applyFill="1" applyBorder="1" applyAlignment="1">
      <alignment horizontal="right" vertical="center"/>
    </xf>
    <xf numFmtId="0" fontId="14" fillId="3" borderId="25" xfId="0" applyFont="1" applyFill="1" applyBorder="1" applyAlignment="1">
      <alignment horizontal="right" vertical="center"/>
    </xf>
    <xf numFmtId="0" fontId="14" fillId="3" borderId="26" xfId="0" applyFont="1" applyFill="1" applyBorder="1" applyAlignment="1">
      <alignment horizontal="right" vertical="center"/>
    </xf>
    <xf numFmtId="180" fontId="14" fillId="2" borderId="129" xfId="0" quotePrefix="1" applyNumberFormat="1" applyFont="1" applyFill="1" applyBorder="1" applyAlignment="1">
      <alignment horizontal="center" vertical="center"/>
    </xf>
    <xf numFmtId="9" fontId="14" fillId="3" borderId="134" xfId="0" applyNumberFormat="1" applyFont="1" applyFill="1" applyBorder="1" applyAlignment="1">
      <alignment horizontal="right" vertical="center"/>
    </xf>
  </cellXfs>
  <cellStyles count="4">
    <cellStyle name="백분율" xfId="1" builtinId="5"/>
    <cellStyle name="쉼표 [0]" xfId="3" builtinId="6"/>
    <cellStyle name="표준" xfId="0" builtinId="0"/>
    <cellStyle name="하이퍼링크" xfId="2" builtinId="8" hidden="1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4"/>
  <sheetViews>
    <sheetView topLeftCell="A19" workbookViewId="0">
      <selection activeCell="D16" sqref="D16:I16"/>
    </sheetView>
  </sheetViews>
  <sheetFormatPr defaultRowHeight="16.5"/>
  <cols>
    <col min="22" max="22" width="29.875" customWidth="1"/>
  </cols>
  <sheetData>
    <row r="1" spans="1:26" ht="17.25" thickBot="1">
      <c r="A1" s="2"/>
      <c r="B1" s="3" t="s">
        <v>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thickBot="1">
      <c r="A2" s="2"/>
      <c r="B2" s="4"/>
      <c r="C2" s="4"/>
      <c r="D2" s="2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thickBot="1">
      <c r="A3" s="5"/>
      <c r="B3" s="6" t="s">
        <v>7</v>
      </c>
      <c r="C3" s="7">
        <v>0.67</v>
      </c>
      <c r="D3" s="5"/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thickBot="1">
      <c r="A4" s="5"/>
      <c r="B4" s="6" t="s">
        <v>13</v>
      </c>
      <c r="C4" s="7">
        <v>0.33</v>
      </c>
      <c r="D4" s="5"/>
      <c r="E4" s="7">
        <v>0.16</v>
      </c>
      <c r="F4" s="7">
        <v>0.42</v>
      </c>
      <c r="G4" s="7">
        <v>0.27</v>
      </c>
      <c r="H4" s="7">
        <v>0.11</v>
      </c>
      <c r="I4" s="7">
        <v>0.04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"/>
      <c r="V5" s="2"/>
      <c r="W5" s="2"/>
      <c r="X5" s="2"/>
      <c r="Y5" s="2"/>
      <c r="Z5" s="2"/>
    </row>
    <row r="6" spans="1:26" ht="17.25" thickBot="1">
      <c r="A6" s="5"/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 t="s">
        <v>25</v>
      </c>
      <c r="N6" s="6" t="s">
        <v>26</v>
      </c>
      <c r="O6" s="6" t="s">
        <v>27</v>
      </c>
      <c r="P6" s="6" t="s">
        <v>28</v>
      </c>
      <c r="Q6" s="6" t="s">
        <v>29</v>
      </c>
      <c r="R6" s="6" t="s">
        <v>30</v>
      </c>
      <c r="S6" s="6" t="s">
        <v>31</v>
      </c>
      <c r="T6" s="6" t="s">
        <v>32</v>
      </c>
      <c r="U6" s="2"/>
      <c r="V6" s="2"/>
      <c r="W6" s="2"/>
      <c r="X6" s="2"/>
      <c r="Y6" s="2"/>
      <c r="Z6" s="2"/>
    </row>
    <row r="7" spans="1:26" ht="17.25" thickBot="1">
      <c r="A7" s="5"/>
      <c r="B7" s="6" t="s">
        <v>33</v>
      </c>
      <c r="C7" s="7">
        <v>0.01</v>
      </c>
      <c r="D7" s="7">
        <v>0.15</v>
      </c>
      <c r="E7" s="7">
        <v>0.06</v>
      </c>
      <c r="F7" s="7">
        <v>0.03</v>
      </c>
      <c r="G7" s="7">
        <v>0.21</v>
      </c>
      <c r="H7" s="7">
        <v>0.05</v>
      </c>
      <c r="I7" s="7">
        <v>0.06</v>
      </c>
      <c r="J7" s="7">
        <v>0.05</v>
      </c>
      <c r="K7" s="7">
        <v>0.15</v>
      </c>
      <c r="L7" s="7">
        <v>0.01</v>
      </c>
      <c r="M7" s="7">
        <v>0.01</v>
      </c>
      <c r="N7" s="7">
        <v>0.02</v>
      </c>
      <c r="O7" s="7">
        <v>0.11</v>
      </c>
      <c r="P7" s="7">
        <v>0.06</v>
      </c>
      <c r="Q7" s="7">
        <v>0.01</v>
      </c>
      <c r="R7" s="7">
        <v>0.01</v>
      </c>
      <c r="S7" s="7">
        <v>0</v>
      </c>
      <c r="T7" s="7">
        <v>0.67</v>
      </c>
      <c r="U7" s="2"/>
      <c r="V7" s="2"/>
      <c r="W7" s="2"/>
      <c r="X7" s="2"/>
      <c r="Y7" s="2"/>
      <c r="Z7" s="2"/>
    </row>
    <row r="8" spans="1:26" ht="17.25" thickBot="1">
      <c r="A8" s="5"/>
      <c r="B8" s="6" t="s">
        <v>34</v>
      </c>
      <c r="C8" s="7">
        <v>0.01</v>
      </c>
      <c r="D8" s="7">
        <v>0.11</v>
      </c>
      <c r="E8" s="7">
        <v>0.04</v>
      </c>
      <c r="F8" s="7">
        <v>0.05</v>
      </c>
      <c r="G8" s="7">
        <v>0.14000000000000001</v>
      </c>
      <c r="H8" s="7">
        <v>0.03</v>
      </c>
      <c r="I8" s="7">
        <v>0.06</v>
      </c>
      <c r="J8" s="7">
        <v>0.04</v>
      </c>
      <c r="K8" s="7">
        <v>0.18</v>
      </c>
      <c r="L8" s="7">
        <v>0.01</v>
      </c>
      <c r="M8" s="7">
        <v>0.01</v>
      </c>
      <c r="N8" s="7">
        <v>7.0000000000000007E-2</v>
      </c>
      <c r="O8" s="7">
        <v>0.16</v>
      </c>
      <c r="P8" s="7">
        <v>0.06</v>
      </c>
      <c r="Q8" s="7">
        <v>0.01</v>
      </c>
      <c r="R8" s="7">
        <v>0.01</v>
      </c>
      <c r="S8" s="7">
        <v>0.01</v>
      </c>
      <c r="T8" s="7">
        <v>0.33</v>
      </c>
      <c r="U8" s="2"/>
      <c r="V8" s="2"/>
      <c r="W8" s="2"/>
      <c r="X8" s="2"/>
      <c r="Y8" s="2"/>
      <c r="Z8" s="2"/>
    </row>
    <row r="9" spans="1:26" ht="17.25" thickBo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2"/>
      <c r="V9" s="2"/>
      <c r="W9" s="2"/>
      <c r="X9" s="2"/>
      <c r="Y9" s="2"/>
      <c r="Z9" s="2"/>
    </row>
    <row r="10" spans="1:26" ht="17.25" thickBot="1">
      <c r="A10" s="5"/>
      <c r="B10" s="6" t="s">
        <v>35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2"/>
      <c r="V10" s="2"/>
      <c r="W10" s="2"/>
      <c r="X10" s="2"/>
      <c r="Y10" s="2"/>
      <c r="Z10" s="2"/>
    </row>
    <row r="11" spans="1:26" ht="17.25" thickBot="1">
      <c r="A11" s="5"/>
      <c r="B11" s="6" t="s">
        <v>33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2"/>
      <c r="V11" s="2"/>
      <c r="W11" s="2"/>
      <c r="X11" s="2"/>
      <c r="Y11" s="2"/>
      <c r="Z11" s="2"/>
    </row>
    <row r="12" spans="1:26" ht="17.25" thickBot="1">
      <c r="A12" s="5"/>
      <c r="B12" s="6" t="s">
        <v>8</v>
      </c>
      <c r="C12" s="7">
        <v>0</v>
      </c>
      <c r="D12" s="7">
        <v>0.04</v>
      </c>
      <c r="E12" s="7">
        <v>0.02</v>
      </c>
      <c r="F12" s="7">
        <v>0</v>
      </c>
      <c r="G12" s="7">
        <v>0.3</v>
      </c>
      <c r="H12" s="7">
        <v>7.0000000000000007E-2</v>
      </c>
      <c r="I12" s="7">
        <v>0.04</v>
      </c>
      <c r="J12" s="7">
        <v>0.04</v>
      </c>
      <c r="K12" s="7">
        <v>0.17</v>
      </c>
      <c r="L12" s="7">
        <v>0</v>
      </c>
      <c r="M12" s="7">
        <v>0</v>
      </c>
      <c r="N12" s="7">
        <v>0.04</v>
      </c>
      <c r="O12" s="7">
        <v>0.17</v>
      </c>
      <c r="P12" s="7">
        <v>7.0000000000000007E-2</v>
      </c>
      <c r="Q12" s="7">
        <v>0</v>
      </c>
      <c r="R12" s="7">
        <v>0.02</v>
      </c>
      <c r="S12" s="7">
        <v>0</v>
      </c>
      <c r="T12" s="7">
        <v>0.16</v>
      </c>
      <c r="U12" s="2"/>
      <c r="V12" s="2"/>
      <c r="W12" s="2"/>
      <c r="X12" s="2"/>
      <c r="Y12" s="2"/>
      <c r="Z12" s="2"/>
    </row>
    <row r="13" spans="1:26" ht="17.25" thickBot="1">
      <c r="A13" s="5"/>
      <c r="B13" s="6" t="s">
        <v>9</v>
      </c>
      <c r="C13" s="7">
        <v>0.01</v>
      </c>
      <c r="D13" s="7">
        <v>0.15</v>
      </c>
      <c r="E13" s="7">
        <v>0.05</v>
      </c>
      <c r="F13" s="7">
        <v>0.04</v>
      </c>
      <c r="G13" s="7">
        <v>0.2</v>
      </c>
      <c r="H13" s="7">
        <v>0.05</v>
      </c>
      <c r="I13" s="7">
        <v>7.0000000000000007E-2</v>
      </c>
      <c r="J13" s="7">
        <v>0.03</v>
      </c>
      <c r="K13" s="7">
        <v>0.16</v>
      </c>
      <c r="L13" s="7">
        <v>0</v>
      </c>
      <c r="M13" s="7">
        <v>0.02</v>
      </c>
      <c r="N13" s="7">
        <v>0.02</v>
      </c>
      <c r="O13" s="7">
        <v>0.12</v>
      </c>
      <c r="P13" s="7">
        <v>7.0000000000000007E-2</v>
      </c>
      <c r="Q13" s="7">
        <v>0</v>
      </c>
      <c r="R13" s="7">
        <v>0.01</v>
      </c>
      <c r="S13" s="7">
        <v>0</v>
      </c>
      <c r="T13" s="7">
        <v>0.43</v>
      </c>
      <c r="U13" s="2"/>
      <c r="V13" s="2"/>
      <c r="W13" s="2"/>
      <c r="X13" s="2"/>
      <c r="Y13" s="2"/>
      <c r="Z13" s="2"/>
    </row>
    <row r="14" spans="1:26" ht="17.25" thickBot="1">
      <c r="A14" s="5"/>
      <c r="B14" s="6" t="s">
        <v>10</v>
      </c>
      <c r="C14" s="7">
        <v>0.01</v>
      </c>
      <c r="D14" s="7">
        <v>0.18</v>
      </c>
      <c r="E14" s="7">
        <v>0.05</v>
      </c>
      <c r="F14" s="7">
        <v>0.04</v>
      </c>
      <c r="G14" s="7">
        <v>0.17</v>
      </c>
      <c r="H14" s="7">
        <v>0.04</v>
      </c>
      <c r="I14" s="7">
        <v>0.04</v>
      </c>
      <c r="J14" s="7">
        <v>0.06</v>
      </c>
      <c r="K14" s="7">
        <v>0.13</v>
      </c>
      <c r="L14" s="7">
        <v>0.03</v>
      </c>
      <c r="M14" s="7">
        <v>0</v>
      </c>
      <c r="N14" s="7">
        <v>0.03</v>
      </c>
      <c r="O14" s="7">
        <v>0.09</v>
      </c>
      <c r="P14" s="7">
        <v>0.09</v>
      </c>
      <c r="Q14" s="7">
        <v>0.01</v>
      </c>
      <c r="R14" s="7">
        <v>0.03</v>
      </c>
      <c r="S14" s="7">
        <v>0.01</v>
      </c>
      <c r="T14" s="7">
        <v>0.27</v>
      </c>
      <c r="U14" s="2"/>
      <c r="V14" s="2"/>
      <c r="W14" s="2"/>
      <c r="X14" s="2"/>
      <c r="Y14" s="2"/>
      <c r="Z14" s="2"/>
    </row>
    <row r="15" spans="1:26" ht="17.25" thickBot="1">
      <c r="A15" s="5"/>
      <c r="B15" s="6" t="s">
        <v>11</v>
      </c>
      <c r="C15" s="7">
        <v>0.06</v>
      </c>
      <c r="D15" s="7">
        <v>0.18</v>
      </c>
      <c r="E15" s="7">
        <v>0.15</v>
      </c>
      <c r="F15" s="7">
        <v>0</v>
      </c>
      <c r="G15" s="7">
        <v>0.15</v>
      </c>
      <c r="H15" s="7">
        <v>0.03</v>
      </c>
      <c r="I15" s="7">
        <v>0.06</v>
      </c>
      <c r="J15" s="7">
        <v>0.06</v>
      </c>
      <c r="K15" s="7">
        <v>0.21</v>
      </c>
      <c r="L15" s="7">
        <v>0.03</v>
      </c>
      <c r="M15" s="7">
        <v>0</v>
      </c>
      <c r="N15" s="7">
        <v>0</v>
      </c>
      <c r="O15" s="7">
        <v>0.06</v>
      </c>
      <c r="P15" s="7">
        <v>0</v>
      </c>
      <c r="Q15" s="7">
        <v>0</v>
      </c>
      <c r="R15" s="7">
        <v>0</v>
      </c>
      <c r="S15" s="7">
        <v>0</v>
      </c>
      <c r="T15" s="7">
        <v>0.12</v>
      </c>
      <c r="U15" s="2"/>
      <c r="V15" s="2"/>
      <c r="W15" s="2"/>
      <c r="X15" s="2"/>
      <c r="Y15" s="2"/>
      <c r="Z15" s="2"/>
    </row>
    <row r="16" spans="1:26" ht="17.25" thickBot="1">
      <c r="A16" s="5"/>
      <c r="B16" s="6" t="s">
        <v>36</v>
      </c>
      <c r="C16" s="7">
        <v>0</v>
      </c>
      <c r="D16" s="7">
        <v>0.33</v>
      </c>
      <c r="E16" s="7">
        <v>0</v>
      </c>
      <c r="F16" s="7">
        <v>0</v>
      </c>
      <c r="G16" s="7">
        <v>0.33</v>
      </c>
      <c r="H16" s="7">
        <v>0.17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0.17</v>
      </c>
      <c r="R16" s="7">
        <v>0</v>
      </c>
      <c r="S16" s="7">
        <v>0</v>
      </c>
      <c r="T16" s="7">
        <v>0.02</v>
      </c>
      <c r="U16" s="2"/>
      <c r="V16" s="2"/>
      <c r="W16" s="2"/>
      <c r="X16" s="2"/>
      <c r="Y16" s="2"/>
      <c r="Z16" s="2"/>
    </row>
    <row r="17" spans="1:26" ht="17.25" thickBot="1">
      <c r="A17" s="5"/>
      <c r="B17" s="6" t="s">
        <v>34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"/>
      <c r="V17" s="2"/>
      <c r="W17" s="2"/>
      <c r="X17" s="2"/>
      <c r="Y17" s="2"/>
      <c r="Z17" s="2"/>
    </row>
    <row r="18" spans="1:26" ht="17.25" thickBot="1">
      <c r="A18" s="5"/>
      <c r="B18" s="6" t="s">
        <v>8</v>
      </c>
      <c r="C18" s="7">
        <v>0</v>
      </c>
      <c r="D18" s="7">
        <v>0.04</v>
      </c>
      <c r="E18" s="7">
        <v>0</v>
      </c>
      <c r="F18" s="7">
        <v>0.04</v>
      </c>
      <c r="G18" s="7">
        <v>0.22</v>
      </c>
      <c r="H18" s="7">
        <v>0</v>
      </c>
      <c r="I18" s="7">
        <v>0.09</v>
      </c>
      <c r="J18" s="7">
        <v>0</v>
      </c>
      <c r="K18" s="7">
        <v>0.13</v>
      </c>
      <c r="L18" s="7">
        <v>0</v>
      </c>
      <c r="M18" s="7">
        <v>0</v>
      </c>
      <c r="N18" s="7">
        <v>0.04</v>
      </c>
      <c r="O18" s="7">
        <v>0.35</v>
      </c>
      <c r="P18" s="7">
        <v>0.09</v>
      </c>
      <c r="Q18" s="7">
        <v>0</v>
      </c>
      <c r="R18" s="7">
        <v>0</v>
      </c>
      <c r="S18" s="7">
        <v>0</v>
      </c>
      <c r="T18" s="7">
        <v>0.17</v>
      </c>
      <c r="U18" s="2"/>
      <c r="V18" s="2"/>
      <c r="W18" s="2"/>
      <c r="X18" s="2"/>
      <c r="Y18" s="2"/>
      <c r="Z18" s="2"/>
    </row>
    <row r="19" spans="1:26" ht="17.25" thickBot="1">
      <c r="A19" s="5"/>
      <c r="B19" s="6" t="s">
        <v>9</v>
      </c>
      <c r="C19" s="7">
        <v>0.02</v>
      </c>
      <c r="D19" s="7">
        <v>0.09</v>
      </c>
      <c r="E19" s="7">
        <v>0.04</v>
      </c>
      <c r="F19" s="7">
        <v>7.0000000000000007E-2</v>
      </c>
      <c r="G19" s="7">
        <v>0.18</v>
      </c>
      <c r="H19" s="7">
        <v>0.04</v>
      </c>
      <c r="I19" s="7">
        <v>0.05</v>
      </c>
      <c r="J19" s="7">
        <v>0.05</v>
      </c>
      <c r="K19" s="7">
        <v>0.19</v>
      </c>
      <c r="L19" s="7">
        <v>0.02</v>
      </c>
      <c r="M19" s="7">
        <v>0</v>
      </c>
      <c r="N19" s="7">
        <v>7.0000000000000007E-2</v>
      </c>
      <c r="O19" s="7">
        <v>0.09</v>
      </c>
      <c r="P19" s="7">
        <v>7.0000000000000007E-2</v>
      </c>
      <c r="Q19" s="7">
        <v>0.02</v>
      </c>
      <c r="R19" s="7">
        <v>0.02</v>
      </c>
      <c r="S19" s="7">
        <v>0</v>
      </c>
      <c r="T19" s="7">
        <v>0.41</v>
      </c>
      <c r="U19" s="2"/>
      <c r="V19" s="2"/>
      <c r="W19" s="2"/>
      <c r="X19" s="2"/>
      <c r="Y19" s="2"/>
      <c r="Z19" s="2"/>
    </row>
    <row r="20" spans="1:26" ht="17.25" thickBot="1">
      <c r="A20" s="5"/>
      <c r="B20" s="6" t="s">
        <v>10</v>
      </c>
      <c r="C20" s="7">
        <v>0</v>
      </c>
      <c r="D20" s="7">
        <v>0.03</v>
      </c>
      <c r="E20" s="7">
        <v>0.03</v>
      </c>
      <c r="F20" s="7">
        <v>0.03</v>
      </c>
      <c r="G20" s="7">
        <v>0.09</v>
      </c>
      <c r="H20" s="7">
        <v>0.03</v>
      </c>
      <c r="I20" s="7">
        <v>0.11</v>
      </c>
      <c r="J20" s="7">
        <v>0.06</v>
      </c>
      <c r="K20" s="7">
        <v>0.23</v>
      </c>
      <c r="L20" s="7">
        <v>0.03</v>
      </c>
      <c r="M20" s="7">
        <v>0</v>
      </c>
      <c r="N20" s="7">
        <v>0.09</v>
      </c>
      <c r="O20" s="7">
        <v>0.14000000000000001</v>
      </c>
      <c r="P20" s="7">
        <v>0.09</v>
      </c>
      <c r="Q20" s="7">
        <v>0</v>
      </c>
      <c r="R20" s="7">
        <v>0.03</v>
      </c>
      <c r="S20" s="7">
        <v>0.03</v>
      </c>
      <c r="T20" s="7">
        <v>0.25</v>
      </c>
      <c r="U20" s="2"/>
      <c r="V20" s="2"/>
      <c r="W20" s="2"/>
      <c r="X20" s="2"/>
      <c r="Y20" s="2"/>
      <c r="Z20" s="2"/>
    </row>
    <row r="21" spans="1:26" ht="17.25" thickBot="1">
      <c r="A21" s="5"/>
      <c r="B21" s="6" t="s">
        <v>11</v>
      </c>
      <c r="C21" s="7">
        <v>0</v>
      </c>
      <c r="D21" s="7">
        <v>0.28999999999999998</v>
      </c>
      <c r="E21" s="7">
        <v>7.0000000000000007E-2</v>
      </c>
      <c r="F21" s="7">
        <v>7.0000000000000007E-2</v>
      </c>
      <c r="G21" s="7">
        <v>0</v>
      </c>
      <c r="H21" s="7">
        <v>7.0000000000000007E-2</v>
      </c>
      <c r="I21" s="7">
        <v>0</v>
      </c>
      <c r="J21" s="7">
        <v>0</v>
      </c>
      <c r="K21" s="7">
        <v>0.14000000000000001</v>
      </c>
      <c r="L21" s="7">
        <v>0</v>
      </c>
      <c r="M21" s="7">
        <v>7.0000000000000007E-2</v>
      </c>
      <c r="N21" s="7">
        <v>7.0000000000000007E-2</v>
      </c>
      <c r="O21" s="7">
        <v>0.14000000000000001</v>
      </c>
      <c r="P21" s="7">
        <v>0</v>
      </c>
      <c r="Q21" s="7">
        <v>7.0000000000000007E-2</v>
      </c>
      <c r="R21" s="7">
        <v>0</v>
      </c>
      <c r="S21" s="7">
        <v>0</v>
      </c>
      <c r="T21" s="7">
        <v>0.1</v>
      </c>
      <c r="U21" s="2"/>
      <c r="V21" s="2"/>
      <c r="W21" s="2"/>
      <c r="X21" s="2"/>
      <c r="Y21" s="2"/>
      <c r="Z21" s="2"/>
    </row>
    <row r="22" spans="1:26" ht="17.25" thickBot="1">
      <c r="A22" s="5"/>
      <c r="B22" s="6" t="s">
        <v>36</v>
      </c>
      <c r="C22" s="7">
        <v>0</v>
      </c>
      <c r="D22" s="7">
        <v>0.4</v>
      </c>
      <c r="E22" s="7">
        <v>0.1</v>
      </c>
      <c r="F22" s="7">
        <v>0</v>
      </c>
      <c r="G22" s="7">
        <v>0.1</v>
      </c>
      <c r="H22" s="7">
        <v>0</v>
      </c>
      <c r="I22" s="7">
        <v>0</v>
      </c>
      <c r="J22" s="7">
        <v>0</v>
      </c>
      <c r="K22" s="7">
        <v>0.1</v>
      </c>
      <c r="L22" s="7">
        <v>0</v>
      </c>
      <c r="M22" s="7">
        <v>0</v>
      </c>
      <c r="N22" s="7">
        <v>0.1</v>
      </c>
      <c r="O22" s="7">
        <v>0.2</v>
      </c>
      <c r="P22" s="7">
        <v>0</v>
      </c>
      <c r="Q22" s="7">
        <v>0</v>
      </c>
      <c r="R22" s="7">
        <v>0</v>
      </c>
      <c r="S22" s="7">
        <v>0</v>
      </c>
      <c r="T22" s="7">
        <v>7.0000000000000007E-2</v>
      </c>
      <c r="U22" s="2"/>
      <c r="V22" s="2"/>
      <c r="W22" s="2"/>
      <c r="X22" s="2"/>
      <c r="Y22" s="2"/>
      <c r="Z22" s="2"/>
    </row>
    <row r="23" spans="1:26" ht="17.2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thickBot="1">
      <c r="A24" s="2"/>
      <c r="B24" s="8" t="s">
        <v>37</v>
      </c>
      <c r="C24" s="4"/>
      <c r="D24" s="2"/>
      <c r="E24" s="4"/>
      <c r="F24" s="4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thickBot="1">
      <c r="A25" s="5"/>
      <c r="B25" s="6" t="s">
        <v>7</v>
      </c>
      <c r="C25" s="9">
        <v>0.59699999999999998</v>
      </c>
      <c r="D25" s="5"/>
      <c r="E25" s="6" t="s">
        <v>8</v>
      </c>
      <c r="F25" s="6" t="s">
        <v>9</v>
      </c>
      <c r="G25" s="6" t="s">
        <v>10</v>
      </c>
      <c r="H25" s="6" t="s">
        <v>11</v>
      </c>
      <c r="I25" s="6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thickBot="1">
      <c r="A26" s="5"/>
      <c r="B26" s="6" t="s">
        <v>13</v>
      </c>
      <c r="C26" s="9">
        <v>0.40300000000000002</v>
      </c>
      <c r="D26" s="5"/>
      <c r="E26" s="9">
        <v>0.20799999999999999</v>
      </c>
      <c r="F26" s="9">
        <v>0.40400000000000003</v>
      </c>
      <c r="G26" s="9">
        <v>0.23799999999999999</v>
      </c>
      <c r="H26" s="9">
        <v>0.11</v>
      </c>
      <c r="I26" s="9">
        <v>0.04</v>
      </c>
      <c r="J26" s="10">
        <v>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thickBot="1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2"/>
      <c r="V27" s="2"/>
      <c r="W27" s="2"/>
      <c r="X27" s="2"/>
      <c r="Y27" s="2"/>
      <c r="Z27" s="2"/>
    </row>
    <row r="28" spans="1:26" ht="17.25" thickBot="1">
      <c r="A28" s="5"/>
      <c r="B28" s="6" t="s">
        <v>14</v>
      </c>
      <c r="C28" s="6" t="s">
        <v>15</v>
      </c>
      <c r="D28" s="6" t="s">
        <v>16</v>
      </c>
      <c r="E28" s="6" t="s">
        <v>17</v>
      </c>
      <c r="F28" s="6" t="s">
        <v>18</v>
      </c>
      <c r="G28" s="6" t="s">
        <v>19</v>
      </c>
      <c r="H28" s="6" t="s">
        <v>20</v>
      </c>
      <c r="I28" s="6" t="s">
        <v>21</v>
      </c>
      <c r="J28" s="6" t="s">
        <v>22</v>
      </c>
      <c r="K28" s="6" t="s">
        <v>23</v>
      </c>
      <c r="L28" s="6" t="s">
        <v>24</v>
      </c>
      <c r="M28" s="6" t="s">
        <v>25</v>
      </c>
      <c r="N28" s="6" t="s">
        <v>26</v>
      </c>
      <c r="O28" s="6" t="s">
        <v>27</v>
      </c>
      <c r="P28" s="6" t="s">
        <v>28</v>
      </c>
      <c r="Q28" s="6" t="s">
        <v>29</v>
      </c>
      <c r="R28" s="6" t="s">
        <v>30</v>
      </c>
      <c r="S28" s="6" t="s">
        <v>31</v>
      </c>
      <c r="T28" s="6" t="s">
        <v>32</v>
      </c>
      <c r="U28" s="2"/>
      <c r="V28" s="2"/>
      <c r="W28" s="2"/>
      <c r="X28" s="2"/>
      <c r="Y28" s="2"/>
      <c r="Z28" s="2"/>
    </row>
    <row r="29" spans="1:26" ht="17.25" thickBot="1">
      <c r="A29" s="5"/>
      <c r="B29" s="6" t="s">
        <v>33</v>
      </c>
      <c r="C29" s="11">
        <v>0.7</v>
      </c>
      <c r="D29" s="11">
        <v>10.3</v>
      </c>
      <c r="E29" s="11">
        <v>3.2</v>
      </c>
      <c r="F29" s="11">
        <v>1.3</v>
      </c>
      <c r="G29" s="11">
        <v>4.5</v>
      </c>
      <c r="H29" s="11">
        <v>2.1</v>
      </c>
      <c r="I29" s="11">
        <v>3.3</v>
      </c>
      <c r="J29" s="11">
        <v>4.0999999999999996</v>
      </c>
      <c r="K29" s="11">
        <v>13.2</v>
      </c>
      <c r="L29" s="11">
        <v>0.6</v>
      </c>
      <c r="M29" s="11">
        <v>1.5</v>
      </c>
      <c r="N29" s="11">
        <v>2</v>
      </c>
      <c r="O29" s="11">
        <v>3.6</v>
      </c>
      <c r="P29" s="11">
        <v>3.6</v>
      </c>
      <c r="Q29" s="11">
        <v>0.5</v>
      </c>
      <c r="R29" s="11">
        <v>2.8</v>
      </c>
      <c r="S29" s="11">
        <v>1.4</v>
      </c>
      <c r="T29" s="9">
        <v>0.59699999999999998</v>
      </c>
      <c r="U29" s="2"/>
      <c r="V29" s="2"/>
      <c r="W29" s="2"/>
      <c r="X29" s="2"/>
      <c r="Y29" s="2"/>
      <c r="Z29" s="2"/>
    </row>
    <row r="30" spans="1:26" ht="17.25" thickBot="1">
      <c r="A30" s="5"/>
      <c r="B30" s="6" t="s">
        <v>34</v>
      </c>
      <c r="C30" s="11">
        <v>0.4</v>
      </c>
      <c r="D30" s="11">
        <v>7.6</v>
      </c>
      <c r="E30" s="11">
        <v>2.2000000000000002</v>
      </c>
      <c r="F30" s="11">
        <v>0.9</v>
      </c>
      <c r="G30" s="11">
        <v>3.6</v>
      </c>
      <c r="H30" s="11">
        <v>1.6</v>
      </c>
      <c r="I30" s="11">
        <v>1.8</v>
      </c>
      <c r="J30" s="11">
        <v>2.4</v>
      </c>
      <c r="K30" s="11">
        <v>10</v>
      </c>
      <c r="L30" s="11">
        <v>0.4</v>
      </c>
      <c r="M30" s="11">
        <v>0.5</v>
      </c>
      <c r="N30" s="11">
        <v>0.7</v>
      </c>
      <c r="O30" s="11">
        <v>2.4</v>
      </c>
      <c r="P30" s="11">
        <v>1.6</v>
      </c>
      <c r="Q30" s="11">
        <v>0.1</v>
      </c>
      <c r="R30" s="11">
        <v>1.7</v>
      </c>
      <c r="S30" s="11">
        <v>1.3</v>
      </c>
      <c r="T30" s="9">
        <v>0.40300000000000002</v>
      </c>
      <c r="U30" s="2"/>
      <c r="V30" s="2"/>
      <c r="W30" s="2"/>
      <c r="X30" s="2"/>
      <c r="Y30" s="2"/>
      <c r="Z30" s="2"/>
    </row>
    <row r="31" spans="1:26" ht="17.25" thickBot="1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2"/>
      <c r="V31" s="2"/>
      <c r="W31" s="2"/>
      <c r="X31" s="2"/>
      <c r="Y31" s="2"/>
      <c r="Z31" s="2"/>
    </row>
    <row r="32" spans="1:26" ht="17.25" thickBot="1">
      <c r="A32" s="5"/>
      <c r="B32" s="6" t="s">
        <v>35</v>
      </c>
      <c r="C32" s="6" t="s">
        <v>15</v>
      </c>
      <c r="D32" s="6" t="s">
        <v>16</v>
      </c>
      <c r="E32" s="6" t="s">
        <v>17</v>
      </c>
      <c r="F32" s="6" t="s">
        <v>18</v>
      </c>
      <c r="G32" s="6" t="s">
        <v>19</v>
      </c>
      <c r="H32" s="6" t="s">
        <v>20</v>
      </c>
      <c r="I32" s="6" t="s">
        <v>21</v>
      </c>
      <c r="J32" s="6" t="s">
        <v>22</v>
      </c>
      <c r="K32" s="6" t="s">
        <v>23</v>
      </c>
      <c r="L32" s="6" t="s">
        <v>24</v>
      </c>
      <c r="M32" s="6" t="s">
        <v>25</v>
      </c>
      <c r="N32" s="6" t="s">
        <v>26</v>
      </c>
      <c r="O32" s="6" t="s">
        <v>27</v>
      </c>
      <c r="P32" s="6" t="s">
        <v>28</v>
      </c>
      <c r="Q32" s="6" t="s">
        <v>29</v>
      </c>
      <c r="R32" s="6" t="s">
        <v>30</v>
      </c>
      <c r="S32" s="6" t="s">
        <v>31</v>
      </c>
      <c r="T32" s="6" t="s">
        <v>32</v>
      </c>
      <c r="U32" s="2"/>
      <c r="V32" s="2"/>
      <c r="W32" s="2"/>
      <c r="X32" s="2"/>
      <c r="Y32" s="2"/>
      <c r="Z32" s="2"/>
    </row>
    <row r="33" spans="1:27" ht="17.25" thickBot="1">
      <c r="A33" s="5"/>
      <c r="B33" s="6" t="s">
        <v>33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2"/>
      <c r="V33" s="2"/>
      <c r="W33" s="2"/>
      <c r="X33" s="2"/>
      <c r="Y33" s="2"/>
      <c r="Z33" s="2"/>
    </row>
    <row r="34" spans="1:27" ht="17.25" thickBot="1">
      <c r="A34" s="5"/>
      <c r="B34" s="6" t="s">
        <v>8</v>
      </c>
      <c r="C34" s="11">
        <v>0.2</v>
      </c>
      <c r="D34" s="11">
        <v>3.7</v>
      </c>
      <c r="E34" s="11">
        <v>0.8</v>
      </c>
      <c r="F34" s="11">
        <v>0.7</v>
      </c>
      <c r="G34" s="11">
        <v>1.7</v>
      </c>
      <c r="H34" s="11">
        <v>0.8</v>
      </c>
      <c r="I34" s="11">
        <v>0.8</v>
      </c>
      <c r="J34" s="11">
        <v>1</v>
      </c>
      <c r="K34" s="11">
        <v>4.5999999999999996</v>
      </c>
      <c r="L34" s="11">
        <v>0.3</v>
      </c>
      <c r="M34" s="11">
        <v>0.3</v>
      </c>
      <c r="N34" s="11">
        <v>0.5</v>
      </c>
      <c r="O34" s="11">
        <v>1.7</v>
      </c>
      <c r="P34" s="11">
        <v>0.8</v>
      </c>
      <c r="Q34" s="11">
        <v>0.2</v>
      </c>
      <c r="R34" s="11">
        <v>1</v>
      </c>
      <c r="S34" s="11">
        <v>0.3</v>
      </c>
      <c r="T34" s="9">
        <v>0.19800000000000001</v>
      </c>
      <c r="U34" s="2"/>
      <c r="V34" s="2"/>
      <c r="W34" s="2"/>
      <c r="X34" s="2"/>
      <c r="Y34" s="2"/>
      <c r="Z34" s="2"/>
    </row>
    <row r="35" spans="1:27" ht="17.25" thickBot="1">
      <c r="A35" s="5"/>
      <c r="B35" s="6" t="s">
        <v>9</v>
      </c>
      <c r="C35" s="11">
        <v>0.7</v>
      </c>
      <c r="D35" s="11">
        <v>8.1</v>
      </c>
      <c r="E35" s="11">
        <v>2.5</v>
      </c>
      <c r="F35" s="11">
        <v>1.7</v>
      </c>
      <c r="G35" s="11">
        <v>3.7</v>
      </c>
      <c r="H35" s="11">
        <v>1.9</v>
      </c>
      <c r="I35" s="11">
        <v>2.2000000000000002</v>
      </c>
      <c r="J35" s="11">
        <v>2.8</v>
      </c>
      <c r="K35" s="11">
        <v>10.9</v>
      </c>
      <c r="L35" s="11">
        <v>0.7</v>
      </c>
      <c r="M35" s="11">
        <v>0.5</v>
      </c>
      <c r="N35" s="11">
        <v>0.7</v>
      </c>
      <c r="O35" s="11">
        <v>3.5</v>
      </c>
      <c r="P35" s="11">
        <v>2.2999999999999998</v>
      </c>
      <c r="Q35" s="11">
        <v>0.3</v>
      </c>
      <c r="R35" s="11">
        <v>2.2000000000000002</v>
      </c>
      <c r="S35" s="11">
        <v>0.7</v>
      </c>
      <c r="T35" s="9">
        <v>0.45400000000000001</v>
      </c>
      <c r="U35" s="2"/>
      <c r="V35" s="2"/>
      <c r="W35" s="2"/>
      <c r="X35" s="2"/>
      <c r="Y35" s="2"/>
      <c r="Z35" s="2"/>
    </row>
    <row r="36" spans="1:27" ht="17.25" thickBot="1">
      <c r="A36" s="5"/>
      <c r="B36" s="6" t="s">
        <v>10</v>
      </c>
      <c r="C36" s="11">
        <v>0.3</v>
      </c>
      <c r="D36" s="11">
        <v>4.5999999999999996</v>
      </c>
      <c r="E36" s="11">
        <v>1.5</v>
      </c>
      <c r="F36" s="11">
        <v>1.2</v>
      </c>
      <c r="G36" s="11">
        <v>2.2000000000000002</v>
      </c>
      <c r="H36" s="11">
        <v>1.2</v>
      </c>
      <c r="I36" s="11">
        <v>1.2</v>
      </c>
      <c r="J36" s="11">
        <v>1.5</v>
      </c>
      <c r="K36" s="11">
        <v>6.2</v>
      </c>
      <c r="L36" s="11">
        <v>0.3</v>
      </c>
      <c r="M36" s="11">
        <v>0.3</v>
      </c>
      <c r="N36" s="11">
        <v>0.5</v>
      </c>
      <c r="O36" s="11">
        <v>2.2999999999999998</v>
      </c>
      <c r="P36" s="11">
        <v>1.3</v>
      </c>
      <c r="Q36" s="11">
        <v>0.2</v>
      </c>
      <c r="R36" s="11">
        <v>1.2</v>
      </c>
      <c r="S36" s="11">
        <v>0.5</v>
      </c>
      <c r="T36" s="9">
        <v>0.26500000000000001</v>
      </c>
      <c r="U36" s="2"/>
      <c r="V36" s="2"/>
      <c r="W36" s="2"/>
      <c r="X36" s="2"/>
      <c r="Y36" s="2"/>
      <c r="Z36" s="2"/>
    </row>
    <row r="37" spans="1:27" ht="17.25" thickBot="1">
      <c r="A37" s="5"/>
      <c r="B37" s="6" t="s">
        <v>11</v>
      </c>
      <c r="C37" s="11">
        <v>0.2</v>
      </c>
      <c r="D37" s="11">
        <v>1.8</v>
      </c>
      <c r="E37" s="11">
        <v>0.8</v>
      </c>
      <c r="F37" s="11">
        <v>0.5</v>
      </c>
      <c r="G37" s="11">
        <v>0.8</v>
      </c>
      <c r="H37" s="11">
        <v>0.5</v>
      </c>
      <c r="I37" s="11">
        <v>0.3</v>
      </c>
      <c r="J37" s="11">
        <v>0.7</v>
      </c>
      <c r="K37" s="11">
        <v>2.6</v>
      </c>
      <c r="L37" s="11">
        <v>0.2</v>
      </c>
      <c r="M37" s="11">
        <v>0.2</v>
      </c>
      <c r="N37" s="11">
        <v>0.2</v>
      </c>
      <c r="O37" s="11">
        <v>1.2</v>
      </c>
      <c r="P37" s="11">
        <v>0.7</v>
      </c>
      <c r="Q37" s="11">
        <v>0</v>
      </c>
      <c r="R37" s="11">
        <v>0.5</v>
      </c>
      <c r="S37" s="11">
        <v>0.2</v>
      </c>
      <c r="T37" s="9">
        <v>0.123</v>
      </c>
      <c r="U37" s="2"/>
      <c r="V37" s="2"/>
      <c r="W37" s="2"/>
      <c r="X37" s="2"/>
      <c r="Y37" s="2"/>
      <c r="Z37" s="2"/>
    </row>
    <row r="38" spans="1:27" ht="17.25" thickBot="1">
      <c r="A38" s="5"/>
      <c r="B38" s="6" t="s">
        <v>36</v>
      </c>
      <c r="C38" s="11">
        <v>0</v>
      </c>
      <c r="D38" s="11">
        <v>0.7</v>
      </c>
      <c r="E38" s="11">
        <v>0.3</v>
      </c>
      <c r="F38" s="11">
        <v>0.2</v>
      </c>
      <c r="G38" s="11">
        <v>0.3</v>
      </c>
      <c r="H38" s="11">
        <v>0.2</v>
      </c>
      <c r="I38" s="11">
        <v>0.2</v>
      </c>
      <c r="J38" s="11">
        <v>0.2</v>
      </c>
      <c r="K38" s="11">
        <v>1</v>
      </c>
      <c r="L38" s="11">
        <v>0</v>
      </c>
      <c r="M38" s="11">
        <v>0</v>
      </c>
      <c r="N38" s="11">
        <v>0</v>
      </c>
      <c r="O38" s="11">
        <v>0.5</v>
      </c>
      <c r="P38" s="11">
        <v>0.3</v>
      </c>
      <c r="Q38" s="11">
        <v>0</v>
      </c>
      <c r="R38" s="11">
        <v>0.2</v>
      </c>
      <c r="S38" s="11">
        <v>0</v>
      </c>
      <c r="T38" s="9">
        <v>4.1000000000000002E-2</v>
      </c>
      <c r="U38" s="2"/>
      <c r="V38" s="2"/>
      <c r="W38" s="2"/>
      <c r="X38" s="2"/>
      <c r="Y38" s="2"/>
      <c r="Z38" s="2"/>
    </row>
    <row r="39" spans="1:27" ht="17.25" thickBot="1">
      <c r="A39" s="5"/>
      <c r="B39" s="6" t="s">
        <v>34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2"/>
      <c r="V39" s="2"/>
      <c r="W39" s="2"/>
      <c r="X39" s="2"/>
      <c r="Y39" s="2"/>
      <c r="Z39" s="2"/>
    </row>
    <row r="40" spans="1:27" ht="17.25" thickBot="1">
      <c r="A40" s="5"/>
      <c r="B40" s="6" t="s">
        <v>8</v>
      </c>
      <c r="C40" s="11">
        <v>0.2</v>
      </c>
      <c r="D40" s="11">
        <v>4</v>
      </c>
      <c r="E40" s="11">
        <v>1</v>
      </c>
      <c r="F40" s="11">
        <v>0.7</v>
      </c>
      <c r="G40" s="11">
        <v>1.7</v>
      </c>
      <c r="H40" s="11">
        <v>1</v>
      </c>
      <c r="I40" s="11">
        <v>0.7</v>
      </c>
      <c r="J40" s="11">
        <v>1</v>
      </c>
      <c r="K40" s="11">
        <v>4.7</v>
      </c>
      <c r="L40" s="11">
        <v>0.5</v>
      </c>
      <c r="M40" s="11">
        <v>0.2</v>
      </c>
      <c r="N40" s="11">
        <v>0.2</v>
      </c>
      <c r="O40" s="11">
        <v>1.7</v>
      </c>
      <c r="P40" s="11">
        <v>0.7</v>
      </c>
      <c r="Q40" s="11">
        <v>0</v>
      </c>
      <c r="R40" s="11">
        <v>1</v>
      </c>
      <c r="S40" s="11">
        <v>0.5</v>
      </c>
      <c r="T40" s="9">
        <v>0.19400000000000001</v>
      </c>
      <c r="U40" s="2"/>
      <c r="V40" s="2"/>
      <c r="W40" s="2"/>
      <c r="X40" s="2"/>
      <c r="Y40" s="2"/>
      <c r="Z40" s="2"/>
    </row>
    <row r="41" spans="1:27" ht="17.25" thickBot="1">
      <c r="A41" s="5"/>
      <c r="B41" s="6" t="s">
        <v>9</v>
      </c>
      <c r="C41" s="11">
        <v>0.7</v>
      </c>
      <c r="D41" s="11">
        <v>8.4</v>
      </c>
      <c r="E41" s="11">
        <v>3</v>
      </c>
      <c r="F41" s="11">
        <v>2.2000000000000002</v>
      </c>
      <c r="G41" s="11">
        <v>3.7</v>
      </c>
      <c r="H41" s="11">
        <v>2</v>
      </c>
      <c r="I41" s="11">
        <v>1.7</v>
      </c>
      <c r="J41" s="11">
        <v>2.5</v>
      </c>
      <c r="K41" s="11">
        <v>11.4</v>
      </c>
      <c r="L41" s="11">
        <v>0.7</v>
      </c>
      <c r="M41" s="11">
        <v>0.5</v>
      </c>
      <c r="N41" s="11">
        <v>0.5</v>
      </c>
      <c r="O41" s="11">
        <v>3.2</v>
      </c>
      <c r="P41" s="11">
        <v>1.7</v>
      </c>
      <c r="Q41" s="11">
        <v>0.2</v>
      </c>
      <c r="R41" s="11">
        <v>2</v>
      </c>
      <c r="S41" s="11">
        <v>0.7</v>
      </c>
      <c r="T41" s="9">
        <v>0.45100000000000001</v>
      </c>
      <c r="U41" s="2"/>
      <c r="V41" s="2"/>
      <c r="W41" s="2"/>
      <c r="X41" s="2"/>
      <c r="Y41" s="2"/>
      <c r="Z41" s="2"/>
    </row>
    <row r="42" spans="1:27" ht="17.25" thickBot="1">
      <c r="A42" s="5"/>
      <c r="B42" s="6" t="s">
        <v>10</v>
      </c>
      <c r="C42" s="11">
        <v>0.5</v>
      </c>
      <c r="D42" s="11">
        <v>5.5</v>
      </c>
      <c r="E42" s="11">
        <v>2</v>
      </c>
      <c r="F42" s="11">
        <v>1.5</v>
      </c>
      <c r="G42" s="11">
        <v>2.5</v>
      </c>
      <c r="H42" s="11">
        <v>1.2</v>
      </c>
      <c r="I42" s="11">
        <v>1</v>
      </c>
      <c r="J42" s="11">
        <v>1.5</v>
      </c>
      <c r="K42" s="11">
        <v>7.2</v>
      </c>
      <c r="L42" s="11">
        <v>0.2</v>
      </c>
      <c r="M42" s="11">
        <v>0.2</v>
      </c>
      <c r="N42" s="11">
        <v>0.5</v>
      </c>
      <c r="O42" s="11">
        <v>2.5</v>
      </c>
      <c r="P42" s="11">
        <v>1.2</v>
      </c>
      <c r="Q42" s="11">
        <v>0.2</v>
      </c>
      <c r="R42" s="11">
        <v>1.2</v>
      </c>
      <c r="S42" s="11">
        <v>0.5</v>
      </c>
      <c r="T42" s="9">
        <v>0.29399999999999998</v>
      </c>
      <c r="U42" s="2"/>
      <c r="V42" s="2"/>
      <c r="W42" s="2"/>
      <c r="X42" s="2"/>
      <c r="Y42" s="2"/>
      <c r="Z42" s="2"/>
    </row>
    <row r="43" spans="1:27" ht="17.25" thickBot="1">
      <c r="A43" s="5"/>
      <c r="B43" s="6" t="s">
        <v>11</v>
      </c>
      <c r="C43" s="11">
        <v>0.2</v>
      </c>
      <c r="D43" s="11">
        <v>2.2000000000000002</v>
      </c>
      <c r="E43" s="11">
        <v>1</v>
      </c>
      <c r="F43" s="11">
        <v>0.7</v>
      </c>
      <c r="G43" s="11">
        <v>1</v>
      </c>
      <c r="H43" s="11">
        <v>0.5</v>
      </c>
      <c r="I43" s="11">
        <v>0.5</v>
      </c>
      <c r="J43" s="11">
        <v>0.7</v>
      </c>
      <c r="K43" s="11">
        <v>2.7</v>
      </c>
      <c r="L43" s="11">
        <v>0.2</v>
      </c>
      <c r="M43" s="11">
        <v>0</v>
      </c>
      <c r="N43" s="11">
        <v>0.2</v>
      </c>
      <c r="O43" s="11">
        <v>1.2</v>
      </c>
      <c r="P43" s="11">
        <v>0.5</v>
      </c>
      <c r="Q43" s="11">
        <v>0</v>
      </c>
      <c r="R43" s="11">
        <v>0.5</v>
      </c>
      <c r="S43" s="11">
        <v>0.2</v>
      </c>
      <c r="T43" s="9">
        <v>0.123</v>
      </c>
      <c r="U43" s="2"/>
      <c r="V43" s="19" t="s">
        <v>57</v>
      </c>
      <c r="W43" s="2"/>
      <c r="X43" s="2"/>
      <c r="Y43" s="2"/>
      <c r="Z43" s="2"/>
    </row>
    <row r="44" spans="1:27" ht="17.25" thickBot="1">
      <c r="A44" s="5"/>
      <c r="B44" s="6" t="s">
        <v>36</v>
      </c>
      <c r="C44" s="11">
        <v>0</v>
      </c>
      <c r="D44" s="11">
        <v>0.7</v>
      </c>
      <c r="E44" s="11">
        <v>0.2</v>
      </c>
      <c r="F44" s="11">
        <v>0.2</v>
      </c>
      <c r="G44" s="11">
        <v>0.2</v>
      </c>
      <c r="H44" s="11">
        <v>0</v>
      </c>
      <c r="I44" s="11">
        <v>0</v>
      </c>
      <c r="J44" s="11">
        <v>0.2</v>
      </c>
      <c r="K44" s="11">
        <v>1</v>
      </c>
      <c r="L44" s="11">
        <v>0</v>
      </c>
      <c r="M44" s="11">
        <v>0</v>
      </c>
      <c r="N44" s="11">
        <v>0</v>
      </c>
      <c r="O44" s="11">
        <v>0.5</v>
      </c>
      <c r="P44" s="11">
        <v>0.2</v>
      </c>
      <c r="Q44" s="11">
        <v>0</v>
      </c>
      <c r="R44" s="11">
        <v>0.2</v>
      </c>
      <c r="S44" s="11">
        <v>0</v>
      </c>
      <c r="T44" s="9">
        <v>4.1000000000000002E-2</v>
      </c>
      <c r="U44" s="2"/>
      <c r="V44" s="19" t="s">
        <v>58</v>
      </c>
      <c r="W44" s="2"/>
      <c r="X44" s="2"/>
      <c r="Y44" s="2"/>
      <c r="Z44" s="2"/>
    </row>
    <row r="45" spans="1:27" ht="17.25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9" t="s">
        <v>54</v>
      </c>
      <c r="W45" s="2"/>
      <c r="X45" s="2"/>
      <c r="Y45" s="2"/>
      <c r="Z45" s="2"/>
    </row>
    <row r="46" spans="1:27" ht="17.25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7" ht="17.25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 t="s">
        <v>45</v>
      </c>
      <c r="W47" s="2"/>
      <c r="X47" s="2"/>
      <c r="Y47" s="2"/>
      <c r="Z47" s="2"/>
      <c r="AA47" s="2"/>
    </row>
    <row r="48" spans="1:27" ht="17.25" thickBot="1">
      <c r="A48" s="2"/>
      <c r="B48" s="12" t="s">
        <v>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8" t="s">
        <v>55</v>
      </c>
      <c r="W48" s="2"/>
      <c r="X48" s="2"/>
      <c r="Y48" s="2"/>
      <c r="Z48" s="2"/>
      <c r="AA48" s="2"/>
    </row>
    <row r="49" spans="1:27" ht="17.25" thickBot="1">
      <c r="A49" s="2"/>
      <c r="B49" s="13" t="s">
        <v>38</v>
      </c>
      <c r="C49" s="13" t="s">
        <v>19</v>
      </c>
      <c r="D49" s="13" t="s">
        <v>23</v>
      </c>
      <c r="E49" s="13" t="s">
        <v>39</v>
      </c>
      <c r="F49" s="13" t="s">
        <v>40</v>
      </c>
      <c r="G49" s="13" t="s">
        <v>41</v>
      </c>
      <c r="H49" s="13" t="s">
        <v>42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2"/>
      <c r="U49" s="2"/>
      <c r="V49" s="2" t="s">
        <v>46</v>
      </c>
      <c r="W49" s="2"/>
      <c r="X49" s="2"/>
      <c r="Y49" s="2"/>
      <c r="Z49" s="2"/>
      <c r="AA49" s="2"/>
    </row>
    <row r="50" spans="1:27" ht="17.25" thickBot="1">
      <c r="A50" s="2"/>
      <c r="B50" s="13" t="s">
        <v>43</v>
      </c>
      <c r="C50" s="15">
        <v>0.18</v>
      </c>
      <c r="D50" s="15">
        <v>0.16</v>
      </c>
      <c r="E50" s="15">
        <v>0.13</v>
      </c>
      <c r="F50" s="15">
        <v>0.13</v>
      </c>
      <c r="G50" s="15">
        <v>0.06</v>
      </c>
      <c r="H50" s="15">
        <v>0.33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2"/>
      <c r="U50" s="2"/>
      <c r="V50" s="2" t="s">
        <v>47</v>
      </c>
      <c r="W50" s="2"/>
      <c r="X50" s="2"/>
      <c r="Y50" s="2"/>
      <c r="Z50" s="2"/>
      <c r="AA50" s="2"/>
    </row>
    <row r="51" spans="1:27" ht="17.25" thickBot="1">
      <c r="A51" s="2"/>
      <c r="B51" s="13" t="s">
        <v>44</v>
      </c>
      <c r="C51" s="13" t="s">
        <v>15</v>
      </c>
      <c r="D51" s="13" t="s">
        <v>16</v>
      </c>
      <c r="E51" s="13" t="s">
        <v>17</v>
      </c>
      <c r="F51" s="13" t="s">
        <v>18</v>
      </c>
      <c r="G51" s="13" t="s">
        <v>19</v>
      </c>
      <c r="H51" s="13" t="s">
        <v>20</v>
      </c>
      <c r="I51" s="13" t="s">
        <v>21</v>
      </c>
      <c r="J51" s="13" t="s">
        <v>22</v>
      </c>
      <c r="K51" s="13" t="s">
        <v>23</v>
      </c>
      <c r="L51" s="13" t="s">
        <v>24</v>
      </c>
      <c r="M51" s="13" t="s">
        <v>25</v>
      </c>
      <c r="N51" s="13" t="s">
        <v>26</v>
      </c>
      <c r="O51" s="13" t="s">
        <v>27</v>
      </c>
      <c r="P51" s="13" t="s">
        <v>28</v>
      </c>
      <c r="Q51" s="13" t="s">
        <v>29</v>
      </c>
      <c r="R51" s="13" t="s">
        <v>30</v>
      </c>
      <c r="S51" s="13" t="s">
        <v>31</v>
      </c>
      <c r="T51" s="2"/>
      <c r="U51" s="2"/>
      <c r="V51" s="2" t="s">
        <v>48</v>
      </c>
      <c r="W51" s="2"/>
      <c r="X51" s="2"/>
      <c r="Y51" s="2"/>
      <c r="Z51" s="2"/>
      <c r="AA51" s="2"/>
    </row>
    <row r="52" spans="1:27" ht="17.25" thickBot="1">
      <c r="A52" s="2"/>
      <c r="B52" s="16" t="s">
        <v>43</v>
      </c>
      <c r="C52" s="17">
        <v>0.01</v>
      </c>
      <c r="D52" s="17">
        <v>0.13</v>
      </c>
      <c r="E52" s="17">
        <v>0.05</v>
      </c>
      <c r="F52" s="17">
        <v>0.04</v>
      </c>
      <c r="G52" s="17">
        <v>0.18</v>
      </c>
      <c r="H52" s="17">
        <v>0.04</v>
      </c>
      <c r="I52" s="17">
        <v>0.06</v>
      </c>
      <c r="J52" s="17">
        <v>0.04</v>
      </c>
      <c r="K52" s="17">
        <v>0.16</v>
      </c>
      <c r="L52" s="17">
        <v>0.01</v>
      </c>
      <c r="M52" s="17">
        <v>0.01</v>
      </c>
      <c r="N52" s="17">
        <v>0.04</v>
      </c>
      <c r="O52" s="17">
        <v>0.13</v>
      </c>
      <c r="P52" s="17">
        <v>0.06</v>
      </c>
      <c r="Q52" s="17">
        <v>0.01</v>
      </c>
      <c r="R52" s="17">
        <v>0.01</v>
      </c>
      <c r="S52" s="17">
        <v>0</v>
      </c>
      <c r="T52" s="2"/>
      <c r="U52" s="2"/>
      <c r="V52" s="18" t="s">
        <v>49</v>
      </c>
      <c r="W52" s="2"/>
      <c r="X52" s="2"/>
      <c r="Y52" s="2"/>
      <c r="Z52" s="2"/>
      <c r="AA52" s="2"/>
    </row>
    <row r="53" spans="1:27" ht="26.2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50</v>
      </c>
      <c r="W53" s="2"/>
      <c r="X53" s="2"/>
      <c r="Y53" s="2"/>
      <c r="Z53" s="2"/>
      <c r="AA53" s="2"/>
    </row>
    <row r="54" spans="1:27" ht="17.2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">
        <v>51</v>
      </c>
      <c r="W54" s="2"/>
      <c r="X54" s="2"/>
      <c r="Y54" s="2"/>
      <c r="Z54" s="2"/>
      <c r="AA54" s="2"/>
    </row>
    <row r="55" spans="1:27" ht="17.25" thickBot="1">
      <c r="A55" s="2"/>
      <c r="B55" s="12" t="s">
        <v>37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">
        <v>52</v>
      </c>
      <c r="W55" s="2"/>
      <c r="X55" s="2"/>
      <c r="Y55" s="2"/>
      <c r="Z55" s="2"/>
      <c r="AA55" s="2"/>
    </row>
    <row r="56" spans="1:27" ht="17.25" thickBot="1">
      <c r="A56" s="2"/>
      <c r="B56" s="13" t="s">
        <v>38</v>
      </c>
      <c r="C56" s="13" t="s">
        <v>23</v>
      </c>
      <c r="D56" s="13" t="s">
        <v>39</v>
      </c>
      <c r="E56" s="13" t="s">
        <v>19</v>
      </c>
      <c r="F56" s="13" t="s">
        <v>22</v>
      </c>
      <c r="G56" s="13" t="s">
        <v>40</v>
      </c>
      <c r="H56" s="13" t="s">
        <v>42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">
        <v>53</v>
      </c>
      <c r="W56" s="2"/>
      <c r="X56" s="2"/>
      <c r="Y56" s="2"/>
      <c r="Z56" s="2"/>
      <c r="AA56" s="2"/>
    </row>
    <row r="57" spans="1:27" ht="17.25" thickBot="1">
      <c r="A57" s="2"/>
      <c r="B57" s="13" t="s">
        <v>43</v>
      </c>
      <c r="C57" s="10">
        <v>0.23200000000000001</v>
      </c>
      <c r="D57" s="10">
        <v>0.17899999999999999</v>
      </c>
      <c r="E57" s="10">
        <v>8.1000000000000003E-2</v>
      </c>
      <c r="F57" s="10">
        <v>6.5000000000000002E-2</v>
      </c>
      <c r="G57" s="10">
        <v>0.06</v>
      </c>
      <c r="H57" s="10">
        <v>0.38300000000000001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7.25" thickBot="1">
      <c r="A58" s="2"/>
      <c r="B58" s="13" t="s">
        <v>44</v>
      </c>
      <c r="C58" s="13" t="s">
        <v>15</v>
      </c>
      <c r="D58" s="13" t="s">
        <v>16</v>
      </c>
      <c r="E58" s="13" t="s">
        <v>17</v>
      </c>
      <c r="F58" s="13" t="s">
        <v>18</v>
      </c>
      <c r="G58" s="13" t="s">
        <v>19</v>
      </c>
      <c r="H58" s="13" t="s">
        <v>20</v>
      </c>
      <c r="I58" s="13" t="s">
        <v>21</v>
      </c>
      <c r="J58" s="13" t="s">
        <v>22</v>
      </c>
      <c r="K58" s="13" t="s">
        <v>23</v>
      </c>
      <c r="L58" s="13" t="s">
        <v>24</v>
      </c>
      <c r="M58" s="13" t="s">
        <v>25</v>
      </c>
      <c r="N58" s="13" t="s">
        <v>26</v>
      </c>
      <c r="O58" s="13" t="s">
        <v>27</v>
      </c>
      <c r="P58" s="13" t="s">
        <v>28</v>
      </c>
      <c r="Q58" s="13" t="s">
        <v>29</v>
      </c>
      <c r="R58" s="13" t="s">
        <v>30</v>
      </c>
      <c r="S58" s="13" t="s">
        <v>31</v>
      </c>
      <c r="T58" s="2"/>
      <c r="U58" s="2"/>
      <c r="V58" s="2" t="s">
        <v>56</v>
      </c>
      <c r="W58" s="2"/>
      <c r="X58" s="2"/>
      <c r="Y58" s="2"/>
      <c r="Z58" s="2"/>
      <c r="AA58" s="2"/>
    </row>
    <row r="59" spans="1:27" ht="17.25" thickBot="1">
      <c r="A59" s="2"/>
      <c r="B59" s="13" t="s">
        <v>43</v>
      </c>
      <c r="C59" s="10">
        <v>1.0999999999999999E-2</v>
      </c>
      <c r="D59" s="10">
        <v>0.17899999999999999</v>
      </c>
      <c r="E59" s="10">
        <v>5.3999999999999999E-2</v>
      </c>
      <c r="F59" s="10">
        <v>2.1999999999999999E-2</v>
      </c>
      <c r="G59" s="10">
        <v>8.1000000000000003E-2</v>
      </c>
      <c r="H59" s="10">
        <v>3.6999999999999998E-2</v>
      </c>
      <c r="I59" s="10">
        <v>5.0999999999999997E-2</v>
      </c>
      <c r="J59" s="10">
        <v>6.5000000000000002E-2</v>
      </c>
      <c r="K59" s="10">
        <v>0.23200000000000001</v>
      </c>
      <c r="L59" s="10">
        <v>0.02</v>
      </c>
      <c r="M59" s="10">
        <v>3.2000000000000001E-2</v>
      </c>
      <c r="N59" s="10">
        <v>2.7E-2</v>
      </c>
      <c r="O59" s="10">
        <v>0.06</v>
      </c>
      <c r="P59" s="10">
        <v>5.1999999999999998E-2</v>
      </c>
      <c r="Q59" s="10">
        <v>6.0000000000000001E-3</v>
      </c>
      <c r="R59" s="10">
        <v>4.4999999999999998E-2</v>
      </c>
      <c r="S59" s="10">
        <v>2.7E-2</v>
      </c>
      <c r="T59" s="2"/>
      <c r="U59" s="2"/>
      <c r="V59" s="2"/>
      <c r="W59" s="2"/>
      <c r="X59" s="2"/>
      <c r="Y59" s="2"/>
      <c r="Z59" s="2"/>
      <c r="AA59" s="2"/>
    </row>
    <row r="60" spans="1:27" ht="17.2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 t="s">
        <v>59</v>
      </c>
      <c r="W60" s="2"/>
      <c r="X60" s="2"/>
      <c r="Y60" s="2"/>
      <c r="Z60" s="2"/>
    </row>
    <row r="61" spans="1:27" ht="17.2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0" t="s">
        <v>60</v>
      </c>
      <c r="W61" s="2"/>
      <c r="X61" s="2"/>
      <c r="Y61" s="2"/>
      <c r="Z61" s="2"/>
    </row>
    <row r="62" spans="1:27" ht="17.2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19" t="s">
        <v>61</v>
      </c>
      <c r="W62" s="2"/>
      <c r="X62" s="2"/>
      <c r="Y62" s="2"/>
      <c r="Z62" s="2"/>
    </row>
    <row r="63" spans="1:27" ht="17.2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19" t="s">
        <v>62</v>
      </c>
      <c r="W63" s="2"/>
      <c r="X63" s="2"/>
      <c r="Y63" s="2"/>
      <c r="Z63" s="2"/>
    </row>
    <row r="64" spans="1:27" ht="17.2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1"/>
  <sheetViews>
    <sheetView showGridLines="0" workbookViewId="0">
      <selection activeCell="D16" sqref="D16:I16"/>
    </sheetView>
  </sheetViews>
  <sheetFormatPr defaultRowHeight="16.5"/>
  <sheetData>
    <row r="1" spans="1:27" ht="17.25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.25" thickBot="1">
      <c r="A2" s="2"/>
      <c r="B2" s="1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25" thickBot="1">
      <c r="A3" s="2"/>
      <c r="B3" s="13" t="s">
        <v>38</v>
      </c>
      <c r="C3" s="13" t="s">
        <v>19</v>
      </c>
      <c r="D3" s="13" t="s">
        <v>23</v>
      </c>
      <c r="E3" s="13" t="s">
        <v>39</v>
      </c>
      <c r="F3" s="13" t="s">
        <v>40</v>
      </c>
      <c r="G3" s="13" t="s">
        <v>41</v>
      </c>
      <c r="H3" s="13" t="s">
        <v>42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2"/>
      <c r="U3" s="2"/>
      <c r="V3" s="2"/>
      <c r="W3" s="2"/>
      <c r="X3" s="2"/>
      <c r="Y3" s="2"/>
      <c r="Z3" s="2"/>
      <c r="AA3" s="2"/>
    </row>
    <row r="4" spans="1:27" ht="17.25" thickBot="1">
      <c r="A4" s="2"/>
      <c r="B4" s="13" t="s">
        <v>43</v>
      </c>
      <c r="C4" s="15">
        <v>0.18</v>
      </c>
      <c r="D4" s="15">
        <v>0.16</v>
      </c>
      <c r="E4" s="15">
        <v>0.13</v>
      </c>
      <c r="F4" s="15">
        <v>0.13</v>
      </c>
      <c r="G4" s="15">
        <v>0.06</v>
      </c>
      <c r="H4" s="15">
        <v>0.33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2"/>
      <c r="U4" s="2"/>
      <c r="V4" s="2"/>
      <c r="W4" s="2"/>
      <c r="X4" s="2"/>
      <c r="Y4" s="2"/>
      <c r="Z4" s="2"/>
      <c r="AA4" s="2"/>
    </row>
    <row r="5" spans="1:27" ht="17.25" thickBot="1">
      <c r="A5" s="2"/>
      <c r="B5" s="13" t="s">
        <v>44</v>
      </c>
      <c r="C5" s="13" t="s">
        <v>15</v>
      </c>
      <c r="D5" s="13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26</v>
      </c>
      <c r="O5" s="13" t="s">
        <v>27</v>
      </c>
      <c r="P5" s="13" t="s">
        <v>28</v>
      </c>
      <c r="Q5" s="13" t="s">
        <v>29</v>
      </c>
      <c r="R5" s="13" t="s">
        <v>30</v>
      </c>
      <c r="S5" s="13" t="s">
        <v>31</v>
      </c>
      <c r="T5" s="2"/>
      <c r="U5" s="2"/>
      <c r="V5" s="2"/>
      <c r="W5" s="2"/>
      <c r="X5" s="2"/>
      <c r="Y5" s="2"/>
      <c r="Z5" s="2"/>
      <c r="AA5" s="2"/>
    </row>
    <row r="6" spans="1:27" ht="17.25" thickBot="1">
      <c r="A6" s="2"/>
      <c r="B6" s="16" t="s">
        <v>43</v>
      </c>
      <c r="C6" s="17">
        <v>0.01</v>
      </c>
      <c r="D6" s="17">
        <v>0.13</v>
      </c>
      <c r="E6" s="17">
        <v>0.05</v>
      </c>
      <c r="F6" s="17">
        <v>0.04</v>
      </c>
      <c r="G6" s="17">
        <v>0.18</v>
      </c>
      <c r="H6" s="17">
        <v>0.04</v>
      </c>
      <c r="I6" s="17">
        <v>0.06</v>
      </c>
      <c r="J6" s="17">
        <v>0.04</v>
      </c>
      <c r="K6" s="17">
        <v>0.16</v>
      </c>
      <c r="L6" s="17">
        <v>0.01</v>
      </c>
      <c r="M6" s="17">
        <v>0.01</v>
      </c>
      <c r="N6" s="17">
        <v>0.04</v>
      </c>
      <c r="O6" s="17">
        <v>0.13</v>
      </c>
      <c r="P6" s="17">
        <v>0.06</v>
      </c>
      <c r="Q6" s="17">
        <v>0.01</v>
      </c>
      <c r="R6" s="17">
        <v>0.01</v>
      </c>
      <c r="S6" s="17">
        <v>0</v>
      </c>
      <c r="T6" s="2"/>
      <c r="U6" s="2"/>
      <c r="V6" s="2"/>
      <c r="W6" s="2"/>
      <c r="X6" s="2"/>
      <c r="Y6" s="2"/>
      <c r="Z6" s="2"/>
      <c r="AA6" s="2"/>
    </row>
    <row r="7" spans="1:27" ht="17.25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.25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7.25" thickBot="1">
      <c r="A9" s="2"/>
      <c r="B9" s="12" t="s">
        <v>37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7.25" thickBot="1">
      <c r="A10" s="2"/>
      <c r="B10" s="13" t="s">
        <v>38</v>
      </c>
      <c r="C10" s="13" t="s">
        <v>23</v>
      </c>
      <c r="D10" s="13" t="s">
        <v>39</v>
      </c>
      <c r="E10" s="13" t="s">
        <v>19</v>
      </c>
      <c r="F10" s="13" t="s">
        <v>22</v>
      </c>
      <c r="G10" s="13" t="s">
        <v>40</v>
      </c>
      <c r="H10" s="13" t="s">
        <v>42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.25" thickBot="1">
      <c r="A11" s="2"/>
      <c r="B11" s="13" t="s">
        <v>43</v>
      </c>
      <c r="C11" s="10">
        <v>0.23200000000000001</v>
      </c>
      <c r="D11" s="10">
        <v>0.17899999999999999</v>
      </c>
      <c r="E11" s="10">
        <v>8.1000000000000003E-2</v>
      </c>
      <c r="F11" s="10">
        <v>6.5000000000000002E-2</v>
      </c>
      <c r="G11" s="10">
        <v>0.06</v>
      </c>
      <c r="H11" s="10">
        <v>0.38300000000000001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.25" thickBot="1">
      <c r="A12" s="2"/>
      <c r="B12" s="13" t="s">
        <v>44</v>
      </c>
      <c r="C12" s="13" t="s">
        <v>15</v>
      </c>
      <c r="D12" s="13" t="s">
        <v>16</v>
      </c>
      <c r="E12" s="13" t="s">
        <v>17</v>
      </c>
      <c r="F12" s="13" t="s">
        <v>18</v>
      </c>
      <c r="G12" s="13" t="s">
        <v>19</v>
      </c>
      <c r="H12" s="13" t="s">
        <v>20</v>
      </c>
      <c r="I12" s="13" t="s">
        <v>21</v>
      </c>
      <c r="J12" s="13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3" t="s">
        <v>29</v>
      </c>
      <c r="R12" s="13" t="s">
        <v>30</v>
      </c>
      <c r="S12" s="13" t="s">
        <v>31</v>
      </c>
      <c r="T12" s="2"/>
      <c r="U12" s="2"/>
      <c r="V12" s="2"/>
      <c r="W12" s="2"/>
      <c r="X12" s="2"/>
      <c r="Y12" s="2"/>
      <c r="Z12" s="2"/>
      <c r="AA12" s="2"/>
    </row>
    <row r="13" spans="1:27" ht="17.25" thickBot="1">
      <c r="A13" s="2"/>
      <c r="B13" s="13" t="s">
        <v>43</v>
      </c>
      <c r="C13" s="10">
        <v>1.0999999999999999E-2</v>
      </c>
      <c r="D13" s="10">
        <v>0.17899999999999999</v>
      </c>
      <c r="E13" s="10">
        <v>5.3999999999999999E-2</v>
      </c>
      <c r="F13" s="10">
        <v>2.1999999999999999E-2</v>
      </c>
      <c r="G13" s="10">
        <v>8.1000000000000003E-2</v>
      </c>
      <c r="H13" s="10">
        <v>3.6999999999999998E-2</v>
      </c>
      <c r="I13" s="10">
        <v>5.0999999999999997E-2</v>
      </c>
      <c r="J13" s="10">
        <v>6.5000000000000002E-2</v>
      </c>
      <c r="K13" s="10">
        <v>0.23200000000000001</v>
      </c>
      <c r="L13" s="10">
        <v>0.02</v>
      </c>
      <c r="M13" s="10">
        <v>3.2000000000000001E-2</v>
      </c>
      <c r="N13" s="10">
        <v>2.7E-2</v>
      </c>
      <c r="O13" s="10">
        <v>0.06</v>
      </c>
      <c r="P13" s="10">
        <v>5.1999999999999998E-2</v>
      </c>
      <c r="Q13" s="10">
        <v>6.0000000000000001E-3</v>
      </c>
      <c r="R13" s="10">
        <v>4.4999999999999998E-2</v>
      </c>
      <c r="S13" s="10">
        <v>2.7E-2</v>
      </c>
      <c r="T13" s="2"/>
      <c r="U13" s="2"/>
      <c r="V13" s="2"/>
      <c r="W13" s="2"/>
      <c r="X13" s="2"/>
      <c r="Y13" s="2"/>
      <c r="Z13" s="2"/>
      <c r="AA13" s="2"/>
    </row>
    <row r="14" spans="1:27" ht="17.25" thickBo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7.2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.25" thickBo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7.25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.25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7.25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7.2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7.25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7.25" thickBo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7.2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7.25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7.25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7.25" thickBo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.25" thickBo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.25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.25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.25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.25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.2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.25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.25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.25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.25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.25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.25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.25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.25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.25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.25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.25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.25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.25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.25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.25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.25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.25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.25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7.25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7.25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7.2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7.2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7.2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7.25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7.25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7.25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7.25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7.2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7.2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7.2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7.2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7.2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.2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.2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.2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.2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.2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.2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.2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.2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.2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.2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.2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.2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.2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.2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.2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.2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.2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.2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.2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.2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.2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.2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.2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.2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.2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.2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.2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.2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.2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.2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.2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.2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.2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.2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.2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.2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.2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.2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.2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.2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.2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.2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.2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.2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.2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.2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.2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.2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.2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.2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.2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.2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.2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.2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.2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.2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.2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.2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.2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.2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.2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.2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.2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.2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.2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.2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.2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.2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.2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.2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.2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.2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.2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.2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.2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.2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.2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.2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.2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.2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.2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.2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.2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.2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.2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.2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.2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.2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.2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.2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.2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.2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.2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.2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.2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.2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.2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.2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.2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.2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.2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.2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.2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.2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.2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.2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.2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.2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.2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.2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.2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.2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.2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.2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.2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.2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.2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.2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.2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.2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.2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.2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.2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.2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.2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.2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.2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.2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.2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.2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.2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.2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.2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.2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.2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.2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.2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.2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.2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.2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.2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.2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.2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.2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.2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.2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.2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.2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.2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.2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.2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.2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.2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.2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.2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.2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.2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.2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.2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.2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.2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.2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.2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.2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.2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.2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.2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.2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.2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.2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.2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.2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.2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.2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.2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.2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.2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.2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.2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.2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.2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.2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.2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.2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.2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.2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.2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.2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.2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.2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.2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.2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.2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.2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.2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.2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.2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.2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.2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.2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.2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.2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.2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.2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.2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.2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.2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.2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.2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.2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.2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.2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.2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.2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.2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.2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.2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.2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.2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.2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.2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.2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.2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.2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.2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.2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.2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.2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.2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.2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.2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.2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.2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.2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.2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.2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.2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.2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.2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.2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.2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.2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.2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.2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.2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.2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.2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.2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.2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.2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.2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.2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.2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.2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.2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.2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.2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.2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.2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.2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.2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.2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.2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.2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.2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.2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.2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.2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.2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.2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.2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.2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.2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.2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7.2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7.2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7.2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7.2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7.2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7.2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7.2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7.2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7.2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7.2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7.2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7.2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7.2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7.2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7.2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7.2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7.2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7.2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7.2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7.2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7.2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7.2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7.2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7.2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7.2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7.2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7.2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7.2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7.2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7.2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7.2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7.2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7.2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7.2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7.2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7.2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7.2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7.2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7.2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7.2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7.2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7.2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7.2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7.2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7.2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7.2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7.2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7.2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7.2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7.2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7.2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7.2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7.2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7.2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7.2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7.2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7.2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7.2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7.2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7.2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7.2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7.2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7.2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7.2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7.2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7.2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7.2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7.2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7.2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7.2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7.2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7.2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7.2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7.2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7.2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7.2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7.2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7.2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7.2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7.2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7.2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7.2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7.2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7.2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7.2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7.2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7.2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7.2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7.2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7.2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7.2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7.2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7.2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7.2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7.2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7.2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7.2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7.2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7.2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7.2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7.2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7.2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7.2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7.2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7.2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7.2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7.2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7.2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7.2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7.2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7.2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7.2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7.2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7.2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7.2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7.2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7.2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7.2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7.2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7.2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7.2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7.2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7.2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7.2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7.2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7.2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7.2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7.2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7.2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7.2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7.2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7.2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7.2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7.2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7.2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7.2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7.2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7.2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7.2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7.2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7.2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7.2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7.2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7.2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7.2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7.2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7.2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7.2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7.2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7.2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7.2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7.2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7.2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7.2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7.2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7.2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7.2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7.2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7.2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7.2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7.2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7.2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7.2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7.2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7.2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7.2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7.2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7.2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7.2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7.2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7.2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7.2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7.2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7.2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7.2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7.2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7.2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7.2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7.2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7.2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7.2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7.2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7.2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7.2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7.2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7.2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7.2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7.2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7.2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7.2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7.2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7.2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7.2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7.2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7.2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7.2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7.2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7.2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7.2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7.2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7.2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7.2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7.2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7.2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7.2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7.2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7.2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7.2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7.2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7.2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7.2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7.2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7.2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7.2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7.2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7.2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7.2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7.2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7.2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7.2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7.2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7.2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7.2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7.2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7.2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7.2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7.2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7.2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7.2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7.2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7.2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7.2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7.2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7.2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7.2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7.2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7.2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7.2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7.2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7.2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7.2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7.2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7.2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7.2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7.2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7.2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7.2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7.2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7.2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7.2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7.2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7.2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7.2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7.2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7.2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7.2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7.2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7.2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7.2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7.2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7.2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7.2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7.2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7.2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7.2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7.2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7.2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7.2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7.2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7.2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7.2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7.2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7.2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7.2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7.2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7.2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7.2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7.2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7.2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7.2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7.2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7.2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7.2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7.2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7.2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7.2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7.2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7.2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7.2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7.2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7.2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7.2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7.2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7.2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7.2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7.2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7.2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7.2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7.2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7.2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7.2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7.2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7.2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7.2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7.2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7.2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7.2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7.2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7.2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7.2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7.2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7.2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7.2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7.2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7.2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7.2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7.2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7.2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7.2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7.2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7.2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7.2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7.2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7.2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7.2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7.2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7.2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7.2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7.2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7.2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7.2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7.2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7.2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7.2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7.2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7.2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7.2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7.2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7.2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7.2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7.2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7.2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7.2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7.2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7.2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7.2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7.2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7.2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7.2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7.2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7.2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7.2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7.2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7.2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7.2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7.2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7.2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7.2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7.2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7.2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7.2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7.2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7.2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7.2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7.2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7.2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7.2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7.2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7.2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7.2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7.2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7.2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7.2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7.2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7.2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7.2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7.2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7.2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7.2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7.2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7.2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7.2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7.2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7.2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7.2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7.2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7.2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7.2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7.2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7.2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7.2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7.2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7.2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7.2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7.2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7.2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7.2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7.2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7.2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7.2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7.2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7.2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7.2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7.2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7.2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7.2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7.2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7.2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7.2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7.2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7.2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7.2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7.2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7.2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7.2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7.2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7.2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7.2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7.2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7.2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7.2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7.2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7.2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7.2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7.2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7.2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7.2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7.2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7.2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7.2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7.2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7.2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7.2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7.2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7.2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7.2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7.2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7.2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7.2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7.2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7.2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7.2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7.2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7.2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7.2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7.2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7.2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7.2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7.2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7.2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7.2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7.2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7.2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7.2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7.2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7.2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7.2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7.2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7.2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7.2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7.2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7.2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7.2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7.2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7.2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7.2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7.2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7.2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7.2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7.2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7.2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7.2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7.2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7.2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7.2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7.2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7.2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7.2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7.2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7.2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7.2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7.2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7.2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7.2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7.2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7.2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7.2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7.2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7.2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7.2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7.2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7.2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7.2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7.2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7.2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7.2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7.2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7.2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7.2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7.2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7.2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7.2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7.2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7.2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7.2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7.2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7.2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7.2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7.2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7.2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7.2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7.2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7.2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7.2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7.2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7.2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7.2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7.2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7.2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7.2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7.2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7.2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7.2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7.2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7.2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7.2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7.2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7.2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7.2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7.2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7.2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7.2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7.2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7.2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7.2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7.2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7.2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7.2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7.2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7.2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7.2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7.2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7.2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7.2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7.2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7.2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7.2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7.2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7.2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7.2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7.2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7.2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7.2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7.2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7.2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7.2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7.2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7.2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7.2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7.2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7.2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7.2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7.2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8"/>
  <sheetViews>
    <sheetView showGridLines="0" topLeftCell="A25" zoomScale="202" zoomScaleNormal="202" workbookViewId="0">
      <selection activeCell="F43" sqref="F43:H43"/>
    </sheetView>
  </sheetViews>
  <sheetFormatPr defaultColWidth="9" defaultRowHeight="15.95" customHeight="1"/>
  <cols>
    <col min="1" max="1" width="2.625" style="49" customWidth="1"/>
    <col min="2" max="20" width="6.625" style="49" customWidth="1"/>
    <col min="21" max="22" width="8.625" style="49" customWidth="1"/>
    <col min="23" max="16384" width="9" style="49"/>
  </cols>
  <sheetData>
    <row r="2" spans="1:23" ht="15.95" customHeight="1">
      <c r="A2" s="203" t="s">
        <v>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</row>
    <row r="4" spans="1:23" ht="15.95" customHeight="1">
      <c r="A4" s="204" t="s">
        <v>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</row>
    <row r="6" spans="1:23" s="51" customFormat="1" ht="15.95" customHeight="1">
      <c r="A6" s="50" t="s">
        <v>78</v>
      </c>
    </row>
    <row r="7" spans="1:23" s="51" customFormat="1" ht="15.95" customHeight="1">
      <c r="B7" s="1" t="s">
        <v>63</v>
      </c>
      <c r="C7" s="52"/>
      <c r="D7" s="52"/>
      <c r="E7" s="52"/>
      <c r="F7" s="52"/>
      <c r="G7" s="52"/>
      <c r="H7" s="52"/>
      <c r="I7" s="52"/>
      <c r="J7" s="52"/>
      <c r="K7" s="52"/>
    </row>
    <row r="8" spans="1:23" s="51" customFormat="1" ht="15.95" customHeight="1">
      <c r="A8" s="203"/>
      <c r="B8" s="203"/>
      <c r="C8" s="203"/>
      <c r="D8" s="203"/>
      <c r="E8" s="203"/>
      <c r="F8" s="203"/>
      <c r="G8" s="203"/>
      <c r="H8" s="203"/>
      <c r="I8" s="203"/>
      <c r="J8" s="50"/>
    </row>
    <row r="9" spans="1:23" s="51" customFormat="1" ht="15.95" customHeight="1">
      <c r="A9" s="50" t="s">
        <v>123</v>
      </c>
      <c r="L9" s="205" t="s">
        <v>79</v>
      </c>
      <c r="M9" s="205"/>
      <c r="N9" s="205"/>
      <c r="O9" s="205"/>
      <c r="P9" s="205"/>
      <c r="Q9" s="205"/>
      <c r="R9" s="205"/>
      <c r="S9" s="205"/>
      <c r="T9" s="205"/>
    </row>
    <row r="10" spans="1:23" ht="15.95" customHeight="1">
      <c r="B10" s="193" t="s">
        <v>125</v>
      </c>
      <c r="C10" s="161" t="s">
        <v>65</v>
      </c>
      <c r="D10" s="161"/>
      <c r="E10" s="195"/>
      <c r="F10" s="195"/>
      <c r="G10" s="195"/>
      <c r="H10" s="195"/>
      <c r="I10" s="195"/>
      <c r="J10" s="195"/>
      <c r="K10" s="195"/>
      <c r="L10" s="195" t="s">
        <v>66</v>
      </c>
      <c r="M10" s="195"/>
      <c r="N10" s="195"/>
      <c r="O10" s="195"/>
      <c r="P10" s="195"/>
      <c r="Q10" s="195"/>
      <c r="R10" s="195"/>
      <c r="S10" s="195"/>
      <c r="T10" s="195"/>
    </row>
    <row r="11" spans="1:23" ht="15.95" customHeight="1" thickBot="1">
      <c r="A11" s="53"/>
      <c r="B11" s="194"/>
      <c r="C11" s="23" t="s">
        <v>67</v>
      </c>
      <c r="D11" s="23"/>
      <c r="E11" s="24" t="s">
        <v>68</v>
      </c>
      <c r="F11" s="25" t="s">
        <v>69</v>
      </c>
      <c r="G11" s="25"/>
      <c r="H11" s="25" t="s">
        <v>70</v>
      </c>
      <c r="I11" s="25" t="s">
        <v>71</v>
      </c>
      <c r="J11" s="25"/>
      <c r="K11" s="25" t="s">
        <v>72</v>
      </c>
      <c r="L11" s="25" t="s">
        <v>67</v>
      </c>
      <c r="M11" s="25"/>
      <c r="N11" s="24" t="s">
        <v>68</v>
      </c>
      <c r="O11" s="25" t="s">
        <v>69</v>
      </c>
      <c r="P11" s="25"/>
      <c r="Q11" s="25" t="s">
        <v>70</v>
      </c>
      <c r="R11" s="25" t="s">
        <v>71</v>
      </c>
      <c r="S11" s="25"/>
      <c r="T11" s="25" t="s">
        <v>72</v>
      </c>
      <c r="W11" s="54"/>
    </row>
    <row r="12" spans="1:23" ht="15.95" customHeight="1" thickTop="1">
      <c r="B12" s="26" t="s">
        <v>73</v>
      </c>
      <c r="C12" s="27">
        <v>0.40400000000000003</v>
      </c>
      <c r="D12" s="27"/>
      <c r="E12" s="28">
        <v>0.31</v>
      </c>
      <c r="F12" s="28">
        <v>0.77</v>
      </c>
      <c r="G12" s="28"/>
      <c r="H12" s="28">
        <v>0.38</v>
      </c>
      <c r="I12" s="29">
        <v>-0.02</v>
      </c>
      <c r="J12" s="29"/>
      <c r="K12" s="29">
        <v>0.95</v>
      </c>
      <c r="L12" s="28">
        <v>0.12</v>
      </c>
      <c r="M12" s="28"/>
      <c r="N12" s="28">
        <v>0.08</v>
      </c>
      <c r="O12" s="28">
        <v>0.65</v>
      </c>
      <c r="P12" s="28"/>
      <c r="Q12" s="28">
        <v>0.1</v>
      </c>
      <c r="R12" s="29">
        <v>-0.02</v>
      </c>
      <c r="S12" s="29"/>
      <c r="T12" s="29">
        <v>0.78</v>
      </c>
      <c r="V12" s="54" t="s">
        <v>126</v>
      </c>
    </row>
    <row r="13" spans="1:23" ht="15.95" customHeight="1">
      <c r="A13" s="54"/>
      <c r="B13" s="30" t="s">
        <v>74</v>
      </c>
      <c r="C13" s="31">
        <v>32864</v>
      </c>
      <c r="D13" s="31"/>
      <c r="E13" s="32">
        <v>25870</v>
      </c>
      <c r="F13" s="33">
        <v>0.78</v>
      </c>
      <c r="G13" s="33"/>
      <c r="H13" s="32">
        <v>31239</v>
      </c>
      <c r="I13" s="34">
        <v>-1625</v>
      </c>
      <c r="J13" s="34"/>
      <c r="K13" s="35">
        <v>0.95</v>
      </c>
      <c r="L13" s="32">
        <v>10419</v>
      </c>
      <c r="M13" s="32"/>
      <c r="N13" s="32">
        <v>6825</v>
      </c>
      <c r="O13" s="33">
        <v>0.65</v>
      </c>
      <c r="P13" s="33"/>
      <c r="Q13" s="32">
        <v>8173</v>
      </c>
      <c r="R13" s="34">
        <v>-2246</v>
      </c>
      <c r="S13" s="34"/>
      <c r="T13" s="35">
        <v>0.78</v>
      </c>
    </row>
    <row r="14" spans="1:23" ht="15.95" customHeight="1">
      <c r="A14" s="53"/>
      <c r="B14" s="30" t="s">
        <v>75</v>
      </c>
      <c r="C14" s="31">
        <v>208</v>
      </c>
      <c r="D14" s="31"/>
      <c r="E14" s="32">
        <v>208</v>
      </c>
      <c r="F14" s="33">
        <v>1</v>
      </c>
      <c r="G14" s="33"/>
      <c r="H14" s="32">
        <v>216</v>
      </c>
      <c r="I14" s="36">
        <v>8</v>
      </c>
      <c r="J14" s="36"/>
      <c r="K14" s="33">
        <v>1.03</v>
      </c>
      <c r="L14" s="32">
        <v>227</v>
      </c>
      <c r="M14" s="32"/>
      <c r="N14" s="32">
        <v>277</v>
      </c>
      <c r="O14" s="33">
        <v>1.22</v>
      </c>
      <c r="P14" s="33"/>
      <c r="Q14" s="32">
        <v>244</v>
      </c>
      <c r="R14" s="36">
        <v>17</v>
      </c>
      <c r="S14" s="36"/>
      <c r="T14" s="33">
        <v>1.07</v>
      </c>
    </row>
    <row r="15" spans="1:23" ht="15.95" customHeight="1">
      <c r="A15" s="53"/>
      <c r="B15" s="37" t="s">
        <v>76</v>
      </c>
      <c r="C15" s="38">
        <v>6822</v>
      </c>
      <c r="D15" s="38"/>
      <c r="E15" s="39">
        <v>5381</v>
      </c>
      <c r="F15" s="40">
        <v>0.78</v>
      </c>
      <c r="G15" s="40"/>
      <c r="H15" s="39">
        <v>6734</v>
      </c>
      <c r="I15" s="41">
        <v>-88</v>
      </c>
      <c r="J15" s="41"/>
      <c r="K15" s="42">
        <v>0.98</v>
      </c>
      <c r="L15" s="39">
        <v>2365</v>
      </c>
      <c r="M15" s="39"/>
      <c r="N15" s="39">
        <v>1888</v>
      </c>
      <c r="O15" s="40">
        <v>0.8</v>
      </c>
      <c r="P15" s="40"/>
      <c r="Q15" s="39">
        <v>1994</v>
      </c>
      <c r="R15" s="41">
        <v>-371</v>
      </c>
      <c r="S15" s="41"/>
      <c r="T15" s="42">
        <v>0.84</v>
      </c>
    </row>
    <row r="16" spans="1:23" ht="15.95" customHeight="1">
      <c r="B16" s="193" t="s">
        <v>124</v>
      </c>
      <c r="C16" s="161" t="s">
        <v>65</v>
      </c>
      <c r="D16" s="161"/>
      <c r="E16" s="195"/>
      <c r="F16" s="195"/>
      <c r="G16" s="195"/>
      <c r="H16" s="195"/>
      <c r="I16" s="195"/>
      <c r="J16" s="195"/>
      <c r="K16" s="195"/>
      <c r="L16" s="195" t="s">
        <v>66</v>
      </c>
      <c r="M16" s="195"/>
      <c r="N16" s="195"/>
      <c r="O16" s="195"/>
      <c r="P16" s="195"/>
      <c r="Q16" s="195"/>
      <c r="R16" s="195"/>
      <c r="S16" s="195"/>
      <c r="T16" s="195"/>
    </row>
    <row r="17" spans="1:23" ht="15.95" customHeight="1" thickBot="1">
      <c r="A17" s="53"/>
      <c r="B17" s="194"/>
      <c r="C17" s="23" t="s">
        <v>67</v>
      </c>
      <c r="D17" s="23"/>
      <c r="E17" s="24" t="s">
        <v>68</v>
      </c>
      <c r="F17" s="25" t="s">
        <v>69</v>
      </c>
      <c r="G17" s="25"/>
      <c r="H17" s="25" t="s">
        <v>70</v>
      </c>
      <c r="I17" s="25" t="s">
        <v>71</v>
      </c>
      <c r="J17" s="25"/>
      <c r="K17" s="25" t="s">
        <v>72</v>
      </c>
      <c r="L17" s="25" t="s">
        <v>67</v>
      </c>
      <c r="M17" s="25"/>
      <c r="N17" s="24" t="s">
        <v>68</v>
      </c>
      <c r="O17" s="25" t="s">
        <v>69</v>
      </c>
      <c r="P17" s="25"/>
      <c r="Q17" s="25" t="s">
        <v>70</v>
      </c>
      <c r="R17" s="25" t="s">
        <v>71</v>
      </c>
      <c r="S17" s="25"/>
      <c r="T17" s="25" t="s">
        <v>72</v>
      </c>
      <c r="W17" s="54"/>
    </row>
    <row r="18" spans="1:23" ht="15.95" customHeight="1" thickTop="1">
      <c r="B18" s="26" t="s">
        <v>73</v>
      </c>
      <c r="C18" s="27">
        <v>0.4</v>
      </c>
      <c r="D18" s="27"/>
      <c r="E18" s="28">
        <v>0.11</v>
      </c>
      <c r="F18" s="28">
        <v>0.28000000000000003</v>
      </c>
      <c r="G18" s="28"/>
      <c r="H18" s="28">
        <v>0.35</v>
      </c>
      <c r="I18" s="29">
        <v>-0.04</v>
      </c>
      <c r="J18" s="29"/>
      <c r="K18" s="29">
        <v>0.88</v>
      </c>
      <c r="L18" s="28">
        <v>0.15</v>
      </c>
      <c r="M18" s="28"/>
      <c r="N18" s="28">
        <v>0.04</v>
      </c>
      <c r="O18" s="28">
        <v>0.24</v>
      </c>
      <c r="P18" s="28"/>
      <c r="Q18" s="28">
        <v>0.15</v>
      </c>
      <c r="R18" s="43">
        <v>-3.0000000000000001E-3</v>
      </c>
      <c r="S18" s="43"/>
      <c r="T18" s="29">
        <v>0.98</v>
      </c>
    </row>
    <row r="19" spans="1:23" ht="15.95" customHeight="1">
      <c r="A19" s="54"/>
      <c r="B19" s="30" t="s">
        <v>74</v>
      </c>
      <c r="C19" s="31">
        <v>34029</v>
      </c>
      <c r="D19" s="31"/>
      <c r="E19" s="32">
        <v>9599</v>
      </c>
      <c r="F19" s="33">
        <v>0.28000000000000003</v>
      </c>
      <c r="G19" s="33"/>
      <c r="H19" s="32">
        <v>30043</v>
      </c>
      <c r="I19" s="34">
        <v>-3986</v>
      </c>
      <c r="J19" s="34"/>
      <c r="K19" s="35">
        <v>0.88</v>
      </c>
      <c r="L19" s="32">
        <v>13443</v>
      </c>
      <c r="M19" s="32"/>
      <c r="N19" s="32">
        <v>3353</v>
      </c>
      <c r="O19" s="33">
        <v>0.25</v>
      </c>
      <c r="P19" s="33"/>
      <c r="Q19" s="32">
        <v>13181</v>
      </c>
      <c r="R19" s="34">
        <v>-262</v>
      </c>
      <c r="S19" s="34"/>
      <c r="T19" s="35">
        <v>0.98</v>
      </c>
      <c r="W19" s="55"/>
    </row>
    <row r="20" spans="1:23" ht="15.95" customHeight="1">
      <c r="A20" s="53"/>
      <c r="B20" s="30" t="s">
        <v>75</v>
      </c>
      <c r="C20" s="31">
        <v>190</v>
      </c>
      <c r="D20" s="31"/>
      <c r="E20" s="32">
        <v>190</v>
      </c>
      <c r="F20" s="33">
        <v>1</v>
      </c>
      <c r="G20" s="33"/>
      <c r="H20" s="32">
        <v>197</v>
      </c>
      <c r="I20" s="36">
        <v>7</v>
      </c>
      <c r="J20" s="36"/>
      <c r="K20" s="33">
        <v>1.03</v>
      </c>
      <c r="L20" s="32">
        <v>193</v>
      </c>
      <c r="M20" s="32"/>
      <c r="N20" s="32">
        <v>211</v>
      </c>
      <c r="O20" s="33">
        <v>1.0900000000000001</v>
      </c>
      <c r="P20" s="33"/>
      <c r="Q20" s="32">
        <v>205</v>
      </c>
      <c r="R20" s="44">
        <v>12</v>
      </c>
      <c r="S20" s="44"/>
      <c r="T20" s="45">
        <v>1.06</v>
      </c>
    </row>
    <row r="21" spans="1:23" ht="15.95" customHeight="1">
      <c r="A21" s="53"/>
      <c r="B21" s="37" t="s">
        <v>76</v>
      </c>
      <c r="C21" s="38">
        <v>6454</v>
      </c>
      <c r="D21" s="38"/>
      <c r="E21" s="39">
        <v>1824</v>
      </c>
      <c r="F21" s="40">
        <v>0.28000000000000003</v>
      </c>
      <c r="G21" s="40"/>
      <c r="H21" s="39">
        <v>5919</v>
      </c>
      <c r="I21" s="46">
        <v>-535</v>
      </c>
      <c r="J21" s="46"/>
      <c r="K21" s="42">
        <v>0.91</v>
      </c>
      <c r="L21" s="39">
        <v>2594</v>
      </c>
      <c r="M21" s="39"/>
      <c r="N21" s="39">
        <v>707</v>
      </c>
      <c r="O21" s="40">
        <v>0.27</v>
      </c>
      <c r="P21" s="40"/>
      <c r="Q21" s="39">
        <v>2702</v>
      </c>
      <c r="R21" s="47">
        <v>108</v>
      </c>
      <c r="S21" s="47"/>
      <c r="T21" s="48">
        <v>1.04</v>
      </c>
    </row>
    <row r="23" spans="1:23" ht="15.95" customHeight="1">
      <c r="A23" s="50" t="s">
        <v>80</v>
      </c>
      <c r="H23" s="196"/>
      <c r="I23" s="196"/>
      <c r="J23" s="196"/>
      <c r="K23" s="196"/>
    </row>
    <row r="24" spans="1:23" ht="15.95" customHeight="1" thickBot="1">
      <c r="B24" s="56" t="s">
        <v>1</v>
      </c>
      <c r="C24" s="197" t="s">
        <v>2</v>
      </c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9"/>
    </row>
    <row r="25" spans="1:23" ht="15.95" customHeight="1" thickTop="1">
      <c r="B25" s="64" t="s">
        <v>127</v>
      </c>
      <c r="C25" s="200" t="s">
        <v>151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2"/>
    </row>
    <row r="26" spans="1:23" ht="15.95" customHeight="1">
      <c r="B26" s="65" t="s">
        <v>81</v>
      </c>
      <c r="C26" s="190" t="s">
        <v>152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spans="1:23" ht="15.95" customHeight="1">
      <c r="B27" s="65" t="s">
        <v>82</v>
      </c>
      <c r="C27" s="190" t="s">
        <v>153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2"/>
    </row>
    <row r="28" spans="1:23" ht="15.95" customHeight="1">
      <c r="B28" s="65" t="s">
        <v>83</v>
      </c>
      <c r="C28" s="190" t="s">
        <v>154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2"/>
    </row>
    <row r="29" spans="1:23" ht="15.95" customHeight="1">
      <c r="B29" s="65" t="s">
        <v>84</v>
      </c>
      <c r="C29" s="190" t="s">
        <v>155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2"/>
    </row>
    <row r="30" spans="1:23" ht="15.95" customHeight="1">
      <c r="B30" s="65" t="s">
        <v>85</v>
      </c>
      <c r="C30" s="190" t="s">
        <v>156</v>
      </c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2"/>
    </row>
    <row r="31" spans="1:23" ht="15.95" customHeight="1">
      <c r="B31" s="66" t="s">
        <v>86</v>
      </c>
      <c r="C31" s="190" t="s">
        <v>157</v>
      </c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2"/>
    </row>
    <row r="32" spans="1:23" ht="15.95" customHeight="1">
      <c r="B32" s="67" t="s">
        <v>114</v>
      </c>
      <c r="C32" s="186" t="s">
        <v>158</v>
      </c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58"/>
      <c r="S32" s="58"/>
      <c r="T32" s="59" t="s">
        <v>133</v>
      </c>
    </row>
    <row r="33" spans="2:22" ht="15.95" customHeight="1">
      <c r="B33" s="171" t="s">
        <v>138</v>
      </c>
      <c r="C33" s="159" t="s">
        <v>128</v>
      </c>
      <c r="D33" s="160"/>
      <c r="E33" s="160"/>
      <c r="F33" s="160"/>
      <c r="G33" s="160"/>
      <c r="H33" s="161"/>
      <c r="I33" s="173" t="s">
        <v>129</v>
      </c>
      <c r="J33" s="160"/>
      <c r="K33" s="160"/>
      <c r="L33" s="160"/>
      <c r="M33" s="160"/>
      <c r="N33" s="161"/>
      <c r="O33" s="173" t="s">
        <v>130</v>
      </c>
      <c r="P33" s="160"/>
      <c r="Q33" s="160"/>
      <c r="R33" s="160"/>
      <c r="S33" s="160"/>
      <c r="T33" s="161"/>
      <c r="V33" s="49" t="s">
        <v>179</v>
      </c>
    </row>
    <row r="34" spans="2:22" ht="15.95" customHeight="1">
      <c r="B34" s="188"/>
      <c r="C34" s="60" t="s">
        <v>181</v>
      </c>
      <c r="D34" s="62" t="s">
        <v>182</v>
      </c>
      <c r="E34" s="62" t="s">
        <v>183</v>
      </c>
      <c r="F34" s="62" t="s">
        <v>181</v>
      </c>
      <c r="G34" s="62" t="s">
        <v>182</v>
      </c>
      <c r="H34" s="22" t="s">
        <v>183</v>
      </c>
      <c r="I34" s="61"/>
      <c r="J34" s="62"/>
      <c r="K34" s="62"/>
      <c r="L34" s="62"/>
      <c r="M34" s="62"/>
      <c r="N34" s="22"/>
      <c r="O34" s="61"/>
      <c r="P34" s="62"/>
      <c r="Q34" s="62"/>
      <c r="R34" s="62"/>
      <c r="S34" s="62"/>
      <c r="T34" s="22"/>
    </row>
    <row r="35" spans="2:22" ht="15.95" customHeight="1">
      <c r="B35" s="188"/>
      <c r="C35" s="174" t="s">
        <v>131</v>
      </c>
      <c r="D35" s="175"/>
      <c r="E35" s="176"/>
      <c r="F35" s="176" t="s">
        <v>132</v>
      </c>
      <c r="G35" s="177"/>
      <c r="H35" s="178"/>
      <c r="I35" s="179" t="s">
        <v>131</v>
      </c>
      <c r="J35" s="175"/>
      <c r="K35" s="176"/>
      <c r="L35" s="176" t="s">
        <v>132</v>
      </c>
      <c r="M35" s="177"/>
      <c r="N35" s="178"/>
      <c r="O35" s="179" t="s">
        <v>131</v>
      </c>
      <c r="P35" s="175"/>
      <c r="Q35" s="176"/>
      <c r="R35" s="176" t="s">
        <v>132</v>
      </c>
      <c r="S35" s="177"/>
      <c r="T35" s="178"/>
      <c r="V35" s="49" t="s">
        <v>180</v>
      </c>
    </row>
    <row r="36" spans="2:22" ht="15.95" customHeight="1">
      <c r="B36" s="188"/>
      <c r="C36" s="81">
        <v>61</v>
      </c>
      <c r="D36" s="81">
        <v>61</v>
      </c>
      <c r="E36" s="81">
        <v>61</v>
      </c>
      <c r="F36" s="82">
        <v>899</v>
      </c>
      <c r="G36" s="83"/>
      <c r="H36" s="84"/>
      <c r="I36" s="182">
        <v>71</v>
      </c>
      <c r="J36" s="181"/>
      <c r="K36" s="162"/>
      <c r="L36" s="162">
        <v>962</v>
      </c>
      <c r="M36" s="163"/>
      <c r="N36" s="164"/>
      <c r="O36" s="182">
        <v>96</v>
      </c>
      <c r="P36" s="181"/>
      <c r="Q36" s="162"/>
      <c r="R36" s="162">
        <v>1450</v>
      </c>
      <c r="S36" s="163"/>
      <c r="T36" s="164"/>
    </row>
    <row r="37" spans="2:22" ht="15.95" customHeight="1">
      <c r="B37" s="189"/>
      <c r="C37" s="85">
        <v>0</v>
      </c>
      <c r="D37" s="85">
        <v>0</v>
      </c>
      <c r="E37" s="85">
        <v>0</v>
      </c>
      <c r="F37" s="86">
        <v>0.27</v>
      </c>
      <c r="G37" s="87"/>
      <c r="H37" s="88"/>
      <c r="I37" s="170">
        <v>0</v>
      </c>
      <c r="J37" s="166"/>
      <c r="K37" s="167"/>
      <c r="L37" s="167">
        <v>0.3</v>
      </c>
      <c r="M37" s="168"/>
      <c r="N37" s="169"/>
      <c r="O37" s="170">
        <v>0</v>
      </c>
      <c r="P37" s="166"/>
      <c r="Q37" s="167"/>
      <c r="R37" s="167">
        <v>0.39</v>
      </c>
      <c r="S37" s="168"/>
      <c r="T37" s="169"/>
    </row>
    <row r="38" spans="2:22" ht="15.95" customHeight="1">
      <c r="B38" s="183" t="s">
        <v>139</v>
      </c>
      <c r="C38" s="159" t="s">
        <v>134</v>
      </c>
      <c r="D38" s="160"/>
      <c r="E38" s="160"/>
      <c r="F38" s="160"/>
      <c r="G38" s="160"/>
      <c r="H38" s="161"/>
      <c r="I38" s="173" t="s">
        <v>135</v>
      </c>
      <c r="J38" s="160"/>
      <c r="K38" s="160"/>
      <c r="L38" s="160"/>
      <c r="M38" s="160"/>
      <c r="N38" s="161"/>
      <c r="O38" s="173" t="s">
        <v>136</v>
      </c>
      <c r="P38" s="160"/>
      <c r="Q38" s="160"/>
      <c r="R38" s="160"/>
      <c r="S38" s="160"/>
      <c r="T38" s="161"/>
      <c r="V38" s="54" t="s">
        <v>137</v>
      </c>
    </row>
    <row r="39" spans="2:22" ht="15.95" customHeight="1">
      <c r="B39" s="184"/>
      <c r="C39" s="174" t="s">
        <v>131</v>
      </c>
      <c r="D39" s="175"/>
      <c r="E39" s="176"/>
      <c r="F39" s="176" t="s">
        <v>132</v>
      </c>
      <c r="G39" s="177"/>
      <c r="H39" s="178"/>
      <c r="I39" s="179" t="s">
        <v>131</v>
      </c>
      <c r="J39" s="175"/>
      <c r="K39" s="176"/>
      <c r="L39" s="176" t="s">
        <v>132</v>
      </c>
      <c r="M39" s="177"/>
      <c r="N39" s="178"/>
      <c r="O39" s="179" t="s">
        <v>131</v>
      </c>
      <c r="P39" s="175"/>
      <c r="Q39" s="176"/>
      <c r="R39" s="176" t="s">
        <v>132</v>
      </c>
      <c r="S39" s="177"/>
      <c r="T39" s="178"/>
    </row>
    <row r="40" spans="2:22" ht="15.95" customHeight="1">
      <c r="B40" s="184"/>
      <c r="C40" s="180">
        <v>40</v>
      </c>
      <c r="D40" s="181"/>
      <c r="E40" s="162"/>
      <c r="F40" s="162">
        <v>70</v>
      </c>
      <c r="G40" s="163"/>
      <c r="H40" s="164"/>
      <c r="I40" s="182">
        <v>16</v>
      </c>
      <c r="J40" s="181"/>
      <c r="K40" s="162"/>
      <c r="L40" s="162">
        <v>100</v>
      </c>
      <c r="M40" s="163"/>
      <c r="N40" s="164"/>
      <c r="O40" s="182">
        <v>30</v>
      </c>
      <c r="P40" s="181"/>
      <c r="Q40" s="162"/>
      <c r="R40" s="162">
        <v>48</v>
      </c>
      <c r="S40" s="163"/>
      <c r="T40" s="164"/>
      <c r="U40" s="74"/>
    </row>
    <row r="41" spans="2:22" ht="15.95" customHeight="1">
      <c r="B41" s="185"/>
      <c r="C41" s="165">
        <v>0.42</v>
      </c>
      <c r="D41" s="166"/>
      <c r="E41" s="167"/>
      <c r="F41" s="167">
        <v>0.6</v>
      </c>
      <c r="G41" s="168"/>
      <c r="H41" s="169"/>
      <c r="I41" s="170">
        <v>0</v>
      </c>
      <c r="J41" s="166"/>
      <c r="K41" s="167"/>
      <c r="L41" s="167">
        <v>0.66</v>
      </c>
      <c r="M41" s="168"/>
      <c r="N41" s="169"/>
      <c r="O41" s="170">
        <v>0.17</v>
      </c>
      <c r="P41" s="166"/>
      <c r="Q41" s="167"/>
      <c r="R41" s="167">
        <v>0.56000000000000005</v>
      </c>
      <c r="S41" s="168"/>
      <c r="T41" s="169"/>
      <c r="U41" s="74"/>
    </row>
    <row r="42" spans="2:22" ht="15.95" customHeight="1">
      <c r="B42" s="171" t="s">
        <v>115</v>
      </c>
      <c r="C42" s="159" t="s">
        <v>128</v>
      </c>
      <c r="D42" s="160"/>
      <c r="E42" s="160"/>
      <c r="F42" s="160"/>
      <c r="G42" s="160"/>
      <c r="H42" s="161"/>
      <c r="I42" s="173" t="s">
        <v>129</v>
      </c>
      <c r="J42" s="160"/>
      <c r="K42" s="160"/>
      <c r="L42" s="160"/>
      <c r="M42" s="160"/>
      <c r="N42" s="161"/>
      <c r="O42" s="173" t="s">
        <v>130</v>
      </c>
      <c r="P42" s="160"/>
      <c r="Q42" s="160"/>
      <c r="R42" s="160"/>
      <c r="S42" s="160"/>
      <c r="T42" s="161"/>
    </row>
    <row r="43" spans="2:22" ht="15.95" customHeight="1">
      <c r="B43" s="172"/>
      <c r="C43" s="174" t="s">
        <v>131</v>
      </c>
      <c r="D43" s="175"/>
      <c r="E43" s="176"/>
      <c r="F43" s="176" t="s">
        <v>132</v>
      </c>
      <c r="G43" s="177"/>
      <c r="H43" s="178"/>
      <c r="I43" s="179" t="s">
        <v>131</v>
      </c>
      <c r="J43" s="175"/>
      <c r="K43" s="176"/>
      <c r="L43" s="176" t="s">
        <v>132</v>
      </c>
      <c r="M43" s="177"/>
      <c r="N43" s="178"/>
      <c r="O43" s="179" t="s">
        <v>131</v>
      </c>
      <c r="P43" s="175"/>
      <c r="Q43" s="176"/>
      <c r="R43" s="176" t="s">
        <v>132</v>
      </c>
      <c r="S43" s="177"/>
      <c r="T43" s="178"/>
    </row>
    <row r="44" spans="2:22" ht="15.95" customHeight="1">
      <c r="B44" s="172"/>
      <c r="C44" s="180">
        <v>107</v>
      </c>
      <c r="D44" s="181"/>
      <c r="E44" s="162"/>
      <c r="F44" s="162">
        <v>945</v>
      </c>
      <c r="G44" s="163"/>
      <c r="H44" s="164"/>
      <c r="I44" s="182">
        <v>117</v>
      </c>
      <c r="J44" s="181"/>
      <c r="K44" s="162"/>
      <c r="L44" s="162">
        <v>1008</v>
      </c>
      <c r="M44" s="163"/>
      <c r="N44" s="164"/>
      <c r="O44" s="182">
        <v>142</v>
      </c>
      <c r="P44" s="181"/>
      <c r="Q44" s="162"/>
      <c r="R44" s="162">
        <v>1512</v>
      </c>
      <c r="S44" s="163"/>
      <c r="T44" s="164"/>
    </row>
    <row r="45" spans="2:22" ht="15.95" customHeight="1">
      <c r="B45" s="172"/>
      <c r="C45" s="165">
        <v>0</v>
      </c>
      <c r="D45" s="166"/>
      <c r="E45" s="167"/>
      <c r="F45" s="167">
        <v>0.44</v>
      </c>
      <c r="G45" s="168"/>
      <c r="H45" s="169"/>
      <c r="I45" s="170">
        <v>0</v>
      </c>
      <c r="J45" s="166"/>
      <c r="K45" s="167"/>
      <c r="L45" s="167">
        <v>0.42</v>
      </c>
      <c r="M45" s="168"/>
      <c r="N45" s="169"/>
      <c r="O45" s="170">
        <v>0</v>
      </c>
      <c r="P45" s="166"/>
      <c r="Q45" s="167"/>
      <c r="R45" s="167">
        <v>0.43</v>
      </c>
      <c r="S45" s="168"/>
      <c r="T45" s="169"/>
    </row>
    <row r="46" spans="2:22" ht="15.95" customHeight="1">
      <c r="B46" s="57" t="s">
        <v>5</v>
      </c>
      <c r="C46" s="154" t="s">
        <v>116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6"/>
    </row>
    <row r="47" spans="2:22" ht="15.95" customHeight="1">
      <c r="B47" s="57" t="s">
        <v>117</v>
      </c>
      <c r="C47" s="154" t="s">
        <v>118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7" t="s">
        <v>140</v>
      </c>
      <c r="P47" s="157"/>
      <c r="Q47" s="157"/>
      <c r="R47" s="157"/>
      <c r="S47" s="157"/>
      <c r="T47" s="158"/>
    </row>
    <row r="49" spans="1:20" ht="15.95" customHeight="1">
      <c r="A49" s="50" t="s">
        <v>141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5.95" customHeight="1">
      <c r="A50" s="51"/>
      <c r="B50" s="57" t="s">
        <v>1</v>
      </c>
      <c r="C50" s="159" t="s">
        <v>2</v>
      </c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1"/>
    </row>
    <row r="51" spans="1:20" ht="15.95" customHeight="1">
      <c r="A51" s="51"/>
      <c r="B51" s="68" t="s">
        <v>142</v>
      </c>
      <c r="C51" s="151" t="s">
        <v>148</v>
      </c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3"/>
    </row>
    <row r="52" spans="1:20" ht="15.95" customHeight="1">
      <c r="A52" s="51"/>
      <c r="B52" s="68" t="s">
        <v>143</v>
      </c>
      <c r="C52" s="151" t="s">
        <v>149</v>
      </c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/>
    </row>
    <row r="53" spans="1:20" ht="15.95" customHeight="1">
      <c r="A53" s="51"/>
      <c r="B53" s="68" t="s">
        <v>119</v>
      </c>
      <c r="C53" s="151" t="s">
        <v>150</v>
      </c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3"/>
    </row>
    <row r="54" spans="1:20" ht="15.95" customHeight="1">
      <c r="A54" s="51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95" customHeight="1">
      <c r="A55" s="50" t="s">
        <v>120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5.95" customHeight="1">
      <c r="A56" s="51"/>
      <c r="B56" s="52" t="s">
        <v>121</v>
      </c>
      <c r="C56" s="52"/>
      <c r="D56" s="52"/>
      <c r="E56" s="52"/>
      <c r="F56" s="52"/>
      <c r="G56" s="52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5.95" customHeight="1">
      <c r="A57" s="51"/>
      <c r="B57" s="52" t="s">
        <v>122</v>
      </c>
      <c r="C57" s="52"/>
      <c r="D57" s="52"/>
      <c r="E57" s="52"/>
      <c r="F57" s="52"/>
      <c r="G57" s="52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5.9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63"/>
      <c r="L58" s="51"/>
      <c r="M58" s="51"/>
      <c r="N58" s="51"/>
      <c r="O58" s="51"/>
      <c r="P58" s="51"/>
      <c r="Q58" s="51"/>
      <c r="R58" s="51"/>
      <c r="S58" s="51"/>
      <c r="T58" s="63" t="s">
        <v>3</v>
      </c>
    </row>
  </sheetData>
  <mergeCells count="89">
    <mergeCell ref="A2:T2"/>
    <mergeCell ref="A4:T4"/>
    <mergeCell ref="A8:I8"/>
    <mergeCell ref="L9:T9"/>
    <mergeCell ref="B10:B11"/>
    <mergeCell ref="C10:K10"/>
    <mergeCell ref="L10:T10"/>
    <mergeCell ref="C31:T31"/>
    <mergeCell ref="B16:B17"/>
    <mergeCell ref="C16:K16"/>
    <mergeCell ref="L16:T16"/>
    <mergeCell ref="H23:K23"/>
    <mergeCell ref="C24:T24"/>
    <mergeCell ref="C25:T25"/>
    <mergeCell ref="C26:T26"/>
    <mergeCell ref="C27:T27"/>
    <mergeCell ref="C28:T28"/>
    <mergeCell ref="C29:T29"/>
    <mergeCell ref="C30:T30"/>
    <mergeCell ref="C32:Q32"/>
    <mergeCell ref="B33:B37"/>
    <mergeCell ref="C33:H33"/>
    <mergeCell ref="I33:N33"/>
    <mergeCell ref="O33:T33"/>
    <mergeCell ref="C35:E35"/>
    <mergeCell ref="F35:H35"/>
    <mergeCell ref="I35:K35"/>
    <mergeCell ref="L35:N35"/>
    <mergeCell ref="O35:Q35"/>
    <mergeCell ref="I37:K37"/>
    <mergeCell ref="L37:N37"/>
    <mergeCell ref="O37:Q37"/>
    <mergeCell ref="R37:T37"/>
    <mergeCell ref="R35:T35"/>
    <mergeCell ref="I36:K36"/>
    <mergeCell ref="L36:N36"/>
    <mergeCell ref="O36:Q36"/>
    <mergeCell ref="R36:T36"/>
    <mergeCell ref="B38:B41"/>
    <mergeCell ref="C38:H38"/>
    <mergeCell ref="I38:N38"/>
    <mergeCell ref="O38:T38"/>
    <mergeCell ref="C39:E39"/>
    <mergeCell ref="F39:H39"/>
    <mergeCell ref="I39:K39"/>
    <mergeCell ref="L39:N39"/>
    <mergeCell ref="O39:Q39"/>
    <mergeCell ref="R39:T39"/>
    <mergeCell ref="R41:T41"/>
    <mergeCell ref="C40:E40"/>
    <mergeCell ref="F40:H40"/>
    <mergeCell ref="I40:K40"/>
    <mergeCell ref="L40:N40"/>
    <mergeCell ref="O40:Q40"/>
    <mergeCell ref="R40:T40"/>
    <mergeCell ref="C41:E41"/>
    <mergeCell ref="F41:H41"/>
    <mergeCell ref="I41:K41"/>
    <mergeCell ref="L41:N41"/>
    <mergeCell ref="O41:Q41"/>
    <mergeCell ref="B42:B45"/>
    <mergeCell ref="C42:H42"/>
    <mergeCell ref="I42:N42"/>
    <mergeCell ref="O42:T42"/>
    <mergeCell ref="C43:E43"/>
    <mergeCell ref="F43:H43"/>
    <mergeCell ref="I43:K43"/>
    <mergeCell ref="L43:N43"/>
    <mergeCell ref="O43:Q43"/>
    <mergeCell ref="R43:T43"/>
    <mergeCell ref="R45:T45"/>
    <mergeCell ref="C44:E44"/>
    <mergeCell ref="F44:H44"/>
    <mergeCell ref="I44:K44"/>
    <mergeCell ref="L44:N44"/>
    <mergeCell ref="O44:Q44"/>
    <mergeCell ref="R44:T44"/>
    <mergeCell ref="C45:E45"/>
    <mergeCell ref="F45:H45"/>
    <mergeCell ref="I45:K45"/>
    <mergeCell ref="L45:N45"/>
    <mergeCell ref="O45:Q45"/>
    <mergeCell ref="C53:T53"/>
    <mergeCell ref="C46:T46"/>
    <mergeCell ref="C47:N47"/>
    <mergeCell ref="O47:T47"/>
    <mergeCell ref="C50:T50"/>
    <mergeCell ref="C51:T51"/>
    <mergeCell ref="C52:T52"/>
  </mergeCells>
  <phoneticPr fontId="2" type="noConversion"/>
  <pageMargins left="0.11811023622047245" right="0.11811023622047245" top="0.19685039370078741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9"/>
  <sheetViews>
    <sheetView showGridLines="0" tabSelected="1" topLeftCell="A16" zoomScale="86" zoomScaleNormal="86" workbookViewId="0">
      <selection activeCell="AN23" sqref="AN23"/>
    </sheetView>
  </sheetViews>
  <sheetFormatPr defaultColWidth="9" defaultRowHeight="15.95" customHeight="1"/>
  <cols>
    <col min="1" max="1" width="2.625" style="49" customWidth="1"/>
    <col min="2" max="3" width="6.625" style="49" customWidth="1"/>
    <col min="4" max="39" width="2.625" style="49" customWidth="1"/>
    <col min="40" max="40" width="32.75" style="49" bestFit="1" customWidth="1"/>
    <col min="41" max="54" width="6.625" style="49" customWidth="1"/>
    <col min="55" max="16384" width="9" style="49"/>
  </cols>
  <sheetData>
    <row r="1" spans="1:58" ht="15.95" customHeight="1">
      <c r="A1" s="49" t="s">
        <v>233</v>
      </c>
    </row>
    <row r="2" spans="1:58" ht="15.95" customHeight="1">
      <c r="A2" s="203" t="s">
        <v>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</row>
    <row r="4" spans="1:58" ht="15.95" customHeight="1">
      <c r="A4" s="204" t="s">
        <v>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6" spans="1:58" s="51" customFormat="1" ht="18" customHeight="1">
      <c r="A6" s="50" t="s">
        <v>78</v>
      </c>
    </row>
    <row r="7" spans="1:58" s="51" customFormat="1" ht="18" customHeight="1">
      <c r="B7" s="1" t="s">
        <v>63</v>
      </c>
      <c r="C7" s="1"/>
      <c r="D7" s="1"/>
      <c r="E7" s="1"/>
      <c r="F7" s="1"/>
      <c r="G7" s="1"/>
      <c r="H7" s="1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</row>
    <row r="8" spans="1:58" s="51" customFormat="1" ht="18" customHeight="1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142"/>
      <c r="AC8" s="142"/>
    </row>
    <row r="9" spans="1:58" s="51" customFormat="1" ht="18" customHeight="1">
      <c r="A9" s="50" t="s">
        <v>123</v>
      </c>
      <c r="AF9" s="205" t="s">
        <v>79</v>
      </c>
      <c r="AG9" s="205"/>
      <c r="AH9" s="205"/>
      <c r="AI9" s="205"/>
      <c r="AJ9" s="205"/>
      <c r="AK9" s="205"/>
      <c r="AL9" s="205"/>
      <c r="AM9" s="205"/>
    </row>
    <row r="10" spans="1:58" ht="18" customHeight="1">
      <c r="B10" s="309" t="s">
        <v>125</v>
      </c>
      <c r="C10" s="310"/>
      <c r="D10" s="159" t="s">
        <v>65</v>
      </c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1"/>
      <c r="V10" s="160" t="s">
        <v>66</v>
      </c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</row>
    <row r="11" spans="1:58" ht="18" customHeight="1" thickBot="1">
      <c r="A11" s="53"/>
      <c r="B11" s="306"/>
      <c r="C11" s="311"/>
      <c r="D11" s="301" t="s">
        <v>67</v>
      </c>
      <c r="E11" s="302"/>
      <c r="F11" s="303"/>
      <c r="G11" s="304" t="s">
        <v>219</v>
      </c>
      <c r="H11" s="304"/>
      <c r="I11" s="305"/>
      <c r="J11" s="306" t="s">
        <v>220</v>
      </c>
      <c r="K11" s="304"/>
      <c r="L11" s="305"/>
      <c r="M11" s="306" t="s">
        <v>221</v>
      </c>
      <c r="N11" s="304"/>
      <c r="O11" s="305"/>
      <c r="P11" s="306" t="s">
        <v>222</v>
      </c>
      <c r="Q11" s="304"/>
      <c r="R11" s="305"/>
      <c r="S11" s="306" t="s">
        <v>223</v>
      </c>
      <c r="T11" s="304"/>
      <c r="U11" s="305"/>
      <c r="V11" s="302" t="s">
        <v>67</v>
      </c>
      <c r="W11" s="302"/>
      <c r="X11" s="303"/>
      <c r="Y11" s="304" t="s">
        <v>219</v>
      </c>
      <c r="Z11" s="304"/>
      <c r="AA11" s="305"/>
      <c r="AB11" s="306" t="s">
        <v>220</v>
      </c>
      <c r="AC11" s="304"/>
      <c r="AD11" s="305"/>
      <c r="AE11" s="306" t="s">
        <v>221</v>
      </c>
      <c r="AF11" s="304"/>
      <c r="AG11" s="305"/>
      <c r="AH11" s="306" t="s">
        <v>222</v>
      </c>
      <c r="AI11" s="304"/>
      <c r="AJ11" s="305"/>
      <c r="AK11" s="306" t="s">
        <v>223</v>
      </c>
      <c r="AL11" s="304"/>
      <c r="AM11" s="305"/>
      <c r="AP11" s="54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</row>
    <row r="12" spans="1:58" ht="18" customHeight="1" thickTop="1">
      <c r="B12" s="324" t="s">
        <v>73</v>
      </c>
      <c r="C12" s="325"/>
      <c r="D12" s="297">
        <v>0.4</v>
      </c>
      <c r="E12" s="295"/>
      <c r="F12" s="296"/>
      <c r="G12" s="289">
        <v>0.31</v>
      </c>
      <c r="H12" s="290"/>
      <c r="I12" s="291"/>
      <c r="J12" s="289">
        <f>G12/D12</f>
        <v>0.77499999999999991</v>
      </c>
      <c r="K12" s="290"/>
      <c r="L12" s="291"/>
      <c r="M12" s="289">
        <v>0.38</v>
      </c>
      <c r="N12" s="290"/>
      <c r="O12" s="291"/>
      <c r="P12" s="298">
        <f>M12-D12</f>
        <v>-2.0000000000000018E-2</v>
      </c>
      <c r="Q12" s="299"/>
      <c r="R12" s="300"/>
      <c r="S12" s="289">
        <f>M12/D12</f>
        <v>0.95</v>
      </c>
      <c r="T12" s="290"/>
      <c r="U12" s="291"/>
      <c r="V12" s="295">
        <v>0.4</v>
      </c>
      <c r="W12" s="295"/>
      <c r="X12" s="296"/>
      <c r="Y12" s="289">
        <v>0.31</v>
      </c>
      <c r="Z12" s="290"/>
      <c r="AA12" s="291"/>
      <c r="AB12" s="289">
        <f>Y12/V12</f>
        <v>0.77499999999999991</v>
      </c>
      <c r="AC12" s="290"/>
      <c r="AD12" s="291"/>
      <c r="AE12" s="289">
        <v>0.38</v>
      </c>
      <c r="AF12" s="290"/>
      <c r="AG12" s="291"/>
      <c r="AH12" s="298">
        <f>AE12-V12</f>
        <v>-2.0000000000000018E-2</v>
      </c>
      <c r="AI12" s="299"/>
      <c r="AJ12" s="300"/>
      <c r="AK12" s="289">
        <f>AE12/V12</f>
        <v>0.95</v>
      </c>
      <c r="AL12" s="290"/>
      <c r="AM12" s="291"/>
      <c r="AN12" s="54" t="s">
        <v>126</v>
      </c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</row>
    <row r="13" spans="1:58" ht="18" customHeight="1">
      <c r="A13" s="54"/>
      <c r="B13" s="307" t="s">
        <v>74</v>
      </c>
      <c r="C13" s="308"/>
      <c r="D13" s="288">
        <v>32864</v>
      </c>
      <c r="E13" s="283"/>
      <c r="F13" s="284"/>
      <c r="G13" s="285">
        <v>25870</v>
      </c>
      <c r="H13" s="286"/>
      <c r="I13" s="287"/>
      <c r="J13" s="268">
        <f t="shared" ref="J13:J15" si="0">G13/D13</f>
        <v>0.78718354430379744</v>
      </c>
      <c r="K13" s="269"/>
      <c r="L13" s="270"/>
      <c r="M13" s="285">
        <v>31239</v>
      </c>
      <c r="N13" s="286"/>
      <c r="O13" s="287"/>
      <c r="P13" s="292">
        <f>M13-D13</f>
        <v>-1625</v>
      </c>
      <c r="Q13" s="293"/>
      <c r="R13" s="294"/>
      <c r="S13" s="268">
        <f t="shared" ref="S13:S15" si="1">M13/D13</f>
        <v>0.95055379746835444</v>
      </c>
      <c r="T13" s="269"/>
      <c r="U13" s="270"/>
      <c r="V13" s="283">
        <v>32864</v>
      </c>
      <c r="W13" s="283"/>
      <c r="X13" s="284"/>
      <c r="Y13" s="285">
        <v>25870</v>
      </c>
      <c r="Z13" s="286"/>
      <c r="AA13" s="287"/>
      <c r="AB13" s="268">
        <f t="shared" ref="AB13:AB15" si="2">Y13/V13</f>
        <v>0.78718354430379744</v>
      </c>
      <c r="AC13" s="269"/>
      <c r="AD13" s="270"/>
      <c r="AE13" s="285">
        <v>31239</v>
      </c>
      <c r="AF13" s="286"/>
      <c r="AG13" s="287"/>
      <c r="AH13" s="292">
        <f>AE13-V13</f>
        <v>-1625</v>
      </c>
      <c r="AI13" s="293"/>
      <c r="AJ13" s="294"/>
      <c r="AK13" s="268">
        <f t="shared" ref="AK13:AK15" si="3">AE13/V13</f>
        <v>0.95055379746835444</v>
      </c>
      <c r="AL13" s="269"/>
      <c r="AM13" s="270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</row>
    <row r="14" spans="1:58" ht="18" customHeight="1">
      <c r="A14" s="53"/>
      <c r="B14" s="307" t="s">
        <v>75</v>
      </c>
      <c r="C14" s="308"/>
      <c r="D14" s="288">
        <v>208</v>
      </c>
      <c r="E14" s="283"/>
      <c r="F14" s="284"/>
      <c r="G14" s="285">
        <v>208</v>
      </c>
      <c r="H14" s="286"/>
      <c r="I14" s="287"/>
      <c r="J14" s="268">
        <f t="shared" si="0"/>
        <v>1</v>
      </c>
      <c r="K14" s="269"/>
      <c r="L14" s="270"/>
      <c r="M14" s="285">
        <v>216</v>
      </c>
      <c r="N14" s="286"/>
      <c r="O14" s="287"/>
      <c r="P14" s="265">
        <f>M14-D14</f>
        <v>8</v>
      </c>
      <c r="Q14" s="266"/>
      <c r="R14" s="267"/>
      <c r="S14" s="268">
        <f t="shared" si="1"/>
        <v>1.0384615384615385</v>
      </c>
      <c r="T14" s="269"/>
      <c r="U14" s="270"/>
      <c r="V14" s="283">
        <v>208</v>
      </c>
      <c r="W14" s="283"/>
      <c r="X14" s="284"/>
      <c r="Y14" s="285">
        <v>208</v>
      </c>
      <c r="Z14" s="286"/>
      <c r="AA14" s="287"/>
      <c r="AB14" s="268">
        <f t="shared" si="2"/>
        <v>1</v>
      </c>
      <c r="AC14" s="269"/>
      <c r="AD14" s="270"/>
      <c r="AE14" s="285">
        <v>216</v>
      </c>
      <c r="AF14" s="286"/>
      <c r="AG14" s="287"/>
      <c r="AH14" s="265">
        <f>AE14-V14</f>
        <v>8</v>
      </c>
      <c r="AI14" s="266"/>
      <c r="AJ14" s="267"/>
      <c r="AK14" s="268">
        <f t="shared" si="3"/>
        <v>1.0384615384615385</v>
      </c>
      <c r="AL14" s="269"/>
      <c r="AM14" s="270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</row>
    <row r="15" spans="1:58" ht="18" customHeight="1">
      <c r="A15" s="53"/>
      <c r="B15" s="319" t="s">
        <v>76</v>
      </c>
      <c r="C15" s="320"/>
      <c r="D15" s="271">
        <v>6822</v>
      </c>
      <c r="E15" s="272"/>
      <c r="F15" s="273"/>
      <c r="G15" s="274">
        <v>5381</v>
      </c>
      <c r="H15" s="275"/>
      <c r="I15" s="276"/>
      <c r="J15" s="277">
        <f t="shared" si="0"/>
        <v>0.78877162122544708</v>
      </c>
      <c r="K15" s="278"/>
      <c r="L15" s="279"/>
      <c r="M15" s="274">
        <v>6734</v>
      </c>
      <c r="N15" s="275"/>
      <c r="O15" s="276"/>
      <c r="P15" s="280">
        <f>M15-D15</f>
        <v>-88</v>
      </c>
      <c r="Q15" s="281"/>
      <c r="R15" s="282"/>
      <c r="S15" s="277">
        <f t="shared" si="1"/>
        <v>0.98710055702140131</v>
      </c>
      <c r="T15" s="278"/>
      <c r="U15" s="279"/>
      <c r="V15" s="272">
        <v>6822</v>
      </c>
      <c r="W15" s="272"/>
      <c r="X15" s="273"/>
      <c r="Y15" s="274">
        <v>5381</v>
      </c>
      <c r="Z15" s="275"/>
      <c r="AA15" s="276"/>
      <c r="AB15" s="277">
        <f t="shared" si="2"/>
        <v>0.78877162122544708</v>
      </c>
      <c r="AC15" s="278"/>
      <c r="AD15" s="279"/>
      <c r="AE15" s="274">
        <v>6734</v>
      </c>
      <c r="AF15" s="275"/>
      <c r="AG15" s="276"/>
      <c r="AH15" s="280">
        <f>AE15-V15</f>
        <v>-88</v>
      </c>
      <c r="AI15" s="281"/>
      <c r="AJ15" s="282"/>
      <c r="AK15" s="277">
        <f t="shared" si="3"/>
        <v>0.98710055702140131</v>
      </c>
      <c r="AL15" s="278"/>
      <c r="AM15" s="279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</row>
    <row r="16" spans="1:58" ht="18" customHeight="1">
      <c r="B16" s="326" t="s">
        <v>125</v>
      </c>
      <c r="C16" s="327"/>
      <c r="D16" s="159" t="s">
        <v>65</v>
      </c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1"/>
      <c r="V16" s="160" t="s">
        <v>66</v>
      </c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</row>
    <row r="17" spans="1:58" ht="18" customHeight="1" thickBot="1">
      <c r="A17" s="53"/>
      <c r="B17" s="306"/>
      <c r="C17" s="311"/>
      <c r="D17" s="301" t="s">
        <v>67</v>
      </c>
      <c r="E17" s="302"/>
      <c r="F17" s="303"/>
      <c r="G17" s="304" t="s">
        <v>219</v>
      </c>
      <c r="H17" s="304"/>
      <c r="I17" s="305"/>
      <c r="J17" s="306" t="s">
        <v>220</v>
      </c>
      <c r="K17" s="304"/>
      <c r="L17" s="305"/>
      <c r="M17" s="306" t="s">
        <v>221</v>
      </c>
      <c r="N17" s="304"/>
      <c r="O17" s="305"/>
      <c r="P17" s="306" t="s">
        <v>222</v>
      </c>
      <c r="Q17" s="304"/>
      <c r="R17" s="305"/>
      <c r="S17" s="306" t="s">
        <v>223</v>
      </c>
      <c r="T17" s="304"/>
      <c r="U17" s="305"/>
      <c r="V17" s="302" t="s">
        <v>67</v>
      </c>
      <c r="W17" s="302"/>
      <c r="X17" s="303"/>
      <c r="Y17" s="304" t="s">
        <v>219</v>
      </c>
      <c r="Z17" s="304"/>
      <c r="AA17" s="305"/>
      <c r="AB17" s="306" t="s">
        <v>220</v>
      </c>
      <c r="AC17" s="304"/>
      <c r="AD17" s="305"/>
      <c r="AE17" s="306" t="s">
        <v>221</v>
      </c>
      <c r="AF17" s="304"/>
      <c r="AG17" s="305"/>
      <c r="AH17" s="306" t="s">
        <v>222</v>
      </c>
      <c r="AI17" s="304"/>
      <c r="AJ17" s="305"/>
      <c r="AK17" s="306" t="s">
        <v>223</v>
      </c>
      <c r="AL17" s="304"/>
      <c r="AM17" s="305"/>
      <c r="AP17" s="54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</row>
    <row r="18" spans="1:58" ht="18" customHeight="1" thickTop="1">
      <c r="B18" s="324" t="s">
        <v>73</v>
      </c>
      <c r="C18" s="325"/>
      <c r="D18" s="297">
        <v>0.4</v>
      </c>
      <c r="E18" s="295"/>
      <c r="F18" s="296"/>
      <c r="G18" s="289">
        <v>0.31</v>
      </c>
      <c r="H18" s="290"/>
      <c r="I18" s="291"/>
      <c r="J18" s="289">
        <f>G18/D18</f>
        <v>0.77499999999999991</v>
      </c>
      <c r="K18" s="290"/>
      <c r="L18" s="291"/>
      <c r="M18" s="289">
        <v>0.38</v>
      </c>
      <c r="N18" s="290"/>
      <c r="O18" s="291"/>
      <c r="P18" s="298">
        <f>M18-D18</f>
        <v>-2.0000000000000018E-2</v>
      </c>
      <c r="Q18" s="299"/>
      <c r="R18" s="300"/>
      <c r="S18" s="289">
        <f>M18/D18</f>
        <v>0.95</v>
      </c>
      <c r="T18" s="290"/>
      <c r="U18" s="291"/>
      <c r="V18" s="295">
        <v>0.4</v>
      </c>
      <c r="W18" s="295"/>
      <c r="X18" s="296"/>
      <c r="Y18" s="289">
        <v>0.31</v>
      </c>
      <c r="Z18" s="290"/>
      <c r="AA18" s="291"/>
      <c r="AB18" s="289">
        <f>Y18/V18</f>
        <v>0.77499999999999991</v>
      </c>
      <c r="AC18" s="290"/>
      <c r="AD18" s="291"/>
      <c r="AE18" s="289">
        <v>0.38</v>
      </c>
      <c r="AF18" s="290"/>
      <c r="AG18" s="291"/>
      <c r="AH18" s="298">
        <f>AE18-V18</f>
        <v>-2.0000000000000018E-2</v>
      </c>
      <c r="AI18" s="299"/>
      <c r="AJ18" s="300"/>
      <c r="AK18" s="289">
        <f>AE18/V18</f>
        <v>0.95</v>
      </c>
      <c r="AL18" s="290"/>
      <c r="AM18" s="29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</row>
    <row r="19" spans="1:58" ht="18" customHeight="1">
      <c r="A19" s="54"/>
      <c r="B19" s="307" t="s">
        <v>74</v>
      </c>
      <c r="C19" s="308"/>
      <c r="D19" s="288">
        <v>32864</v>
      </c>
      <c r="E19" s="283"/>
      <c r="F19" s="284"/>
      <c r="G19" s="285">
        <v>25870</v>
      </c>
      <c r="H19" s="286"/>
      <c r="I19" s="287"/>
      <c r="J19" s="268">
        <f t="shared" ref="J19:J21" si="4">G19/D19</f>
        <v>0.78718354430379744</v>
      </c>
      <c r="K19" s="269"/>
      <c r="L19" s="270"/>
      <c r="M19" s="285">
        <v>31239</v>
      </c>
      <c r="N19" s="286"/>
      <c r="O19" s="287"/>
      <c r="P19" s="292">
        <f>M19-D19</f>
        <v>-1625</v>
      </c>
      <c r="Q19" s="293"/>
      <c r="R19" s="294"/>
      <c r="S19" s="268">
        <f t="shared" ref="S19:S21" si="5">M19/D19</f>
        <v>0.95055379746835444</v>
      </c>
      <c r="T19" s="269"/>
      <c r="U19" s="270"/>
      <c r="V19" s="283">
        <v>32864</v>
      </c>
      <c r="W19" s="283"/>
      <c r="X19" s="284"/>
      <c r="Y19" s="285">
        <v>25870</v>
      </c>
      <c r="Z19" s="286"/>
      <c r="AA19" s="287"/>
      <c r="AB19" s="268">
        <f t="shared" ref="AB19:AB21" si="6">Y19/V19</f>
        <v>0.78718354430379744</v>
      </c>
      <c r="AC19" s="269"/>
      <c r="AD19" s="270"/>
      <c r="AE19" s="285">
        <v>31239</v>
      </c>
      <c r="AF19" s="286"/>
      <c r="AG19" s="287"/>
      <c r="AH19" s="292">
        <f>AE19-V19</f>
        <v>-1625</v>
      </c>
      <c r="AI19" s="293"/>
      <c r="AJ19" s="294"/>
      <c r="AK19" s="268">
        <f t="shared" ref="AK19:AK21" si="7">AE19/V19</f>
        <v>0.95055379746835444</v>
      </c>
      <c r="AL19" s="269"/>
      <c r="AM19" s="270"/>
      <c r="AP19" s="55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</row>
    <row r="20" spans="1:58" ht="18" customHeight="1">
      <c r="A20" s="53"/>
      <c r="B20" s="307" t="s">
        <v>75</v>
      </c>
      <c r="C20" s="308"/>
      <c r="D20" s="288">
        <v>208</v>
      </c>
      <c r="E20" s="283"/>
      <c r="F20" s="284"/>
      <c r="G20" s="285">
        <v>208</v>
      </c>
      <c r="H20" s="286"/>
      <c r="I20" s="287"/>
      <c r="J20" s="268">
        <f t="shared" si="4"/>
        <v>1</v>
      </c>
      <c r="K20" s="269"/>
      <c r="L20" s="270"/>
      <c r="M20" s="285">
        <v>216</v>
      </c>
      <c r="N20" s="286"/>
      <c r="O20" s="287"/>
      <c r="P20" s="265">
        <f>M20-D20</f>
        <v>8</v>
      </c>
      <c r="Q20" s="266"/>
      <c r="R20" s="267"/>
      <c r="S20" s="268">
        <f t="shared" si="5"/>
        <v>1.0384615384615385</v>
      </c>
      <c r="T20" s="269"/>
      <c r="U20" s="270"/>
      <c r="V20" s="283">
        <v>208</v>
      </c>
      <c r="W20" s="283"/>
      <c r="X20" s="284"/>
      <c r="Y20" s="285">
        <v>208</v>
      </c>
      <c r="Z20" s="286"/>
      <c r="AA20" s="287"/>
      <c r="AB20" s="268">
        <f t="shared" si="6"/>
        <v>1</v>
      </c>
      <c r="AC20" s="269"/>
      <c r="AD20" s="270"/>
      <c r="AE20" s="285">
        <v>216</v>
      </c>
      <c r="AF20" s="286"/>
      <c r="AG20" s="287"/>
      <c r="AH20" s="265">
        <f>AE20-V20</f>
        <v>8</v>
      </c>
      <c r="AI20" s="266"/>
      <c r="AJ20" s="267"/>
      <c r="AK20" s="268">
        <f t="shared" si="7"/>
        <v>1.0384615384615385</v>
      </c>
      <c r="AL20" s="269"/>
      <c r="AM20" s="270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</row>
    <row r="21" spans="1:58" ht="18" customHeight="1">
      <c r="A21" s="53"/>
      <c r="B21" s="319" t="s">
        <v>76</v>
      </c>
      <c r="C21" s="320"/>
      <c r="D21" s="271">
        <v>6822</v>
      </c>
      <c r="E21" s="272"/>
      <c r="F21" s="273"/>
      <c r="G21" s="274">
        <v>5381</v>
      </c>
      <c r="H21" s="275"/>
      <c r="I21" s="276"/>
      <c r="J21" s="277">
        <f t="shared" si="4"/>
        <v>0.78877162122544708</v>
      </c>
      <c r="K21" s="278"/>
      <c r="L21" s="279"/>
      <c r="M21" s="274">
        <v>6734</v>
      </c>
      <c r="N21" s="275"/>
      <c r="O21" s="276"/>
      <c r="P21" s="280">
        <f>M21-D21</f>
        <v>-88</v>
      </c>
      <c r="Q21" s="281"/>
      <c r="R21" s="282"/>
      <c r="S21" s="277">
        <f t="shared" si="5"/>
        <v>0.98710055702140131</v>
      </c>
      <c r="T21" s="278"/>
      <c r="U21" s="279"/>
      <c r="V21" s="272">
        <v>6822</v>
      </c>
      <c r="W21" s="272"/>
      <c r="X21" s="273"/>
      <c r="Y21" s="274">
        <v>5381</v>
      </c>
      <c r="Z21" s="275"/>
      <c r="AA21" s="276"/>
      <c r="AB21" s="277">
        <f t="shared" si="6"/>
        <v>0.78877162122544708</v>
      </c>
      <c r="AC21" s="278"/>
      <c r="AD21" s="279"/>
      <c r="AE21" s="274">
        <v>6734</v>
      </c>
      <c r="AF21" s="275"/>
      <c r="AG21" s="276"/>
      <c r="AH21" s="280">
        <f>AE21-V21</f>
        <v>-88</v>
      </c>
      <c r="AI21" s="281"/>
      <c r="AJ21" s="282"/>
      <c r="AK21" s="277">
        <f t="shared" si="7"/>
        <v>0.98710055702140131</v>
      </c>
      <c r="AL21" s="278"/>
      <c r="AM21" s="279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</row>
    <row r="22" spans="1:58" ht="18" customHeight="1"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 spans="1:58" ht="18" customHeight="1">
      <c r="A23" s="50" t="s">
        <v>184</v>
      </c>
      <c r="X23" s="316"/>
      <c r="Y23" s="316"/>
      <c r="Z23" s="316"/>
      <c r="AA23" s="316"/>
      <c r="AB23" s="316"/>
      <c r="AC23" s="316"/>
      <c r="AD23" s="316"/>
      <c r="AE23" s="143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</row>
    <row r="24" spans="1:58" ht="18" customHeight="1" thickBot="1">
      <c r="B24" s="317" t="s">
        <v>1</v>
      </c>
      <c r="C24" s="318"/>
      <c r="D24" s="140"/>
      <c r="E24" s="140"/>
      <c r="F24" s="140"/>
      <c r="G24" s="140"/>
      <c r="H24" s="140"/>
      <c r="I24" s="312" t="s">
        <v>2</v>
      </c>
      <c r="J24" s="312"/>
      <c r="K24" s="312"/>
      <c r="L24" s="312"/>
      <c r="M24" s="312"/>
      <c r="N24" s="312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4"/>
      <c r="AM24" s="315"/>
    </row>
    <row r="25" spans="1:58" ht="18" customHeight="1" thickTop="1">
      <c r="B25" s="322" t="s">
        <v>127</v>
      </c>
      <c r="C25" s="323"/>
      <c r="D25" s="247" t="s">
        <v>151</v>
      </c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9"/>
    </row>
    <row r="26" spans="1:58" ht="18" customHeight="1">
      <c r="B26" s="179" t="s">
        <v>81</v>
      </c>
      <c r="C26" s="321"/>
      <c r="D26" s="244" t="s">
        <v>152</v>
      </c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6"/>
    </row>
    <row r="27" spans="1:58" ht="18" customHeight="1">
      <c r="B27" s="179" t="s">
        <v>82</v>
      </c>
      <c r="C27" s="321"/>
      <c r="D27" s="244" t="s">
        <v>153</v>
      </c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6"/>
    </row>
    <row r="28" spans="1:58" ht="18" customHeight="1">
      <c r="B28" s="254" t="s">
        <v>188</v>
      </c>
      <c r="C28" s="150" t="s">
        <v>189</v>
      </c>
      <c r="D28" s="262" t="s">
        <v>154</v>
      </c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4"/>
    </row>
    <row r="29" spans="1:58" ht="18" customHeight="1">
      <c r="B29" s="339"/>
      <c r="C29" s="101" t="s">
        <v>190</v>
      </c>
      <c r="D29" s="256" t="s">
        <v>155</v>
      </c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8"/>
    </row>
    <row r="30" spans="1:58" ht="18" customHeight="1">
      <c r="B30" s="342" t="s">
        <v>85</v>
      </c>
      <c r="C30" s="149" t="s">
        <v>187</v>
      </c>
      <c r="D30" s="259" t="s">
        <v>156</v>
      </c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1"/>
    </row>
    <row r="31" spans="1:58" ht="18" customHeight="1">
      <c r="B31" s="339"/>
      <c r="C31" s="101" t="s">
        <v>185</v>
      </c>
      <c r="D31" s="256" t="s">
        <v>157</v>
      </c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8"/>
    </row>
    <row r="32" spans="1:58" ht="18" customHeight="1"/>
    <row r="33" spans="1:40" ht="18" customHeight="1">
      <c r="A33" s="50" t="s">
        <v>186</v>
      </c>
      <c r="AE33" s="49" t="s">
        <v>232</v>
      </c>
    </row>
    <row r="34" spans="1:40" ht="18" customHeight="1">
      <c r="B34" s="331" t="s">
        <v>197</v>
      </c>
      <c r="C34" s="333" t="s">
        <v>201</v>
      </c>
      <c r="D34" s="250" t="s">
        <v>138</v>
      </c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2"/>
      <c r="P34" s="253" t="s">
        <v>194</v>
      </c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5"/>
      <c r="AB34" s="253" t="s">
        <v>115</v>
      </c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</row>
    <row r="35" spans="1:40" ht="18" customHeight="1" thickBot="1">
      <c r="B35" s="332"/>
      <c r="C35" s="334"/>
      <c r="D35" s="242" t="s">
        <v>191</v>
      </c>
      <c r="E35" s="229"/>
      <c r="F35" s="229"/>
      <c r="G35" s="229"/>
      <c r="H35" s="229" t="s">
        <v>224</v>
      </c>
      <c r="I35" s="229"/>
      <c r="J35" s="229"/>
      <c r="K35" s="229"/>
      <c r="L35" s="229" t="s">
        <v>225</v>
      </c>
      <c r="M35" s="229"/>
      <c r="N35" s="229"/>
      <c r="O35" s="243"/>
      <c r="P35" s="199" t="s">
        <v>191</v>
      </c>
      <c r="Q35" s="229"/>
      <c r="R35" s="229"/>
      <c r="S35" s="229"/>
      <c r="T35" s="229" t="s">
        <v>224</v>
      </c>
      <c r="U35" s="229"/>
      <c r="V35" s="229"/>
      <c r="W35" s="229"/>
      <c r="X35" s="229" t="s">
        <v>225</v>
      </c>
      <c r="Y35" s="229"/>
      <c r="Z35" s="229"/>
      <c r="AA35" s="243"/>
      <c r="AB35" s="199" t="s">
        <v>191</v>
      </c>
      <c r="AC35" s="229"/>
      <c r="AD35" s="229"/>
      <c r="AE35" s="229"/>
      <c r="AF35" s="229" t="s">
        <v>224</v>
      </c>
      <c r="AG35" s="229"/>
      <c r="AH35" s="229"/>
      <c r="AI35" s="229"/>
      <c r="AJ35" s="229" t="s">
        <v>225</v>
      </c>
      <c r="AK35" s="229"/>
      <c r="AL35" s="229"/>
      <c r="AM35" s="229"/>
    </row>
    <row r="36" spans="1:40" ht="18" customHeight="1" thickTop="1">
      <c r="B36" s="335" t="s">
        <v>196</v>
      </c>
      <c r="C36" s="144" t="s">
        <v>198</v>
      </c>
      <c r="D36" s="240" t="s">
        <v>249</v>
      </c>
      <c r="E36" s="241"/>
      <c r="F36" s="241"/>
      <c r="G36" s="241"/>
      <c r="H36" s="241" t="s">
        <v>250</v>
      </c>
      <c r="I36" s="241"/>
      <c r="J36" s="241"/>
      <c r="K36" s="241"/>
      <c r="L36" s="241" t="s">
        <v>251</v>
      </c>
      <c r="M36" s="241"/>
      <c r="N36" s="241"/>
      <c r="O36" s="446"/>
      <c r="P36" s="447" t="s">
        <v>252</v>
      </c>
      <c r="Q36" s="241"/>
      <c r="R36" s="241"/>
      <c r="S36" s="241"/>
      <c r="T36" s="241" t="s">
        <v>252</v>
      </c>
      <c r="U36" s="241"/>
      <c r="V36" s="241"/>
      <c r="W36" s="241"/>
      <c r="X36" s="241" t="s">
        <v>253</v>
      </c>
      <c r="Y36" s="241"/>
      <c r="Z36" s="241"/>
      <c r="AA36" s="446"/>
      <c r="AB36" s="447" t="s">
        <v>254</v>
      </c>
      <c r="AC36" s="241"/>
      <c r="AD36" s="241"/>
      <c r="AE36" s="241"/>
      <c r="AF36" s="241" t="s">
        <v>255</v>
      </c>
      <c r="AG36" s="241"/>
      <c r="AH36" s="241"/>
      <c r="AI36" s="241"/>
      <c r="AJ36" s="241" t="s">
        <v>251</v>
      </c>
      <c r="AK36" s="241"/>
      <c r="AL36" s="241"/>
      <c r="AM36" s="241"/>
      <c r="AN36" s="54" t="s">
        <v>230</v>
      </c>
    </row>
    <row r="37" spans="1:40" ht="18" customHeight="1">
      <c r="B37" s="336"/>
      <c r="C37" s="145" t="s">
        <v>199</v>
      </c>
      <c r="D37" s="448" t="s">
        <v>238</v>
      </c>
      <c r="E37" s="449"/>
      <c r="F37" s="449"/>
      <c r="G37" s="449"/>
      <c r="H37" s="449" t="s">
        <v>256</v>
      </c>
      <c r="I37" s="449"/>
      <c r="J37" s="449"/>
      <c r="K37" s="449"/>
      <c r="L37" s="449" t="s">
        <v>257</v>
      </c>
      <c r="M37" s="449"/>
      <c r="N37" s="449"/>
      <c r="O37" s="450"/>
      <c r="P37" s="451" t="s">
        <v>258</v>
      </c>
      <c r="Q37" s="449"/>
      <c r="R37" s="449"/>
      <c r="S37" s="449"/>
      <c r="T37" s="449" t="s">
        <v>258</v>
      </c>
      <c r="U37" s="449"/>
      <c r="V37" s="449"/>
      <c r="W37" s="449"/>
      <c r="X37" s="449" t="s">
        <v>253</v>
      </c>
      <c r="Y37" s="449"/>
      <c r="Z37" s="449"/>
      <c r="AA37" s="450"/>
      <c r="AB37" s="451" t="s">
        <v>259</v>
      </c>
      <c r="AC37" s="449"/>
      <c r="AD37" s="449"/>
      <c r="AE37" s="449"/>
      <c r="AF37" s="449" t="s">
        <v>260</v>
      </c>
      <c r="AG37" s="449"/>
      <c r="AH37" s="449"/>
      <c r="AI37" s="449"/>
      <c r="AJ37" s="449" t="s">
        <v>257</v>
      </c>
      <c r="AK37" s="449"/>
      <c r="AL37" s="449"/>
      <c r="AM37" s="449"/>
    </row>
    <row r="38" spans="1:40" ht="18" customHeight="1">
      <c r="B38" s="337"/>
      <c r="C38" s="146" t="s">
        <v>200</v>
      </c>
      <c r="D38" s="452" t="s">
        <v>261</v>
      </c>
      <c r="E38" s="453"/>
      <c r="F38" s="453"/>
      <c r="G38" s="453"/>
      <c r="H38" s="453" t="s">
        <v>262</v>
      </c>
      <c r="I38" s="453"/>
      <c r="J38" s="453"/>
      <c r="K38" s="453"/>
      <c r="L38" s="453" t="s">
        <v>263</v>
      </c>
      <c r="M38" s="453"/>
      <c r="N38" s="453"/>
      <c r="O38" s="454"/>
      <c r="P38" s="455" t="s">
        <v>264</v>
      </c>
      <c r="Q38" s="453"/>
      <c r="R38" s="453"/>
      <c r="S38" s="453"/>
      <c r="T38" s="453" t="s">
        <v>264</v>
      </c>
      <c r="U38" s="453"/>
      <c r="V38" s="453"/>
      <c r="W38" s="453"/>
      <c r="X38" s="453" t="s">
        <v>263</v>
      </c>
      <c r="Y38" s="453"/>
      <c r="Z38" s="453"/>
      <c r="AA38" s="454"/>
      <c r="AB38" s="455" t="s">
        <v>265</v>
      </c>
      <c r="AC38" s="453"/>
      <c r="AD38" s="453"/>
      <c r="AE38" s="453"/>
      <c r="AF38" s="453" t="s">
        <v>266</v>
      </c>
      <c r="AG38" s="453"/>
      <c r="AH38" s="453"/>
      <c r="AI38" s="453"/>
      <c r="AJ38" s="453" t="s">
        <v>263</v>
      </c>
      <c r="AK38" s="453"/>
      <c r="AL38" s="453"/>
      <c r="AM38" s="453"/>
    </row>
    <row r="39" spans="1:40" ht="18" customHeight="1">
      <c r="B39" s="254" t="s">
        <v>234</v>
      </c>
      <c r="C39" s="147" t="s">
        <v>198</v>
      </c>
      <c r="D39" s="456" t="s">
        <v>239</v>
      </c>
      <c r="E39" s="457"/>
      <c r="F39" s="457"/>
      <c r="G39" s="457"/>
      <c r="H39" s="457" t="s">
        <v>267</v>
      </c>
      <c r="I39" s="457"/>
      <c r="J39" s="457"/>
      <c r="K39" s="457"/>
      <c r="L39" s="457" t="s">
        <v>268</v>
      </c>
      <c r="M39" s="457"/>
      <c r="N39" s="457"/>
      <c r="O39" s="458"/>
      <c r="P39" s="459" t="s">
        <v>269</v>
      </c>
      <c r="Q39" s="457"/>
      <c r="R39" s="457"/>
      <c r="S39" s="457"/>
      <c r="T39" s="457" t="s">
        <v>269</v>
      </c>
      <c r="U39" s="457"/>
      <c r="V39" s="457"/>
      <c r="W39" s="457"/>
      <c r="X39" s="457" t="s">
        <v>253</v>
      </c>
      <c r="Y39" s="457"/>
      <c r="Z39" s="457"/>
      <c r="AA39" s="458"/>
      <c r="AB39" s="459" t="s">
        <v>270</v>
      </c>
      <c r="AC39" s="457"/>
      <c r="AD39" s="457"/>
      <c r="AE39" s="457"/>
      <c r="AF39" s="457" t="s">
        <v>271</v>
      </c>
      <c r="AG39" s="457"/>
      <c r="AH39" s="457"/>
      <c r="AI39" s="457"/>
      <c r="AJ39" s="457" t="s">
        <v>268</v>
      </c>
      <c r="AK39" s="457"/>
      <c r="AL39" s="457"/>
      <c r="AM39" s="457"/>
    </row>
    <row r="40" spans="1:40" ht="18" customHeight="1">
      <c r="B40" s="338"/>
      <c r="C40" s="145" t="s">
        <v>114</v>
      </c>
      <c r="D40" s="448" t="s">
        <v>240</v>
      </c>
      <c r="E40" s="449"/>
      <c r="F40" s="449"/>
      <c r="G40" s="449"/>
      <c r="H40" s="449" t="s">
        <v>272</v>
      </c>
      <c r="I40" s="449"/>
      <c r="J40" s="449"/>
      <c r="K40" s="449"/>
      <c r="L40" s="449" t="s">
        <v>273</v>
      </c>
      <c r="M40" s="449"/>
      <c r="N40" s="449"/>
      <c r="O40" s="450"/>
      <c r="P40" s="451" t="s">
        <v>274</v>
      </c>
      <c r="Q40" s="449"/>
      <c r="R40" s="449"/>
      <c r="S40" s="449"/>
      <c r="T40" s="449" t="s">
        <v>274</v>
      </c>
      <c r="U40" s="449"/>
      <c r="V40" s="449"/>
      <c r="W40" s="449"/>
      <c r="X40" s="449" t="s">
        <v>253</v>
      </c>
      <c r="Y40" s="449"/>
      <c r="Z40" s="449"/>
      <c r="AA40" s="450"/>
      <c r="AB40" s="451" t="s">
        <v>275</v>
      </c>
      <c r="AC40" s="449"/>
      <c r="AD40" s="449"/>
      <c r="AE40" s="449"/>
      <c r="AF40" s="449" t="s">
        <v>276</v>
      </c>
      <c r="AG40" s="449"/>
      <c r="AH40" s="449"/>
      <c r="AI40" s="449"/>
      <c r="AJ40" s="449" t="s">
        <v>273</v>
      </c>
      <c r="AK40" s="449"/>
      <c r="AL40" s="449"/>
      <c r="AM40" s="449"/>
    </row>
    <row r="41" spans="1:40" ht="18" customHeight="1">
      <c r="B41" s="339"/>
      <c r="C41" s="146" t="s">
        <v>200</v>
      </c>
      <c r="D41" s="452" t="s">
        <v>277</v>
      </c>
      <c r="E41" s="453"/>
      <c r="F41" s="453"/>
      <c r="G41" s="453"/>
      <c r="H41" s="453" t="s">
        <v>278</v>
      </c>
      <c r="I41" s="453"/>
      <c r="J41" s="453"/>
      <c r="K41" s="453"/>
      <c r="L41" s="453" t="s">
        <v>263</v>
      </c>
      <c r="M41" s="453"/>
      <c r="N41" s="453"/>
      <c r="O41" s="454"/>
      <c r="P41" s="455" t="s">
        <v>279</v>
      </c>
      <c r="Q41" s="453"/>
      <c r="R41" s="453"/>
      <c r="S41" s="453"/>
      <c r="T41" s="453" t="s">
        <v>279</v>
      </c>
      <c r="U41" s="453"/>
      <c r="V41" s="453"/>
      <c r="W41" s="453"/>
      <c r="X41" s="453" t="s">
        <v>263</v>
      </c>
      <c r="Y41" s="453"/>
      <c r="Z41" s="453"/>
      <c r="AA41" s="454"/>
      <c r="AB41" s="455" t="s">
        <v>280</v>
      </c>
      <c r="AC41" s="453"/>
      <c r="AD41" s="453"/>
      <c r="AE41" s="453"/>
      <c r="AF41" s="453" t="s">
        <v>281</v>
      </c>
      <c r="AG41" s="453"/>
      <c r="AH41" s="453"/>
      <c r="AI41" s="453"/>
      <c r="AJ41" s="453" t="s">
        <v>263</v>
      </c>
      <c r="AK41" s="453"/>
      <c r="AL41" s="453"/>
      <c r="AM41" s="453"/>
    </row>
    <row r="42" spans="1:40" ht="18" customHeight="1">
      <c r="B42" s="254" t="s">
        <v>235</v>
      </c>
      <c r="C42" s="147" t="s">
        <v>198</v>
      </c>
      <c r="D42" s="456" t="s">
        <v>242</v>
      </c>
      <c r="E42" s="457"/>
      <c r="F42" s="457"/>
      <c r="G42" s="457"/>
      <c r="H42" s="457" t="s">
        <v>282</v>
      </c>
      <c r="I42" s="457"/>
      <c r="J42" s="457"/>
      <c r="K42" s="457"/>
      <c r="L42" s="457" t="s">
        <v>283</v>
      </c>
      <c r="M42" s="457"/>
      <c r="N42" s="457"/>
      <c r="O42" s="458"/>
      <c r="P42" s="459" t="s">
        <v>284</v>
      </c>
      <c r="Q42" s="457"/>
      <c r="R42" s="457"/>
      <c r="S42" s="457"/>
      <c r="T42" s="457" t="s">
        <v>284</v>
      </c>
      <c r="U42" s="457"/>
      <c r="V42" s="457"/>
      <c r="W42" s="457"/>
      <c r="X42" s="457" t="s">
        <v>253</v>
      </c>
      <c r="Y42" s="457"/>
      <c r="Z42" s="457"/>
      <c r="AA42" s="458"/>
      <c r="AB42" s="459" t="s">
        <v>285</v>
      </c>
      <c r="AC42" s="457"/>
      <c r="AD42" s="457"/>
      <c r="AE42" s="457"/>
      <c r="AF42" s="457" t="s">
        <v>286</v>
      </c>
      <c r="AG42" s="457"/>
      <c r="AH42" s="457"/>
      <c r="AI42" s="457"/>
      <c r="AJ42" s="457" t="s">
        <v>283</v>
      </c>
      <c r="AK42" s="457"/>
      <c r="AL42" s="457"/>
      <c r="AM42" s="457"/>
    </row>
    <row r="43" spans="1:40" ht="18" customHeight="1">
      <c r="B43" s="338"/>
      <c r="C43" s="145" t="s">
        <v>114</v>
      </c>
      <c r="D43" s="448" t="s">
        <v>242</v>
      </c>
      <c r="E43" s="449"/>
      <c r="F43" s="449"/>
      <c r="G43" s="449"/>
      <c r="H43" s="449" t="s">
        <v>287</v>
      </c>
      <c r="I43" s="449"/>
      <c r="J43" s="449"/>
      <c r="K43" s="449"/>
      <c r="L43" s="449" t="s">
        <v>288</v>
      </c>
      <c r="M43" s="449"/>
      <c r="N43" s="449"/>
      <c r="O43" s="450"/>
      <c r="P43" s="451" t="s">
        <v>289</v>
      </c>
      <c r="Q43" s="449"/>
      <c r="R43" s="449"/>
      <c r="S43" s="449"/>
      <c r="T43" s="449" t="s">
        <v>289</v>
      </c>
      <c r="U43" s="449"/>
      <c r="V43" s="449"/>
      <c r="W43" s="449"/>
      <c r="X43" s="449" t="s">
        <v>253</v>
      </c>
      <c r="Y43" s="449"/>
      <c r="Z43" s="449"/>
      <c r="AA43" s="450"/>
      <c r="AB43" s="451" t="s">
        <v>290</v>
      </c>
      <c r="AC43" s="449"/>
      <c r="AD43" s="449"/>
      <c r="AE43" s="449"/>
      <c r="AF43" s="449" t="s">
        <v>291</v>
      </c>
      <c r="AG43" s="449"/>
      <c r="AH43" s="449"/>
      <c r="AI43" s="449"/>
      <c r="AJ43" s="449" t="s">
        <v>288</v>
      </c>
      <c r="AK43" s="449"/>
      <c r="AL43" s="449"/>
      <c r="AM43" s="449"/>
    </row>
    <row r="44" spans="1:40" ht="18" customHeight="1">
      <c r="B44" s="339"/>
      <c r="C44" s="146" t="s">
        <v>200</v>
      </c>
      <c r="D44" s="461" t="s">
        <v>292</v>
      </c>
      <c r="E44" s="453"/>
      <c r="F44" s="453"/>
      <c r="G44" s="453"/>
      <c r="H44" s="453" t="s">
        <v>278</v>
      </c>
      <c r="I44" s="453"/>
      <c r="J44" s="453"/>
      <c r="K44" s="453"/>
      <c r="L44" s="453" t="s">
        <v>263</v>
      </c>
      <c r="M44" s="453"/>
      <c r="N44" s="453"/>
      <c r="O44" s="454"/>
      <c r="P44" s="455" t="s">
        <v>293</v>
      </c>
      <c r="Q44" s="453"/>
      <c r="R44" s="453"/>
      <c r="S44" s="453"/>
      <c r="T44" s="453" t="s">
        <v>293</v>
      </c>
      <c r="U44" s="453"/>
      <c r="V44" s="453"/>
      <c r="W44" s="453"/>
      <c r="X44" s="453" t="s">
        <v>263</v>
      </c>
      <c r="Y44" s="453"/>
      <c r="Z44" s="453"/>
      <c r="AA44" s="454"/>
      <c r="AB44" s="455" t="s">
        <v>294</v>
      </c>
      <c r="AC44" s="453"/>
      <c r="AD44" s="453"/>
      <c r="AE44" s="453"/>
      <c r="AF44" s="453" t="s">
        <v>295</v>
      </c>
      <c r="AG44" s="453"/>
      <c r="AH44" s="453"/>
      <c r="AI44" s="453"/>
      <c r="AJ44" s="453" t="s">
        <v>263</v>
      </c>
      <c r="AK44" s="453"/>
      <c r="AL44" s="453"/>
      <c r="AM44" s="453"/>
    </row>
    <row r="45" spans="1:40" ht="18" customHeight="1">
      <c r="B45" s="460" t="s">
        <v>241</v>
      </c>
      <c r="C45" s="147" t="s">
        <v>198</v>
      </c>
      <c r="D45" s="456" t="s">
        <v>243</v>
      </c>
      <c r="E45" s="457"/>
      <c r="F45" s="457"/>
      <c r="G45" s="457"/>
      <c r="H45" s="457" t="s">
        <v>296</v>
      </c>
      <c r="I45" s="457"/>
      <c r="J45" s="457"/>
      <c r="K45" s="457"/>
      <c r="L45" s="457" t="s">
        <v>297</v>
      </c>
      <c r="M45" s="457"/>
      <c r="N45" s="457"/>
      <c r="O45" s="458"/>
      <c r="P45" s="459" t="s">
        <v>252</v>
      </c>
      <c r="Q45" s="457"/>
      <c r="R45" s="457"/>
      <c r="S45" s="457"/>
      <c r="T45" s="457" t="s">
        <v>252</v>
      </c>
      <c r="U45" s="457"/>
      <c r="V45" s="457"/>
      <c r="W45" s="457"/>
      <c r="X45" s="457" t="s">
        <v>253</v>
      </c>
      <c r="Y45" s="457"/>
      <c r="Z45" s="457"/>
      <c r="AA45" s="458"/>
      <c r="AB45" s="459" t="s">
        <v>298</v>
      </c>
      <c r="AC45" s="457"/>
      <c r="AD45" s="457"/>
      <c r="AE45" s="457"/>
      <c r="AF45" s="457" t="s">
        <v>299</v>
      </c>
      <c r="AG45" s="457"/>
      <c r="AH45" s="457"/>
      <c r="AI45" s="457"/>
      <c r="AJ45" s="457" t="s">
        <v>297</v>
      </c>
      <c r="AK45" s="457"/>
      <c r="AL45" s="457"/>
      <c r="AM45" s="457"/>
    </row>
    <row r="46" spans="1:40" ht="18" customHeight="1">
      <c r="B46" s="338"/>
      <c r="C46" s="145" t="s">
        <v>114</v>
      </c>
      <c r="D46" s="448" t="s">
        <v>244</v>
      </c>
      <c r="E46" s="449"/>
      <c r="F46" s="449"/>
      <c r="G46" s="449"/>
      <c r="H46" s="449" t="s">
        <v>300</v>
      </c>
      <c r="I46" s="449"/>
      <c r="J46" s="449"/>
      <c r="K46" s="449"/>
      <c r="L46" s="449" t="s">
        <v>297</v>
      </c>
      <c r="M46" s="449"/>
      <c r="N46" s="449"/>
      <c r="O46" s="450"/>
      <c r="P46" s="451" t="s">
        <v>289</v>
      </c>
      <c r="Q46" s="449"/>
      <c r="R46" s="449"/>
      <c r="S46" s="449"/>
      <c r="T46" s="449" t="s">
        <v>289</v>
      </c>
      <c r="U46" s="449"/>
      <c r="V46" s="449"/>
      <c r="W46" s="449"/>
      <c r="X46" s="449" t="s">
        <v>253</v>
      </c>
      <c r="Y46" s="449"/>
      <c r="Z46" s="449"/>
      <c r="AA46" s="450"/>
      <c r="AB46" s="451" t="s">
        <v>301</v>
      </c>
      <c r="AC46" s="449"/>
      <c r="AD46" s="449"/>
      <c r="AE46" s="449"/>
      <c r="AF46" s="449" t="s">
        <v>302</v>
      </c>
      <c r="AG46" s="449"/>
      <c r="AH46" s="449"/>
      <c r="AI46" s="449"/>
      <c r="AJ46" s="449" t="s">
        <v>297</v>
      </c>
      <c r="AK46" s="449"/>
      <c r="AL46" s="449"/>
      <c r="AM46" s="449"/>
    </row>
    <row r="47" spans="1:40" ht="18" customHeight="1">
      <c r="B47" s="339"/>
      <c r="C47" s="146" t="s">
        <v>200</v>
      </c>
      <c r="D47" s="452" t="s">
        <v>303</v>
      </c>
      <c r="E47" s="453"/>
      <c r="F47" s="453"/>
      <c r="G47" s="453"/>
      <c r="H47" s="453" t="s">
        <v>278</v>
      </c>
      <c r="I47" s="453"/>
      <c r="J47" s="453"/>
      <c r="K47" s="453"/>
      <c r="L47" s="453" t="s">
        <v>263</v>
      </c>
      <c r="M47" s="453"/>
      <c r="N47" s="453"/>
      <c r="O47" s="454"/>
      <c r="P47" s="455" t="s">
        <v>304</v>
      </c>
      <c r="Q47" s="453"/>
      <c r="R47" s="453"/>
      <c r="S47" s="453"/>
      <c r="T47" s="453" t="s">
        <v>304</v>
      </c>
      <c r="U47" s="453"/>
      <c r="V47" s="453"/>
      <c r="W47" s="453"/>
      <c r="X47" s="453" t="s">
        <v>263</v>
      </c>
      <c r="Y47" s="453"/>
      <c r="Z47" s="453"/>
      <c r="AA47" s="454"/>
      <c r="AB47" s="455" t="s">
        <v>305</v>
      </c>
      <c r="AC47" s="453"/>
      <c r="AD47" s="453"/>
      <c r="AE47" s="453"/>
      <c r="AF47" s="453" t="s">
        <v>306</v>
      </c>
      <c r="AG47" s="453"/>
      <c r="AH47" s="453"/>
      <c r="AI47" s="453"/>
      <c r="AJ47" s="453" t="s">
        <v>263</v>
      </c>
      <c r="AK47" s="453"/>
      <c r="AL47" s="453"/>
      <c r="AM47" s="453"/>
    </row>
    <row r="48" spans="1:40" ht="18" customHeight="1">
      <c r="B48" s="254" t="s">
        <v>236</v>
      </c>
      <c r="C48" s="147" t="s">
        <v>198</v>
      </c>
      <c r="D48" s="456" t="s">
        <v>245</v>
      </c>
      <c r="E48" s="457"/>
      <c r="F48" s="457"/>
      <c r="G48" s="457"/>
      <c r="H48" s="457" t="s">
        <v>307</v>
      </c>
      <c r="I48" s="457"/>
      <c r="J48" s="457"/>
      <c r="K48" s="457"/>
      <c r="L48" s="457" t="s">
        <v>308</v>
      </c>
      <c r="M48" s="457"/>
      <c r="N48" s="457"/>
      <c r="O48" s="458"/>
      <c r="P48" s="459" t="s">
        <v>284</v>
      </c>
      <c r="Q48" s="457"/>
      <c r="R48" s="457"/>
      <c r="S48" s="457"/>
      <c r="T48" s="457" t="s">
        <v>284</v>
      </c>
      <c r="U48" s="457"/>
      <c r="V48" s="457"/>
      <c r="W48" s="457"/>
      <c r="X48" s="457" t="s">
        <v>253</v>
      </c>
      <c r="Y48" s="457"/>
      <c r="Z48" s="457"/>
      <c r="AA48" s="458"/>
      <c r="AB48" s="459" t="s">
        <v>309</v>
      </c>
      <c r="AC48" s="457"/>
      <c r="AD48" s="457"/>
      <c r="AE48" s="457"/>
      <c r="AF48" s="457" t="s">
        <v>310</v>
      </c>
      <c r="AG48" s="457"/>
      <c r="AH48" s="457"/>
      <c r="AI48" s="457"/>
      <c r="AJ48" s="457" t="s">
        <v>308</v>
      </c>
      <c r="AK48" s="457"/>
      <c r="AL48" s="457"/>
      <c r="AM48" s="457"/>
    </row>
    <row r="49" spans="1:39" ht="18" customHeight="1">
      <c r="B49" s="338"/>
      <c r="C49" s="145" t="s">
        <v>199</v>
      </c>
      <c r="D49" s="448" t="s">
        <v>246</v>
      </c>
      <c r="E49" s="449"/>
      <c r="F49" s="449"/>
      <c r="G49" s="449"/>
      <c r="H49" s="449" t="s">
        <v>311</v>
      </c>
      <c r="I49" s="449"/>
      <c r="J49" s="449"/>
      <c r="K49" s="449"/>
      <c r="L49" s="449" t="s">
        <v>312</v>
      </c>
      <c r="M49" s="449"/>
      <c r="N49" s="449"/>
      <c r="O49" s="450"/>
      <c r="P49" s="451" t="s">
        <v>313</v>
      </c>
      <c r="Q49" s="449"/>
      <c r="R49" s="449"/>
      <c r="S49" s="449"/>
      <c r="T49" s="449" t="s">
        <v>313</v>
      </c>
      <c r="U49" s="449"/>
      <c r="V49" s="449"/>
      <c r="W49" s="449"/>
      <c r="X49" s="449" t="s">
        <v>253</v>
      </c>
      <c r="Y49" s="449"/>
      <c r="Z49" s="449"/>
      <c r="AA49" s="450"/>
      <c r="AB49" s="451" t="s">
        <v>314</v>
      </c>
      <c r="AC49" s="449"/>
      <c r="AD49" s="449"/>
      <c r="AE49" s="449"/>
      <c r="AF49" s="449" t="s">
        <v>315</v>
      </c>
      <c r="AG49" s="449"/>
      <c r="AH49" s="449"/>
      <c r="AI49" s="449"/>
      <c r="AJ49" s="449" t="s">
        <v>312</v>
      </c>
      <c r="AK49" s="449"/>
      <c r="AL49" s="449"/>
      <c r="AM49" s="449"/>
    </row>
    <row r="50" spans="1:39" ht="18" customHeight="1">
      <c r="B50" s="339"/>
      <c r="C50" s="146" t="s">
        <v>200</v>
      </c>
      <c r="D50" s="452" t="s">
        <v>316</v>
      </c>
      <c r="E50" s="453"/>
      <c r="F50" s="453"/>
      <c r="G50" s="453"/>
      <c r="H50" s="453" t="s">
        <v>277</v>
      </c>
      <c r="I50" s="453"/>
      <c r="J50" s="453"/>
      <c r="K50" s="453"/>
      <c r="L50" s="453" t="s">
        <v>263</v>
      </c>
      <c r="M50" s="453"/>
      <c r="N50" s="453"/>
      <c r="O50" s="454"/>
      <c r="P50" s="455" t="s">
        <v>317</v>
      </c>
      <c r="Q50" s="453"/>
      <c r="R50" s="453"/>
      <c r="S50" s="453"/>
      <c r="T50" s="453" t="s">
        <v>317</v>
      </c>
      <c r="U50" s="453"/>
      <c r="V50" s="453"/>
      <c r="W50" s="453"/>
      <c r="X50" s="453" t="s">
        <v>263</v>
      </c>
      <c r="Y50" s="453"/>
      <c r="Z50" s="453"/>
      <c r="AA50" s="454"/>
      <c r="AB50" s="455" t="s">
        <v>318</v>
      </c>
      <c r="AC50" s="453"/>
      <c r="AD50" s="453"/>
      <c r="AE50" s="453"/>
      <c r="AF50" s="453" t="s">
        <v>319</v>
      </c>
      <c r="AG50" s="453"/>
      <c r="AH50" s="453"/>
      <c r="AI50" s="453"/>
      <c r="AJ50" s="453" t="s">
        <v>263</v>
      </c>
      <c r="AK50" s="453"/>
      <c r="AL50" s="453"/>
      <c r="AM50" s="453"/>
    </row>
    <row r="51" spans="1:39" ht="18" customHeight="1">
      <c r="B51" s="254" t="s">
        <v>195</v>
      </c>
      <c r="C51" s="147" t="s">
        <v>198</v>
      </c>
      <c r="D51" s="456" t="s">
        <v>247</v>
      </c>
      <c r="E51" s="457"/>
      <c r="F51" s="457"/>
      <c r="G51" s="457"/>
      <c r="H51" s="457" t="s">
        <v>320</v>
      </c>
      <c r="I51" s="457"/>
      <c r="J51" s="457"/>
      <c r="K51" s="457"/>
      <c r="L51" s="457" t="s">
        <v>297</v>
      </c>
      <c r="M51" s="457"/>
      <c r="N51" s="457"/>
      <c r="O51" s="458"/>
      <c r="P51" s="459" t="s">
        <v>321</v>
      </c>
      <c r="Q51" s="457"/>
      <c r="R51" s="457"/>
      <c r="S51" s="457"/>
      <c r="T51" s="457" t="s">
        <v>321</v>
      </c>
      <c r="U51" s="457"/>
      <c r="V51" s="457"/>
      <c r="W51" s="457"/>
      <c r="X51" s="457" t="s">
        <v>253</v>
      </c>
      <c r="Y51" s="457"/>
      <c r="Z51" s="457"/>
      <c r="AA51" s="458"/>
      <c r="AB51" s="459" t="s">
        <v>322</v>
      </c>
      <c r="AC51" s="457"/>
      <c r="AD51" s="457"/>
      <c r="AE51" s="457"/>
      <c r="AF51" s="457" t="s">
        <v>323</v>
      </c>
      <c r="AG51" s="457"/>
      <c r="AH51" s="457"/>
      <c r="AI51" s="457"/>
      <c r="AJ51" s="457" t="s">
        <v>297</v>
      </c>
      <c r="AK51" s="457"/>
      <c r="AL51" s="457"/>
      <c r="AM51" s="457"/>
    </row>
    <row r="52" spans="1:39" ht="18" customHeight="1">
      <c r="B52" s="338"/>
      <c r="C52" s="145" t="s">
        <v>199</v>
      </c>
      <c r="D52" s="448" t="s">
        <v>247</v>
      </c>
      <c r="E52" s="449"/>
      <c r="F52" s="449"/>
      <c r="G52" s="449"/>
      <c r="H52" s="449" t="s">
        <v>320</v>
      </c>
      <c r="I52" s="449"/>
      <c r="J52" s="449"/>
      <c r="K52" s="449"/>
      <c r="L52" s="449" t="s">
        <v>297</v>
      </c>
      <c r="M52" s="449"/>
      <c r="N52" s="449"/>
      <c r="O52" s="450"/>
      <c r="P52" s="451" t="s">
        <v>324</v>
      </c>
      <c r="Q52" s="449"/>
      <c r="R52" s="449"/>
      <c r="S52" s="449"/>
      <c r="T52" s="449" t="s">
        <v>324</v>
      </c>
      <c r="U52" s="449"/>
      <c r="V52" s="449"/>
      <c r="W52" s="449"/>
      <c r="X52" s="449" t="s">
        <v>253</v>
      </c>
      <c r="Y52" s="449"/>
      <c r="Z52" s="449"/>
      <c r="AA52" s="450"/>
      <c r="AB52" s="451" t="s">
        <v>325</v>
      </c>
      <c r="AC52" s="449"/>
      <c r="AD52" s="449"/>
      <c r="AE52" s="449"/>
      <c r="AF52" s="449" t="s">
        <v>326</v>
      </c>
      <c r="AG52" s="449"/>
      <c r="AH52" s="449"/>
      <c r="AI52" s="449"/>
      <c r="AJ52" s="449" t="s">
        <v>297</v>
      </c>
      <c r="AK52" s="449"/>
      <c r="AL52" s="449"/>
      <c r="AM52" s="449"/>
    </row>
    <row r="53" spans="1:39" ht="18" customHeight="1">
      <c r="B53" s="339"/>
      <c r="C53" s="146" t="s">
        <v>200</v>
      </c>
      <c r="D53" s="461" t="s">
        <v>292</v>
      </c>
      <c r="E53" s="453"/>
      <c r="F53" s="453"/>
      <c r="G53" s="453"/>
      <c r="H53" s="453" t="s">
        <v>292</v>
      </c>
      <c r="I53" s="453"/>
      <c r="J53" s="453"/>
      <c r="K53" s="453"/>
      <c r="L53" s="453" t="s">
        <v>263</v>
      </c>
      <c r="M53" s="453"/>
      <c r="N53" s="453"/>
      <c r="O53" s="454"/>
      <c r="P53" s="455" t="s">
        <v>327</v>
      </c>
      <c r="Q53" s="453"/>
      <c r="R53" s="453"/>
      <c r="S53" s="453"/>
      <c r="T53" s="453" t="s">
        <v>327</v>
      </c>
      <c r="U53" s="453"/>
      <c r="V53" s="453"/>
      <c r="W53" s="453"/>
      <c r="X53" s="453" t="s">
        <v>263</v>
      </c>
      <c r="Y53" s="453"/>
      <c r="Z53" s="453"/>
      <c r="AA53" s="454"/>
      <c r="AB53" s="455" t="s">
        <v>328</v>
      </c>
      <c r="AC53" s="453"/>
      <c r="AD53" s="453"/>
      <c r="AE53" s="453"/>
      <c r="AF53" s="453" t="s">
        <v>329</v>
      </c>
      <c r="AG53" s="453"/>
      <c r="AH53" s="453"/>
      <c r="AI53" s="453"/>
      <c r="AJ53" s="453" t="s">
        <v>263</v>
      </c>
      <c r="AK53" s="453"/>
      <c r="AL53" s="453"/>
      <c r="AM53" s="453"/>
    </row>
    <row r="54" spans="1:39" ht="18" customHeight="1">
      <c r="B54" s="251" t="s">
        <v>237</v>
      </c>
      <c r="C54" s="148" t="s">
        <v>198</v>
      </c>
      <c r="D54" s="456" t="s">
        <v>248</v>
      </c>
      <c r="E54" s="457"/>
      <c r="F54" s="457"/>
      <c r="G54" s="457"/>
      <c r="H54" s="457" t="s">
        <v>330</v>
      </c>
      <c r="I54" s="457"/>
      <c r="J54" s="457"/>
      <c r="K54" s="457"/>
      <c r="L54" s="457" t="s">
        <v>331</v>
      </c>
      <c r="M54" s="457"/>
      <c r="N54" s="457"/>
      <c r="O54" s="458"/>
      <c r="P54" s="459" t="s">
        <v>332</v>
      </c>
      <c r="Q54" s="457"/>
      <c r="R54" s="457"/>
      <c r="S54" s="457"/>
      <c r="T54" s="457" t="s">
        <v>332</v>
      </c>
      <c r="U54" s="457"/>
      <c r="V54" s="457"/>
      <c r="W54" s="457"/>
      <c r="X54" s="457" t="s">
        <v>253</v>
      </c>
      <c r="Y54" s="457"/>
      <c r="Z54" s="457"/>
      <c r="AA54" s="458"/>
      <c r="AB54" s="459" t="s">
        <v>333</v>
      </c>
      <c r="AC54" s="457"/>
      <c r="AD54" s="457"/>
      <c r="AE54" s="457"/>
      <c r="AF54" s="457" t="s">
        <v>334</v>
      </c>
      <c r="AG54" s="457"/>
      <c r="AH54" s="457"/>
      <c r="AI54" s="457"/>
      <c r="AJ54" s="457" t="s">
        <v>331</v>
      </c>
      <c r="AK54" s="457"/>
      <c r="AL54" s="457"/>
      <c r="AM54" s="457"/>
    </row>
    <row r="55" spans="1:39" ht="18" customHeight="1">
      <c r="B55" s="340"/>
      <c r="C55" s="145" t="s">
        <v>199</v>
      </c>
      <c r="D55" s="448" t="s">
        <v>248</v>
      </c>
      <c r="E55" s="449"/>
      <c r="F55" s="449"/>
      <c r="G55" s="449"/>
      <c r="H55" s="449" t="s">
        <v>330</v>
      </c>
      <c r="I55" s="449"/>
      <c r="J55" s="449"/>
      <c r="K55" s="449"/>
      <c r="L55" s="449" t="s">
        <v>331</v>
      </c>
      <c r="M55" s="449"/>
      <c r="N55" s="449"/>
      <c r="O55" s="450"/>
      <c r="P55" s="451" t="s">
        <v>335</v>
      </c>
      <c r="Q55" s="449"/>
      <c r="R55" s="449"/>
      <c r="S55" s="449"/>
      <c r="T55" s="449" t="s">
        <v>335</v>
      </c>
      <c r="U55" s="449"/>
      <c r="V55" s="449"/>
      <c r="W55" s="449"/>
      <c r="X55" s="449" t="s">
        <v>253</v>
      </c>
      <c r="Y55" s="449"/>
      <c r="Z55" s="449"/>
      <c r="AA55" s="450"/>
      <c r="AB55" s="451" t="s">
        <v>336</v>
      </c>
      <c r="AC55" s="449"/>
      <c r="AD55" s="449"/>
      <c r="AE55" s="449"/>
      <c r="AF55" s="449" t="s">
        <v>337</v>
      </c>
      <c r="AG55" s="449"/>
      <c r="AH55" s="449"/>
      <c r="AI55" s="449"/>
      <c r="AJ55" s="449" t="s">
        <v>331</v>
      </c>
      <c r="AK55" s="449"/>
      <c r="AL55" s="449"/>
      <c r="AM55" s="449"/>
    </row>
    <row r="56" spans="1:39" ht="18" customHeight="1">
      <c r="B56" s="341"/>
      <c r="C56" s="146" t="s">
        <v>200</v>
      </c>
      <c r="D56" s="448" t="s">
        <v>292</v>
      </c>
      <c r="E56" s="449"/>
      <c r="F56" s="449"/>
      <c r="G56" s="449"/>
      <c r="H56" s="449" t="s">
        <v>292</v>
      </c>
      <c r="I56" s="449"/>
      <c r="J56" s="449"/>
      <c r="K56" s="449"/>
      <c r="L56" s="449" t="s">
        <v>263</v>
      </c>
      <c r="M56" s="449"/>
      <c r="N56" s="449"/>
      <c r="O56" s="450"/>
      <c r="P56" s="451" t="s">
        <v>338</v>
      </c>
      <c r="Q56" s="449"/>
      <c r="R56" s="449"/>
      <c r="S56" s="449"/>
      <c r="T56" s="449" t="s">
        <v>338</v>
      </c>
      <c r="U56" s="449"/>
      <c r="V56" s="449"/>
      <c r="W56" s="449"/>
      <c r="X56" s="449" t="s">
        <v>263</v>
      </c>
      <c r="Y56" s="449"/>
      <c r="Z56" s="449"/>
      <c r="AA56" s="450"/>
      <c r="AB56" s="451" t="s">
        <v>339</v>
      </c>
      <c r="AC56" s="449"/>
      <c r="AD56" s="449"/>
      <c r="AE56" s="449"/>
      <c r="AF56" s="449" t="s">
        <v>340</v>
      </c>
      <c r="AG56" s="449"/>
      <c r="AH56" s="449"/>
      <c r="AI56" s="449"/>
      <c r="AJ56" s="449" t="s">
        <v>263</v>
      </c>
      <c r="AK56" s="449"/>
      <c r="AL56" s="449"/>
      <c r="AM56" s="449"/>
    </row>
    <row r="57" spans="1:39" ht="18" customHeight="1">
      <c r="B57" s="173" t="s">
        <v>5</v>
      </c>
      <c r="C57" s="328"/>
      <c r="D57" s="154" t="s">
        <v>116</v>
      </c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6"/>
    </row>
    <row r="58" spans="1:39" ht="18" customHeight="1">
      <c r="B58" s="173" t="s">
        <v>117</v>
      </c>
      <c r="C58" s="328"/>
      <c r="D58" s="154" t="s">
        <v>118</v>
      </c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6"/>
    </row>
    <row r="59" spans="1:39" ht="18" customHeight="1">
      <c r="AA59" s="54"/>
      <c r="AB59" s="54"/>
      <c r="AC59" s="54"/>
      <c r="AD59" s="54"/>
      <c r="AE59" s="54"/>
      <c r="AF59" s="54"/>
      <c r="AG59" s="54"/>
      <c r="AH59" s="54"/>
      <c r="AI59" s="143"/>
      <c r="AJ59" s="143"/>
      <c r="AK59" s="143"/>
      <c r="AL59" s="143"/>
      <c r="AM59" s="143"/>
    </row>
    <row r="60" spans="1:39" ht="18" customHeight="1">
      <c r="A60" s="50" t="s">
        <v>203</v>
      </c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90"/>
      <c r="AJ60" s="90"/>
      <c r="AK60" s="143"/>
      <c r="AL60" s="143"/>
      <c r="AM60" s="90"/>
    </row>
    <row r="61" spans="1:39" ht="18" customHeight="1">
      <c r="B61" s="331" t="s">
        <v>197</v>
      </c>
      <c r="C61" s="333" t="s">
        <v>201</v>
      </c>
      <c r="D61" s="228" t="s">
        <v>207</v>
      </c>
      <c r="E61" s="195"/>
      <c r="F61" s="195"/>
      <c r="G61" s="195"/>
      <c r="H61" s="195"/>
      <c r="I61" s="195"/>
      <c r="J61" s="195"/>
      <c r="K61" s="195"/>
      <c r="L61" s="173"/>
      <c r="M61" s="195" t="s">
        <v>136</v>
      </c>
      <c r="N61" s="195"/>
      <c r="O61" s="195"/>
      <c r="P61" s="195"/>
      <c r="Q61" s="195"/>
      <c r="R61" s="195"/>
      <c r="S61" s="195"/>
      <c r="T61" s="195"/>
      <c r="U61" s="195"/>
      <c r="V61" s="161" t="s">
        <v>208</v>
      </c>
      <c r="W61" s="195"/>
      <c r="X61" s="195"/>
      <c r="Y61" s="195"/>
      <c r="Z61" s="195"/>
      <c r="AA61" s="195"/>
      <c r="AB61" s="195"/>
      <c r="AC61" s="195"/>
      <c r="AD61" s="173"/>
      <c r="AE61" s="195" t="s">
        <v>209</v>
      </c>
      <c r="AF61" s="195"/>
      <c r="AG61" s="195"/>
      <c r="AH61" s="195"/>
      <c r="AI61" s="195"/>
      <c r="AJ61" s="195"/>
      <c r="AK61" s="195"/>
      <c r="AL61" s="195"/>
      <c r="AM61" s="195"/>
    </row>
    <row r="62" spans="1:39" ht="18" customHeight="1" thickBot="1">
      <c r="B62" s="332"/>
      <c r="C62" s="334"/>
      <c r="D62" s="226" t="s">
        <v>226</v>
      </c>
      <c r="E62" s="227"/>
      <c r="F62" s="227"/>
      <c r="G62" s="229" t="s">
        <v>192</v>
      </c>
      <c r="H62" s="229"/>
      <c r="I62" s="229"/>
      <c r="J62" s="229" t="s">
        <v>225</v>
      </c>
      <c r="K62" s="229"/>
      <c r="L62" s="231"/>
      <c r="M62" s="227" t="s">
        <v>226</v>
      </c>
      <c r="N62" s="227"/>
      <c r="O62" s="227"/>
      <c r="P62" s="229" t="s">
        <v>192</v>
      </c>
      <c r="Q62" s="229"/>
      <c r="R62" s="229"/>
      <c r="S62" s="229" t="s">
        <v>225</v>
      </c>
      <c r="T62" s="229"/>
      <c r="U62" s="229"/>
      <c r="V62" s="230" t="s">
        <v>226</v>
      </c>
      <c r="W62" s="227"/>
      <c r="X62" s="227"/>
      <c r="Y62" s="229" t="s">
        <v>192</v>
      </c>
      <c r="Z62" s="229"/>
      <c r="AA62" s="229"/>
      <c r="AB62" s="229" t="s">
        <v>225</v>
      </c>
      <c r="AC62" s="229"/>
      <c r="AD62" s="231"/>
      <c r="AE62" s="227" t="s">
        <v>226</v>
      </c>
      <c r="AF62" s="227"/>
      <c r="AG62" s="227"/>
      <c r="AH62" s="229" t="s">
        <v>192</v>
      </c>
      <c r="AI62" s="229"/>
      <c r="AJ62" s="229"/>
      <c r="AK62" s="229" t="s">
        <v>225</v>
      </c>
      <c r="AL62" s="229"/>
      <c r="AM62" s="229"/>
    </row>
    <row r="63" spans="1:39" ht="18" customHeight="1" thickTop="1">
      <c r="B63" s="335" t="s">
        <v>181</v>
      </c>
      <c r="C63" s="144" t="s">
        <v>198</v>
      </c>
      <c r="D63" s="225"/>
      <c r="E63" s="223"/>
      <c r="F63" s="223"/>
      <c r="G63" s="221"/>
      <c r="H63" s="221"/>
      <c r="I63" s="221"/>
      <c r="J63" s="221"/>
      <c r="K63" s="221"/>
      <c r="L63" s="224"/>
      <c r="M63" s="223"/>
      <c r="N63" s="223"/>
      <c r="O63" s="223"/>
      <c r="P63" s="221"/>
      <c r="Q63" s="221"/>
      <c r="R63" s="221"/>
      <c r="S63" s="221"/>
      <c r="T63" s="221"/>
      <c r="U63" s="221"/>
      <c r="V63" s="222"/>
      <c r="W63" s="223"/>
      <c r="X63" s="223"/>
      <c r="Y63" s="221"/>
      <c r="Z63" s="221"/>
      <c r="AA63" s="221"/>
      <c r="AB63" s="221"/>
      <c r="AC63" s="221"/>
      <c r="AD63" s="224"/>
      <c r="AE63" s="223"/>
      <c r="AF63" s="223"/>
      <c r="AG63" s="223"/>
      <c r="AH63" s="221"/>
      <c r="AI63" s="221"/>
      <c r="AJ63" s="221"/>
      <c r="AK63" s="221"/>
      <c r="AL63" s="221"/>
      <c r="AM63" s="221"/>
    </row>
    <row r="64" spans="1:39" ht="18" customHeight="1">
      <c r="B64" s="336"/>
      <c r="C64" s="145" t="s">
        <v>114</v>
      </c>
      <c r="D64" s="215"/>
      <c r="E64" s="213"/>
      <c r="F64" s="213"/>
      <c r="G64" s="206"/>
      <c r="H64" s="206"/>
      <c r="I64" s="206"/>
      <c r="J64" s="206"/>
      <c r="K64" s="206"/>
      <c r="L64" s="214"/>
      <c r="M64" s="213"/>
      <c r="N64" s="213"/>
      <c r="O64" s="213"/>
      <c r="P64" s="206"/>
      <c r="Q64" s="206"/>
      <c r="R64" s="206"/>
      <c r="S64" s="206"/>
      <c r="T64" s="206"/>
      <c r="U64" s="206"/>
      <c r="V64" s="212"/>
      <c r="W64" s="213"/>
      <c r="X64" s="213"/>
      <c r="Y64" s="206"/>
      <c r="Z64" s="206"/>
      <c r="AA64" s="206"/>
      <c r="AB64" s="206"/>
      <c r="AC64" s="206"/>
      <c r="AD64" s="214"/>
      <c r="AE64" s="213"/>
      <c r="AF64" s="213"/>
      <c r="AG64" s="213"/>
      <c r="AH64" s="206"/>
      <c r="AI64" s="206"/>
      <c r="AJ64" s="206"/>
      <c r="AK64" s="206"/>
      <c r="AL64" s="206"/>
      <c r="AM64" s="206"/>
    </row>
    <row r="65" spans="1:40" ht="18" customHeight="1">
      <c r="B65" s="337"/>
      <c r="C65" s="146" t="s">
        <v>200</v>
      </c>
      <c r="D65" s="207"/>
      <c r="E65" s="208"/>
      <c r="F65" s="208"/>
      <c r="G65" s="209"/>
      <c r="H65" s="209"/>
      <c r="I65" s="209"/>
      <c r="J65" s="209"/>
      <c r="K65" s="209"/>
      <c r="L65" s="210"/>
      <c r="M65" s="208"/>
      <c r="N65" s="208"/>
      <c r="O65" s="208"/>
      <c r="P65" s="209"/>
      <c r="Q65" s="209"/>
      <c r="R65" s="209"/>
      <c r="S65" s="209"/>
      <c r="T65" s="209"/>
      <c r="U65" s="209"/>
      <c r="V65" s="211"/>
      <c r="W65" s="208"/>
      <c r="X65" s="208"/>
      <c r="Y65" s="209"/>
      <c r="Z65" s="209"/>
      <c r="AA65" s="209"/>
      <c r="AB65" s="209"/>
      <c r="AC65" s="209"/>
      <c r="AD65" s="210"/>
      <c r="AE65" s="208"/>
      <c r="AF65" s="208"/>
      <c r="AG65" s="208"/>
      <c r="AH65" s="209"/>
      <c r="AI65" s="209"/>
      <c r="AJ65" s="209"/>
      <c r="AK65" s="209"/>
      <c r="AL65" s="209"/>
      <c r="AM65" s="209"/>
    </row>
    <row r="66" spans="1:40" ht="18" customHeight="1">
      <c r="B66" s="254" t="s">
        <v>205</v>
      </c>
      <c r="C66" s="147" t="s">
        <v>198</v>
      </c>
      <c r="D66" s="220"/>
      <c r="E66" s="218"/>
      <c r="F66" s="218"/>
      <c r="G66" s="216"/>
      <c r="H66" s="216"/>
      <c r="I66" s="216"/>
      <c r="J66" s="216"/>
      <c r="K66" s="216"/>
      <c r="L66" s="217"/>
      <c r="M66" s="218"/>
      <c r="N66" s="218"/>
      <c r="O66" s="218"/>
      <c r="P66" s="216"/>
      <c r="Q66" s="216"/>
      <c r="R66" s="216"/>
      <c r="S66" s="216"/>
      <c r="T66" s="216"/>
      <c r="U66" s="216"/>
      <c r="V66" s="219"/>
      <c r="W66" s="218"/>
      <c r="X66" s="218"/>
      <c r="Y66" s="216"/>
      <c r="Z66" s="216"/>
      <c r="AA66" s="216"/>
      <c r="AB66" s="216"/>
      <c r="AC66" s="216"/>
      <c r="AD66" s="217"/>
      <c r="AE66" s="218"/>
      <c r="AF66" s="218"/>
      <c r="AG66" s="218"/>
      <c r="AH66" s="216"/>
      <c r="AI66" s="216"/>
      <c r="AJ66" s="216"/>
      <c r="AK66" s="216"/>
      <c r="AL66" s="216"/>
      <c r="AM66" s="216"/>
      <c r="AN66" s="74"/>
    </row>
    <row r="67" spans="1:40" ht="18" customHeight="1">
      <c r="B67" s="338"/>
      <c r="C67" s="145" t="s">
        <v>114</v>
      </c>
      <c r="D67" s="215"/>
      <c r="E67" s="213"/>
      <c r="F67" s="213"/>
      <c r="G67" s="206"/>
      <c r="H67" s="206"/>
      <c r="I67" s="206"/>
      <c r="J67" s="206"/>
      <c r="K67" s="206"/>
      <c r="L67" s="214"/>
      <c r="M67" s="213"/>
      <c r="N67" s="213"/>
      <c r="O67" s="213"/>
      <c r="P67" s="206"/>
      <c r="Q67" s="206"/>
      <c r="R67" s="206"/>
      <c r="S67" s="206"/>
      <c r="T67" s="206"/>
      <c r="U67" s="206"/>
      <c r="V67" s="212"/>
      <c r="W67" s="213"/>
      <c r="X67" s="213"/>
      <c r="Y67" s="206"/>
      <c r="Z67" s="206"/>
      <c r="AA67" s="206"/>
      <c r="AB67" s="206"/>
      <c r="AC67" s="206"/>
      <c r="AD67" s="214"/>
      <c r="AE67" s="213"/>
      <c r="AF67" s="213"/>
      <c r="AG67" s="213"/>
      <c r="AH67" s="206"/>
      <c r="AI67" s="206"/>
      <c r="AJ67" s="206"/>
      <c r="AK67" s="206"/>
      <c r="AL67" s="206"/>
      <c r="AM67" s="206"/>
      <c r="AN67" s="74"/>
    </row>
    <row r="68" spans="1:40" ht="18" customHeight="1">
      <c r="B68" s="339"/>
      <c r="C68" s="146" t="s">
        <v>200</v>
      </c>
      <c r="D68" s="207"/>
      <c r="E68" s="208"/>
      <c r="F68" s="208"/>
      <c r="G68" s="209"/>
      <c r="H68" s="209"/>
      <c r="I68" s="209"/>
      <c r="J68" s="209"/>
      <c r="K68" s="209"/>
      <c r="L68" s="210"/>
      <c r="M68" s="208"/>
      <c r="N68" s="208"/>
      <c r="O68" s="208"/>
      <c r="P68" s="209"/>
      <c r="Q68" s="209"/>
      <c r="R68" s="209"/>
      <c r="S68" s="209"/>
      <c r="T68" s="209"/>
      <c r="U68" s="209"/>
      <c r="V68" s="211"/>
      <c r="W68" s="208"/>
      <c r="X68" s="208"/>
      <c r="Y68" s="209"/>
      <c r="Z68" s="209"/>
      <c r="AA68" s="209"/>
      <c r="AB68" s="209"/>
      <c r="AC68" s="209"/>
      <c r="AD68" s="210"/>
      <c r="AE68" s="208"/>
      <c r="AF68" s="208"/>
      <c r="AG68" s="208"/>
      <c r="AH68" s="209"/>
      <c r="AI68" s="209"/>
      <c r="AJ68" s="209"/>
      <c r="AK68" s="209"/>
      <c r="AL68" s="209"/>
      <c r="AM68" s="209"/>
      <c r="AN68" s="74"/>
    </row>
    <row r="69" spans="1:40" ht="18" customHeight="1"/>
    <row r="70" spans="1:40" ht="18" customHeight="1">
      <c r="A70" s="50" t="s">
        <v>212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</row>
    <row r="71" spans="1:40" ht="18" customHeight="1">
      <c r="A71" s="51"/>
      <c r="B71" s="173" t="s">
        <v>1</v>
      </c>
      <c r="C71" s="328"/>
      <c r="D71" s="159" t="s">
        <v>2</v>
      </c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1"/>
    </row>
    <row r="72" spans="1:40" ht="18" customHeight="1">
      <c r="A72" s="51"/>
      <c r="B72" s="329" t="s">
        <v>142</v>
      </c>
      <c r="C72" s="330"/>
      <c r="D72" s="151" t="s">
        <v>148</v>
      </c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3"/>
    </row>
    <row r="73" spans="1:40" ht="18" customHeight="1">
      <c r="A73" s="51"/>
      <c r="B73" s="329" t="s">
        <v>143</v>
      </c>
      <c r="C73" s="330"/>
      <c r="D73" s="151" t="s">
        <v>149</v>
      </c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3"/>
    </row>
    <row r="74" spans="1:40" ht="18" customHeight="1">
      <c r="A74" s="51"/>
      <c r="B74" s="329" t="s">
        <v>119</v>
      </c>
      <c r="C74" s="330"/>
      <c r="D74" s="151" t="s">
        <v>150</v>
      </c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3"/>
    </row>
    <row r="75" spans="1:40" ht="18" customHeight="1">
      <c r="A75" s="51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</row>
    <row r="76" spans="1:40" ht="18" customHeight="1">
      <c r="A76" s="50" t="s">
        <v>213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</row>
    <row r="77" spans="1:40" ht="18" customHeight="1">
      <c r="A77" s="51"/>
      <c r="B77" s="52" t="s">
        <v>121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</row>
    <row r="78" spans="1:40" ht="18" customHeight="1">
      <c r="A78" s="51"/>
      <c r="B78" s="52" t="s">
        <v>122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</row>
    <row r="79" spans="1:40" ht="18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63"/>
      <c r="AE79" s="63"/>
      <c r="AF79" s="51"/>
      <c r="AG79" s="51"/>
      <c r="AH79" s="51"/>
      <c r="AI79" s="51"/>
      <c r="AJ79" s="51"/>
      <c r="AK79" s="51"/>
      <c r="AL79" s="51"/>
      <c r="AM79" s="63" t="s">
        <v>3</v>
      </c>
    </row>
  </sheetData>
  <mergeCells count="467">
    <mergeCell ref="P44:S44"/>
    <mergeCell ref="T44:W44"/>
    <mergeCell ref="X44:AA44"/>
    <mergeCell ref="AB44:AE44"/>
    <mergeCell ref="AF44:AI44"/>
    <mergeCell ref="AJ44:AM44"/>
    <mergeCell ref="AF41:AI41"/>
    <mergeCell ref="AJ41:AM41"/>
    <mergeCell ref="B42:B44"/>
    <mergeCell ref="D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D43:G43"/>
    <mergeCell ref="H43:K43"/>
    <mergeCell ref="L43:O43"/>
    <mergeCell ref="P43:S43"/>
    <mergeCell ref="T43:W43"/>
    <mergeCell ref="X43:AA43"/>
    <mergeCell ref="AB43:AE43"/>
    <mergeCell ref="AF43:AI43"/>
    <mergeCell ref="AJ43:AM43"/>
    <mergeCell ref="D44:G44"/>
    <mergeCell ref="H44:K44"/>
    <mergeCell ref="L44:O44"/>
    <mergeCell ref="B39:B41"/>
    <mergeCell ref="D39:G39"/>
    <mergeCell ref="H39:K39"/>
    <mergeCell ref="L39:O39"/>
    <mergeCell ref="P39:S39"/>
    <mergeCell ref="T39:W39"/>
    <mergeCell ref="X39:AA39"/>
    <mergeCell ref="AB39:AE39"/>
    <mergeCell ref="AF39:AI39"/>
    <mergeCell ref="D40:G40"/>
    <mergeCell ref="H40:K40"/>
    <mergeCell ref="L40:O40"/>
    <mergeCell ref="P40:S40"/>
    <mergeCell ref="T40:W40"/>
    <mergeCell ref="X40:AA40"/>
    <mergeCell ref="AB40:AE40"/>
    <mergeCell ref="AF40:AI40"/>
    <mergeCell ref="D41:G41"/>
    <mergeCell ref="H41:K41"/>
    <mergeCell ref="L41:O41"/>
    <mergeCell ref="P41:S41"/>
    <mergeCell ref="T41:W41"/>
    <mergeCell ref="X41:AA41"/>
    <mergeCell ref="AB41:AE41"/>
    <mergeCell ref="B45:B47"/>
    <mergeCell ref="D45:G45"/>
    <mergeCell ref="H45:K45"/>
    <mergeCell ref="L45:O45"/>
    <mergeCell ref="P45:S45"/>
    <mergeCell ref="T45:W45"/>
    <mergeCell ref="X45:AA45"/>
    <mergeCell ref="AB45:AE45"/>
    <mergeCell ref="AF45:AI45"/>
    <mergeCell ref="D46:G46"/>
    <mergeCell ref="H46:K46"/>
    <mergeCell ref="L46:O46"/>
    <mergeCell ref="P46:S46"/>
    <mergeCell ref="T46:W46"/>
    <mergeCell ref="X46:AA46"/>
    <mergeCell ref="AB46:AE46"/>
    <mergeCell ref="AF46:AI46"/>
    <mergeCell ref="D47:G47"/>
    <mergeCell ref="H47:K47"/>
    <mergeCell ref="L47:O47"/>
    <mergeCell ref="P47:S47"/>
    <mergeCell ref="T47:W47"/>
    <mergeCell ref="X47:AA47"/>
    <mergeCell ref="AB47:AE47"/>
    <mergeCell ref="B12:C12"/>
    <mergeCell ref="B16:C17"/>
    <mergeCell ref="B58:C58"/>
    <mergeCell ref="B57:C57"/>
    <mergeCell ref="B74:C74"/>
    <mergeCell ref="B73:C73"/>
    <mergeCell ref="B72:C72"/>
    <mergeCell ref="B71:C71"/>
    <mergeCell ref="B61:B62"/>
    <mergeCell ref="C61:C62"/>
    <mergeCell ref="B63:B65"/>
    <mergeCell ref="B66:B68"/>
    <mergeCell ref="B19:C19"/>
    <mergeCell ref="B18:C18"/>
    <mergeCell ref="B15:C15"/>
    <mergeCell ref="B14:C14"/>
    <mergeCell ref="B51:B53"/>
    <mergeCell ref="B54:B56"/>
    <mergeCell ref="B34:B35"/>
    <mergeCell ref="B36:B38"/>
    <mergeCell ref="B48:B50"/>
    <mergeCell ref="B30:B31"/>
    <mergeCell ref="B28:B29"/>
    <mergeCell ref="C34:C35"/>
    <mergeCell ref="I24:AM24"/>
    <mergeCell ref="X23:AD23"/>
    <mergeCell ref="B24:C24"/>
    <mergeCell ref="B21:C21"/>
    <mergeCell ref="B20:C20"/>
    <mergeCell ref="B27:C27"/>
    <mergeCell ref="B26:C26"/>
    <mergeCell ref="B25:C25"/>
    <mergeCell ref="D14:F14"/>
    <mergeCell ref="G14:I14"/>
    <mergeCell ref="M15:O15"/>
    <mergeCell ref="P15:R15"/>
    <mergeCell ref="Y14:AA14"/>
    <mergeCell ref="AB14:AD14"/>
    <mergeCell ref="AE14:AG14"/>
    <mergeCell ref="AH14:AJ14"/>
    <mergeCell ref="AK14:AM14"/>
    <mergeCell ref="J14:L14"/>
    <mergeCell ref="M14:O14"/>
    <mergeCell ref="P14:R14"/>
    <mergeCell ref="S14:U14"/>
    <mergeCell ref="V14:X14"/>
    <mergeCell ref="AH15:AJ15"/>
    <mergeCell ref="AK15:AM15"/>
    <mergeCell ref="B13:C13"/>
    <mergeCell ref="AE11:AG11"/>
    <mergeCell ref="AH11:AJ11"/>
    <mergeCell ref="AK11:AM11"/>
    <mergeCell ref="D10:U10"/>
    <mergeCell ref="V10:AM10"/>
    <mergeCell ref="A2:AM2"/>
    <mergeCell ref="A4:AM4"/>
    <mergeCell ref="A8:AA8"/>
    <mergeCell ref="AF9:AM9"/>
    <mergeCell ref="B10:C11"/>
    <mergeCell ref="G11:I11"/>
    <mergeCell ref="D11:F11"/>
    <mergeCell ref="J11:L11"/>
    <mergeCell ref="M11:O11"/>
    <mergeCell ref="P11:R11"/>
    <mergeCell ref="S11:U11"/>
    <mergeCell ref="V11:X11"/>
    <mergeCell ref="Y11:AA11"/>
    <mergeCell ref="AB11:AD11"/>
    <mergeCell ref="AH12:AJ12"/>
    <mergeCell ref="AK12:AM12"/>
    <mergeCell ref="D13:F13"/>
    <mergeCell ref="G13:I13"/>
    <mergeCell ref="AK13:AM13"/>
    <mergeCell ref="S12:U12"/>
    <mergeCell ref="V12:X12"/>
    <mergeCell ref="Y12:AA12"/>
    <mergeCell ref="AB12:AD12"/>
    <mergeCell ref="AE12:AG12"/>
    <mergeCell ref="D12:F12"/>
    <mergeCell ref="G12:I12"/>
    <mergeCell ref="J12:L12"/>
    <mergeCell ref="M12:O12"/>
    <mergeCell ref="P12:R12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S15:U15"/>
    <mergeCell ref="V15:X15"/>
    <mergeCell ref="Y15:AA15"/>
    <mergeCell ref="AB15:AD15"/>
    <mergeCell ref="AE15:AG15"/>
    <mergeCell ref="D15:F15"/>
    <mergeCell ref="G15:I15"/>
    <mergeCell ref="J15:L15"/>
    <mergeCell ref="AH18:AJ18"/>
    <mergeCell ref="D16:U16"/>
    <mergeCell ref="V16:AM16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K18:AM18"/>
    <mergeCell ref="D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S18:U18"/>
    <mergeCell ref="V18:X18"/>
    <mergeCell ref="Y18:AA18"/>
    <mergeCell ref="AB18:AD18"/>
    <mergeCell ref="AE18:AG18"/>
    <mergeCell ref="D18:F18"/>
    <mergeCell ref="G18:I18"/>
    <mergeCell ref="J18:L18"/>
    <mergeCell ref="M18:O18"/>
    <mergeCell ref="P18:R18"/>
    <mergeCell ref="AH20:AJ20"/>
    <mergeCell ref="AK20:AM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S20:U20"/>
    <mergeCell ref="V20:X20"/>
    <mergeCell ref="Y20:AA20"/>
    <mergeCell ref="AB20:AD20"/>
    <mergeCell ref="AE20:AG20"/>
    <mergeCell ref="D20:F20"/>
    <mergeCell ref="G20:I20"/>
    <mergeCell ref="J20:L20"/>
    <mergeCell ref="M20:O20"/>
    <mergeCell ref="P20:R20"/>
    <mergeCell ref="D26:AM26"/>
    <mergeCell ref="D25:AM25"/>
    <mergeCell ref="D34:O34"/>
    <mergeCell ref="P34:AA34"/>
    <mergeCell ref="AB34:AM34"/>
    <mergeCell ref="D31:AM31"/>
    <mergeCell ref="D30:AM30"/>
    <mergeCell ref="D29:AM29"/>
    <mergeCell ref="D28:AM28"/>
    <mergeCell ref="D27:AM27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X36:AA36"/>
    <mergeCell ref="AB36:AE36"/>
    <mergeCell ref="AF36:AI36"/>
    <mergeCell ref="AJ36:AM36"/>
    <mergeCell ref="D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D36:G36"/>
    <mergeCell ref="H36:K36"/>
    <mergeCell ref="L36:O36"/>
    <mergeCell ref="P36:S36"/>
    <mergeCell ref="T36:W36"/>
    <mergeCell ref="X38:AA38"/>
    <mergeCell ref="AB38:AE38"/>
    <mergeCell ref="AF38:AI38"/>
    <mergeCell ref="AJ38:AM38"/>
    <mergeCell ref="D48:G48"/>
    <mergeCell ref="H48:K48"/>
    <mergeCell ref="L48:O48"/>
    <mergeCell ref="P48:S48"/>
    <mergeCell ref="T48:W48"/>
    <mergeCell ref="X48:AA48"/>
    <mergeCell ref="AB48:AE48"/>
    <mergeCell ref="AF48:AI48"/>
    <mergeCell ref="AJ48:AM48"/>
    <mergeCell ref="D38:G38"/>
    <mergeCell ref="H38:K38"/>
    <mergeCell ref="L38:O38"/>
    <mergeCell ref="P38:S38"/>
    <mergeCell ref="T38:W38"/>
    <mergeCell ref="AJ45:AM45"/>
    <mergeCell ref="AJ46:AM46"/>
    <mergeCell ref="AF47:AI47"/>
    <mergeCell ref="AJ47:AM47"/>
    <mergeCell ref="AJ39:AM39"/>
    <mergeCell ref="AJ40:AM40"/>
    <mergeCell ref="X49:AA49"/>
    <mergeCell ref="AB49:AE49"/>
    <mergeCell ref="AF49:AI49"/>
    <mergeCell ref="AJ49:AM49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D49:G49"/>
    <mergeCell ref="H49:K49"/>
    <mergeCell ref="L49:O49"/>
    <mergeCell ref="P49:S49"/>
    <mergeCell ref="T49:W49"/>
    <mergeCell ref="X51:AA51"/>
    <mergeCell ref="AB51:AE51"/>
    <mergeCell ref="AF51:AI51"/>
    <mergeCell ref="AJ51:AM51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D51:G51"/>
    <mergeCell ref="H51:K51"/>
    <mergeCell ref="L51:O51"/>
    <mergeCell ref="P51:S51"/>
    <mergeCell ref="T51:W51"/>
    <mergeCell ref="X53:AA53"/>
    <mergeCell ref="AB53:AE53"/>
    <mergeCell ref="AF53:AI53"/>
    <mergeCell ref="AJ53:AM53"/>
    <mergeCell ref="D54:G54"/>
    <mergeCell ref="H54:K54"/>
    <mergeCell ref="L54:O54"/>
    <mergeCell ref="P54:S54"/>
    <mergeCell ref="T54:W54"/>
    <mergeCell ref="X54:AA54"/>
    <mergeCell ref="AB54:AE54"/>
    <mergeCell ref="AF54:AI54"/>
    <mergeCell ref="AJ54:AM54"/>
    <mergeCell ref="D53:G53"/>
    <mergeCell ref="H53:K53"/>
    <mergeCell ref="L53:O53"/>
    <mergeCell ref="P53:S53"/>
    <mergeCell ref="T53:W53"/>
    <mergeCell ref="X55:AA55"/>
    <mergeCell ref="AB55:AE55"/>
    <mergeCell ref="AF55:AI55"/>
    <mergeCell ref="AJ55:AM55"/>
    <mergeCell ref="D56:G56"/>
    <mergeCell ref="H56:K56"/>
    <mergeCell ref="L56:O56"/>
    <mergeCell ref="P56:S56"/>
    <mergeCell ref="T56:W56"/>
    <mergeCell ref="X56:AA56"/>
    <mergeCell ref="AB56:AE56"/>
    <mergeCell ref="AF56:AI56"/>
    <mergeCell ref="AJ56:AM56"/>
    <mergeCell ref="D55:G55"/>
    <mergeCell ref="H55:K55"/>
    <mergeCell ref="L55:O55"/>
    <mergeCell ref="P55:S55"/>
    <mergeCell ref="T55:W55"/>
    <mergeCell ref="D62:F62"/>
    <mergeCell ref="D61:L61"/>
    <mergeCell ref="M61:U61"/>
    <mergeCell ref="V61:AD61"/>
    <mergeCell ref="AE61:AM61"/>
    <mergeCell ref="M62:O62"/>
    <mergeCell ref="P62:R62"/>
    <mergeCell ref="S62:U62"/>
    <mergeCell ref="V62:X62"/>
    <mergeCell ref="Y62:AA62"/>
    <mergeCell ref="AB62:AD62"/>
    <mergeCell ref="AE62:AG62"/>
    <mergeCell ref="AH62:AJ62"/>
    <mergeCell ref="AK62:AM62"/>
    <mergeCell ref="J62:L62"/>
    <mergeCell ref="G62:I62"/>
    <mergeCell ref="AH63:AJ63"/>
    <mergeCell ref="AK63:AM63"/>
    <mergeCell ref="D64:F64"/>
    <mergeCell ref="G64:I64"/>
    <mergeCell ref="J64:L64"/>
    <mergeCell ref="M64:O64"/>
    <mergeCell ref="P64:R64"/>
    <mergeCell ref="S64:U64"/>
    <mergeCell ref="V64:X64"/>
    <mergeCell ref="Y64:AA64"/>
    <mergeCell ref="AB64:AD64"/>
    <mergeCell ref="AE64:AG64"/>
    <mergeCell ref="AH64:AJ64"/>
    <mergeCell ref="AK64:AM64"/>
    <mergeCell ref="S63:U63"/>
    <mergeCell ref="V63:X63"/>
    <mergeCell ref="Y63:AA63"/>
    <mergeCell ref="AB63:AD63"/>
    <mergeCell ref="AE63:AG63"/>
    <mergeCell ref="D63:F63"/>
    <mergeCell ref="G63:I63"/>
    <mergeCell ref="J63:L63"/>
    <mergeCell ref="M63:O63"/>
    <mergeCell ref="P63:R63"/>
    <mergeCell ref="AH66:AJ66"/>
    <mergeCell ref="AK66:AM66"/>
    <mergeCell ref="J66:L66"/>
    <mergeCell ref="M66:O66"/>
    <mergeCell ref="P66:R66"/>
    <mergeCell ref="S66:U66"/>
    <mergeCell ref="V66:X66"/>
    <mergeCell ref="D65:F65"/>
    <mergeCell ref="G65:I65"/>
    <mergeCell ref="J65:L65"/>
    <mergeCell ref="M65:O65"/>
    <mergeCell ref="P65:R65"/>
    <mergeCell ref="S65:U65"/>
    <mergeCell ref="V65:X65"/>
    <mergeCell ref="Y65:AA65"/>
    <mergeCell ref="AB65:AD65"/>
    <mergeCell ref="AE65:AG65"/>
    <mergeCell ref="AH65:AJ65"/>
    <mergeCell ref="AK65:AM65"/>
    <mergeCell ref="D66:F66"/>
    <mergeCell ref="G66:I66"/>
    <mergeCell ref="AE67:AG67"/>
    <mergeCell ref="D67:F67"/>
    <mergeCell ref="G67:I67"/>
    <mergeCell ref="J67:L67"/>
    <mergeCell ref="M67:O67"/>
    <mergeCell ref="P67:R67"/>
    <mergeCell ref="Y66:AA66"/>
    <mergeCell ref="AB66:AD66"/>
    <mergeCell ref="AE66:AG66"/>
    <mergeCell ref="D57:AM57"/>
    <mergeCell ref="D58:AM58"/>
    <mergeCell ref="D71:AM71"/>
    <mergeCell ref="D74:AM74"/>
    <mergeCell ref="D73:AM73"/>
    <mergeCell ref="D72:AM72"/>
    <mergeCell ref="AH67:AJ67"/>
    <mergeCell ref="AK67:AM67"/>
    <mergeCell ref="D68:F68"/>
    <mergeCell ref="G68:I68"/>
    <mergeCell ref="J68:L68"/>
    <mergeCell ref="M68:O68"/>
    <mergeCell ref="P68:R68"/>
    <mergeCell ref="S68:U68"/>
    <mergeCell ref="V68:X68"/>
    <mergeCell ref="Y68:AA68"/>
    <mergeCell ref="AB68:AD68"/>
    <mergeCell ref="AE68:AG68"/>
    <mergeCell ref="AH68:AJ68"/>
    <mergeCell ref="AK68:AM68"/>
    <mergeCell ref="S67:U67"/>
    <mergeCell ref="V67:X67"/>
    <mergeCell ref="Y67:AA67"/>
    <mergeCell ref="AB67:AD67"/>
  </mergeCells>
  <phoneticPr fontId="2" type="noConversion"/>
  <conditionalFormatting sqref="S12:U15">
    <cfRule type="cellIs" dxfId="7" priority="4" operator="lessThan">
      <formula>1</formula>
    </cfRule>
  </conditionalFormatting>
  <conditionalFormatting sqref="S18:U21">
    <cfRule type="cellIs" dxfId="6" priority="3" operator="lessThan">
      <formula>1</formula>
    </cfRule>
  </conditionalFormatting>
  <conditionalFormatting sqref="AK12:AM15">
    <cfRule type="cellIs" dxfId="5" priority="2" operator="lessThan">
      <formula>1</formula>
    </cfRule>
  </conditionalFormatting>
  <conditionalFormatting sqref="AK18:AM21">
    <cfRule type="cellIs" dxfId="4" priority="1" operator="lessThan">
      <formula>1</formula>
    </cfRule>
  </conditionalFormatting>
  <pageMargins left="0.11811023622047245" right="0.11811023622047245" top="0.19685039370078741" bottom="0.1968503937007874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71"/>
  <sheetViews>
    <sheetView showGridLines="0" topLeftCell="A16" zoomScale="86" zoomScaleNormal="86" workbookViewId="0">
      <selection activeCell="T46" sqref="T46:W46"/>
    </sheetView>
  </sheetViews>
  <sheetFormatPr defaultColWidth="9" defaultRowHeight="15.95" customHeight="1"/>
  <cols>
    <col min="1" max="1" width="2.625" style="49" customWidth="1"/>
    <col min="2" max="3" width="6.625" style="49" customWidth="1"/>
    <col min="4" max="39" width="2.625" style="49" customWidth="1"/>
    <col min="40" max="40" width="32.75" style="49" bestFit="1" customWidth="1"/>
    <col min="41" max="54" width="6.625" style="49" customWidth="1"/>
    <col min="55" max="16384" width="9" style="49"/>
  </cols>
  <sheetData>
    <row r="2" spans="1:58" ht="15.95" customHeight="1">
      <c r="A2" s="203" t="s">
        <v>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</row>
    <row r="4" spans="1:58" ht="15.95" customHeight="1">
      <c r="A4" s="204" t="s">
        <v>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6" spans="1:58" s="51" customFormat="1" ht="15.95" customHeight="1">
      <c r="A6" s="142" t="s">
        <v>78</v>
      </c>
    </row>
    <row r="7" spans="1:58" s="51" customFormat="1" ht="15.95" customHeight="1">
      <c r="B7" s="1" t="s">
        <v>63</v>
      </c>
      <c r="C7" s="1"/>
      <c r="D7" s="1"/>
      <c r="E7" s="1"/>
      <c r="F7" s="1"/>
      <c r="G7" s="1"/>
      <c r="H7" s="1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</row>
    <row r="8" spans="1:58" s="51" customFormat="1" ht="15.95" customHeight="1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142"/>
      <c r="AC8" s="142"/>
    </row>
    <row r="9" spans="1:58" s="51" customFormat="1" ht="15.95" customHeight="1">
      <c r="A9" s="142" t="s">
        <v>123</v>
      </c>
      <c r="AF9" s="205" t="s">
        <v>79</v>
      </c>
      <c r="AG9" s="205"/>
      <c r="AH9" s="205"/>
      <c r="AI9" s="205"/>
      <c r="AJ9" s="205"/>
      <c r="AK9" s="205"/>
      <c r="AL9" s="205"/>
      <c r="AM9" s="205"/>
    </row>
    <row r="10" spans="1:58" ht="15.95" customHeight="1">
      <c r="B10" s="309" t="s">
        <v>125</v>
      </c>
      <c r="C10" s="310"/>
      <c r="D10" s="388" t="s">
        <v>65</v>
      </c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253"/>
      <c r="V10" s="388" t="s">
        <v>66</v>
      </c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253"/>
      <c r="AS10" s="309" t="s">
        <v>125</v>
      </c>
      <c r="AT10" s="310"/>
      <c r="AU10" s="161" t="s">
        <v>65</v>
      </c>
      <c r="AV10" s="195"/>
      <c r="AW10" s="195"/>
      <c r="AX10" s="195"/>
      <c r="AY10" s="195"/>
      <c r="AZ10" s="195"/>
      <c r="BA10" s="195" t="s">
        <v>66</v>
      </c>
      <c r="BB10" s="195"/>
      <c r="BC10" s="195"/>
      <c r="BD10" s="195"/>
      <c r="BE10" s="195"/>
      <c r="BF10" s="195"/>
    </row>
    <row r="11" spans="1:58" ht="15.95" customHeight="1" thickBot="1">
      <c r="A11" s="53"/>
      <c r="B11" s="306"/>
      <c r="C11" s="311"/>
      <c r="D11" s="378" t="s">
        <v>67</v>
      </c>
      <c r="E11" s="379"/>
      <c r="F11" s="380"/>
      <c r="G11" s="381" t="s">
        <v>219</v>
      </c>
      <c r="H11" s="381"/>
      <c r="I11" s="382"/>
      <c r="J11" s="383" t="s">
        <v>220</v>
      </c>
      <c r="K11" s="381"/>
      <c r="L11" s="382"/>
      <c r="M11" s="383" t="s">
        <v>221</v>
      </c>
      <c r="N11" s="381"/>
      <c r="O11" s="382"/>
      <c r="P11" s="383" t="s">
        <v>222</v>
      </c>
      <c r="Q11" s="381"/>
      <c r="R11" s="382"/>
      <c r="S11" s="383" t="s">
        <v>223</v>
      </c>
      <c r="T11" s="381"/>
      <c r="U11" s="384"/>
      <c r="V11" s="378" t="s">
        <v>67</v>
      </c>
      <c r="W11" s="379"/>
      <c r="X11" s="380"/>
      <c r="Y11" s="381" t="s">
        <v>219</v>
      </c>
      <c r="Z11" s="381"/>
      <c r="AA11" s="382"/>
      <c r="AB11" s="383" t="s">
        <v>220</v>
      </c>
      <c r="AC11" s="381"/>
      <c r="AD11" s="382"/>
      <c r="AE11" s="383" t="s">
        <v>221</v>
      </c>
      <c r="AF11" s="381"/>
      <c r="AG11" s="382"/>
      <c r="AH11" s="383" t="s">
        <v>222</v>
      </c>
      <c r="AI11" s="381"/>
      <c r="AJ11" s="382"/>
      <c r="AK11" s="383" t="s">
        <v>223</v>
      </c>
      <c r="AL11" s="381"/>
      <c r="AM11" s="382"/>
      <c r="AP11" s="54"/>
      <c r="AS11" s="306"/>
      <c r="AT11" s="311"/>
      <c r="AU11" s="141" t="s">
        <v>67</v>
      </c>
      <c r="AV11" s="24" t="s">
        <v>68</v>
      </c>
      <c r="AW11" s="25" t="s">
        <v>69</v>
      </c>
      <c r="AX11" s="25" t="s">
        <v>70</v>
      </c>
      <c r="AY11" s="25" t="s">
        <v>71</v>
      </c>
      <c r="AZ11" s="25" t="s">
        <v>72</v>
      </c>
      <c r="BA11" s="25" t="s">
        <v>67</v>
      </c>
      <c r="BB11" s="24" t="s">
        <v>68</v>
      </c>
      <c r="BC11" s="25" t="s">
        <v>69</v>
      </c>
      <c r="BD11" s="25" t="s">
        <v>70</v>
      </c>
      <c r="BE11" s="25" t="s">
        <v>71</v>
      </c>
      <c r="BF11" s="25" t="s">
        <v>72</v>
      </c>
    </row>
    <row r="12" spans="1:58" ht="15.95" customHeight="1" thickTop="1">
      <c r="B12" s="324" t="s">
        <v>73</v>
      </c>
      <c r="C12" s="325"/>
      <c r="D12" s="297">
        <v>0.4</v>
      </c>
      <c r="E12" s="295"/>
      <c r="F12" s="296"/>
      <c r="G12" s="289">
        <v>0.31</v>
      </c>
      <c r="H12" s="290"/>
      <c r="I12" s="291"/>
      <c r="J12" s="289">
        <f>G12/D12</f>
        <v>0.77499999999999991</v>
      </c>
      <c r="K12" s="290"/>
      <c r="L12" s="291"/>
      <c r="M12" s="289">
        <v>0.38</v>
      </c>
      <c r="N12" s="290"/>
      <c r="O12" s="291"/>
      <c r="P12" s="298">
        <f>M12-D12</f>
        <v>-2.0000000000000018E-2</v>
      </c>
      <c r="Q12" s="299"/>
      <c r="R12" s="300"/>
      <c r="S12" s="289">
        <f>M12/D12</f>
        <v>0.95</v>
      </c>
      <c r="T12" s="290"/>
      <c r="U12" s="377"/>
      <c r="V12" s="297">
        <v>0.4</v>
      </c>
      <c r="W12" s="295"/>
      <c r="X12" s="296"/>
      <c r="Y12" s="289">
        <v>0.31</v>
      </c>
      <c r="Z12" s="290"/>
      <c r="AA12" s="291"/>
      <c r="AB12" s="289">
        <f>Y12/V12</f>
        <v>0.77499999999999991</v>
      </c>
      <c r="AC12" s="290"/>
      <c r="AD12" s="291"/>
      <c r="AE12" s="289">
        <v>0.38</v>
      </c>
      <c r="AF12" s="290"/>
      <c r="AG12" s="291"/>
      <c r="AH12" s="298">
        <f>AE12-V12</f>
        <v>-2.0000000000000018E-2</v>
      </c>
      <c r="AI12" s="299"/>
      <c r="AJ12" s="300"/>
      <c r="AK12" s="289">
        <f>AE12/V12</f>
        <v>0.95</v>
      </c>
      <c r="AL12" s="290"/>
      <c r="AM12" s="377"/>
      <c r="AO12" s="54" t="s">
        <v>126</v>
      </c>
      <c r="AS12" s="324" t="s">
        <v>73</v>
      </c>
      <c r="AT12" s="325"/>
      <c r="AU12" s="27">
        <v>0.40400000000000003</v>
      </c>
      <c r="AV12" s="28">
        <v>0.31</v>
      </c>
      <c r="AW12" s="28">
        <v>0.77</v>
      </c>
      <c r="AX12" s="28">
        <v>0.38</v>
      </c>
      <c r="AY12" s="29">
        <v>-0.02</v>
      </c>
      <c r="AZ12" s="29">
        <v>0.95</v>
      </c>
      <c r="BA12" s="28">
        <v>0.12</v>
      </c>
      <c r="BB12" s="28">
        <v>0.08</v>
      </c>
      <c r="BC12" s="28">
        <v>0.65</v>
      </c>
      <c r="BD12" s="28">
        <v>0.1</v>
      </c>
      <c r="BE12" s="29">
        <v>-0.02</v>
      </c>
      <c r="BF12" s="29">
        <v>0.78</v>
      </c>
    </row>
    <row r="13" spans="1:58" ht="15.95" customHeight="1">
      <c r="A13" s="54"/>
      <c r="B13" s="307" t="s">
        <v>74</v>
      </c>
      <c r="C13" s="308"/>
      <c r="D13" s="288">
        <v>32864</v>
      </c>
      <c r="E13" s="283"/>
      <c r="F13" s="284"/>
      <c r="G13" s="285">
        <v>25870</v>
      </c>
      <c r="H13" s="286"/>
      <c r="I13" s="287"/>
      <c r="J13" s="268">
        <f t="shared" ref="J13:J15" si="0">G13/D13</f>
        <v>0.78718354430379744</v>
      </c>
      <c r="K13" s="269"/>
      <c r="L13" s="270"/>
      <c r="M13" s="285">
        <v>31239</v>
      </c>
      <c r="N13" s="286"/>
      <c r="O13" s="287"/>
      <c r="P13" s="292">
        <f>M13-D13</f>
        <v>-1625</v>
      </c>
      <c r="Q13" s="293"/>
      <c r="R13" s="294"/>
      <c r="S13" s="268">
        <f t="shared" ref="S13:S15" si="1">M13/D13</f>
        <v>0.95055379746835444</v>
      </c>
      <c r="T13" s="269"/>
      <c r="U13" s="376"/>
      <c r="V13" s="288">
        <v>32864</v>
      </c>
      <c r="W13" s="283"/>
      <c r="X13" s="284"/>
      <c r="Y13" s="285">
        <v>25870</v>
      </c>
      <c r="Z13" s="286"/>
      <c r="AA13" s="287"/>
      <c r="AB13" s="268">
        <f t="shared" ref="AB13:AB15" si="2">Y13/V13</f>
        <v>0.78718354430379744</v>
      </c>
      <c r="AC13" s="269"/>
      <c r="AD13" s="270"/>
      <c r="AE13" s="285">
        <v>31239</v>
      </c>
      <c r="AF13" s="286"/>
      <c r="AG13" s="287"/>
      <c r="AH13" s="292">
        <f>AE13-V13</f>
        <v>-1625</v>
      </c>
      <c r="AI13" s="293"/>
      <c r="AJ13" s="294"/>
      <c r="AK13" s="268">
        <f t="shared" ref="AK13:AK15" si="3">AE13/V13</f>
        <v>0.95055379746835444</v>
      </c>
      <c r="AL13" s="269"/>
      <c r="AM13" s="376"/>
      <c r="AS13" s="307" t="s">
        <v>74</v>
      </c>
      <c r="AT13" s="308"/>
      <c r="AU13" s="31">
        <v>32864</v>
      </c>
      <c r="AV13" s="32">
        <v>25870</v>
      </c>
      <c r="AW13" s="33">
        <v>0.78</v>
      </c>
      <c r="AX13" s="32">
        <v>31239</v>
      </c>
      <c r="AY13" s="34">
        <v>-1625</v>
      </c>
      <c r="AZ13" s="35">
        <v>0.95</v>
      </c>
      <c r="BA13" s="32">
        <v>10419</v>
      </c>
      <c r="BB13" s="32">
        <v>6825</v>
      </c>
      <c r="BC13" s="33">
        <v>0.65</v>
      </c>
      <c r="BD13" s="32">
        <v>8173</v>
      </c>
      <c r="BE13" s="34">
        <v>-2246</v>
      </c>
      <c r="BF13" s="35">
        <v>0.78</v>
      </c>
    </row>
    <row r="14" spans="1:58" ht="15.95" customHeight="1">
      <c r="A14" s="53"/>
      <c r="B14" s="307" t="s">
        <v>75</v>
      </c>
      <c r="C14" s="308"/>
      <c r="D14" s="288">
        <v>208</v>
      </c>
      <c r="E14" s="283"/>
      <c r="F14" s="284"/>
      <c r="G14" s="285">
        <v>208</v>
      </c>
      <c r="H14" s="286"/>
      <c r="I14" s="287"/>
      <c r="J14" s="268">
        <f t="shared" si="0"/>
        <v>1</v>
      </c>
      <c r="K14" s="269"/>
      <c r="L14" s="270"/>
      <c r="M14" s="285">
        <v>216</v>
      </c>
      <c r="N14" s="286"/>
      <c r="O14" s="287"/>
      <c r="P14" s="265">
        <f>M14-D14</f>
        <v>8</v>
      </c>
      <c r="Q14" s="266"/>
      <c r="R14" s="267"/>
      <c r="S14" s="268">
        <f t="shared" si="1"/>
        <v>1.0384615384615385</v>
      </c>
      <c r="T14" s="269"/>
      <c r="U14" s="376"/>
      <c r="V14" s="288">
        <v>208</v>
      </c>
      <c r="W14" s="283"/>
      <c r="X14" s="284"/>
      <c r="Y14" s="285">
        <v>208</v>
      </c>
      <c r="Z14" s="286"/>
      <c r="AA14" s="287"/>
      <c r="AB14" s="268">
        <f t="shared" si="2"/>
        <v>1</v>
      </c>
      <c r="AC14" s="269"/>
      <c r="AD14" s="270"/>
      <c r="AE14" s="285">
        <v>216</v>
      </c>
      <c r="AF14" s="286"/>
      <c r="AG14" s="287"/>
      <c r="AH14" s="265">
        <f>AE14-V14</f>
        <v>8</v>
      </c>
      <c r="AI14" s="266"/>
      <c r="AJ14" s="267"/>
      <c r="AK14" s="268">
        <f t="shared" si="3"/>
        <v>1.0384615384615385</v>
      </c>
      <c r="AL14" s="269"/>
      <c r="AM14" s="376"/>
      <c r="AS14" s="307" t="s">
        <v>75</v>
      </c>
      <c r="AT14" s="308"/>
      <c r="AU14" s="31">
        <v>208</v>
      </c>
      <c r="AV14" s="32">
        <v>208</v>
      </c>
      <c r="AW14" s="33">
        <v>1</v>
      </c>
      <c r="AX14" s="32">
        <v>216</v>
      </c>
      <c r="AY14" s="36">
        <v>8</v>
      </c>
      <c r="AZ14" s="33">
        <v>1.03</v>
      </c>
      <c r="BA14" s="32">
        <v>227</v>
      </c>
      <c r="BB14" s="32">
        <v>277</v>
      </c>
      <c r="BC14" s="33">
        <v>1.22</v>
      </c>
      <c r="BD14" s="32">
        <v>244</v>
      </c>
      <c r="BE14" s="36">
        <v>17</v>
      </c>
      <c r="BF14" s="33">
        <v>1.07</v>
      </c>
    </row>
    <row r="15" spans="1:58" ht="15.95" customHeight="1">
      <c r="A15" s="53"/>
      <c r="B15" s="319" t="s">
        <v>76</v>
      </c>
      <c r="C15" s="320"/>
      <c r="D15" s="271">
        <v>6822</v>
      </c>
      <c r="E15" s="272"/>
      <c r="F15" s="273"/>
      <c r="G15" s="274">
        <v>5381</v>
      </c>
      <c r="H15" s="275"/>
      <c r="I15" s="276"/>
      <c r="J15" s="277">
        <f t="shared" si="0"/>
        <v>0.78877162122544708</v>
      </c>
      <c r="K15" s="278"/>
      <c r="L15" s="279"/>
      <c r="M15" s="274">
        <v>6734</v>
      </c>
      <c r="N15" s="275"/>
      <c r="O15" s="276"/>
      <c r="P15" s="280">
        <f>M15-D15</f>
        <v>-88</v>
      </c>
      <c r="Q15" s="281"/>
      <c r="R15" s="282"/>
      <c r="S15" s="277">
        <f t="shared" si="1"/>
        <v>0.98710055702140131</v>
      </c>
      <c r="T15" s="278"/>
      <c r="U15" s="375"/>
      <c r="V15" s="271">
        <v>6822</v>
      </c>
      <c r="W15" s="272"/>
      <c r="X15" s="273"/>
      <c r="Y15" s="274">
        <v>5381</v>
      </c>
      <c r="Z15" s="275"/>
      <c r="AA15" s="276"/>
      <c r="AB15" s="277">
        <f t="shared" si="2"/>
        <v>0.78877162122544708</v>
      </c>
      <c r="AC15" s="278"/>
      <c r="AD15" s="279"/>
      <c r="AE15" s="274">
        <v>6734</v>
      </c>
      <c r="AF15" s="275"/>
      <c r="AG15" s="276"/>
      <c r="AH15" s="280">
        <f>AE15-V15</f>
        <v>-88</v>
      </c>
      <c r="AI15" s="281"/>
      <c r="AJ15" s="282"/>
      <c r="AK15" s="277">
        <f t="shared" si="3"/>
        <v>0.98710055702140131</v>
      </c>
      <c r="AL15" s="278"/>
      <c r="AM15" s="375"/>
      <c r="AS15" s="319" t="s">
        <v>76</v>
      </c>
      <c r="AT15" s="320"/>
      <c r="AU15" s="38">
        <v>6822</v>
      </c>
      <c r="AV15" s="39">
        <v>5381</v>
      </c>
      <c r="AW15" s="40">
        <v>0.78</v>
      </c>
      <c r="AX15" s="39">
        <v>6734</v>
      </c>
      <c r="AY15" s="41">
        <v>-88</v>
      </c>
      <c r="AZ15" s="42">
        <v>0.98</v>
      </c>
      <c r="BA15" s="39">
        <v>2365</v>
      </c>
      <c r="BB15" s="39">
        <v>1888</v>
      </c>
      <c r="BC15" s="40">
        <v>0.8</v>
      </c>
      <c r="BD15" s="39">
        <v>1994</v>
      </c>
      <c r="BE15" s="41">
        <v>-371</v>
      </c>
      <c r="BF15" s="42">
        <v>0.84</v>
      </c>
    </row>
    <row r="16" spans="1:58" ht="15.95" customHeight="1">
      <c r="B16" s="326" t="s">
        <v>125</v>
      </c>
      <c r="C16" s="327"/>
      <c r="D16" s="385" t="s">
        <v>65</v>
      </c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O16" s="386"/>
      <c r="P16" s="386"/>
      <c r="Q16" s="386"/>
      <c r="R16" s="386"/>
      <c r="S16" s="386"/>
      <c r="T16" s="386"/>
      <c r="U16" s="387"/>
      <c r="V16" s="385" t="s">
        <v>66</v>
      </c>
      <c r="W16" s="386"/>
      <c r="X16" s="386"/>
      <c r="Y16" s="386"/>
      <c r="Z16" s="386"/>
      <c r="AA16" s="386"/>
      <c r="AB16" s="386"/>
      <c r="AC16" s="386"/>
      <c r="AD16" s="386"/>
      <c r="AE16" s="386"/>
      <c r="AF16" s="386"/>
      <c r="AG16" s="386"/>
      <c r="AH16" s="386"/>
      <c r="AI16" s="386"/>
      <c r="AJ16" s="386"/>
      <c r="AK16" s="386"/>
      <c r="AL16" s="386"/>
      <c r="AM16" s="387"/>
      <c r="AS16" s="309" t="s">
        <v>124</v>
      </c>
      <c r="AT16" s="310"/>
      <c r="AU16" s="161" t="s">
        <v>65</v>
      </c>
      <c r="AV16" s="195"/>
      <c r="AW16" s="195"/>
      <c r="AX16" s="195"/>
      <c r="AY16" s="195"/>
      <c r="AZ16" s="195"/>
      <c r="BA16" s="195" t="s">
        <v>66</v>
      </c>
      <c r="BB16" s="195"/>
      <c r="BC16" s="195"/>
      <c r="BD16" s="195"/>
      <c r="BE16" s="195"/>
      <c r="BF16" s="195"/>
    </row>
    <row r="17" spans="1:58" ht="15.95" customHeight="1" thickBot="1">
      <c r="A17" s="53"/>
      <c r="B17" s="306"/>
      <c r="C17" s="311"/>
      <c r="D17" s="378" t="s">
        <v>67</v>
      </c>
      <c r="E17" s="379"/>
      <c r="F17" s="380"/>
      <c r="G17" s="381" t="s">
        <v>219</v>
      </c>
      <c r="H17" s="381"/>
      <c r="I17" s="382"/>
      <c r="J17" s="383" t="s">
        <v>220</v>
      </c>
      <c r="K17" s="381"/>
      <c r="L17" s="382"/>
      <c r="M17" s="383" t="s">
        <v>221</v>
      </c>
      <c r="N17" s="381"/>
      <c r="O17" s="382"/>
      <c r="P17" s="383" t="s">
        <v>222</v>
      </c>
      <c r="Q17" s="381"/>
      <c r="R17" s="382"/>
      <c r="S17" s="383" t="s">
        <v>223</v>
      </c>
      <c r="T17" s="381"/>
      <c r="U17" s="384"/>
      <c r="V17" s="378" t="s">
        <v>67</v>
      </c>
      <c r="W17" s="379"/>
      <c r="X17" s="380"/>
      <c r="Y17" s="381" t="s">
        <v>219</v>
      </c>
      <c r="Z17" s="381"/>
      <c r="AA17" s="382"/>
      <c r="AB17" s="383" t="s">
        <v>220</v>
      </c>
      <c r="AC17" s="381"/>
      <c r="AD17" s="382"/>
      <c r="AE17" s="383" t="s">
        <v>221</v>
      </c>
      <c r="AF17" s="381"/>
      <c r="AG17" s="382"/>
      <c r="AH17" s="383" t="s">
        <v>222</v>
      </c>
      <c r="AI17" s="381"/>
      <c r="AJ17" s="382"/>
      <c r="AK17" s="383" t="s">
        <v>223</v>
      </c>
      <c r="AL17" s="381"/>
      <c r="AM17" s="382"/>
      <c r="AP17" s="54"/>
      <c r="AS17" s="306"/>
      <c r="AT17" s="311"/>
      <c r="AU17" s="141" t="s">
        <v>67</v>
      </c>
      <c r="AV17" s="24" t="s">
        <v>68</v>
      </c>
      <c r="AW17" s="25" t="s">
        <v>69</v>
      </c>
      <c r="AX17" s="25" t="s">
        <v>70</v>
      </c>
      <c r="AY17" s="25" t="s">
        <v>71</v>
      </c>
      <c r="AZ17" s="25" t="s">
        <v>72</v>
      </c>
      <c r="BA17" s="25" t="s">
        <v>67</v>
      </c>
      <c r="BB17" s="24" t="s">
        <v>68</v>
      </c>
      <c r="BC17" s="25" t="s">
        <v>69</v>
      </c>
      <c r="BD17" s="25" t="s">
        <v>70</v>
      </c>
      <c r="BE17" s="25" t="s">
        <v>71</v>
      </c>
      <c r="BF17" s="25" t="s">
        <v>72</v>
      </c>
    </row>
    <row r="18" spans="1:58" ht="15.95" customHeight="1" thickTop="1">
      <c r="B18" s="324" t="s">
        <v>73</v>
      </c>
      <c r="C18" s="325"/>
      <c r="D18" s="297">
        <v>0.4</v>
      </c>
      <c r="E18" s="295"/>
      <c r="F18" s="296"/>
      <c r="G18" s="289">
        <v>0.31</v>
      </c>
      <c r="H18" s="290"/>
      <c r="I18" s="291"/>
      <c r="J18" s="289">
        <f>G18/D18</f>
        <v>0.77499999999999991</v>
      </c>
      <c r="K18" s="290"/>
      <c r="L18" s="291"/>
      <c r="M18" s="289">
        <v>0.38</v>
      </c>
      <c r="N18" s="290"/>
      <c r="O18" s="291"/>
      <c r="P18" s="298">
        <f>M18-D18</f>
        <v>-2.0000000000000018E-2</v>
      </c>
      <c r="Q18" s="299"/>
      <c r="R18" s="300"/>
      <c r="S18" s="289">
        <f>M18/D18</f>
        <v>0.95</v>
      </c>
      <c r="T18" s="290"/>
      <c r="U18" s="377"/>
      <c r="V18" s="297">
        <v>0.4</v>
      </c>
      <c r="W18" s="295"/>
      <c r="X18" s="296"/>
      <c r="Y18" s="289">
        <v>0.31</v>
      </c>
      <c r="Z18" s="290"/>
      <c r="AA18" s="291"/>
      <c r="AB18" s="289">
        <f>Y18/V18</f>
        <v>0.77499999999999991</v>
      </c>
      <c r="AC18" s="290"/>
      <c r="AD18" s="291"/>
      <c r="AE18" s="289">
        <v>0.38</v>
      </c>
      <c r="AF18" s="290"/>
      <c r="AG18" s="291"/>
      <c r="AH18" s="298">
        <f>AE18-V18</f>
        <v>-2.0000000000000018E-2</v>
      </c>
      <c r="AI18" s="299"/>
      <c r="AJ18" s="300"/>
      <c r="AK18" s="289">
        <f>AE18/V18</f>
        <v>0.95</v>
      </c>
      <c r="AL18" s="290"/>
      <c r="AM18" s="377"/>
      <c r="AS18" s="324" t="s">
        <v>73</v>
      </c>
      <c r="AT18" s="325"/>
      <c r="AU18" s="27">
        <v>0.4</v>
      </c>
      <c r="AV18" s="28">
        <v>0.11</v>
      </c>
      <c r="AW18" s="28">
        <v>0.28000000000000003</v>
      </c>
      <c r="AX18" s="28">
        <v>0.35</v>
      </c>
      <c r="AY18" s="29">
        <v>-0.04</v>
      </c>
      <c r="AZ18" s="29">
        <v>0.88</v>
      </c>
      <c r="BA18" s="28">
        <v>0.15</v>
      </c>
      <c r="BB18" s="28">
        <v>0.04</v>
      </c>
      <c r="BC18" s="28">
        <v>0.24</v>
      </c>
      <c r="BD18" s="28">
        <v>0.15</v>
      </c>
      <c r="BE18" s="43">
        <v>-3.0000000000000001E-3</v>
      </c>
      <c r="BF18" s="29">
        <v>0.98</v>
      </c>
    </row>
    <row r="19" spans="1:58" ht="15.95" customHeight="1">
      <c r="A19" s="54"/>
      <c r="B19" s="307" t="s">
        <v>74</v>
      </c>
      <c r="C19" s="308"/>
      <c r="D19" s="288">
        <v>32864</v>
      </c>
      <c r="E19" s="283"/>
      <c r="F19" s="284"/>
      <c r="G19" s="285">
        <v>25870</v>
      </c>
      <c r="H19" s="286"/>
      <c r="I19" s="287"/>
      <c r="J19" s="268">
        <f t="shared" ref="J19:J21" si="4">G19/D19</f>
        <v>0.78718354430379744</v>
      </c>
      <c r="K19" s="269"/>
      <c r="L19" s="270"/>
      <c r="M19" s="285">
        <v>31239</v>
      </c>
      <c r="N19" s="286"/>
      <c r="O19" s="287"/>
      <c r="P19" s="292">
        <f>M19-D19</f>
        <v>-1625</v>
      </c>
      <c r="Q19" s="293"/>
      <c r="R19" s="294"/>
      <c r="S19" s="268">
        <f t="shared" ref="S19:S21" si="5">M19/D19</f>
        <v>0.95055379746835444</v>
      </c>
      <c r="T19" s="269"/>
      <c r="U19" s="376"/>
      <c r="V19" s="288">
        <v>32864</v>
      </c>
      <c r="W19" s="283"/>
      <c r="X19" s="284"/>
      <c r="Y19" s="285">
        <v>25870</v>
      </c>
      <c r="Z19" s="286"/>
      <c r="AA19" s="287"/>
      <c r="AB19" s="268">
        <f t="shared" ref="AB19:AB21" si="6">Y19/V19</f>
        <v>0.78718354430379744</v>
      </c>
      <c r="AC19" s="269"/>
      <c r="AD19" s="270"/>
      <c r="AE19" s="285">
        <v>31239</v>
      </c>
      <c r="AF19" s="286"/>
      <c r="AG19" s="287"/>
      <c r="AH19" s="292">
        <f>AE19-V19</f>
        <v>-1625</v>
      </c>
      <c r="AI19" s="293"/>
      <c r="AJ19" s="294"/>
      <c r="AK19" s="268">
        <f t="shared" ref="AK19:AK21" si="7">AE19/V19</f>
        <v>0.95055379746835444</v>
      </c>
      <c r="AL19" s="269"/>
      <c r="AM19" s="376"/>
      <c r="AP19" s="55"/>
      <c r="AS19" s="307" t="s">
        <v>74</v>
      </c>
      <c r="AT19" s="308"/>
      <c r="AU19" s="31">
        <v>34029</v>
      </c>
      <c r="AV19" s="32">
        <v>9599</v>
      </c>
      <c r="AW19" s="33">
        <v>0.28000000000000003</v>
      </c>
      <c r="AX19" s="32">
        <v>30043</v>
      </c>
      <c r="AY19" s="34">
        <v>-3986</v>
      </c>
      <c r="AZ19" s="35">
        <v>0.88</v>
      </c>
      <c r="BA19" s="32">
        <v>13443</v>
      </c>
      <c r="BB19" s="32">
        <v>3353</v>
      </c>
      <c r="BC19" s="33">
        <v>0.25</v>
      </c>
      <c r="BD19" s="32">
        <v>13181</v>
      </c>
      <c r="BE19" s="34">
        <v>-262</v>
      </c>
      <c r="BF19" s="35">
        <v>0.98</v>
      </c>
    </row>
    <row r="20" spans="1:58" ht="15.95" customHeight="1">
      <c r="A20" s="53"/>
      <c r="B20" s="307" t="s">
        <v>75</v>
      </c>
      <c r="C20" s="308"/>
      <c r="D20" s="288">
        <v>208</v>
      </c>
      <c r="E20" s="283"/>
      <c r="F20" s="284"/>
      <c r="G20" s="285">
        <v>208</v>
      </c>
      <c r="H20" s="286"/>
      <c r="I20" s="287"/>
      <c r="J20" s="268">
        <f t="shared" si="4"/>
        <v>1</v>
      </c>
      <c r="K20" s="269"/>
      <c r="L20" s="270"/>
      <c r="M20" s="285">
        <v>216</v>
      </c>
      <c r="N20" s="286"/>
      <c r="O20" s="287"/>
      <c r="P20" s="265">
        <f>M20-D20</f>
        <v>8</v>
      </c>
      <c r="Q20" s="266"/>
      <c r="R20" s="267"/>
      <c r="S20" s="268">
        <f t="shared" si="5"/>
        <v>1.0384615384615385</v>
      </c>
      <c r="T20" s="269"/>
      <c r="U20" s="376"/>
      <c r="V20" s="288">
        <v>208</v>
      </c>
      <c r="W20" s="283"/>
      <c r="X20" s="284"/>
      <c r="Y20" s="285">
        <v>208</v>
      </c>
      <c r="Z20" s="286"/>
      <c r="AA20" s="287"/>
      <c r="AB20" s="268">
        <f t="shared" si="6"/>
        <v>1</v>
      </c>
      <c r="AC20" s="269"/>
      <c r="AD20" s="270"/>
      <c r="AE20" s="285">
        <v>216</v>
      </c>
      <c r="AF20" s="286"/>
      <c r="AG20" s="287"/>
      <c r="AH20" s="265">
        <f>AE20-V20</f>
        <v>8</v>
      </c>
      <c r="AI20" s="266"/>
      <c r="AJ20" s="267"/>
      <c r="AK20" s="268">
        <f t="shared" si="7"/>
        <v>1.0384615384615385</v>
      </c>
      <c r="AL20" s="269"/>
      <c r="AM20" s="376"/>
      <c r="AS20" s="307" t="s">
        <v>75</v>
      </c>
      <c r="AT20" s="308"/>
      <c r="AU20" s="31">
        <v>190</v>
      </c>
      <c r="AV20" s="32">
        <v>190</v>
      </c>
      <c r="AW20" s="33">
        <v>1</v>
      </c>
      <c r="AX20" s="32">
        <v>197</v>
      </c>
      <c r="AY20" s="36">
        <v>7</v>
      </c>
      <c r="AZ20" s="33">
        <v>1.03</v>
      </c>
      <c r="BA20" s="32">
        <v>193</v>
      </c>
      <c r="BB20" s="32">
        <v>211</v>
      </c>
      <c r="BC20" s="33">
        <v>1.0900000000000001</v>
      </c>
      <c r="BD20" s="32">
        <v>205</v>
      </c>
      <c r="BE20" s="44">
        <v>12</v>
      </c>
      <c r="BF20" s="45">
        <v>1.06</v>
      </c>
    </row>
    <row r="21" spans="1:58" ht="15.95" customHeight="1">
      <c r="A21" s="53"/>
      <c r="B21" s="319" t="s">
        <v>76</v>
      </c>
      <c r="C21" s="320"/>
      <c r="D21" s="271">
        <v>6822</v>
      </c>
      <c r="E21" s="272"/>
      <c r="F21" s="273"/>
      <c r="G21" s="274">
        <v>5381</v>
      </c>
      <c r="H21" s="275"/>
      <c r="I21" s="276"/>
      <c r="J21" s="277">
        <f t="shared" si="4"/>
        <v>0.78877162122544708</v>
      </c>
      <c r="K21" s="278"/>
      <c r="L21" s="279"/>
      <c r="M21" s="274">
        <v>6734</v>
      </c>
      <c r="N21" s="275"/>
      <c r="O21" s="276"/>
      <c r="P21" s="280">
        <f>M21-D21</f>
        <v>-88</v>
      </c>
      <c r="Q21" s="281"/>
      <c r="R21" s="282"/>
      <c r="S21" s="277">
        <f t="shared" si="5"/>
        <v>0.98710055702140131</v>
      </c>
      <c r="T21" s="278"/>
      <c r="U21" s="375"/>
      <c r="V21" s="271">
        <v>6822</v>
      </c>
      <c r="W21" s="272"/>
      <c r="X21" s="273"/>
      <c r="Y21" s="274">
        <v>5381</v>
      </c>
      <c r="Z21" s="275"/>
      <c r="AA21" s="276"/>
      <c r="AB21" s="277">
        <f t="shared" si="6"/>
        <v>0.78877162122544708</v>
      </c>
      <c r="AC21" s="278"/>
      <c r="AD21" s="279"/>
      <c r="AE21" s="274">
        <v>6734</v>
      </c>
      <c r="AF21" s="275"/>
      <c r="AG21" s="276"/>
      <c r="AH21" s="280">
        <f>AE21-V21</f>
        <v>-88</v>
      </c>
      <c r="AI21" s="281"/>
      <c r="AJ21" s="282"/>
      <c r="AK21" s="277">
        <f t="shared" si="7"/>
        <v>0.98710055702140131</v>
      </c>
      <c r="AL21" s="278"/>
      <c r="AM21" s="375"/>
      <c r="AS21" s="319" t="s">
        <v>76</v>
      </c>
      <c r="AT21" s="320"/>
      <c r="AU21" s="38">
        <v>6454</v>
      </c>
      <c r="AV21" s="39">
        <v>1824</v>
      </c>
      <c r="AW21" s="40">
        <v>0.28000000000000003</v>
      </c>
      <c r="AX21" s="39">
        <v>5919</v>
      </c>
      <c r="AY21" s="46">
        <v>-535</v>
      </c>
      <c r="AZ21" s="42">
        <v>0.91</v>
      </c>
      <c r="BA21" s="39">
        <v>2594</v>
      </c>
      <c r="BB21" s="39">
        <v>707</v>
      </c>
      <c r="BC21" s="40">
        <v>0.27</v>
      </c>
      <c r="BD21" s="39">
        <v>2702</v>
      </c>
      <c r="BE21" s="47">
        <v>108</v>
      </c>
      <c r="BF21" s="48">
        <v>1.04</v>
      </c>
    </row>
    <row r="23" spans="1:58" ht="15.95" customHeight="1">
      <c r="A23" s="142" t="s">
        <v>184</v>
      </c>
      <c r="X23" s="316"/>
      <c r="Y23" s="316"/>
      <c r="Z23" s="316"/>
      <c r="AA23" s="316"/>
      <c r="AB23" s="316"/>
      <c r="AC23" s="316"/>
      <c r="AD23" s="316"/>
      <c r="AE23" s="143"/>
    </row>
    <row r="24" spans="1:58" ht="15.95" customHeight="1" thickBot="1">
      <c r="B24" s="317" t="s">
        <v>1</v>
      </c>
      <c r="C24" s="318"/>
      <c r="D24" s="140"/>
      <c r="E24" s="140"/>
      <c r="F24" s="140"/>
      <c r="G24" s="140"/>
      <c r="H24" s="140"/>
      <c r="I24" s="312" t="s">
        <v>2</v>
      </c>
      <c r="J24" s="312"/>
      <c r="K24" s="312"/>
      <c r="L24" s="312"/>
      <c r="M24" s="312"/>
      <c r="N24" s="312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4"/>
      <c r="AM24" s="315"/>
    </row>
    <row r="25" spans="1:58" ht="15.95" customHeight="1" thickTop="1">
      <c r="B25" s="370" t="s">
        <v>127</v>
      </c>
      <c r="C25" s="371"/>
      <c r="D25" s="372" t="s">
        <v>151</v>
      </c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  <c r="AE25" s="373"/>
      <c r="AF25" s="373"/>
      <c r="AG25" s="373"/>
      <c r="AH25" s="373"/>
      <c r="AI25" s="373"/>
      <c r="AJ25" s="373"/>
      <c r="AK25" s="373"/>
      <c r="AL25" s="373"/>
      <c r="AM25" s="374"/>
    </row>
    <row r="26" spans="1:58" ht="15.95" customHeight="1">
      <c r="B26" s="365" t="s">
        <v>81</v>
      </c>
      <c r="C26" s="366"/>
      <c r="D26" s="367" t="s">
        <v>152</v>
      </c>
      <c r="E26" s="368"/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  <c r="AA26" s="368"/>
      <c r="AB26" s="368"/>
      <c r="AC26" s="368"/>
      <c r="AD26" s="368"/>
      <c r="AE26" s="368"/>
      <c r="AF26" s="368"/>
      <c r="AG26" s="368"/>
      <c r="AH26" s="368"/>
      <c r="AI26" s="368"/>
      <c r="AJ26" s="368"/>
      <c r="AK26" s="368"/>
      <c r="AL26" s="368"/>
      <c r="AM26" s="369"/>
    </row>
    <row r="27" spans="1:58" ht="15.95" customHeight="1">
      <c r="B27" s="365" t="s">
        <v>82</v>
      </c>
      <c r="C27" s="366"/>
      <c r="D27" s="367" t="s">
        <v>153</v>
      </c>
      <c r="E27" s="368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  <c r="AA27" s="368"/>
      <c r="AB27" s="368"/>
      <c r="AC27" s="368"/>
      <c r="AD27" s="368"/>
      <c r="AE27" s="368"/>
      <c r="AF27" s="368"/>
      <c r="AG27" s="368"/>
      <c r="AH27" s="368"/>
      <c r="AI27" s="368"/>
      <c r="AJ27" s="368"/>
      <c r="AK27" s="368"/>
      <c r="AL27" s="368"/>
      <c r="AM27" s="369"/>
    </row>
    <row r="28" spans="1:58" ht="15.95" customHeight="1">
      <c r="B28" s="357" t="s">
        <v>188</v>
      </c>
      <c r="C28" s="100" t="s">
        <v>189</v>
      </c>
      <c r="D28" s="367" t="s">
        <v>154</v>
      </c>
      <c r="E28" s="368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  <c r="AA28" s="368"/>
      <c r="AB28" s="368"/>
      <c r="AC28" s="368"/>
      <c r="AD28" s="368"/>
      <c r="AE28" s="368"/>
      <c r="AF28" s="368"/>
      <c r="AG28" s="368"/>
      <c r="AH28" s="368"/>
      <c r="AI28" s="368"/>
      <c r="AJ28" s="368"/>
      <c r="AK28" s="368"/>
      <c r="AL28" s="368"/>
      <c r="AM28" s="369"/>
    </row>
    <row r="29" spans="1:58" ht="15.95" customHeight="1">
      <c r="B29" s="357"/>
      <c r="C29" s="100" t="s">
        <v>190</v>
      </c>
      <c r="D29" s="367" t="s">
        <v>155</v>
      </c>
      <c r="E29" s="368"/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  <c r="AA29" s="368"/>
      <c r="AB29" s="368"/>
      <c r="AC29" s="368"/>
      <c r="AD29" s="368"/>
      <c r="AE29" s="368"/>
      <c r="AF29" s="368"/>
      <c r="AG29" s="368"/>
      <c r="AH29" s="368"/>
      <c r="AI29" s="368"/>
      <c r="AJ29" s="368"/>
      <c r="AK29" s="368"/>
      <c r="AL29" s="368"/>
      <c r="AM29" s="369"/>
    </row>
    <row r="30" spans="1:58" ht="15.95" customHeight="1">
      <c r="B30" s="357" t="s">
        <v>85</v>
      </c>
      <c r="C30" s="100" t="s">
        <v>187</v>
      </c>
      <c r="D30" s="367" t="s">
        <v>156</v>
      </c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  <c r="AA30" s="368"/>
      <c r="AB30" s="368"/>
      <c r="AC30" s="368"/>
      <c r="AD30" s="368"/>
      <c r="AE30" s="368"/>
      <c r="AF30" s="368"/>
      <c r="AG30" s="368"/>
      <c r="AH30" s="368"/>
      <c r="AI30" s="368"/>
      <c r="AJ30" s="368"/>
      <c r="AK30" s="368"/>
      <c r="AL30" s="368"/>
      <c r="AM30" s="369"/>
    </row>
    <row r="31" spans="1:58" ht="15.95" customHeight="1">
      <c r="B31" s="358"/>
      <c r="C31" s="101" t="s">
        <v>185</v>
      </c>
      <c r="D31" s="256" t="s">
        <v>157</v>
      </c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8"/>
    </row>
    <row r="34" spans="1:40" ht="15.95" customHeight="1">
      <c r="A34" s="142" t="s">
        <v>186</v>
      </c>
    </row>
    <row r="35" spans="1:40" ht="15.95" customHeight="1">
      <c r="B35" s="183" t="s">
        <v>197</v>
      </c>
      <c r="C35" s="333" t="s">
        <v>201</v>
      </c>
      <c r="D35" s="250" t="s">
        <v>138</v>
      </c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2"/>
      <c r="P35" s="253" t="s">
        <v>194</v>
      </c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5"/>
      <c r="AB35" s="253" t="s">
        <v>115</v>
      </c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</row>
    <row r="36" spans="1:40" ht="15.95" customHeight="1" thickBot="1">
      <c r="B36" s="362"/>
      <c r="C36" s="334"/>
      <c r="D36" s="242" t="s">
        <v>191</v>
      </c>
      <c r="E36" s="229"/>
      <c r="F36" s="229"/>
      <c r="G36" s="229"/>
      <c r="H36" s="229" t="s">
        <v>224</v>
      </c>
      <c r="I36" s="229"/>
      <c r="J36" s="229"/>
      <c r="K36" s="229"/>
      <c r="L36" s="229" t="s">
        <v>225</v>
      </c>
      <c r="M36" s="229"/>
      <c r="N36" s="229"/>
      <c r="O36" s="243"/>
      <c r="P36" s="199" t="s">
        <v>191</v>
      </c>
      <c r="Q36" s="229"/>
      <c r="R36" s="229"/>
      <c r="S36" s="229"/>
      <c r="T36" s="229" t="s">
        <v>224</v>
      </c>
      <c r="U36" s="229"/>
      <c r="V36" s="229"/>
      <c r="W36" s="229"/>
      <c r="X36" s="229" t="s">
        <v>225</v>
      </c>
      <c r="Y36" s="229"/>
      <c r="Z36" s="229"/>
      <c r="AA36" s="243"/>
      <c r="AB36" s="199" t="s">
        <v>191</v>
      </c>
      <c r="AC36" s="229"/>
      <c r="AD36" s="229"/>
      <c r="AE36" s="229"/>
      <c r="AF36" s="229" t="s">
        <v>224</v>
      </c>
      <c r="AG36" s="229"/>
      <c r="AH36" s="229"/>
      <c r="AI36" s="229"/>
      <c r="AJ36" s="229" t="s">
        <v>225</v>
      </c>
      <c r="AK36" s="229"/>
      <c r="AL36" s="229"/>
      <c r="AM36" s="229"/>
    </row>
    <row r="37" spans="1:40" ht="15.95" customHeight="1" thickTop="1">
      <c r="B37" s="359" t="s">
        <v>181</v>
      </c>
      <c r="C37" s="144" t="s">
        <v>198</v>
      </c>
      <c r="D37" s="240" t="s">
        <v>227</v>
      </c>
      <c r="E37" s="241"/>
      <c r="F37" s="241"/>
      <c r="G37" s="241"/>
      <c r="H37" s="221"/>
      <c r="I37" s="221"/>
      <c r="J37" s="221"/>
      <c r="K37" s="221"/>
      <c r="L37" s="221"/>
      <c r="M37" s="221"/>
      <c r="N37" s="221"/>
      <c r="O37" s="238"/>
      <c r="P37" s="239" t="s">
        <v>228</v>
      </c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38"/>
      <c r="AB37" s="239" t="s">
        <v>229</v>
      </c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54" t="s">
        <v>230</v>
      </c>
    </row>
    <row r="38" spans="1:40" ht="15.95" customHeight="1">
      <c r="B38" s="360"/>
      <c r="C38" s="145" t="s">
        <v>114</v>
      </c>
      <c r="D38" s="349" t="s">
        <v>217</v>
      </c>
      <c r="E38" s="350"/>
      <c r="F38" s="350"/>
      <c r="G38" s="351"/>
      <c r="H38" s="206"/>
      <c r="I38" s="206"/>
      <c r="J38" s="206"/>
      <c r="K38" s="206"/>
      <c r="L38" s="206"/>
      <c r="M38" s="206"/>
      <c r="N38" s="206"/>
      <c r="O38" s="232"/>
      <c r="P38" s="349" t="s">
        <v>217</v>
      </c>
      <c r="Q38" s="350"/>
      <c r="R38" s="350"/>
      <c r="S38" s="351"/>
      <c r="T38" s="206"/>
      <c r="U38" s="206"/>
      <c r="V38" s="206"/>
      <c r="W38" s="206"/>
      <c r="X38" s="206"/>
      <c r="Y38" s="206"/>
      <c r="Z38" s="206"/>
      <c r="AA38" s="232"/>
      <c r="AB38" s="349" t="s">
        <v>217</v>
      </c>
      <c r="AC38" s="350"/>
      <c r="AD38" s="350"/>
      <c r="AE38" s="351"/>
      <c r="AF38" s="206"/>
      <c r="AG38" s="206"/>
      <c r="AH38" s="206"/>
      <c r="AI38" s="206"/>
      <c r="AJ38" s="206"/>
      <c r="AK38" s="206"/>
      <c r="AL38" s="206"/>
      <c r="AM38" s="206"/>
    </row>
    <row r="39" spans="1:40" ht="15.95" customHeight="1">
      <c r="B39" s="361"/>
      <c r="C39" s="146" t="s">
        <v>200</v>
      </c>
      <c r="D39" s="352"/>
      <c r="E39" s="353"/>
      <c r="F39" s="353"/>
      <c r="G39" s="354"/>
      <c r="H39" s="209"/>
      <c r="I39" s="209"/>
      <c r="J39" s="209"/>
      <c r="K39" s="209"/>
      <c r="L39" s="209"/>
      <c r="M39" s="209"/>
      <c r="N39" s="209"/>
      <c r="O39" s="233"/>
      <c r="P39" s="352"/>
      <c r="Q39" s="353"/>
      <c r="R39" s="353"/>
      <c r="S39" s="354"/>
      <c r="T39" s="209"/>
      <c r="U39" s="209"/>
      <c r="V39" s="209"/>
      <c r="W39" s="209"/>
      <c r="X39" s="209"/>
      <c r="Y39" s="209"/>
      <c r="Z39" s="209"/>
      <c r="AA39" s="233"/>
      <c r="AB39" s="352"/>
      <c r="AC39" s="353"/>
      <c r="AD39" s="353"/>
      <c r="AE39" s="354"/>
      <c r="AF39" s="209"/>
      <c r="AG39" s="209"/>
      <c r="AH39" s="209"/>
      <c r="AI39" s="209"/>
      <c r="AJ39" s="209"/>
      <c r="AK39" s="209"/>
      <c r="AL39" s="209"/>
      <c r="AM39" s="209"/>
    </row>
    <row r="40" spans="1:40" ht="15.95" customHeight="1">
      <c r="B40" s="356" t="s">
        <v>182</v>
      </c>
      <c r="C40" s="147" t="s">
        <v>198</v>
      </c>
      <c r="D40" s="234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237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6"/>
      <c r="AB40" s="237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</row>
    <row r="41" spans="1:40" ht="15.95" customHeight="1">
      <c r="B41" s="357"/>
      <c r="C41" s="145" t="s">
        <v>114</v>
      </c>
      <c r="D41" s="349" t="s">
        <v>217</v>
      </c>
      <c r="E41" s="350"/>
      <c r="F41" s="350"/>
      <c r="G41" s="351"/>
      <c r="H41" s="206"/>
      <c r="I41" s="206"/>
      <c r="J41" s="206"/>
      <c r="K41" s="206"/>
      <c r="L41" s="206"/>
      <c r="M41" s="206"/>
      <c r="N41" s="206"/>
      <c r="O41" s="232"/>
      <c r="P41" s="349" t="s">
        <v>217</v>
      </c>
      <c r="Q41" s="350"/>
      <c r="R41" s="350"/>
      <c r="S41" s="351"/>
      <c r="T41" s="206"/>
      <c r="U41" s="206"/>
      <c r="V41" s="206"/>
      <c r="W41" s="206"/>
      <c r="X41" s="206"/>
      <c r="Y41" s="206"/>
      <c r="Z41" s="206"/>
      <c r="AA41" s="232"/>
      <c r="AB41" s="349" t="s">
        <v>217</v>
      </c>
      <c r="AC41" s="350"/>
      <c r="AD41" s="350"/>
      <c r="AE41" s="351"/>
      <c r="AF41" s="206"/>
      <c r="AG41" s="206"/>
      <c r="AH41" s="206"/>
      <c r="AI41" s="206"/>
      <c r="AJ41" s="206"/>
      <c r="AK41" s="206"/>
      <c r="AL41" s="206"/>
      <c r="AM41" s="206"/>
    </row>
    <row r="42" spans="1:40" ht="15.95" customHeight="1">
      <c r="B42" s="358"/>
      <c r="C42" s="146" t="s">
        <v>200</v>
      </c>
      <c r="D42" s="352"/>
      <c r="E42" s="353"/>
      <c r="F42" s="353"/>
      <c r="G42" s="354"/>
      <c r="H42" s="209"/>
      <c r="I42" s="209"/>
      <c r="J42" s="209"/>
      <c r="K42" s="209"/>
      <c r="L42" s="209"/>
      <c r="M42" s="209"/>
      <c r="N42" s="209"/>
      <c r="O42" s="233"/>
      <c r="P42" s="352"/>
      <c r="Q42" s="353"/>
      <c r="R42" s="353"/>
      <c r="S42" s="354"/>
      <c r="T42" s="209"/>
      <c r="U42" s="209"/>
      <c r="V42" s="209"/>
      <c r="W42" s="209"/>
      <c r="X42" s="209"/>
      <c r="Y42" s="209"/>
      <c r="Z42" s="209"/>
      <c r="AA42" s="233"/>
      <c r="AB42" s="352"/>
      <c r="AC42" s="353"/>
      <c r="AD42" s="353"/>
      <c r="AE42" s="354"/>
      <c r="AF42" s="209"/>
      <c r="AG42" s="209"/>
      <c r="AH42" s="209"/>
      <c r="AI42" s="209"/>
      <c r="AJ42" s="209"/>
      <c r="AK42" s="209"/>
      <c r="AL42" s="209"/>
      <c r="AM42" s="209"/>
    </row>
    <row r="43" spans="1:40" ht="15.95" customHeight="1">
      <c r="B43" s="356" t="s">
        <v>183</v>
      </c>
      <c r="C43" s="147" t="s">
        <v>198</v>
      </c>
      <c r="D43" s="234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237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6"/>
      <c r="AB43" s="237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</row>
    <row r="44" spans="1:40" ht="15.95" customHeight="1">
      <c r="B44" s="357"/>
      <c r="C44" s="145" t="s">
        <v>114</v>
      </c>
      <c r="D44" s="349" t="s">
        <v>217</v>
      </c>
      <c r="E44" s="350"/>
      <c r="F44" s="350"/>
      <c r="G44" s="351"/>
      <c r="H44" s="206"/>
      <c r="I44" s="206"/>
      <c r="J44" s="206"/>
      <c r="K44" s="206"/>
      <c r="L44" s="206"/>
      <c r="M44" s="206"/>
      <c r="N44" s="206"/>
      <c r="O44" s="232"/>
      <c r="P44" s="349" t="s">
        <v>217</v>
      </c>
      <c r="Q44" s="350"/>
      <c r="R44" s="350"/>
      <c r="S44" s="351"/>
      <c r="T44" s="206"/>
      <c r="U44" s="206"/>
      <c r="V44" s="206"/>
      <c r="W44" s="206"/>
      <c r="X44" s="206"/>
      <c r="Y44" s="206"/>
      <c r="Z44" s="206"/>
      <c r="AA44" s="232"/>
      <c r="AB44" s="349" t="s">
        <v>217</v>
      </c>
      <c r="AC44" s="350"/>
      <c r="AD44" s="350"/>
      <c r="AE44" s="351"/>
      <c r="AF44" s="206"/>
      <c r="AG44" s="206"/>
      <c r="AH44" s="206"/>
      <c r="AI44" s="206"/>
      <c r="AJ44" s="206"/>
      <c r="AK44" s="206"/>
      <c r="AL44" s="206"/>
      <c r="AM44" s="206"/>
    </row>
    <row r="45" spans="1:40" ht="15.95" customHeight="1">
      <c r="B45" s="358"/>
      <c r="C45" s="146" t="s">
        <v>200</v>
      </c>
      <c r="D45" s="352"/>
      <c r="E45" s="353"/>
      <c r="F45" s="353"/>
      <c r="G45" s="354"/>
      <c r="H45" s="209"/>
      <c r="I45" s="209"/>
      <c r="J45" s="209"/>
      <c r="K45" s="209"/>
      <c r="L45" s="209"/>
      <c r="M45" s="209"/>
      <c r="N45" s="209"/>
      <c r="O45" s="233"/>
      <c r="P45" s="352"/>
      <c r="Q45" s="353"/>
      <c r="R45" s="353"/>
      <c r="S45" s="354"/>
      <c r="T45" s="209"/>
      <c r="U45" s="209"/>
      <c r="V45" s="209"/>
      <c r="W45" s="209"/>
      <c r="X45" s="209"/>
      <c r="Y45" s="209"/>
      <c r="Z45" s="209"/>
      <c r="AA45" s="233"/>
      <c r="AB45" s="352"/>
      <c r="AC45" s="353"/>
      <c r="AD45" s="353"/>
      <c r="AE45" s="354"/>
      <c r="AF45" s="209"/>
      <c r="AG45" s="209"/>
      <c r="AH45" s="209"/>
      <c r="AI45" s="209"/>
      <c r="AJ45" s="209"/>
      <c r="AK45" s="209"/>
      <c r="AL45" s="209"/>
      <c r="AM45" s="209"/>
    </row>
    <row r="46" spans="1:40" ht="15.95" customHeight="1">
      <c r="B46" s="364" t="s">
        <v>195</v>
      </c>
      <c r="C46" s="148" t="s">
        <v>198</v>
      </c>
      <c r="D46" s="234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6"/>
      <c r="P46" s="237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6"/>
      <c r="AB46" s="237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  <c r="AM46" s="235"/>
    </row>
    <row r="47" spans="1:40" ht="15.95" customHeight="1">
      <c r="B47" s="184"/>
      <c r="C47" s="145" t="s">
        <v>114</v>
      </c>
      <c r="D47" s="349" t="s">
        <v>217</v>
      </c>
      <c r="E47" s="350"/>
      <c r="F47" s="350"/>
      <c r="G47" s="351"/>
      <c r="H47" s="206"/>
      <c r="I47" s="206"/>
      <c r="J47" s="206"/>
      <c r="K47" s="206"/>
      <c r="L47" s="206"/>
      <c r="M47" s="206"/>
      <c r="N47" s="206"/>
      <c r="O47" s="232"/>
      <c r="P47" s="349" t="s">
        <v>217</v>
      </c>
      <c r="Q47" s="350"/>
      <c r="R47" s="350"/>
      <c r="S47" s="351"/>
      <c r="T47" s="206"/>
      <c r="U47" s="206"/>
      <c r="V47" s="206"/>
      <c r="W47" s="206"/>
      <c r="X47" s="206"/>
      <c r="Y47" s="206"/>
      <c r="Z47" s="206"/>
      <c r="AA47" s="232"/>
      <c r="AB47" s="349" t="s">
        <v>217</v>
      </c>
      <c r="AC47" s="350"/>
      <c r="AD47" s="350"/>
      <c r="AE47" s="351"/>
      <c r="AF47" s="206"/>
      <c r="AG47" s="206"/>
      <c r="AH47" s="206"/>
      <c r="AI47" s="206"/>
      <c r="AJ47" s="206"/>
      <c r="AK47" s="206"/>
      <c r="AL47" s="206"/>
      <c r="AM47" s="206"/>
    </row>
    <row r="48" spans="1:40" ht="15.95" customHeight="1">
      <c r="B48" s="185"/>
      <c r="C48" s="146" t="s">
        <v>200</v>
      </c>
      <c r="D48" s="352"/>
      <c r="E48" s="353"/>
      <c r="F48" s="353"/>
      <c r="G48" s="354"/>
      <c r="H48" s="209"/>
      <c r="I48" s="209"/>
      <c r="J48" s="209"/>
      <c r="K48" s="209"/>
      <c r="L48" s="209"/>
      <c r="M48" s="209"/>
      <c r="N48" s="209"/>
      <c r="O48" s="233"/>
      <c r="P48" s="352"/>
      <c r="Q48" s="353"/>
      <c r="R48" s="353"/>
      <c r="S48" s="354"/>
      <c r="T48" s="209"/>
      <c r="U48" s="209"/>
      <c r="V48" s="209"/>
      <c r="W48" s="209"/>
      <c r="X48" s="209"/>
      <c r="Y48" s="209"/>
      <c r="Z48" s="209"/>
      <c r="AA48" s="233"/>
      <c r="AB48" s="352"/>
      <c r="AC48" s="353"/>
      <c r="AD48" s="353"/>
      <c r="AE48" s="354"/>
      <c r="AF48" s="209"/>
      <c r="AG48" s="209"/>
      <c r="AH48" s="209"/>
      <c r="AI48" s="209"/>
      <c r="AJ48" s="209"/>
      <c r="AK48" s="209"/>
      <c r="AL48" s="209"/>
      <c r="AM48" s="209"/>
    </row>
    <row r="49" spans="1:40" ht="15.95" customHeight="1">
      <c r="B49" s="173" t="s">
        <v>5</v>
      </c>
      <c r="C49" s="328"/>
      <c r="D49" s="154" t="s">
        <v>116</v>
      </c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6"/>
    </row>
    <row r="50" spans="1:40" ht="15.95" customHeight="1">
      <c r="B50" s="173" t="s">
        <v>117</v>
      </c>
      <c r="C50" s="328"/>
      <c r="D50" s="154" t="s">
        <v>118</v>
      </c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6"/>
    </row>
    <row r="51" spans="1:40" ht="15.95" customHeight="1">
      <c r="AA51" s="54"/>
      <c r="AB51" s="54"/>
      <c r="AC51" s="54"/>
      <c r="AD51" s="54"/>
      <c r="AE51" s="54"/>
      <c r="AF51" s="54"/>
      <c r="AG51" s="54"/>
      <c r="AH51" s="54"/>
      <c r="AI51" s="143"/>
      <c r="AJ51" s="143"/>
      <c r="AK51" s="143"/>
      <c r="AL51" s="143"/>
      <c r="AM51" s="143"/>
    </row>
    <row r="52" spans="1:40" ht="15.95" customHeight="1">
      <c r="A52" s="142" t="s">
        <v>203</v>
      </c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143"/>
      <c r="AJ52" s="143"/>
      <c r="AK52" s="143"/>
      <c r="AL52" s="143"/>
      <c r="AM52" s="143"/>
    </row>
    <row r="53" spans="1:40" ht="15.95" customHeight="1">
      <c r="B53" s="183" t="s">
        <v>197</v>
      </c>
      <c r="C53" s="333" t="s">
        <v>201</v>
      </c>
      <c r="D53" s="228" t="s">
        <v>207</v>
      </c>
      <c r="E53" s="195"/>
      <c r="F53" s="195"/>
      <c r="G53" s="195"/>
      <c r="H53" s="195"/>
      <c r="I53" s="195"/>
      <c r="J53" s="195"/>
      <c r="K53" s="195"/>
      <c r="L53" s="363"/>
      <c r="M53" s="161" t="s">
        <v>136</v>
      </c>
      <c r="N53" s="195"/>
      <c r="O53" s="195"/>
      <c r="P53" s="195"/>
      <c r="Q53" s="195"/>
      <c r="R53" s="195"/>
      <c r="S53" s="195"/>
      <c r="T53" s="195"/>
      <c r="U53" s="363"/>
      <c r="V53" s="161" t="s">
        <v>208</v>
      </c>
      <c r="W53" s="195"/>
      <c r="X53" s="195"/>
      <c r="Y53" s="195"/>
      <c r="Z53" s="195"/>
      <c r="AA53" s="195"/>
      <c r="AB53" s="195"/>
      <c r="AC53" s="195"/>
      <c r="AD53" s="363"/>
      <c r="AE53" s="161" t="s">
        <v>209</v>
      </c>
      <c r="AF53" s="195"/>
      <c r="AG53" s="195"/>
      <c r="AH53" s="195"/>
      <c r="AI53" s="195"/>
      <c r="AJ53" s="195"/>
      <c r="AK53" s="195"/>
      <c r="AL53" s="195"/>
      <c r="AM53" s="195"/>
    </row>
    <row r="54" spans="1:40" ht="15.95" customHeight="1" thickBot="1">
      <c r="B54" s="362"/>
      <c r="C54" s="334"/>
      <c r="D54" s="226" t="s">
        <v>226</v>
      </c>
      <c r="E54" s="227"/>
      <c r="F54" s="227"/>
      <c r="G54" s="229" t="s">
        <v>192</v>
      </c>
      <c r="H54" s="229"/>
      <c r="I54" s="229"/>
      <c r="J54" s="229" t="s">
        <v>225</v>
      </c>
      <c r="K54" s="229"/>
      <c r="L54" s="243"/>
      <c r="M54" s="226" t="s">
        <v>226</v>
      </c>
      <c r="N54" s="227"/>
      <c r="O54" s="227"/>
      <c r="P54" s="229" t="s">
        <v>192</v>
      </c>
      <c r="Q54" s="229"/>
      <c r="R54" s="229"/>
      <c r="S54" s="229" t="s">
        <v>225</v>
      </c>
      <c r="T54" s="229"/>
      <c r="U54" s="243"/>
      <c r="V54" s="226" t="s">
        <v>226</v>
      </c>
      <c r="W54" s="227"/>
      <c r="X54" s="227"/>
      <c r="Y54" s="229" t="s">
        <v>192</v>
      </c>
      <c r="Z54" s="229"/>
      <c r="AA54" s="229"/>
      <c r="AB54" s="229" t="s">
        <v>225</v>
      </c>
      <c r="AC54" s="229"/>
      <c r="AD54" s="243"/>
      <c r="AE54" s="226" t="s">
        <v>226</v>
      </c>
      <c r="AF54" s="227"/>
      <c r="AG54" s="227"/>
      <c r="AH54" s="229" t="s">
        <v>192</v>
      </c>
      <c r="AI54" s="229"/>
      <c r="AJ54" s="229"/>
      <c r="AK54" s="229" t="s">
        <v>225</v>
      </c>
      <c r="AL54" s="229"/>
      <c r="AM54" s="229"/>
    </row>
    <row r="55" spans="1:40" ht="15.95" customHeight="1" thickTop="1">
      <c r="B55" s="359" t="s">
        <v>181</v>
      </c>
      <c r="C55" s="144" t="s">
        <v>198</v>
      </c>
      <c r="D55" s="225"/>
      <c r="E55" s="223"/>
      <c r="F55" s="223"/>
      <c r="G55" s="221"/>
      <c r="H55" s="221"/>
      <c r="I55" s="221"/>
      <c r="J55" s="221"/>
      <c r="K55" s="221"/>
      <c r="L55" s="238"/>
      <c r="M55" s="225"/>
      <c r="N55" s="223"/>
      <c r="O55" s="223"/>
      <c r="P55" s="221"/>
      <c r="Q55" s="221"/>
      <c r="R55" s="221"/>
      <c r="S55" s="221"/>
      <c r="T55" s="221"/>
      <c r="U55" s="238"/>
      <c r="V55" s="225"/>
      <c r="W55" s="223"/>
      <c r="X55" s="223"/>
      <c r="Y55" s="221"/>
      <c r="Z55" s="221"/>
      <c r="AA55" s="221"/>
      <c r="AB55" s="221"/>
      <c r="AC55" s="221"/>
      <c r="AD55" s="238"/>
      <c r="AE55" s="225"/>
      <c r="AF55" s="223"/>
      <c r="AG55" s="223"/>
      <c r="AH55" s="221"/>
      <c r="AI55" s="221"/>
      <c r="AJ55" s="221"/>
      <c r="AK55" s="221"/>
      <c r="AL55" s="221"/>
      <c r="AM55" s="221"/>
    </row>
    <row r="56" spans="1:40" ht="15.95" customHeight="1">
      <c r="B56" s="360"/>
      <c r="C56" s="145" t="s">
        <v>114</v>
      </c>
      <c r="D56" s="343" t="s">
        <v>231</v>
      </c>
      <c r="E56" s="344"/>
      <c r="F56" s="345"/>
      <c r="G56" s="206"/>
      <c r="H56" s="206"/>
      <c r="I56" s="206"/>
      <c r="J56" s="206"/>
      <c r="K56" s="206"/>
      <c r="L56" s="232"/>
      <c r="M56" s="343" t="s">
        <v>231</v>
      </c>
      <c r="N56" s="344"/>
      <c r="O56" s="345"/>
      <c r="P56" s="206"/>
      <c r="Q56" s="206"/>
      <c r="R56" s="206"/>
      <c r="S56" s="206"/>
      <c r="T56" s="206"/>
      <c r="U56" s="232"/>
      <c r="V56" s="343" t="s">
        <v>231</v>
      </c>
      <c r="W56" s="344"/>
      <c r="X56" s="345"/>
      <c r="Y56" s="206"/>
      <c r="Z56" s="206"/>
      <c r="AA56" s="206"/>
      <c r="AB56" s="206"/>
      <c r="AC56" s="206"/>
      <c r="AD56" s="232"/>
      <c r="AE56" s="343" t="s">
        <v>231</v>
      </c>
      <c r="AF56" s="344"/>
      <c r="AG56" s="345"/>
      <c r="AH56" s="206"/>
      <c r="AI56" s="206"/>
      <c r="AJ56" s="206"/>
      <c r="AK56" s="206"/>
      <c r="AL56" s="206"/>
      <c r="AM56" s="206"/>
    </row>
    <row r="57" spans="1:40" ht="15.95" customHeight="1">
      <c r="B57" s="361"/>
      <c r="C57" s="146" t="s">
        <v>200</v>
      </c>
      <c r="D57" s="346"/>
      <c r="E57" s="347"/>
      <c r="F57" s="348"/>
      <c r="G57" s="209"/>
      <c r="H57" s="209"/>
      <c r="I57" s="209"/>
      <c r="J57" s="209"/>
      <c r="K57" s="209"/>
      <c r="L57" s="233"/>
      <c r="M57" s="346"/>
      <c r="N57" s="347"/>
      <c r="O57" s="348"/>
      <c r="P57" s="209"/>
      <c r="Q57" s="209"/>
      <c r="R57" s="209"/>
      <c r="S57" s="209"/>
      <c r="T57" s="209"/>
      <c r="U57" s="233"/>
      <c r="V57" s="346"/>
      <c r="W57" s="347"/>
      <c r="X57" s="348"/>
      <c r="Y57" s="209"/>
      <c r="Z57" s="209"/>
      <c r="AA57" s="209"/>
      <c r="AB57" s="209"/>
      <c r="AC57" s="209"/>
      <c r="AD57" s="233"/>
      <c r="AE57" s="346"/>
      <c r="AF57" s="347"/>
      <c r="AG57" s="348"/>
      <c r="AH57" s="209"/>
      <c r="AI57" s="209"/>
      <c r="AJ57" s="209"/>
      <c r="AK57" s="209"/>
      <c r="AL57" s="209"/>
      <c r="AM57" s="209"/>
    </row>
    <row r="58" spans="1:40" ht="15.95" customHeight="1">
      <c r="B58" s="356" t="s">
        <v>205</v>
      </c>
      <c r="C58" s="147" t="s">
        <v>198</v>
      </c>
      <c r="D58" s="220"/>
      <c r="E58" s="218"/>
      <c r="F58" s="218"/>
      <c r="G58" s="216"/>
      <c r="H58" s="216"/>
      <c r="I58" s="216"/>
      <c r="J58" s="216"/>
      <c r="K58" s="216"/>
      <c r="L58" s="355"/>
      <c r="M58" s="220"/>
      <c r="N58" s="218"/>
      <c r="O58" s="218"/>
      <c r="P58" s="216"/>
      <c r="Q58" s="216"/>
      <c r="R58" s="216"/>
      <c r="S58" s="216"/>
      <c r="T58" s="216"/>
      <c r="U58" s="355"/>
      <c r="V58" s="220"/>
      <c r="W58" s="218"/>
      <c r="X58" s="218"/>
      <c r="Y58" s="216"/>
      <c r="Z58" s="216"/>
      <c r="AA58" s="216"/>
      <c r="AB58" s="216"/>
      <c r="AC58" s="216"/>
      <c r="AD58" s="355"/>
      <c r="AE58" s="220"/>
      <c r="AF58" s="218"/>
      <c r="AG58" s="218"/>
      <c r="AH58" s="216"/>
      <c r="AI58" s="216"/>
      <c r="AJ58" s="216"/>
      <c r="AK58" s="216"/>
      <c r="AL58" s="216"/>
      <c r="AM58" s="216"/>
      <c r="AN58" s="74"/>
    </row>
    <row r="59" spans="1:40" ht="15.95" customHeight="1">
      <c r="B59" s="357"/>
      <c r="C59" s="145" t="s">
        <v>114</v>
      </c>
      <c r="D59" s="343" t="s">
        <v>231</v>
      </c>
      <c r="E59" s="344"/>
      <c r="F59" s="345"/>
      <c r="G59" s="206"/>
      <c r="H59" s="206"/>
      <c r="I59" s="206"/>
      <c r="J59" s="206"/>
      <c r="K59" s="206"/>
      <c r="L59" s="232"/>
      <c r="M59" s="343" t="s">
        <v>231</v>
      </c>
      <c r="N59" s="344"/>
      <c r="O59" s="345"/>
      <c r="P59" s="206"/>
      <c r="Q59" s="206"/>
      <c r="R59" s="206"/>
      <c r="S59" s="206"/>
      <c r="T59" s="206"/>
      <c r="U59" s="232"/>
      <c r="V59" s="343" t="s">
        <v>231</v>
      </c>
      <c r="W59" s="344"/>
      <c r="X59" s="345"/>
      <c r="Y59" s="206"/>
      <c r="Z59" s="206"/>
      <c r="AA59" s="206"/>
      <c r="AB59" s="206"/>
      <c r="AC59" s="206"/>
      <c r="AD59" s="232"/>
      <c r="AE59" s="343" t="s">
        <v>231</v>
      </c>
      <c r="AF59" s="344"/>
      <c r="AG59" s="345"/>
      <c r="AH59" s="206"/>
      <c r="AI59" s="206"/>
      <c r="AJ59" s="206"/>
      <c r="AK59" s="206"/>
      <c r="AL59" s="206"/>
      <c r="AM59" s="206"/>
      <c r="AN59" s="74"/>
    </row>
    <row r="60" spans="1:40" ht="15.95" customHeight="1">
      <c r="B60" s="358"/>
      <c r="C60" s="146" t="s">
        <v>200</v>
      </c>
      <c r="D60" s="346"/>
      <c r="E60" s="347"/>
      <c r="F60" s="348"/>
      <c r="G60" s="209"/>
      <c r="H60" s="209"/>
      <c r="I60" s="209"/>
      <c r="J60" s="209"/>
      <c r="K60" s="209"/>
      <c r="L60" s="233"/>
      <c r="M60" s="346"/>
      <c r="N60" s="347"/>
      <c r="O60" s="348"/>
      <c r="P60" s="209"/>
      <c r="Q60" s="209"/>
      <c r="R60" s="209"/>
      <c r="S60" s="209"/>
      <c r="T60" s="209"/>
      <c r="U60" s="233"/>
      <c r="V60" s="346"/>
      <c r="W60" s="347"/>
      <c r="X60" s="348"/>
      <c r="Y60" s="209"/>
      <c r="Z60" s="209"/>
      <c r="AA60" s="209"/>
      <c r="AB60" s="209"/>
      <c r="AC60" s="209"/>
      <c r="AD60" s="233"/>
      <c r="AE60" s="346"/>
      <c r="AF60" s="347"/>
      <c r="AG60" s="348"/>
      <c r="AH60" s="209"/>
      <c r="AI60" s="209"/>
      <c r="AJ60" s="209"/>
      <c r="AK60" s="209"/>
      <c r="AL60" s="209"/>
      <c r="AM60" s="209"/>
      <c r="AN60" s="74"/>
    </row>
    <row r="62" spans="1:40" ht="15.95" customHeight="1">
      <c r="A62" s="142" t="s">
        <v>212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</row>
    <row r="63" spans="1:40" ht="15.95" customHeight="1">
      <c r="A63" s="51"/>
      <c r="B63" s="173" t="s">
        <v>1</v>
      </c>
      <c r="C63" s="328"/>
      <c r="D63" s="159" t="s">
        <v>2</v>
      </c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1"/>
    </row>
    <row r="64" spans="1:40" ht="15.95" customHeight="1">
      <c r="A64" s="51"/>
      <c r="B64" s="329" t="s">
        <v>142</v>
      </c>
      <c r="C64" s="330"/>
      <c r="D64" s="151" t="s">
        <v>148</v>
      </c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3"/>
    </row>
    <row r="65" spans="1:39" ht="15.95" customHeight="1">
      <c r="A65" s="51"/>
      <c r="B65" s="329" t="s">
        <v>143</v>
      </c>
      <c r="C65" s="330"/>
      <c r="D65" s="151" t="s">
        <v>149</v>
      </c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3"/>
    </row>
    <row r="66" spans="1:39" ht="15.95" customHeight="1">
      <c r="A66" s="51"/>
      <c r="B66" s="329" t="s">
        <v>119</v>
      </c>
      <c r="C66" s="330"/>
      <c r="D66" s="151" t="s">
        <v>150</v>
      </c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3"/>
    </row>
    <row r="67" spans="1:39" ht="15.95" customHeight="1">
      <c r="A67" s="51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</row>
    <row r="68" spans="1:39" ht="15.95" customHeight="1">
      <c r="A68" s="142" t="s">
        <v>213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</row>
    <row r="69" spans="1:39" ht="15.95" customHeight="1">
      <c r="A69" s="51"/>
      <c r="B69" s="52" t="s">
        <v>121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</row>
    <row r="70" spans="1:39" ht="15.95" customHeight="1">
      <c r="A70" s="51"/>
      <c r="B70" s="52" t="s">
        <v>122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</row>
    <row r="71" spans="1:39" ht="15.9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63"/>
      <c r="AE71" s="63"/>
      <c r="AF71" s="51"/>
      <c r="AG71" s="51"/>
      <c r="AH71" s="51"/>
      <c r="AI71" s="51"/>
      <c r="AJ71" s="51"/>
      <c r="AK71" s="51"/>
      <c r="AL71" s="51"/>
      <c r="AM71" s="63" t="s">
        <v>3</v>
      </c>
    </row>
  </sheetData>
  <mergeCells count="377">
    <mergeCell ref="A2:AM2"/>
    <mergeCell ref="A4:AM4"/>
    <mergeCell ref="A8:AA8"/>
    <mergeCell ref="AF9:AM9"/>
    <mergeCell ref="B10:C11"/>
    <mergeCell ref="D10:U10"/>
    <mergeCell ref="V10:AM10"/>
    <mergeCell ref="Y11:AA11"/>
    <mergeCell ref="AB11:AD11"/>
    <mergeCell ref="AE11:AG11"/>
    <mergeCell ref="AU10:AZ10"/>
    <mergeCell ref="BA10:BF10"/>
    <mergeCell ref="D11:F11"/>
    <mergeCell ref="G11:I11"/>
    <mergeCell ref="J11:L11"/>
    <mergeCell ref="M11:O11"/>
    <mergeCell ref="P11:R11"/>
    <mergeCell ref="S11:U11"/>
    <mergeCell ref="V11:X11"/>
    <mergeCell ref="AS12:AT12"/>
    <mergeCell ref="AH11:AJ11"/>
    <mergeCell ref="AK11:AM11"/>
    <mergeCell ref="B12:C12"/>
    <mergeCell ref="D12:F12"/>
    <mergeCell ref="G12:I12"/>
    <mergeCell ref="J12:L12"/>
    <mergeCell ref="M12:O12"/>
    <mergeCell ref="P12:R12"/>
    <mergeCell ref="S12:U12"/>
    <mergeCell ref="V12:X12"/>
    <mergeCell ref="AS10:AT11"/>
    <mergeCell ref="G13:I13"/>
    <mergeCell ref="J13:L13"/>
    <mergeCell ref="M13:O13"/>
    <mergeCell ref="P13:R13"/>
    <mergeCell ref="Y12:AA12"/>
    <mergeCell ref="AB12:AD12"/>
    <mergeCell ref="AE12:AG12"/>
    <mergeCell ref="AH12:AJ12"/>
    <mergeCell ref="AK12:AM12"/>
    <mergeCell ref="Y14:AA14"/>
    <mergeCell ref="AB14:AD14"/>
    <mergeCell ref="AE14:AG14"/>
    <mergeCell ref="AH14:AJ14"/>
    <mergeCell ref="AK14:AM14"/>
    <mergeCell ref="AS14:AT14"/>
    <mergeCell ref="AK13:AM13"/>
    <mergeCell ref="AS13:AT13"/>
    <mergeCell ref="B14:C14"/>
    <mergeCell ref="D14:F14"/>
    <mergeCell ref="G14:I14"/>
    <mergeCell ref="J14:L14"/>
    <mergeCell ref="M14:O14"/>
    <mergeCell ref="P14:R14"/>
    <mergeCell ref="S14:U14"/>
    <mergeCell ref="V14:X14"/>
    <mergeCell ref="S13:U13"/>
    <mergeCell ref="V13:X13"/>
    <mergeCell ref="Y13:AA13"/>
    <mergeCell ref="AB13:AD13"/>
    <mergeCell ref="AE13:AG13"/>
    <mergeCell ref="AH13:AJ13"/>
    <mergeCell ref="B13:C13"/>
    <mergeCell ref="D13:F13"/>
    <mergeCell ref="AK15:AM15"/>
    <mergeCell ref="AS15:AT15"/>
    <mergeCell ref="B16:C17"/>
    <mergeCell ref="D16:U16"/>
    <mergeCell ref="V16:AM16"/>
    <mergeCell ref="AS16:AT17"/>
    <mergeCell ref="AB17:AD17"/>
    <mergeCell ref="AE17:AG17"/>
    <mergeCell ref="AH17:AJ17"/>
    <mergeCell ref="AK17:AM17"/>
    <mergeCell ref="S15:U15"/>
    <mergeCell ref="V15:X15"/>
    <mergeCell ref="Y15:AA15"/>
    <mergeCell ref="AB15:AD15"/>
    <mergeCell ref="AE15:AG15"/>
    <mergeCell ref="AH15:AJ15"/>
    <mergeCell ref="B15:C15"/>
    <mergeCell ref="D15:F15"/>
    <mergeCell ref="G15:I15"/>
    <mergeCell ref="J15:L15"/>
    <mergeCell ref="M15:O15"/>
    <mergeCell ref="P15:R15"/>
    <mergeCell ref="AU16:AZ16"/>
    <mergeCell ref="BA16:BF16"/>
    <mergeCell ref="D17:F17"/>
    <mergeCell ref="G17:I17"/>
    <mergeCell ref="J17:L17"/>
    <mergeCell ref="M17:O17"/>
    <mergeCell ref="P17:R17"/>
    <mergeCell ref="S17:U17"/>
    <mergeCell ref="V17:X17"/>
    <mergeCell ref="Y17:AA17"/>
    <mergeCell ref="AS19:AT19"/>
    <mergeCell ref="AK18:AM18"/>
    <mergeCell ref="AS18:AT18"/>
    <mergeCell ref="B19:C19"/>
    <mergeCell ref="D19:F19"/>
    <mergeCell ref="G19:I19"/>
    <mergeCell ref="J19:L19"/>
    <mergeCell ref="M19:O19"/>
    <mergeCell ref="P19:R19"/>
    <mergeCell ref="S19:U19"/>
    <mergeCell ref="V19:X19"/>
    <mergeCell ref="S18:U18"/>
    <mergeCell ref="V18:X18"/>
    <mergeCell ref="Y18:AA18"/>
    <mergeCell ref="AB18:AD18"/>
    <mergeCell ref="AE18:AG18"/>
    <mergeCell ref="AH18:AJ18"/>
    <mergeCell ref="B18:C18"/>
    <mergeCell ref="D18:F18"/>
    <mergeCell ref="G18:I18"/>
    <mergeCell ref="J18:L18"/>
    <mergeCell ref="M18:O18"/>
    <mergeCell ref="P18:R18"/>
    <mergeCell ref="G20:I20"/>
    <mergeCell ref="J20:L20"/>
    <mergeCell ref="M20:O20"/>
    <mergeCell ref="P20:R20"/>
    <mergeCell ref="Y19:AA19"/>
    <mergeCell ref="AB19:AD19"/>
    <mergeCell ref="AE19:AG19"/>
    <mergeCell ref="AH19:AJ19"/>
    <mergeCell ref="AK19:AM19"/>
    <mergeCell ref="Y21:AA21"/>
    <mergeCell ref="AB21:AD21"/>
    <mergeCell ref="AE21:AG21"/>
    <mergeCell ref="AH21:AJ21"/>
    <mergeCell ref="AK21:AM21"/>
    <mergeCell ref="AS21:AT21"/>
    <mergeCell ref="AK20:AM20"/>
    <mergeCell ref="AS20:AT20"/>
    <mergeCell ref="B21:C21"/>
    <mergeCell ref="D21:F21"/>
    <mergeCell ref="G21:I21"/>
    <mergeCell ref="J21:L21"/>
    <mergeCell ref="M21:O21"/>
    <mergeCell ref="P21:R21"/>
    <mergeCell ref="S21:U21"/>
    <mergeCell ref="V21:X21"/>
    <mergeCell ref="S20:U20"/>
    <mergeCell ref="V20:X20"/>
    <mergeCell ref="Y20:AA20"/>
    <mergeCell ref="AB20:AD20"/>
    <mergeCell ref="AE20:AG20"/>
    <mergeCell ref="AH20:AJ20"/>
    <mergeCell ref="B20:C20"/>
    <mergeCell ref="D20:F20"/>
    <mergeCell ref="B27:C27"/>
    <mergeCell ref="D27:AM27"/>
    <mergeCell ref="B28:B29"/>
    <mergeCell ref="D28:AM28"/>
    <mergeCell ref="D29:AM29"/>
    <mergeCell ref="B30:B31"/>
    <mergeCell ref="D30:AM30"/>
    <mergeCell ref="D31:AM31"/>
    <mergeCell ref="X23:AD23"/>
    <mergeCell ref="B24:C24"/>
    <mergeCell ref="I24:AM24"/>
    <mergeCell ref="B25:C25"/>
    <mergeCell ref="D25:AM25"/>
    <mergeCell ref="B26:C26"/>
    <mergeCell ref="D26:AM26"/>
    <mergeCell ref="AB35:AM35"/>
    <mergeCell ref="D36:G36"/>
    <mergeCell ref="H36:K36"/>
    <mergeCell ref="L36:O36"/>
    <mergeCell ref="P36:S36"/>
    <mergeCell ref="T36:W36"/>
    <mergeCell ref="AF38:AI38"/>
    <mergeCell ref="AJ38:AM38"/>
    <mergeCell ref="H39:K39"/>
    <mergeCell ref="L39:O39"/>
    <mergeCell ref="B37:B39"/>
    <mergeCell ref="D37:G37"/>
    <mergeCell ref="H37:K37"/>
    <mergeCell ref="L37:O37"/>
    <mergeCell ref="P37:S37"/>
    <mergeCell ref="T37:W37"/>
    <mergeCell ref="B35:B36"/>
    <mergeCell ref="C35:C36"/>
    <mergeCell ref="D35:O35"/>
    <mergeCell ref="P35:AA35"/>
    <mergeCell ref="X37:AA37"/>
    <mergeCell ref="AB37:AE37"/>
    <mergeCell ref="AF37:AI37"/>
    <mergeCell ref="AJ37:AM37"/>
    <mergeCell ref="H38:K38"/>
    <mergeCell ref="L38:O38"/>
    <mergeCell ref="T38:W38"/>
    <mergeCell ref="X38:AA38"/>
    <mergeCell ref="X36:AA36"/>
    <mergeCell ref="AB36:AE36"/>
    <mergeCell ref="AF36:AI36"/>
    <mergeCell ref="AJ36:AM36"/>
    <mergeCell ref="AF40:AI40"/>
    <mergeCell ref="AJ40:AM40"/>
    <mergeCell ref="H41:K41"/>
    <mergeCell ref="L41:O41"/>
    <mergeCell ref="T41:W41"/>
    <mergeCell ref="X41:AA41"/>
    <mergeCell ref="AF41:AI41"/>
    <mergeCell ref="AF39:AI39"/>
    <mergeCell ref="AJ39:AM39"/>
    <mergeCell ref="H40:K40"/>
    <mergeCell ref="L40:O40"/>
    <mergeCell ref="P40:S40"/>
    <mergeCell ref="T40:W40"/>
    <mergeCell ref="X40:AA40"/>
    <mergeCell ref="AB40:AE40"/>
    <mergeCell ref="P41:S42"/>
    <mergeCell ref="AB41:AE42"/>
    <mergeCell ref="T39:W39"/>
    <mergeCell ref="X39:AA39"/>
    <mergeCell ref="B43:B45"/>
    <mergeCell ref="D43:G43"/>
    <mergeCell ref="H43:K43"/>
    <mergeCell ref="L43:O43"/>
    <mergeCell ref="P43:S43"/>
    <mergeCell ref="T43:W43"/>
    <mergeCell ref="AJ41:AM41"/>
    <mergeCell ref="H42:K42"/>
    <mergeCell ref="L42:O42"/>
    <mergeCell ref="T42:W42"/>
    <mergeCell ref="X42:AA42"/>
    <mergeCell ref="AF42:AI42"/>
    <mergeCell ref="AJ42:AM42"/>
    <mergeCell ref="B40:B42"/>
    <mergeCell ref="D40:G40"/>
    <mergeCell ref="AF44:AI44"/>
    <mergeCell ref="AJ44:AM44"/>
    <mergeCell ref="H45:K45"/>
    <mergeCell ref="L45:O45"/>
    <mergeCell ref="T45:W45"/>
    <mergeCell ref="X45:AA45"/>
    <mergeCell ref="X43:AA43"/>
    <mergeCell ref="AB43:AE43"/>
    <mergeCell ref="AF43:AI43"/>
    <mergeCell ref="AJ43:AM43"/>
    <mergeCell ref="H44:K44"/>
    <mergeCell ref="L44:O44"/>
    <mergeCell ref="T44:W44"/>
    <mergeCell ref="X44:AA44"/>
    <mergeCell ref="AF46:AI46"/>
    <mergeCell ref="AJ46:AM46"/>
    <mergeCell ref="H47:K47"/>
    <mergeCell ref="L47:O47"/>
    <mergeCell ref="T47:W47"/>
    <mergeCell ref="X47:AA47"/>
    <mergeCell ref="AF47:AI47"/>
    <mergeCell ref="AF45:AI45"/>
    <mergeCell ref="AJ45:AM45"/>
    <mergeCell ref="H46:K46"/>
    <mergeCell ref="L46:O46"/>
    <mergeCell ref="P46:S46"/>
    <mergeCell ref="T46:W46"/>
    <mergeCell ref="X46:AA46"/>
    <mergeCell ref="AB46:AE46"/>
    <mergeCell ref="B49:C49"/>
    <mergeCell ref="AJ47:AM47"/>
    <mergeCell ref="H48:K48"/>
    <mergeCell ref="L48:O48"/>
    <mergeCell ref="T48:W48"/>
    <mergeCell ref="X48:AA48"/>
    <mergeCell ref="AF48:AI48"/>
    <mergeCell ref="AJ48:AM48"/>
    <mergeCell ref="B46:B48"/>
    <mergeCell ref="D46:G46"/>
    <mergeCell ref="P54:R54"/>
    <mergeCell ref="S54:U54"/>
    <mergeCell ref="B53:B54"/>
    <mergeCell ref="C53:C54"/>
    <mergeCell ref="D53:L53"/>
    <mergeCell ref="M53:U53"/>
    <mergeCell ref="V53:AD53"/>
    <mergeCell ref="AE53:AM53"/>
    <mergeCell ref="B50:C50"/>
    <mergeCell ref="B58:B60"/>
    <mergeCell ref="D58:F58"/>
    <mergeCell ref="G58:I58"/>
    <mergeCell ref="J58:L58"/>
    <mergeCell ref="M58:O58"/>
    <mergeCell ref="AH56:AJ56"/>
    <mergeCell ref="AK56:AM56"/>
    <mergeCell ref="G57:I57"/>
    <mergeCell ref="J57:L57"/>
    <mergeCell ref="P57:R57"/>
    <mergeCell ref="S57:U57"/>
    <mergeCell ref="G56:I56"/>
    <mergeCell ref="J56:L56"/>
    <mergeCell ref="P56:R56"/>
    <mergeCell ref="S56:U56"/>
    <mergeCell ref="Y56:AA56"/>
    <mergeCell ref="AB56:AD56"/>
    <mergeCell ref="B55:B57"/>
    <mergeCell ref="D55:F55"/>
    <mergeCell ref="G55:I55"/>
    <mergeCell ref="J55:L55"/>
    <mergeCell ref="M55:O55"/>
    <mergeCell ref="P55:R55"/>
    <mergeCell ref="V59:X60"/>
    <mergeCell ref="D38:G39"/>
    <mergeCell ref="P38:S39"/>
    <mergeCell ref="AB38:AE39"/>
    <mergeCell ref="D41:G42"/>
    <mergeCell ref="B63:C63"/>
    <mergeCell ref="D63:AM63"/>
    <mergeCell ref="B64:C64"/>
    <mergeCell ref="D64:AM64"/>
    <mergeCell ref="B65:C65"/>
    <mergeCell ref="D65:AM65"/>
    <mergeCell ref="Y60:AA60"/>
    <mergeCell ref="AB60:AD60"/>
    <mergeCell ref="AH60:AJ60"/>
    <mergeCell ref="AK60:AM60"/>
    <mergeCell ref="AB59:AD59"/>
    <mergeCell ref="AH59:AJ59"/>
    <mergeCell ref="AK59:AM59"/>
    <mergeCell ref="G60:I60"/>
    <mergeCell ref="J60:L60"/>
    <mergeCell ref="P60:R60"/>
    <mergeCell ref="S60:U60"/>
    <mergeCell ref="AH58:AJ58"/>
    <mergeCell ref="AK58:AM58"/>
    <mergeCell ref="G59:I59"/>
    <mergeCell ref="D44:G45"/>
    <mergeCell ref="P44:S45"/>
    <mergeCell ref="AB44:AE45"/>
    <mergeCell ref="D47:G48"/>
    <mergeCell ref="P47:S48"/>
    <mergeCell ref="AB47:AE48"/>
    <mergeCell ref="B66:C66"/>
    <mergeCell ref="D66:AM66"/>
    <mergeCell ref="J59:L59"/>
    <mergeCell ref="P59:R59"/>
    <mergeCell ref="S59:U59"/>
    <mergeCell ref="Y59:AA59"/>
    <mergeCell ref="P58:R58"/>
    <mergeCell ref="S58:U58"/>
    <mergeCell ref="V58:X58"/>
    <mergeCell ref="Y58:AA58"/>
    <mergeCell ref="AB58:AD58"/>
    <mergeCell ref="AE58:AG58"/>
    <mergeCell ref="Y57:AA57"/>
    <mergeCell ref="AB57:AD57"/>
    <mergeCell ref="AH57:AJ57"/>
    <mergeCell ref="AK57:AM57"/>
    <mergeCell ref="D59:F60"/>
    <mergeCell ref="M59:O60"/>
    <mergeCell ref="AE59:AG60"/>
    <mergeCell ref="D49:AM49"/>
    <mergeCell ref="D50:AM50"/>
    <mergeCell ref="D56:F57"/>
    <mergeCell ref="M56:O57"/>
    <mergeCell ref="V56:X57"/>
    <mergeCell ref="AE56:AG57"/>
    <mergeCell ref="AK55:AM55"/>
    <mergeCell ref="S55:U55"/>
    <mergeCell ref="V55:X55"/>
    <mergeCell ref="Y55:AA55"/>
    <mergeCell ref="AB55:AD55"/>
    <mergeCell ref="AE55:AG55"/>
    <mergeCell ref="AH55:AJ55"/>
    <mergeCell ref="V54:X54"/>
    <mergeCell ref="Y54:AA54"/>
    <mergeCell ref="AB54:AD54"/>
    <mergeCell ref="AE54:AG54"/>
    <mergeCell ref="AH54:AJ54"/>
    <mergeCell ref="AK54:AM54"/>
    <mergeCell ref="D54:F54"/>
    <mergeCell ref="G54:I54"/>
    <mergeCell ref="J54:L54"/>
    <mergeCell ref="M54:O54"/>
  </mergeCells>
  <phoneticPr fontId="2" type="noConversion"/>
  <conditionalFormatting sqref="S12:U15">
    <cfRule type="cellIs" dxfId="3" priority="4" operator="lessThan">
      <formula>1</formula>
    </cfRule>
  </conditionalFormatting>
  <conditionalFormatting sqref="S18:U21">
    <cfRule type="cellIs" dxfId="2" priority="3" operator="lessThan">
      <formula>1</formula>
    </cfRule>
  </conditionalFormatting>
  <conditionalFormatting sqref="AK12:AM15">
    <cfRule type="cellIs" dxfId="1" priority="2" operator="lessThan">
      <formula>1</formula>
    </cfRule>
  </conditionalFormatting>
  <conditionalFormatting sqref="AK18:AM21">
    <cfRule type="cellIs" dxfId="0" priority="1" operator="lessThan">
      <formula>1</formula>
    </cfRule>
  </conditionalFormatting>
  <pageMargins left="0.11811023622047245" right="0.11811023622047245" top="0.19685039370078741" bottom="0.1968503937007874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3"/>
  <sheetViews>
    <sheetView showGridLines="0" topLeftCell="A40" zoomScale="130" zoomScaleNormal="130" workbookViewId="0">
      <selection activeCell="D49" sqref="D49:O50"/>
    </sheetView>
  </sheetViews>
  <sheetFormatPr defaultColWidth="9" defaultRowHeight="15.95" customHeight="1"/>
  <cols>
    <col min="1" max="1" width="2.625" style="49" customWidth="1"/>
    <col min="2" max="15" width="6.625" style="49" customWidth="1"/>
    <col min="16" max="16" width="32.75" style="49" bestFit="1" customWidth="1"/>
    <col min="17" max="30" width="6.625" style="49" customWidth="1"/>
    <col min="31" max="16384" width="9" style="49"/>
  </cols>
  <sheetData>
    <row r="2" spans="1:18" ht="15.95" customHeight="1">
      <c r="A2" s="203" t="s">
        <v>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</row>
    <row r="4" spans="1:18" ht="15.95" customHeight="1">
      <c r="A4" s="204" t="s">
        <v>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</row>
    <row r="6" spans="1:18" s="51" customFormat="1" ht="15.95" customHeight="1">
      <c r="A6" s="50" t="s">
        <v>78</v>
      </c>
    </row>
    <row r="7" spans="1:18" s="51" customFormat="1" ht="15.95" customHeight="1">
      <c r="B7" s="1" t="s">
        <v>63</v>
      </c>
      <c r="C7" s="1"/>
      <c r="D7" s="52"/>
      <c r="E7" s="52"/>
      <c r="F7" s="52"/>
      <c r="G7" s="52"/>
      <c r="H7" s="52"/>
      <c r="I7" s="52"/>
    </row>
    <row r="8" spans="1:18" s="51" customFormat="1" ht="15.95" customHeight="1">
      <c r="A8" s="203"/>
      <c r="B8" s="203"/>
      <c r="C8" s="203"/>
      <c r="D8" s="203"/>
      <c r="E8" s="203"/>
      <c r="F8" s="203"/>
      <c r="G8" s="203"/>
      <c r="H8" s="203"/>
    </row>
    <row r="9" spans="1:18" s="51" customFormat="1" ht="15.95" customHeight="1">
      <c r="A9" s="50" t="s">
        <v>123</v>
      </c>
      <c r="J9" s="205" t="s">
        <v>79</v>
      </c>
      <c r="K9" s="205"/>
      <c r="L9" s="205"/>
      <c r="M9" s="205"/>
      <c r="N9" s="205"/>
      <c r="O9" s="205"/>
    </row>
    <row r="10" spans="1:18" ht="15.95" customHeight="1">
      <c r="B10" s="309" t="s">
        <v>125</v>
      </c>
      <c r="C10" s="310"/>
      <c r="D10" s="161" t="s">
        <v>65</v>
      </c>
      <c r="E10" s="195"/>
      <c r="F10" s="195"/>
      <c r="G10" s="195"/>
      <c r="H10" s="195"/>
      <c r="I10" s="195"/>
      <c r="J10" s="195" t="s">
        <v>66</v>
      </c>
      <c r="K10" s="195"/>
      <c r="L10" s="195"/>
      <c r="M10" s="195"/>
      <c r="N10" s="195"/>
      <c r="O10" s="195"/>
    </row>
    <row r="11" spans="1:18" ht="15.95" customHeight="1" thickBot="1">
      <c r="A11" s="53"/>
      <c r="B11" s="306"/>
      <c r="C11" s="311"/>
      <c r="D11" s="23" t="s">
        <v>67</v>
      </c>
      <c r="E11" s="24" t="s">
        <v>68</v>
      </c>
      <c r="F11" s="25" t="s">
        <v>69</v>
      </c>
      <c r="G11" s="25" t="s">
        <v>70</v>
      </c>
      <c r="H11" s="25" t="s">
        <v>71</v>
      </c>
      <c r="I11" s="25" t="s">
        <v>72</v>
      </c>
      <c r="J11" s="25" t="s">
        <v>67</v>
      </c>
      <c r="K11" s="24" t="s">
        <v>68</v>
      </c>
      <c r="L11" s="25" t="s">
        <v>69</v>
      </c>
      <c r="M11" s="25" t="s">
        <v>70</v>
      </c>
      <c r="N11" s="25" t="s">
        <v>71</v>
      </c>
      <c r="O11" s="25" t="s">
        <v>72</v>
      </c>
      <c r="R11" s="54"/>
    </row>
    <row r="12" spans="1:18" ht="15.95" customHeight="1" thickTop="1">
      <c r="B12" s="324" t="s">
        <v>73</v>
      </c>
      <c r="C12" s="325"/>
      <c r="D12" s="27">
        <v>0.40400000000000003</v>
      </c>
      <c r="E12" s="28">
        <v>0.31</v>
      </c>
      <c r="F12" s="28">
        <v>0.77</v>
      </c>
      <c r="G12" s="28">
        <v>0.38</v>
      </c>
      <c r="H12" s="29">
        <v>-0.02</v>
      </c>
      <c r="I12" s="29">
        <v>0.95</v>
      </c>
      <c r="J12" s="28">
        <v>0.12</v>
      </c>
      <c r="K12" s="28">
        <v>0.08</v>
      </c>
      <c r="L12" s="28">
        <v>0.65</v>
      </c>
      <c r="M12" s="28">
        <v>0.1</v>
      </c>
      <c r="N12" s="29">
        <v>-0.02</v>
      </c>
      <c r="O12" s="29">
        <v>0.78</v>
      </c>
      <c r="Q12" s="54" t="s">
        <v>126</v>
      </c>
    </row>
    <row r="13" spans="1:18" ht="15.95" customHeight="1">
      <c r="A13" s="54"/>
      <c r="B13" s="307" t="s">
        <v>74</v>
      </c>
      <c r="C13" s="308"/>
      <c r="D13" s="31">
        <v>32864</v>
      </c>
      <c r="E13" s="32">
        <v>25870</v>
      </c>
      <c r="F13" s="33">
        <v>0.78</v>
      </c>
      <c r="G13" s="32">
        <v>31239</v>
      </c>
      <c r="H13" s="34">
        <v>-1625</v>
      </c>
      <c r="I13" s="35">
        <v>0.95</v>
      </c>
      <c r="J13" s="32">
        <v>10419</v>
      </c>
      <c r="K13" s="32">
        <v>6825</v>
      </c>
      <c r="L13" s="33">
        <v>0.65</v>
      </c>
      <c r="M13" s="32">
        <v>8173</v>
      </c>
      <c r="N13" s="34">
        <v>-2246</v>
      </c>
      <c r="O13" s="35">
        <v>0.78</v>
      </c>
    </row>
    <row r="14" spans="1:18" ht="15.95" customHeight="1">
      <c r="A14" s="53"/>
      <c r="B14" s="307" t="s">
        <v>75</v>
      </c>
      <c r="C14" s="308"/>
      <c r="D14" s="31">
        <v>208</v>
      </c>
      <c r="E14" s="32">
        <v>208</v>
      </c>
      <c r="F14" s="33">
        <v>1</v>
      </c>
      <c r="G14" s="32">
        <v>216</v>
      </c>
      <c r="H14" s="36">
        <v>8</v>
      </c>
      <c r="I14" s="33">
        <v>1.03</v>
      </c>
      <c r="J14" s="32">
        <v>227</v>
      </c>
      <c r="K14" s="32">
        <v>277</v>
      </c>
      <c r="L14" s="33">
        <v>1.22</v>
      </c>
      <c r="M14" s="32">
        <v>244</v>
      </c>
      <c r="N14" s="36">
        <v>17</v>
      </c>
      <c r="O14" s="33">
        <v>1.07</v>
      </c>
    </row>
    <row r="15" spans="1:18" ht="15.95" customHeight="1">
      <c r="A15" s="53"/>
      <c r="B15" s="319" t="s">
        <v>76</v>
      </c>
      <c r="C15" s="320"/>
      <c r="D15" s="38">
        <v>6822</v>
      </c>
      <c r="E15" s="39">
        <v>5381</v>
      </c>
      <c r="F15" s="40">
        <v>0.78</v>
      </c>
      <c r="G15" s="39">
        <v>6734</v>
      </c>
      <c r="H15" s="41">
        <v>-88</v>
      </c>
      <c r="I15" s="42">
        <v>0.98</v>
      </c>
      <c r="J15" s="39">
        <v>2365</v>
      </c>
      <c r="K15" s="39">
        <v>1888</v>
      </c>
      <c r="L15" s="40">
        <v>0.8</v>
      </c>
      <c r="M15" s="39">
        <v>1994</v>
      </c>
      <c r="N15" s="41">
        <v>-371</v>
      </c>
      <c r="O15" s="42">
        <v>0.84</v>
      </c>
    </row>
    <row r="16" spans="1:18" ht="15.95" customHeight="1">
      <c r="B16" s="309" t="s">
        <v>124</v>
      </c>
      <c r="C16" s="310"/>
      <c r="D16" s="161" t="s">
        <v>65</v>
      </c>
      <c r="E16" s="195"/>
      <c r="F16" s="195"/>
      <c r="G16" s="195"/>
      <c r="H16" s="195"/>
      <c r="I16" s="195"/>
      <c r="J16" s="195" t="s">
        <v>66</v>
      </c>
      <c r="K16" s="195"/>
      <c r="L16" s="195"/>
      <c r="M16" s="195"/>
      <c r="N16" s="195"/>
      <c r="O16" s="195"/>
    </row>
    <row r="17" spans="1:18" ht="15.95" customHeight="1" thickBot="1">
      <c r="A17" s="53"/>
      <c r="B17" s="306"/>
      <c r="C17" s="311"/>
      <c r="D17" s="23" t="s">
        <v>67</v>
      </c>
      <c r="E17" s="24" t="s">
        <v>68</v>
      </c>
      <c r="F17" s="25" t="s">
        <v>69</v>
      </c>
      <c r="G17" s="25" t="s">
        <v>70</v>
      </c>
      <c r="H17" s="25" t="s">
        <v>71</v>
      </c>
      <c r="I17" s="25" t="s">
        <v>72</v>
      </c>
      <c r="J17" s="25" t="s">
        <v>67</v>
      </c>
      <c r="K17" s="24" t="s">
        <v>68</v>
      </c>
      <c r="L17" s="25" t="s">
        <v>69</v>
      </c>
      <c r="M17" s="25" t="s">
        <v>70</v>
      </c>
      <c r="N17" s="25" t="s">
        <v>71</v>
      </c>
      <c r="O17" s="25" t="s">
        <v>72</v>
      </c>
      <c r="R17" s="54"/>
    </row>
    <row r="18" spans="1:18" ht="15.95" customHeight="1" thickTop="1">
      <c r="B18" s="324" t="s">
        <v>73</v>
      </c>
      <c r="C18" s="325"/>
      <c r="D18" s="27">
        <v>0.4</v>
      </c>
      <c r="E18" s="28">
        <v>0.11</v>
      </c>
      <c r="F18" s="28">
        <v>0.28000000000000003</v>
      </c>
      <c r="G18" s="28">
        <v>0.35</v>
      </c>
      <c r="H18" s="29">
        <v>-0.04</v>
      </c>
      <c r="I18" s="29">
        <v>0.88</v>
      </c>
      <c r="J18" s="28">
        <v>0.15</v>
      </c>
      <c r="K18" s="28">
        <v>0.04</v>
      </c>
      <c r="L18" s="28">
        <v>0.24</v>
      </c>
      <c r="M18" s="28">
        <v>0.15</v>
      </c>
      <c r="N18" s="43">
        <v>-3.0000000000000001E-3</v>
      </c>
      <c r="O18" s="29">
        <v>0.98</v>
      </c>
    </row>
    <row r="19" spans="1:18" ht="15.95" customHeight="1">
      <c r="A19" s="54"/>
      <c r="B19" s="307" t="s">
        <v>74</v>
      </c>
      <c r="C19" s="308"/>
      <c r="D19" s="31">
        <v>34029</v>
      </c>
      <c r="E19" s="32">
        <v>9599</v>
      </c>
      <c r="F19" s="33">
        <v>0.28000000000000003</v>
      </c>
      <c r="G19" s="32">
        <v>30043</v>
      </c>
      <c r="H19" s="34">
        <v>-3986</v>
      </c>
      <c r="I19" s="35">
        <v>0.88</v>
      </c>
      <c r="J19" s="32">
        <v>13443</v>
      </c>
      <c r="K19" s="32">
        <v>3353</v>
      </c>
      <c r="L19" s="33">
        <v>0.25</v>
      </c>
      <c r="M19" s="32">
        <v>13181</v>
      </c>
      <c r="N19" s="34">
        <v>-262</v>
      </c>
      <c r="O19" s="35">
        <v>0.98</v>
      </c>
      <c r="R19" s="55"/>
    </row>
    <row r="20" spans="1:18" ht="15.95" customHeight="1">
      <c r="A20" s="53"/>
      <c r="B20" s="307" t="s">
        <v>75</v>
      </c>
      <c r="C20" s="308"/>
      <c r="D20" s="31">
        <v>190</v>
      </c>
      <c r="E20" s="32">
        <v>190</v>
      </c>
      <c r="F20" s="33">
        <v>1</v>
      </c>
      <c r="G20" s="32">
        <v>197</v>
      </c>
      <c r="H20" s="36">
        <v>7</v>
      </c>
      <c r="I20" s="33">
        <v>1.03</v>
      </c>
      <c r="J20" s="32">
        <v>193</v>
      </c>
      <c r="K20" s="32">
        <v>211</v>
      </c>
      <c r="L20" s="33">
        <v>1.0900000000000001</v>
      </c>
      <c r="M20" s="32">
        <v>205</v>
      </c>
      <c r="N20" s="44">
        <v>12</v>
      </c>
      <c r="O20" s="45">
        <v>1.06</v>
      </c>
    </row>
    <row r="21" spans="1:18" ht="15.95" customHeight="1">
      <c r="A21" s="53"/>
      <c r="B21" s="319" t="s">
        <v>76</v>
      </c>
      <c r="C21" s="320"/>
      <c r="D21" s="38">
        <v>6454</v>
      </c>
      <c r="E21" s="39">
        <v>1824</v>
      </c>
      <c r="F21" s="40">
        <v>0.28000000000000003</v>
      </c>
      <c r="G21" s="39">
        <v>5919</v>
      </c>
      <c r="H21" s="46">
        <v>-535</v>
      </c>
      <c r="I21" s="42">
        <v>0.91</v>
      </c>
      <c r="J21" s="39">
        <v>2594</v>
      </c>
      <c r="K21" s="39">
        <v>707</v>
      </c>
      <c r="L21" s="40">
        <v>0.27</v>
      </c>
      <c r="M21" s="39">
        <v>2702</v>
      </c>
      <c r="N21" s="47">
        <v>108</v>
      </c>
      <c r="O21" s="48">
        <v>1.04</v>
      </c>
    </row>
    <row r="23" spans="1:18" ht="15.95" customHeight="1">
      <c r="A23" s="50" t="s">
        <v>184</v>
      </c>
      <c r="G23" s="316"/>
      <c r="H23" s="316"/>
      <c r="I23" s="316"/>
    </row>
    <row r="24" spans="1:18" ht="15.95" customHeight="1" thickBot="1">
      <c r="B24" s="317" t="s">
        <v>1</v>
      </c>
      <c r="C24" s="318"/>
      <c r="D24" s="312" t="s">
        <v>2</v>
      </c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5"/>
    </row>
    <row r="25" spans="1:18" ht="15.95" customHeight="1" thickTop="1">
      <c r="B25" s="370" t="s">
        <v>127</v>
      </c>
      <c r="C25" s="371"/>
      <c r="D25" s="400" t="s">
        <v>151</v>
      </c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2"/>
    </row>
    <row r="26" spans="1:18" ht="15.95" customHeight="1">
      <c r="B26" s="365" t="s">
        <v>81</v>
      </c>
      <c r="C26" s="366"/>
      <c r="D26" s="394" t="s">
        <v>152</v>
      </c>
      <c r="E26" s="395"/>
      <c r="F26" s="395"/>
      <c r="G26" s="395"/>
      <c r="H26" s="395"/>
      <c r="I26" s="395"/>
      <c r="J26" s="395"/>
      <c r="K26" s="395"/>
      <c r="L26" s="395"/>
      <c r="M26" s="395"/>
      <c r="N26" s="395"/>
      <c r="O26" s="396"/>
    </row>
    <row r="27" spans="1:18" ht="15.95" customHeight="1">
      <c r="B27" s="365" t="s">
        <v>82</v>
      </c>
      <c r="C27" s="366"/>
      <c r="D27" s="394" t="s">
        <v>153</v>
      </c>
      <c r="E27" s="395"/>
      <c r="F27" s="395"/>
      <c r="G27" s="395"/>
      <c r="H27" s="395"/>
      <c r="I27" s="395"/>
      <c r="J27" s="395"/>
      <c r="K27" s="395"/>
      <c r="L27" s="395"/>
      <c r="M27" s="395"/>
      <c r="N27" s="395"/>
      <c r="O27" s="396"/>
    </row>
    <row r="28" spans="1:18" ht="15.95" customHeight="1">
      <c r="B28" s="357" t="s">
        <v>188</v>
      </c>
      <c r="C28" s="100" t="s">
        <v>189</v>
      </c>
      <c r="D28" s="394" t="s">
        <v>154</v>
      </c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6"/>
    </row>
    <row r="29" spans="1:18" ht="15.95" customHeight="1">
      <c r="B29" s="357"/>
      <c r="C29" s="100" t="s">
        <v>190</v>
      </c>
      <c r="D29" s="394" t="s">
        <v>155</v>
      </c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6"/>
    </row>
    <row r="30" spans="1:18" ht="15.95" customHeight="1">
      <c r="B30" s="357" t="s">
        <v>85</v>
      </c>
      <c r="C30" s="100" t="s">
        <v>187</v>
      </c>
      <c r="D30" s="394" t="s">
        <v>156</v>
      </c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6"/>
    </row>
    <row r="31" spans="1:18" ht="15.95" customHeight="1">
      <c r="B31" s="358"/>
      <c r="C31" s="101" t="s">
        <v>185</v>
      </c>
      <c r="D31" s="397" t="s">
        <v>157</v>
      </c>
      <c r="E31" s="398"/>
      <c r="F31" s="398"/>
      <c r="G31" s="398"/>
      <c r="H31" s="398"/>
      <c r="I31" s="398"/>
      <c r="J31" s="398"/>
      <c r="K31" s="398"/>
      <c r="L31" s="398"/>
      <c r="M31" s="398"/>
      <c r="N31" s="398"/>
      <c r="O31" s="399"/>
    </row>
    <row r="34" spans="1:30" ht="15.95" customHeight="1">
      <c r="A34" s="50" t="s">
        <v>186</v>
      </c>
    </row>
    <row r="35" spans="1:30" ht="15.95" customHeight="1">
      <c r="B35" s="183" t="s">
        <v>197</v>
      </c>
      <c r="C35" s="333" t="s">
        <v>201</v>
      </c>
      <c r="D35" s="388" t="s">
        <v>138</v>
      </c>
      <c r="E35" s="389"/>
      <c r="F35" s="253"/>
      <c r="G35" s="389" t="s">
        <v>194</v>
      </c>
      <c r="H35" s="389"/>
      <c r="I35" s="253"/>
      <c r="J35" s="389" t="s">
        <v>115</v>
      </c>
      <c r="K35" s="389"/>
      <c r="L35" s="253"/>
      <c r="M35" s="389" t="s">
        <v>204</v>
      </c>
      <c r="N35" s="389"/>
      <c r="O35" s="253"/>
      <c r="P35" s="54"/>
      <c r="Q35" s="183" t="s">
        <v>197</v>
      </c>
      <c r="R35" s="333" t="s">
        <v>201</v>
      </c>
      <c r="S35" s="388" t="s">
        <v>138</v>
      </c>
      <c r="T35" s="389"/>
      <c r="U35" s="253"/>
      <c r="V35" s="389" t="s">
        <v>206</v>
      </c>
      <c r="W35" s="389"/>
      <c r="X35" s="253"/>
      <c r="Y35" s="389" t="s">
        <v>214</v>
      </c>
      <c r="Z35" s="389"/>
      <c r="AA35" s="253"/>
      <c r="AB35" s="389" t="s">
        <v>115</v>
      </c>
      <c r="AC35" s="389"/>
      <c r="AD35" s="253"/>
    </row>
    <row r="36" spans="1:30" ht="15.95" customHeight="1" thickBot="1">
      <c r="B36" s="362"/>
      <c r="C36" s="334"/>
      <c r="D36" s="96" t="s">
        <v>191</v>
      </c>
      <c r="E36" s="97" t="s">
        <v>192</v>
      </c>
      <c r="F36" s="98" t="s">
        <v>193</v>
      </c>
      <c r="G36" s="99" t="s">
        <v>191</v>
      </c>
      <c r="H36" s="97" t="s">
        <v>192</v>
      </c>
      <c r="I36" s="98" t="s">
        <v>193</v>
      </c>
      <c r="J36" s="99" t="s">
        <v>191</v>
      </c>
      <c r="K36" s="97" t="s">
        <v>192</v>
      </c>
      <c r="L36" s="98" t="s">
        <v>193</v>
      </c>
      <c r="M36" s="99"/>
      <c r="N36" s="97"/>
      <c r="O36" s="98"/>
      <c r="P36" s="89" t="s">
        <v>215</v>
      </c>
      <c r="Q36" s="362"/>
      <c r="R36" s="334"/>
      <c r="S36" s="96" t="s">
        <v>191</v>
      </c>
      <c r="T36" s="97" t="s">
        <v>192</v>
      </c>
      <c r="U36" s="98" t="s">
        <v>193</v>
      </c>
      <c r="V36" s="99" t="s">
        <v>191</v>
      </c>
      <c r="W36" s="97" t="s">
        <v>192</v>
      </c>
      <c r="X36" s="98" t="s">
        <v>193</v>
      </c>
      <c r="Y36" s="99" t="s">
        <v>191</v>
      </c>
      <c r="Z36" s="97" t="s">
        <v>192</v>
      </c>
      <c r="AA36" s="98" t="s">
        <v>193</v>
      </c>
      <c r="AB36" s="99" t="s">
        <v>191</v>
      </c>
      <c r="AC36" s="97" t="s">
        <v>192</v>
      </c>
      <c r="AD36" s="98" t="s">
        <v>193</v>
      </c>
    </row>
    <row r="37" spans="1:30" ht="15.95" customHeight="1" thickTop="1">
      <c r="B37" s="359" t="s">
        <v>181</v>
      </c>
      <c r="C37" s="91" t="s">
        <v>198</v>
      </c>
      <c r="D37" s="102" t="s">
        <v>202</v>
      </c>
      <c r="E37" s="103"/>
      <c r="F37" s="130"/>
      <c r="G37" s="136" t="s">
        <v>210</v>
      </c>
      <c r="H37" s="103"/>
      <c r="I37" s="104"/>
      <c r="J37" s="129" t="s">
        <v>211</v>
      </c>
      <c r="K37" s="103"/>
      <c r="L37" s="104"/>
      <c r="M37" s="105"/>
      <c r="N37" s="103"/>
      <c r="O37" s="106"/>
      <c r="P37" s="89" t="s">
        <v>216</v>
      </c>
      <c r="Q37" s="359" t="s">
        <v>181</v>
      </c>
      <c r="R37" s="91" t="s">
        <v>198</v>
      </c>
      <c r="S37" s="102" t="s">
        <v>202</v>
      </c>
      <c r="T37" s="103"/>
      <c r="U37" s="104"/>
      <c r="V37" s="129"/>
      <c r="W37" s="103"/>
      <c r="X37" s="104"/>
      <c r="Z37" s="103"/>
      <c r="AA37" s="104"/>
      <c r="AB37" s="129" t="s">
        <v>211</v>
      </c>
      <c r="AC37" s="103"/>
      <c r="AD37" s="106"/>
    </row>
    <row r="38" spans="1:30" ht="15.95" customHeight="1">
      <c r="B38" s="360"/>
      <c r="C38" s="92" t="s">
        <v>114</v>
      </c>
      <c r="D38" s="392" t="s">
        <v>217</v>
      </c>
      <c r="E38" s="107"/>
      <c r="F38" s="131"/>
      <c r="G38" s="390" t="s">
        <v>217</v>
      </c>
      <c r="H38" s="107"/>
      <c r="I38" s="131"/>
      <c r="J38" s="390" t="s">
        <v>217</v>
      </c>
      <c r="K38" s="107"/>
      <c r="L38" s="108"/>
      <c r="M38" s="109"/>
      <c r="N38" s="107"/>
      <c r="O38" s="110"/>
      <c r="P38" s="89"/>
      <c r="Q38" s="360"/>
      <c r="R38" s="92" t="s">
        <v>114</v>
      </c>
      <c r="S38" s="392" t="s">
        <v>217</v>
      </c>
      <c r="T38" s="107"/>
      <c r="U38" s="131"/>
      <c r="V38" s="390" t="s">
        <v>217</v>
      </c>
      <c r="W38" s="107"/>
      <c r="X38" s="131"/>
      <c r="Y38" s="390" t="s">
        <v>217</v>
      </c>
      <c r="Z38" s="107"/>
      <c r="AA38" s="108"/>
      <c r="AB38" s="390" t="s">
        <v>217</v>
      </c>
      <c r="AC38" s="107"/>
      <c r="AD38" s="110"/>
    </row>
    <row r="39" spans="1:30" ht="15.95" customHeight="1">
      <c r="B39" s="361"/>
      <c r="C39" s="94" t="s">
        <v>200</v>
      </c>
      <c r="D39" s="393"/>
      <c r="E39" s="111"/>
      <c r="F39" s="132"/>
      <c r="G39" s="391"/>
      <c r="H39" s="111"/>
      <c r="I39" s="132"/>
      <c r="J39" s="391"/>
      <c r="K39" s="111"/>
      <c r="L39" s="112"/>
      <c r="M39" s="113"/>
      <c r="N39" s="111"/>
      <c r="O39" s="114"/>
      <c r="P39" s="89"/>
      <c r="Q39" s="361"/>
      <c r="R39" s="94" t="s">
        <v>200</v>
      </c>
      <c r="S39" s="393"/>
      <c r="T39" s="111"/>
      <c r="U39" s="132"/>
      <c r="V39" s="391"/>
      <c r="W39" s="111"/>
      <c r="X39" s="132"/>
      <c r="Y39" s="391"/>
      <c r="Z39" s="111"/>
      <c r="AA39" s="112"/>
      <c r="AB39" s="391"/>
      <c r="AC39" s="111"/>
      <c r="AD39" s="114"/>
    </row>
    <row r="40" spans="1:30" ht="15.95" customHeight="1">
      <c r="B40" s="356" t="s">
        <v>182</v>
      </c>
      <c r="C40" s="95" t="s">
        <v>198</v>
      </c>
      <c r="D40" s="115"/>
      <c r="E40" s="116"/>
      <c r="F40" s="133"/>
      <c r="G40" s="137"/>
      <c r="H40" s="116"/>
      <c r="I40" s="133"/>
      <c r="J40" s="137"/>
      <c r="K40" s="116"/>
      <c r="L40" s="117"/>
      <c r="M40" s="118"/>
      <c r="N40" s="116"/>
      <c r="O40" s="119"/>
      <c r="P40" s="74"/>
      <c r="Q40" s="356" t="s">
        <v>182</v>
      </c>
      <c r="R40" s="95" t="s">
        <v>198</v>
      </c>
      <c r="S40" s="115"/>
      <c r="T40" s="116"/>
      <c r="U40" s="133"/>
      <c r="V40" s="137"/>
      <c r="W40" s="116"/>
      <c r="X40" s="133"/>
      <c r="Y40" s="137"/>
      <c r="Z40" s="116"/>
      <c r="AA40" s="117"/>
      <c r="AB40" s="137"/>
      <c r="AC40" s="116"/>
      <c r="AD40" s="119"/>
    </row>
    <row r="41" spans="1:30" ht="15.95" customHeight="1">
      <c r="B41" s="357"/>
      <c r="C41" s="92" t="s">
        <v>114</v>
      </c>
      <c r="D41" s="392" t="s">
        <v>217</v>
      </c>
      <c r="E41" s="107"/>
      <c r="F41" s="131"/>
      <c r="G41" s="390" t="s">
        <v>217</v>
      </c>
      <c r="H41" s="107"/>
      <c r="I41" s="131"/>
      <c r="J41" s="390" t="s">
        <v>217</v>
      </c>
      <c r="K41" s="107"/>
      <c r="L41" s="108"/>
      <c r="M41" s="109"/>
      <c r="N41" s="107"/>
      <c r="O41" s="110"/>
      <c r="P41" s="74"/>
      <c r="Q41" s="357"/>
      <c r="R41" s="92" t="s">
        <v>114</v>
      </c>
      <c r="S41" s="392" t="s">
        <v>217</v>
      </c>
      <c r="T41" s="107"/>
      <c r="U41" s="131"/>
      <c r="V41" s="390" t="s">
        <v>217</v>
      </c>
      <c r="W41" s="107"/>
      <c r="X41" s="131"/>
      <c r="Y41" s="390" t="s">
        <v>217</v>
      </c>
      <c r="Z41" s="107"/>
      <c r="AA41" s="108"/>
      <c r="AB41" s="390" t="s">
        <v>217</v>
      </c>
      <c r="AC41" s="107"/>
      <c r="AD41" s="110"/>
    </row>
    <row r="42" spans="1:30" ht="15.95" customHeight="1">
      <c r="B42" s="358"/>
      <c r="C42" s="94" t="s">
        <v>200</v>
      </c>
      <c r="D42" s="393"/>
      <c r="E42" s="111"/>
      <c r="F42" s="132"/>
      <c r="G42" s="391"/>
      <c r="H42" s="111"/>
      <c r="I42" s="132"/>
      <c r="J42" s="391"/>
      <c r="K42" s="111"/>
      <c r="L42" s="112"/>
      <c r="M42" s="113"/>
      <c r="N42" s="111"/>
      <c r="O42" s="114"/>
      <c r="P42" s="74"/>
      <c r="Q42" s="358"/>
      <c r="R42" s="94" t="s">
        <v>200</v>
      </c>
      <c r="S42" s="393"/>
      <c r="T42" s="111"/>
      <c r="U42" s="132"/>
      <c r="V42" s="391"/>
      <c r="W42" s="111"/>
      <c r="X42" s="132"/>
      <c r="Y42" s="391"/>
      <c r="Z42" s="111"/>
      <c r="AA42" s="112"/>
      <c r="AB42" s="391"/>
      <c r="AC42" s="111"/>
      <c r="AD42" s="114"/>
    </row>
    <row r="43" spans="1:30" ht="15.95" customHeight="1">
      <c r="B43" s="356" t="s">
        <v>183</v>
      </c>
      <c r="C43" s="95" t="s">
        <v>198</v>
      </c>
      <c r="D43" s="115"/>
      <c r="E43" s="116"/>
      <c r="F43" s="133"/>
      <c r="G43" s="137"/>
      <c r="H43" s="116"/>
      <c r="I43" s="133"/>
      <c r="J43" s="137"/>
      <c r="K43" s="116"/>
      <c r="L43" s="117"/>
      <c r="M43" s="118"/>
      <c r="N43" s="116"/>
      <c r="O43" s="119"/>
      <c r="P43" s="74"/>
      <c r="Q43" s="356" t="s">
        <v>183</v>
      </c>
      <c r="R43" s="95" t="s">
        <v>198</v>
      </c>
      <c r="S43" s="115"/>
      <c r="T43" s="116"/>
      <c r="U43" s="133"/>
      <c r="V43" s="137"/>
      <c r="W43" s="116"/>
      <c r="X43" s="133"/>
      <c r="Y43" s="137"/>
      <c r="Z43" s="116"/>
      <c r="AA43" s="117"/>
      <c r="AB43" s="137"/>
      <c r="AC43" s="116"/>
      <c r="AD43" s="119"/>
    </row>
    <row r="44" spans="1:30" ht="15.95" customHeight="1">
      <c r="B44" s="357"/>
      <c r="C44" s="92" t="s">
        <v>114</v>
      </c>
      <c r="D44" s="392" t="s">
        <v>217</v>
      </c>
      <c r="E44" s="107"/>
      <c r="F44" s="131"/>
      <c r="G44" s="390" t="s">
        <v>217</v>
      </c>
      <c r="H44" s="107"/>
      <c r="I44" s="131"/>
      <c r="J44" s="390" t="s">
        <v>217</v>
      </c>
      <c r="K44" s="107"/>
      <c r="L44" s="108"/>
      <c r="M44" s="109"/>
      <c r="N44" s="107"/>
      <c r="O44" s="110"/>
      <c r="P44" s="74"/>
      <c r="Q44" s="357"/>
      <c r="R44" s="92" t="s">
        <v>114</v>
      </c>
      <c r="S44" s="392" t="s">
        <v>217</v>
      </c>
      <c r="T44" s="107"/>
      <c r="U44" s="131"/>
      <c r="V44" s="390" t="s">
        <v>217</v>
      </c>
      <c r="W44" s="107"/>
      <c r="X44" s="131"/>
      <c r="Y44" s="390" t="s">
        <v>217</v>
      </c>
      <c r="Z44" s="107"/>
      <c r="AA44" s="108"/>
      <c r="AB44" s="390" t="s">
        <v>217</v>
      </c>
      <c r="AC44" s="107"/>
      <c r="AD44" s="110"/>
    </row>
    <row r="45" spans="1:30" ht="15.95" customHeight="1">
      <c r="B45" s="358"/>
      <c r="C45" s="94" t="s">
        <v>200</v>
      </c>
      <c r="D45" s="393"/>
      <c r="E45" s="111"/>
      <c r="F45" s="132"/>
      <c r="G45" s="391"/>
      <c r="H45" s="111"/>
      <c r="I45" s="132"/>
      <c r="J45" s="391"/>
      <c r="K45" s="111"/>
      <c r="L45" s="112"/>
      <c r="M45" s="113"/>
      <c r="N45" s="111"/>
      <c r="O45" s="114"/>
      <c r="P45" s="74"/>
      <c r="Q45" s="358"/>
      <c r="R45" s="94" t="s">
        <v>200</v>
      </c>
      <c r="S45" s="393"/>
      <c r="T45" s="111"/>
      <c r="U45" s="132"/>
      <c r="V45" s="391"/>
      <c r="W45" s="111"/>
      <c r="X45" s="132"/>
      <c r="Y45" s="391"/>
      <c r="Z45" s="111"/>
      <c r="AA45" s="112"/>
      <c r="AB45" s="391"/>
      <c r="AC45" s="111"/>
      <c r="AD45" s="114"/>
    </row>
    <row r="46" spans="1:30" ht="15.95" customHeight="1">
      <c r="B46" s="364" t="s">
        <v>195</v>
      </c>
      <c r="C46" s="93" t="s">
        <v>198</v>
      </c>
      <c r="D46" s="120"/>
      <c r="E46" s="121"/>
      <c r="F46" s="134"/>
      <c r="G46" s="138"/>
      <c r="H46" s="121"/>
      <c r="I46" s="134"/>
      <c r="J46" s="138"/>
      <c r="K46" s="121"/>
      <c r="L46" s="122"/>
      <c r="M46" s="123"/>
      <c r="N46" s="121"/>
      <c r="O46" s="124"/>
      <c r="Q46" s="364" t="s">
        <v>195</v>
      </c>
      <c r="R46" s="93" t="s">
        <v>198</v>
      </c>
      <c r="S46" s="120"/>
      <c r="T46" s="121"/>
      <c r="U46" s="134"/>
      <c r="V46" s="138"/>
      <c r="W46" s="121"/>
      <c r="X46" s="134"/>
      <c r="Y46" s="138"/>
      <c r="Z46" s="121"/>
      <c r="AA46" s="122"/>
      <c r="AB46" s="138"/>
      <c r="AC46" s="121"/>
      <c r="AD46" s="124"/>
    </row>
    <row r="47" spans="1:30" ht="15.95" customHeight="1">
      <c r="B47" s="184"/>
      <c r="C47" s="92" t="s">
        <v>114</v>
      </c>
      <c r="D47" s="392" t="s">
        <v>217</v>
      </c>
      <c r="E47" s="125"/>
      <c r="F47" s="135"/>
      <c r="G47" s="390" t="s">
        <v>217</v>
      </c>
      <c r="H47" s="125"/>
      <c r="I47" s="135"/>
      <c r="J47" s="390" t="s">
        <v>217</v>
      </c>
      <c r="K47" s="125"/>
      <c r="L47" s="126"/>
      <c r="M47" s="127"/>
      <c r="N47" s="125"/>
      <c r="O47" s="128"/>
      <c r="Q47" s="184"/>
      <c r="R47" s="92" t="s">
        <v>114</v>
      </c>
      <c r="S47" s="392" t="s">
        <v>217</v>
      </c>
      <c r="T47" s="125"/>
      <c r="U47" s="135"/>
      <c r="V47" s="390" t="s">
        <v>217</v>
      </c>
      <c r="W47" s="125"/>
      <c r="X47" s="135"/>
      <c r="Y47" s="390" t="s">
        <v>217</v>
      </c>
      <c r="Z47" s="125"/>
      <c r="AA47" s="126"/>
      <c r="AB47" s="390" t="s">
        <v>217</v>
      </c>
      <c r="AC47" s="125"/>
      <c r="AD47" s="128"/>
    </row>
    <row r="48" spans="1:30" ht="15.95" customHeight="1">
      <c r="B48" s="185"/>
      <c r="C48" s="94" t="s">
        <v>200</v>
      </c>
      <c r="D48" s="393"/>
      <c r="E48" s="125"/>
      <c r="F48" s="135"/>
      <c r="G48" s="391"/>
      <c r="H48" s="125"/>
      <c r="I48" s="135"/>
      <c r="J48" s="391"/>
      <c r="K48" s="125"/>
      <c r="L48" s="126"/>
      <c r="M48" s="127"/>
      <c r="N48" s="125"/>
      <c r="O48" s="128"/>
      <c r="Q48" s="185"/>
      <c r="R48" s="94" t="s">
        <v>200</v>
      </c>
      <c r="S48" s="393"/>
      <c r="T48" s="125"/>
      <c r="U48" s="135"/>
      <c r="V48" s="391"/>
      <c r="W48" s="125"/>
      <c r="X48" s="135"/>
      <c r="Y48" s="391"/>
      <c r="Z48" s="125"/>
      <c r="AA48" s="126"/>
      <c r="AB48" s="391"/>
      <c r="AC48" s="125"/>
      <c r="AD48" s="128"/>
    </row>
    <row r="49" spans="1:30" ht="15.95" customHeight="1">
      <c r="B49" s="173" t="s">
        <v>5</v>
      </c>
      <c r="C49" s="328"/>
      <c r="D49" s="154" t="s">
        <v>116</v>
      </c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6"/>
      <c r="Q49" s="173" t="s">
        <v>5</v>
      </c>
      <c r="R49" s="328"/>
      <c r="S49" s="154" t="s">
        <v>116</v>
      </c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6"/>
    </row>
    <row r="50" spans="1:30" ht="15.95" customHeight="1">
      <c r="B50" s="173" t="s">
        <v>117</v>
      </c>
      <c r="C50" s="328"/>
      <c r="D50" s="154" t="s">
        <v>118</v>
      </c>
      <c r="E50" s="155"/>
      <c r="F50" s="155"/>
      <c r="G50" s="155"/>
      <c r="H50" s="155"/>
      <c r="I50" s="155"/>
      <c r="J50" s="155"/>
      <c r="K50" s="155"/>
      <c r="L50" s="157" t="s">
        <v>140</v>
      </c>
      <c r="M50" s="157"/>
      <c r="N50" s="157"/>
      <c r="O50" s="158"/>
      <c r="Q50" s="173" t="s">
        <v>117</v>
      </c>
      <c r="R50" s="328"/>
      <c r="S50" s="154" t="s">
        <v>118</v>
      </c>
      <c r="T50" s="155"/>
      <c r="U50" s="155"/>
      <c r="V50" s="155"/>
      <c r="W50" s="155"/>
      <c r="X50" s="155"/>
      <c r="Y50" s="155"/>
      <c r="Z50" s="155"/>
      <c r="AA50" s="157" t="s">
        <v>140</v>
      </c>
      <c r="AB50" s="157"/>
      <c r="AC50" s="157"/>
      <c r="AD50" s="158"/>
    </row>
    <row r="51" spans="1:30" ht="15.95" customHeight="1">
      <c r="B51" s="139" t="s">
        <v>218</v>
      </c>
      <c r="H51" s="54"/>
      <c r="I51" s="54"/>
      <c r="J51" s="54"/>
      <c r="K51" s="54"/>
      <c r="L51" s="90"/>
      <c r="M51" s="90"/>
      <c r="N51" s="90"/>
      <c r="O51" s="90"/>
    </row>
    <row r="52" spans="1:30" ht="15.95" customHeight="1">
      <c r="H52" s="54"/>
      <c r="I52" s="54"/>
      <c r="J52" s="54"/>
      <c r="K52" s="54"/>
      <c r="L52" s="90"/>
      <c r="M52" s="90"/>
      <c r="N52" s="90"/>
      <c r="O52" s="90"/>
    </row>
    <row r="53" spans="1:30" ht="15.95" customHeight="1">
      <c r="A53" s="50" t="s">
        <v>203</v>
      </c>
      <c r="D53" s="54"/>
      <c r="E53" s="54"/>
      <c r="F53" s="54"/>
      <c r="G53" s="54"/>
      <c r="H53" s="54"/>
      <c r="I53" s="54"/>
      <c r="J53" s="54"/>
      <c r="K53" s="54"/>
      <c r="L53" s="90"/>
      <c r="M53" s="90"/>
      <c r="N53" s="90"/>
      <c r="O53" s="90"/>
    </row>
    <row r="54" spans="1:30" ht="15.95" customHeight="1">
      <c r="B54" s="183" t="s">
        <v>197</v>
      </c>
      <c r="C54" s="333" t="s">
        <v>201</v>
      </c>
      <c r="D54" s="388" t="s">
        <v>207</v>
      </c>
      <c r="E54" s="389"/>
      <c r="F54" s="253"/>
      <c r="G54" s="389" t="s">
        <v>136</v>
      </c>
      <c r="H54" s="389"/>
      <c r="I54" s="253"/>
      <c r="J54" s="389" t="s">
        <v>208</v>
      </c>
      <c r="K54" s="389"/>
      <c r="L54" s="253"/>
      <c r="M54" s="389" t="s">
        <v>209</v>
      </c>
      <c r="N54" s="389"/>
      <c r="O54" s="253"/>
      <c r="P54" s="54"/>
    </row>
    <row r="55" spans="1:30" ht="15.95" customHeight="1" thickBot="1">
      <c r="B55" s="362"/>
      <c r="C55" s="334"/>
      <c r="D55" s="96" t="s">
        <v>191</v>
      </c>
      <c r="E55" s="97" t="s">
        <v>192</v>
      </c>
      <c r="F55" s="98" t="s">
        <v>193</v>
      </c>
      <c r="G55" s="99" t="s">
        <v>191</v>
      </c>
      <c r="H55" s="97" t="s">
        <v>192</v>
      </c>
      <c r="I55" s="98" t="s">
        <v>193</v>
      </c>
      <c r="J55" s="99" t="s">
        <v>191</v>
      </c>
      <c r="K55" s="97" t="s">
        <v>192</v>
      </c>
      <c r="L55" s="98" t="s">
        <v>193</v>
      </c>
      <c r="M55" s="99" t="s">
        <v>191</v>
      </c>
      <c r="N55" s="97" t="s">
        <v>192</v>
      </c>
      <c r="O55" s="98" t="s">
        <v>193</v>
      </c>
      <c r="P55" s="89"/>
    </row>
    <row r="56" spans="1:30" ht="15.95" customHeight="1" thickTop="1">
      <c r="B56" s="359" t="s">
        <v>181</v>
      </c>
      <c r="C56" s="91" t="s">
        <v>198</v>
      </c>
      <c r="D56" s="102"/>
      <c r="E56" s="103"/>
      <c r="F56" s="104"/>
      <c r="G56" s="105"/>
      <c r="H56" s="103"/>
      <c r="I56" s="104"/>
      <c r="J56" s="105"/>
      <c r="K56" s="103"/>
      <c r="L56" s="104"/>
      <c r="M56" s="105"/>
      <c r="N56" s="103"/>
      <c r="O56" s="106"/>
      <c r="P56" s="89"/>
    </row>
    <row r="57" spans="1:30" ht="15.95" customHeight="1">
      <c r="B57" s="360"/>
      <c r="C57" s="92" t="s">
        <v>114</v>
      </c>
      <c r="D57" s="392" t="s">
        <v>217</v>
      </c>
      <c r="E57" s="107"/>
      <c r="F57" s="108"/>
      <c r="G57" s="390" t="s">
        <v>217</v>
      </c>
      <c r="H57" s="107"/>
      <c r="I57" s="108"/>
      <c r="J57" s="390" t="s">
        <v>217</v>
      </c>
      <c r="K57" s="107"/>
      <c r="L57" s="108"/>
      <c r="M57" s="390" t="s">
        <v>217</v>
      </c>
      <c r="N57" s="107"/>
      <c r="O57" s="110"/>
      <c r="P57" s="89"/>
    </row>
    <row r="58" spans="1:30" ht="15.95" customHeight="1">
      <c r="B58" s="361"/>
      <c r="C58" s="94" t="s">
        <v>200</v>
      </c>
      <c r="D58" s="393"/>
      <c r="E58" s="111"/>
      <c r="F58" s="112"/>
      <c r="G58" s="391"/>
      <c r="H58" s="111"/>
      <c r="I58" s="112"/>
      <c r="J58" s="391"/>
      <c r="K58" s="111"/>
      <c r="L58" s="112"/>
      <c r="M58" s="391"/>
      <c r="N58" s="111"/>
      <c r="O58" s="114"/>
      <c r="P58" s="89"/>
    </row>
    <row r="59" spans="1:30" ht="15.95" customHeight="1">
      <c r="B59" s="356" t="s">
        <v>205</v>
      </c>
      <c r="C59" s="95" t="s">
        <v>198</v>
      </c>
      <c r="D59" s="115"/>
      <c r="E59" s="116"/>
      <c r="F59" s="117"/>
      <c r="G59" s="118"/>
      <c r="H59" s="116"/>
      <c r="I59" s="117"/>
      <c r="J59" s="118"/>
      <c r="K59" s="116"/>
      <c r="L59" s="117"/>
      <c r="M59" s="118"/>
      <c r="N59" s="116"/>
      <c r="O59" s="119"/>
      <c r="P59" s="74"/>
    </row>
    <row r="60" spans="1:30" ht="15.95" customHeight="1">
      <c r="B60" s="357"/>
      <c r="C60" s="92" t="s">
        <v>114</v>
      </c>
      <c r="D60" s="392" t="s">
        <v>217</v>
      </c>
      <c r="E60" s="107"/>
      <c r="F60" s="108"/>
      <c r="G60" s="390" t="s">
        <v>217</v>
      </c>
      <c r="H60" s="107"/>
      <c r="I60" s="108"/>
      <c r="J60" s="390" t="s">
        <v>217</v>
      </c>
      <c r="K60" s="107"/>
      <c r="L60" s="108"/>
      <c r="M60" s="390" t="s">
        <v>217</v>
      </c>
      <c r="N60" s="107"/>
      <c r="O60" s="110"/>
      <c r="P60" s="74"/>
    </row>
    <row r="61" spans="1:30" ht="15.95" customHeight="1">
      <c r="B61" s="358"/>
      <c r="C61" s="94" t="s">
        <v>200</v>
      </c>
      <c r="D61" s="393"/>
      <c r="E61" s="111"/>
      <c r="F61" s="112"/>
      <c r="G61" s="391"/>
      <c r="H61" s="111"/>
      <c r="I61" s="112"/>
      <c r="J61" s="391"/>
      <c r="K61" s="111"/>
      <c r="L61" s="112"/>
      <c r="M61" s="391"/>
      <c r="N61" s="111"/>
      <c r="O61" s="114"/>
      <c r="P61" s="74"/>
    </row>
    <row r="62" spans="1:30" ht="15.95" customHeight="1">
      <c r="B62" s="139" t="s">
        <v>218</v>
      </c>
    </row>
    <row r="63" spans="1:30" ht="15.95" customHeight="1">
      <c r="B63" s="139"/>
    </row>
    <row r="64" spans="1:30" ht="15.95" customHeight="1">
      <c r="A64" s="50" t="s">
        <v>212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</row>
    <row r="65" spans="1:15" ht="15.95" customHeight="1">
      <c r="A65" s="51"/>
      <c r="B65" s="173" t="s">
        <v>1</v>
      </c>
      <c r="C65" s="328"/>
      <c r="D65" s="159" t="s">
        <v>2</v>
      </c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1"/>
    </row>
    <row r="66" spans="1:15" ht="15.95" customHeight="1">
      <c r="A66" s="51"/>
      <c r="B66" s="329" t="s">
        <v>142</v>
      </c>
      <c r="C66" s="330"/>
      <c r="D66" s="151" t="s">
        <v>148</v>
      </c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3"/>
    </row>
    <row r="67" spans="1:15" ht="15.95" customHeight="1">
      <c r="A67" s="51"/>
      <c r="B67" s="329" t="s">
        <v>143</v>
      </c>
      <c r="C67" s="330"/>
      <c r="D67" s="151" t="s">
        <v>149</v>
      </c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3"/>
    </row>
    <row r="68" spans="1:15" ht="15.95" customHeight="1">
      <c r="A68" s="51"/>
      <c r="B68" s="329" t="s">
        <v>119</v>
      </c>
      <c r="C68" s="330"/>
      <c r="D68" s="151" t="s">
        <v>150</v>
      </c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3"/>
    </row>
    <row r="69" spans="1:15" ht="15.95" customHeight="1">
      <c r="A69" s="51"/>
      <c r="F69" s="54"/>
      <c r="G69" s="54"/>
      <c r="H69" s="54"/>
      <c r="I69" s="54"/>
      <c r="J69" s="54"/>
      <c r="K69" s="54"/>
      <c r="L69" s="54"/>
      <c r="M69" s="54"/>
      <c r="N69" s="54"/>
      <c r="O69" s="54"/>
    </row>
    <row r="70" spans="1:15" ht="15.95" customHeight="1">
      <c r="A70" s="50" t="s">
        <v>213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</row>
    <row r="71" spans="1:15" ht="15.95" customHeight="1">
      <c r="A71" s="51"/>
      <c r="B71" s="52" t="s">
        <v>121</v>
      </c>
      <c r="C71" s="52"/>
      <c r="D71" s="52"/>
      <c r="E71" s="52"/>
      <c r="F71" s="52"/>
      <c r="G71" s="51"/>
      <c r="H71" s="51"/>
      <c r="I71" s="51"/>
      <c r="J71" s="51"/>
      <c r="K71" s="51"/>
      <c r="L71" s="51"/>
      <c r="M71" s="51"/>
      <c r="N71" s="51"/>
      <c r="O71" s="51"/>
    </row>
    <row r="72" spans="1:15" ht="15.95" customHeight="1">
      <c r="A72" s="51"/>
      <c r="B72" s="52" t="s">
        <v>122</v>
      </c>
      <c r="C72" s="52"/>
      <c r="D72" s="52"/>
      <c r="E72" s="52"/>
      <c r="F72" s="52"/>
      <c r="G72" s="51"/>
      <c r="H72" s="51"/>
      <c r="I72" s="51"/>
      <c r="J72" s="51"/>
      <c r="K72" s="51"/>
      <c r="L72" s="51"/>
      <c r="M72" s="51"/>
      <c r="N72" s="51"/>
      <c r="O72" s="51"/>
    </row>
    <row r="73" spans="1:15" ht="15.95" customHeight="1">
      <c r="A73" s="51"/>
      <c r="B73" s="51"/>
      <c r="C73" s="51"/>
      <c r="D73" s="51"/>
      <c r="E73" s="51"/>
      <c r="F73" s="51"/>
      <c r="G73" s="51"/>
      <c r="H73" s="51"/>
      <c r="I73" s="63"/>
      <c r="J73" s="51"/>
      <c r="K73" s="51"/>
      <c r="L73" s="51"/>
      <c r="M73" s="51"/>
      <c r="N73" s="51"/>
      <c r="O73" s="63" t="s">
        <v>3</v>
      </c>
    </row>
  </sheetData>
  <mergeCells count="115">
    <mergeCell ref="A2:O2"/>
    <mergeCell ref="A4:O4"/>
    <mergeCell ref="A8:H8"/>
    <mergeCell ref="J9:O9"/>
    <mergeCell ref="B10:C11"/>
    <mergeCell ref="D10:I10"/>
    <mergeCell ref="J10:O10"/>
    <mergeCell ref="J16:O16"/>
    <mergeCell ref="B18:C18"/>
    <mergeCell ref="B19:C19"/>
    <mergeCell ref="B20:C20"/>
    <mergeCell ref="B21:C21"/>
    <mergeCell ref="G23:I23"/>
    <mergeCell ref="B12:C12"/>
    <mergeCell ref="B13:C13"/>
    <mergeCell ref="B14:C14"/>
    <mergeCell ref="B15:C15"/>
    <mergeCell ref="B16:C17"/>
    <mergeCell ref="D16:I16"/>
    <mergeCell ref="B27:C27"/>
    <mergeCell ref="D27:O27"/>
    <mergeCell ref="B28:B29"/>
    <mergeCell ref="D28:O28"/>
    <mergeCell ref="D29:O29"/>
    <mergeCell ref="B30:B31"/>
    <mergeCell ref="D30:O30"/>
    <mergeCell ref="D31:O31"/>
    <mergeCell ref="B24:C24"/>
    <mergeCell ref="D24:O24"/>
    <mergeCell ref="B25:C25"/>
    <mergeCell ref="D25:O25"/>
    <mergeCell ref="B26:C26"/>
    <mergeCell ref="D26:O26"/>
    <mergeCell ref="Q35:Q36"/>
    <mergeCell ref="R35:R36"/>
    <mergeCell ref="S35:U35"/>
    <mergeCell ref="V35:X35"/>
    <mergeCell ref="Y35:AA35"/>
    <mergeCell ref="AB35:AD35"/>
    <mergeCell ref="B35:B36"/>
    <mergeCell ref="C35:C36"/>
    <mergeCell ref="D35:F35"/>
    <mergeCell ref="G35:I35"/>
    <mergeCell ref="J35:L35"/>
    <mergeCell ref="M35:O35"/>
    <mergeCell ref="AA50:AD50"/>
    <mergeCell ref="B46:B48"/>
    <mergeCell ref="Q46:Q48"/>
    <mergeCell ref="B49:C49"/>
    <mergeCell ref="D49:O49"/>
    <mergeCell ref="Q49:R49"/>
    <mergeCell ref="S49:AD49"/>
    <mergeCell ref="D47:D48"/>
    <mergeCell ref="G47:G48"/>
    <mergeCell ref="J47:J48"/>
    <mergeCell ref="Y47:Y48"/>
    <mergeCell ref="B68:C68"/>
    <mergeCell ref="D68:O68"/>
    <mergeCell ref="D38:D39"/>
    <mergeCell ref="G38:G39"/>
    <mergeCell ref="J38:J39"/>
    <mergeCell ref="D41:D42"/>
    <mergeCell ref="G41:G42"/>
    <mergeCell ref="J41:J42"/>
    <mergeCell ref="B56:B58"/>
    <mergeCell ref="B59:B61"/>
    <mergeCell ref="B65:C65"/>
    <mergeCell ref="D65:O65"/>
    <mergeCell ref="B66:C66"/>
    <mergeCell ref="D66:O66"/>
    <mergeCell ref="D57:D58"/>
    <mergeCell ref="D60:D61"/>
    <mergeCell ref="G57:G58"/>
    <mergeCell ref="J57:J58"/>
    <mergeCell ref="B54:B55"/>
    <mergeCell ref="C54:C55"/>
    <mergeCell ref="D54:F54"/>
    <mergeCell ref="G54:I54"/>
    <mergeCell ref="J54:L54"/>
    <mergeCell ref="M54:O54"/>
    <mergeCell ref="J60:J61"/>
    <mergeCell ref="G60:G61"/>
    <mergeCell ref="M57:M58"/>
    <mergeCell ref="M60:M61"/>
    <mergeCell ref="S38:S39"/>
    <mergeCell ref="V38:V39"/>
    <mergeCell ref="S47:S48"/>
    <mergeCell ref="V47:V48"/>
    <mergeCell ref="B67:C67"/>
    <mergeCell ref="D67:O67"/>
    <mergeCell ref="B50:C50"/>
    <mergeCell ref="D50:K50"/>
    <mergeCell ref="L50:O50"/>
    <mergeCell ref="Q50:R50"/>
    <mergeCell ref="S50:Z50"/>
    <mergeCell ref="B37:B39"/>
    <mergeCell ref="Q37:Q39"/>
    <mergeCell ref="B40:B42"/>
    <mergeCell ref="Q40:Q42"/>
    <mergeCell ref="B43:B45"/>
    <mergeCell ref="Q43:Q45"/>
    <mergeCell ref="D44:D45"/>
    <mergeCell ref="G44:G45"/>
    <mergeCell ref="J44:J45"/>
    <mergeCell ref="AB38:AB39"/>
    <mergeCell ref="AB41:AB42"/>
    <mergeCell ref="AB44:AB45"/>
    <mergeCell ref="AB47:AB48"/>
    <mergeCell ref="Y38:Y39"/>
    <mergeCell ref="S41:S42"/>
    <mergeCell ref="V41:V42"/>
    <mergeCell ref="Y41:Y42"/>
    <mergeCell ref="S44:S45"/>
    <mergeCell ref="V44:V45"/>
    <mergeCell ref="Y44:Y45"/>
  </mergeCells>
  <phoneticPr fontId="2" type="noConversion"/>
  <pageMargins left="0.11811023622047245" right="0.11811023622047245" top="0.19685039370078741" bottom="0.19685039370078741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9"/>
  <sheetViews>
    <sheetView showGridLines="0" zoomScaleNormal="100" workbookViewId="0"/>
  </sheetViews>
  <sheetFormatPr defaultColWidth="9" defaultRowHeight="15.95" customHeight="1"/>
  <cols>
    <col min="1" max="1" width="2.625" style="49" customWidth="1"/>
    <col min="2" max="14" width="6.625" style="49" customWidth="1"/>
    <col min="15" max="16" width="8.625" style="49" customWidth="1"/>
    <col min="17" max="16384" width="9" style="49"/>
  </cols>
  <sheetData>
    <row r="2" spans="1:17" ht="15.95" customHeight="1">
      <c r="A2" s="203" t="s">
        <v>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4" spans="1:17" ht="15.95" customHeight="1">
      <c r="A4" s="204" t="s">
        <v>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</row>
    <row r="6" spans="1:17" s="51" customFormat="1" ht="15.95" customHeight="1">
      <c r="A6" s="50" t="s">
        <v>78</v>
      </c>
    </row>
    <row r="7" spans="1:17" s="51" customFormat="1" ht="15.95" customHeight="1">
      <c r="B7" s="1" t="s">
        <v>63</v>
      </c>
      <c r="C7" s="52"/>
      <c r="D7" s="52"/>
      <c r="E7" s="52"/>
      <c r="F7" s="52"/>
      <c r="G7" s="52"/>
      <c r="H7" s="52"/>
    </row>
    <row r="8" spans="1:17" s="51" customFormat="1" ht="15.95" customHeight="1">
      <c r="A8" s="203"/>
      <c r="B8" s="203"/>
      <c r="C8" s="203"/>
      <c r="D8" s="203"/>
      <c r="E8" s="203"/>
      <c r="F8" s="203"/>
      <c r="G8" s="203"/>
    </row>
    <row r="9" spans="1:17" s="51" customFormat="1" ht="15.95" customHeight="1">
      <c r="A9" s="50" t="s">
        <v>123</v>
      </c>
      <c r="I9" s="205" t="s">
        <v>79</v>
      </c>
      <c r="J9" s="205"/>
      <c r="K9" s="205"/>
      <c r="L9" s="205"/>
      <c r="M9" s="205"/>
      <c r="N9" s="205"/>
    </row>
    <row r="10" spans="1:17" ht="15.95" customHeight="1">
      <c r="B10" s="193" t="s">
        <v>125</v>
      </c>
      <c r="C10" s="161" t="s">
        <v>65</v>
      </c>
      <c r="D10" s="195"/>
      <c r="E10" s="195"/>
      <c r="F10" s="195"/>
      <c r="G10" s="195"/>
      <c r="H10" s="195"/>
      <c r="I10" s="195" t="s">
        <v>66</v>
      </c>
      <c r="J10" s="195"/>
      <c r="K10" s="195"/>
      <c r="L10" s="195"/>
      <c r="M10" s="195"/>
      <c r="N10" s="195"/>
    </row>
    <row r="11" spans="1:17" ht="15.95" customHeight="1" thickBot="1">
      <c r="A11" s="53"/>
      <c r="B11" s="194"/>
      <c r="C11" s="23" t="s">
        <v>67</v>
      </c>
      <c r="D11" s="24" t="s">
        <v>68</v>
      </c>
      <c r="E11" s="25" t="s">
        <v>69</v>
      </c>
      <c r="F11" s="25" t="s">
        <v>70</v>
      </c>
      <c r="G11" s="25" t="s">
        <v>71</v>
      </c>
      <c r="H11" s="25" t="s">
        <v>72</v>
      </c>
      <c r="I11" s="25" t="s">
        <v>67</v>
      </c>
      <c r="J11" s="24" t="s">
        <v>68</v>
      </c>
      <c r="K11" s="25" t="s">
        <v>69</v>
      </c>
      <c r="L11" s="25" t="s">
        <v>70</v>
      </c>
      <c r="M11" s="25" t="s">
        <v>71</v>
      </c>
      <c r="N11" s="25" t="s">
        <v>72</v>
      </c>
      <c r="Q11" s="54"/>
    </row>
    <row r="12" spans="1:17" ht="15.95" customHeight="1" thickTop="1">
      <c r="B12" s="26" t="s">
        <v>73</v>
      </c>
      <c r="C12" s="27">
        <v>0.40400000000000003</v>
      </c>
      <c r="D12" s="28">
        <v>0.31</v>
      </c>
      <c r="E12" s="28">
        <v>0.77</v>
      </c>
      <c r="F12" s="28">
        <v>0.38</v>
      </c>
      <c r="G12" s="29">
        <v>-0.02</v>
      </c>
      <c r="H12" s="29">
        <v>0.95</v>
      </c>
      <c r="I12" s="28">
        <v>0.12</v>
      </c>
      <c r="J12" s="28">
        <v>0.08</v>
      </c>
      <c r="K12" s="28">
        <v>0.65</v>
      </c>
      <c r="L12" s="28">
        <v>0.1</v>
      </c>
      <c r="M12" s="29">
        <v>-0.02</v>
      </c>
      <c r="N12" s="29">
        <v>0.78</v>
      </c>
      <c r="P12" s="54" t="s">
        <v>126</v>
      </c>
    </row>
    <row r="13" spans="1:17" ht="15.95" customHeight="1">
      <c r="A13" s="54"/>
      <c r="B13" s="30" t="s">
        <v>74</v>
      </c>
      <c r="C13" s="31">
        <v>32864</v>
      </c>
      <c r="D13" s="32">
        <v>25870</v>
      </c>
      <c r="E13" s="33">
        <v>0.78</v>
      </c>
      <c r="F13" s="32">
        <v>31239</v>
      </c>
      <c r="G13" s="34">
        <v>-1625</v>
      </c>
      <c r="H13" s="35">
        <v>0.95</v>
      </c>
      <c r="I13" s="32">
        <v>10419</v>
      </c>
      <c r="J13" s="32">
        <v>6825</v>
      </c>
      <c r="K13" s="33">
        <v>0.65</v>
      </c>
      <c r="L13" s="32">
        <v>8173</v>
      </c>
      <c r="M13" s="34">
        <v>-2246</v>
      </c>
      <c r="N13" s="35">
        <v>0.78</v>
      </c>
    </row>
    <row r="14" spans="1:17" ht="15.95" customHeight="1">
      <c r="A14" s="53"/>
      <c r="B14" s="30" t="s">
        <v>75</v>
      </c>
      <c r="C14" s="31">
        <v>208</v>
      </c>
      <c r="D14" s="32">
        <v>208</v>
      </c>
      <c r="E14" s="33">
        <v>1</v>
      </c>
      <c r="F14" s="32">
        <v>216</v>
      </c>
      <c r="G14" s="36">
        <v>8</v>
      </c>
      <c r="H14" s="33">
        <v>1.03</v>
      </c>
      <c r="I14" s="32">
        <v>227</v>
      </c>
      <c r="J14" s="32">
        <v>277</v>
      </c>
      <c r="K14" s="33">
        <v>1.22</v>
      </c>
      <c r="L14" s="32">
        <v>244</v>
      </c>
      <c r="M14" s="36">
        <v>17</v>
      </c>
      <c r="N14" s="33">
        <v>1.07</v>
      </c>
    </row>
    <row r="15" spans="1:17" ht="15.95" customHeight="1">
      <c r="A15" s="53"/>
      <c r="B15" s="37" t="s">
        <v>76</v>
      </c>
      <c r="C15" s="38">
        <v>6822</v>
      </c>
      <c r="D15" s="39">
        <v>5381</v>
      </c>
      <c r="E15" s="40">
        <v>0.78</v>
      </c>
      <c r="F15" s="39">
        <v>6734</v>
      </c>
      <c r="G15" s="41">
        <v>-88</v>
      </c>
      <c r="H15" s="42">
        <v>0.98</v>
      </c>
      <c r="I15" s="39">
        <v>2365</v>
      </c>
      <c r="J15" s="39">
        <v>1888</v>
      </c>
      <c r="K15" s="40">
        <v>0.8</v>
      </c>
      <c r="L15" s="39">
        <v>1994</v>
      </c>
      <c r="M15" s="41">
        <v>-371</v>
      </c>
      <c r="N15" s="42">
        <v>0.84</v>
      </c>
    </row>
    <row r="16" spans="1:17" ht="15.95" customHeight="1">
      <c r="B16" s="193" t="s">
        <v>124</v>
      </c>
      <c r="C16" s="161" t="s">
        <v>65</v>
      </c>
      <c r="D16" s="195"/>
      <c r="E16" s="195"/>
      <c r="F16" s="195"/>
      <c r="G16" s="195"/>
      <c r="H16" s="195"/>
      <c r="I16" s="195" t="s">
        <v>66</v>
      </c>
      <c r="J16" s="195"/>
      <c r="K16" s="195"/>
      <c r="L16" s="195"/>
      <c r="M16" s="195"/>
      <c r="N16" s="195"/>
    </row>
    <row r="17" spans="1:17" ht="15.95" customHeight="1" thickBot="1">
      <c r="A17" s="53"/>
      <c r="B17" s="194"/>
      <c r="C17" s="23" t="s">
        <v>67</v>
      </c>
      <c r="D17" s="24" t="s">
        <v>68</v>
      </c>
      <c r="E17" s="25" t="s">
        <v>69</v>
      </c>
      <c r="F17" s="25" t="s">
        <v>70</v>
      </c>
      <c r="G17" s="25" t="s">
        <v>71</v>
      </c>
      <c r="H17" s="25" t="s">
        <v>72</v>
      </c>
      <c r="I17" s="25" t="s">
        <v>67</v>
      </c>
      <c r="J17" s="24" t="s">
        <v>68</v>
      </c>
      <c r="K17" s="25" t="s">
        <v>69</v>
      </c>
      <c r="L17" s="25" t="s">
        <v>70</v>
      </c>
      <c r="M17" s="25" t="s">
        <v>71</v>
      </c>
      <c r="N17" s="25" t="s">
        <v>72</v>
      </c>
      <c r="Q17" s="54"/>
    </row>
    <row r="18" spans="1:17" ht="15.95" customHeight="1" thickTop="1">
      <c r="B18" s="26" t="s">
        <v>73</v>
      </c>
      <c r="C18" s="27">
        <v>0.4</v>
      </c>
      <c r="D18" s="28">
        <v>0.11</v>
      </c>
      <c r="E18" s="28">
        <v>0.28000000000000003</v>
      </c>
      <c r="F18" s="28">
        <v>0.35</v>
      </c>
      <c r="G18" s="29">
        <v>-0.04</v>
      </c>
      <c r="H18" s="29">
        <v>0.88</v>
      </c>
      <c r="I18" s="28">
        <v>0.15</v>
      </c>
      <c r="J18" s="28">
        <v>0.04</v>
      </c>
      <c r="K18" s="28">
        <v>0.24</v>
      </c>
      <c r="L18" s="28">
        <v>0.15</v>
      </c>
      <c r="M18" s="43">
        <v>-3.0000000000000001E-3</v>
      </c>
      <c r="N18" s="29">
        <v>0.98</v>
      </c>
    </row>
    <row r="19" spans="1:17" ht="15.95" customHeight="1">
      <c r="A19" s="54"/>
      <c r="B19" s="30" t="s">
        <v>74</v>
      </c>
      <c r="C19" s="31">
        <v>34029</v>
      </c>
      <c r="D19" s="32">
        <v>9599</v>
      </c>
      <c r="E19" s="33">
        <v>0.28000000000000003</v>
      </c>
      <c r="F19" s="32">
        <v>30043</v>
      </c>
      <c r="G19" s="34">
        <v>-3986</v>
      </c>
      <c r="H19" s="35">
        <v>0.88</v>
      </c>
      <c r="I19" s="32">
        <v>13443</v>
      </c>
      <c r="J19" s="32">
        <v>3353</v>
      </c>
      <c r="K19" s="33">
        <v>0.25</v>
      </c>
      <c r="L19" s="32">
        <v>13181</v>
      </c>
      <c r="M19" s="34">
        <v>-262</v>
      </c>
      <c r="N19" s="35">
        <v>0.98</v>
      </c>
      <c r="Q19" s="55"/>
    </row>
    <row r="20" spans="1:17" ht="15.95" customHeight="1">
      <c r="A20" s="53"/>
      <c r="B20" s="30" t="s">
        <v>75</v>
      </c>
      <c r="C20" s="31">
        <v>190</v>
      </c>
      <c r="D20" s="32">
        <v>190</v>
      </c>
      <c r="E20" s="33">
        <v>1</v>
      </c>
      <c r="F20" s="32">
        <v>197</v>
      </c>
      <c r="G20" s="36">
        <v>7</v>
      </c>
      <c r="H20" s="33">
        <v>1.03</v>
      </c>
      <c r="I20" s="32">
        <v>193</v>
      </c>
      <c r="J20" s="32">
        <v>211</v>
      </c>
      <c r="K20" s="33">
        <v>1.0900000000000001</v>
      </c>
      <c r="L20" s="32">
        <v>205</v>
      </c>
      <c r="M20" s="44">
        <v>12</v>
      </c>
      <c r="N20" s="45">
        <v>1.06</v>
      </c>
    </row>
    <row r="21" spans="1:17" ht="15.95" customHeight="1">
      <c r="A21" s="53"/>
      <c r="B21" s="37" t="s">
        <v>76</v>
      </c>
      <c r="C21" s="38">
        <v>6454</v>
      </c>
      <c r="D21" s="39">
        <v>1824</v>
      </c>
      <c r="E21" s="40">
        <v>0.28000000000000003</v>
      </c>
      <c r="F21" s="39">
        <v>5919</v>
      </c>
      <c r="G21" s="46">
        <v>-535</v>
      </c>
      <c r="H21" s="42">
        <v>0.91</v>
      </c>
      <c r="I21" s="39">
        <v>2594</v>
      </c>
      <c r="J21" s="39">
        <v>707</v>
      </c>
      <c r="K21" s="40">
        <v>0.27</v>
      </c>
      <c r="L21" s="39">
        <v>2702</v>
      </c>
      <c r="M21" s="47">
        <v>108</v>
      </c>
      <c r="N21" s="48">
        <v>1.04</v>
      </c>
    </row>
    <row r="23" spans="1:17" ht="15.95" customHeight="1">
      <c r="A23" s="50" t="s">
        <v>80</v>
      </c>
      <c r="F23" s="196"/>
      <c r="G23" s="196"/>
      <c r="H23" s="196"/>
    </row>
    <row r="24" spans="1:17" ht="15.95" customHeight="1" thickBot="1">
      <c r="B24" s="56" t="s">
        <v>1</v>
      </c>
      <c r="C24" s="197" t="s">
        <v>2</v>
      </c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9"/>
    </row>
    <row r="25" spans="1:17" ht="15.95" customHeight="1" thickTop="1">
      <c r="B25" s="64" t="s">
        <v>127</v>
      </c>
      <c r="C25" s="200" t="s">
        <v>151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2"/>
    </row>
    <row r="26" spans="1:17" ht="15.95" customHeight="1">
      <c r="B26" s="65" t="s">
        <v>81</v>
      </c>
      <c r="C26" s="190" t="s">
        <v>152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2"/>
    </row>
    <row r="27" spans="1:17" ht="15.95" customHeight="1">
      <c r="B27" s="65" t="s">
        <v>82</v>
      </c>
      <c r="C27" s="190" t="s">
        <v>153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2"/>
    </row>
    <row r="28" spans="1:17" ht="15.95" customHeight="1">
      <c r="B28" s="65" t="s">
        <v>83</v>
      </c>
      <c r="C28" s="190" t="s">
        <v>154</v>
      </c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2"/>
    </row>
    <row r="29" spans="1:17" ht="15.95" customHeight="1">
      <c r="B29" s="65" t="s">
        <v>84</v>
      </c>
      <c r="C29" s="190" t="s">
        <v>155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2"/>
    </row>
    <row r="30" spans="1:17" ht="15.95" customHeight="1">
      <c r="B30" s="65" t="s">
        <v>85</v>
      </c>
      <c r="C30" s="190" t="s">
        <v>156</v>
      </c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2"/>
    </row>
    <row r="31" spans="1:17" ht="15.95" customHeight="1">
      <c r="B31" s="66" t="s">
        <v>86</v>
      </c>
      <c r="C31" s="190" t="s">
        <v>157</v>
      </c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2"/>
    </row>
    <row r="32" spans="1:17" ht="15.95" customHeight="1">
      <c r="B32" s="171" t="s">
        <v>114</v>
      </c>
      <c r="C32" s="186" t="s">
        <v>158</v>
      </c>
      <c r="D32" s="187"/>
      <c r="E32" s="187"/>
      <c r="F32" s="187"/>
      <c r="G32" s="187"/>
      <c r="H32" s="187"/>
      <c r="I32" s="187"/>
      <c r="J32" s="187"/>
      <c r="K32" s="187"/>
      <c r="L32" s="187"/>
      <c r="M32" s="58"/>
      <c r="N32" s="59" t="s">
        <v>133</v>
      </c>
    </row>
    <row r="33" spans="1:14" ht="15.95" customHeight="1">
      <c r="B33" s="188"/>
      <c r="C33" s="159" t="s">
        <v>138</v>
      </c>
      <c r="D33" s="160"/>
      <c r="E33" s="160"/>
      <c r="F33" s="161"/>
      <c r="G33" s="173" t="s">
        <v>178</v>
      </c>
      <c r="H33" s="160"/>
      <c r="I33" s="160"/>
      <c r="J33" s="161"/>
      <c r="K33" s="173" t="s">
        <v>115</v>
      </c>
      <c r="L33" s="160"/>
      <c r="M33" s="160"/>
      <c r="N33" s="161"/>
    </row>
    <row r="34" spans="1:14" ht="15.95" customHeight="1">
      <c r="B34" s="188"/>
      <c r="C34" s="174" t="s">
        <v>131</v>
      </c>
      <c r="D34" s="176"/>
      <c r="E34" s="176" t="s">
        <v>132</v>
      </c>
      <c r="F34" s="178"/>
      <c r="G34" s="179" t="s">
        <v>131</v>
      </c>
      <c r="H34" s="176"/>
      <c r="I34" s="176" t="s">
        <v>132</v>
      </c>
      <c r="J34" s="178"/>
      <c r="K34" s="179" t="s">
        <v>131</v>
      </c>
      <c r="L34" s="176"/>
      <c r="M34" s="176" t="s">
        <v>132</v>
      </c>
      <c r="N34" s="178"/>
    </row>
    <row r="35" spans="1:14" ht="15.95" customHeight="1">
      <c r="B35" s="188"/>
      <c r="C35" s="180">
        <v>61</v>
      </c>
      <c r="D35" s="162"/>
      <c r="E35" s="162">
        <v>899</v>
      </c>
      <c r="F35" s="164"/>
      <c r="G35" s="182">
        <v>71</v>
      </c>
      <c r="H35" s="162"/>
      <c r="I35" s="162">
        <v>962</v>
      </c>
      <c r="J35" s="164"/>
      <c r="K35" s="182">
        <v>96</v>
      </c>
      <c r="L35" s="162"/>
      <c r="M35" s="162">
        <v>1450</v>
      </c>
      <c r="N35" s="164"/>
    </row>
    <row r="36" spans="1:14" ht="15.95" customHeight="1">
      <c r="B36" s="189"/>
      <c r="C36" s="165">
        <v>0</v>
      </c>
      <c r="D36" s="167"/>
      <c r="E36" s="167">
        <v>0.27</v>
      </c>
      <c r="F36" s="169"/>
      <c r="G36" s="170">
        <v>0</v>
      </c>
      <c r="H36" s="167"/>
      <c r="I36" s="167">
        <v>0.3</v>
      </c>
      <c r="J36" s="169"/>
      <c r="K36" s="170">
        <v>0</v>
      </c>
      <c r="L36" s="167"/>
      <c r="M36" s="167">
        <v>0.39</v>
      </c>
      <c r="N36" s="169"/>
    </row>
    <row r="37" spans="1:14" ht="15.95" customHeight="1">
      <c r="B37" s="57" t="s">
        <v>5</v>
      </c>
      <c r="C37" s="154" t="s">
        <v>116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6"/>
    </row>
    <row r="38" spans="1:14" ht="15.95" customHeight="1">
      <c r="B38" s="57" t="s">
        <v>117</v>
      </c>
      <c r="C38" s="154" t="s">
        <v>118</v>
      </c>
      <c r="D38" s="155"/>
      <c r="E38" s="155"/>
      <c r="F38" s="155"/>
      <c r="G38" s="155"/>
      <c r="H38" s="155"/>
      <c r="I38" s="155"/>
      <c r="J38" s="155"/>
      <c r="K38" s="157" t="s">
        <v>140</v>
      </c>
      <c r="L38" s="157"/>
      <c r="M38" s="157"/>
      <c r="N38" s="158"/>
    </row>
    <row r="40" spans="1:14" ht="15.95" customHeight="1">
      <c r="A40" s="50" t="s">
        <v>141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15.95" customHeight="1">
      <c r="A41" s="51"/>
      <c r="B41" s="57" t="s">
        <v>1</v>
      </c>
      <c r="C41" s="159" t="s">
        <v>2</v>
      </c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1"/>
    </row>
    <row r="42" spans="1:14" ht="15.95" customHeight="1">
      <c r="A42" s="51"/>
      <c r="B42" s="68" t="s">
        <v>142</v>
      </c>
      <c r="C42" s="151" t="s">
        <v>148</v>
      </c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3"/>
    </row>
    <row r="43" spans="1:14" ht="15.95" customHeight="1">
      <c r="A43" s="51"/>
      <c r="B43" s="68" t="s">
        <v>143</v>
      </c>
      <c r="C43" s="151" t="s">
        <v>149</v>
      </c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3"/>
    </row>
    <row r="44" spans="1:14" ht="15.95" customHeight="1">
      <c r="A44" s="51"/>
      <c r="B44" s="68" t="s">
        <v>119</v>
      </c>
      <c r="C44" s="151" t="s">
        <v>150</v>
      </c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3"/>
    </row>
    <row r="45" spans="1:14" ht="15.95" customHeight="1">
      <c r="A45" s="51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ht="15.95" customHeight="1">
      <c r="A46" s="50" t="s">
        <v>120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</row>
    <row r="47" spans="1:14" ht="15.95" customHeight="1">
      <c r="A47" s="51"/>
      <c r="B47" s="52" t="s">
        <v>121</v>
      </c>
      <c r="C47" s="52"/>
      <c r="D47" s="52"/>
      <c r="E47" s="52"/>
      <c r="F47" s="51"/>
      <c r="G47" s="51"/>
      <c r="H47" s="51"/>
      <c r="I47" s="51"/>
      <c r="J47" s="51"/>
      <c r="K47" s="51"/>
      <c r="L47" s="51"/>
      <c r="M47" s="51"/>
      <c r="N47" s="51"/>
    </row>
    <row r="48" spans="1:14" ht="15.95" customHeight="1">
      <c r="A48" s="51"/>
      <c r="B48" s="52" t="s">
        <v>122</v>
      </c>
      <c r="C48" s="52"/>
      <c r="D48" s="52"/>
      <c r="E48" s="52"/>
      <c r="F48" s="51"/>
      <c r="G48" s="51"/>
      <c r="H48" s="51"/>
      <c r="I48" s="51"/>
      <c r="J48" s="51"/>
      <c r="K48" s="51"/>
      <c r="L48" s="51"/>
      <c r="M48" s="51"/>
      <c r="N48" s="51"/>
    </row>
    <row r="49" spans="1:14" ht="15.95" customHeight="1">
      <c r="A49" s="51"/>
      <c r="B49" s="51"/>
      <c r="C49" s="51"/>
      <c r="D49" s="51"/>
      <c r="E49" s="51"/>
      <c r="F49" s="51"/>
      <c r="G49" s="51"/>
      <c r="H49" s="63"/>
      <c r="I49" s="51"/>
      <c r="J49" s="51"/>
      <c r="K49" s="51"/>
      <c r="L49" s="51"/>
      <c r="M49" s="51"/>
      <c r="N49" s="63" t="s">
        <v>3</v>
      </c>
    </row>
  </sheetData>
  <mergeCells count="49">
    <mergeCell ref="C44:N44"/>
    <mergeCell ref="B32:B36"/>
    <mergeCell ref="C37:N37"/>
    <mergeCell ref="C38:J38"/>
    <mergeCell ref="K38:N38"/>
    <mergeCell ref="C41:N41"/>
    <mergeCell ref="C42:N42"/>
    <mergeCell ref="C43:N43"/>
    <mergeCell ref="C36:D36"/>
    <mergeCell ref="E36:F36"/>
    <mergeCell ref="G36:H36"/>
    <mergeCell ref="I36:J36"/>
    <mergeCell ref="K36:L36"/>
    <mergeCell ref="M36:N36"/>
    <mergeCell ref="M34:N34"/>
    <mergeCell ref="C35:D35"/>
    <mergeCell ref="E35:F35"/>
    <mergeCell ref="G35:H35"/>
    <mergeCell ref="I35:J35"/>
    <mergeCell ref="K35:L35"/>
    <mergeCell ref="M35:N35"/>
    <mergeCell ref="C32:L32"/>
    <mergeCell ref="C33:F33"/>
    <mergeCell ref="G33:J33"/>
    <mergeCell ref="K33:N33"/>
    <mergeCell ref="C34:D34"/>
    <mergeCell ref="E34:F34"/>
    <mergeCell ref="G34:H34"/>
    <mergeCell ref="I34:J34"/>
    <mergeCell ref="K34:L34"/>
    <mergeCell ref="C31:N31"/>
    <mergeCell ref="B16:B17"/>
    <mergeCell ref="C16:H16"/>
    <mergeCell ref="I16:N16"/>
    <mergeCell ref="F23:H23"/>
    <mergeCell ref="C24:N24"/>
    <mergeCell ref="C25:N25"/>
    <mergeCell ref="C26:N26"/>
    <mergeCell ref="C27:N27"/>
    <mergeCell ref="C28:N28"/>
    <mergeCell ref="C29:N29"/>
    <mergeCell ref="C30:N30"/>
    <mergeCell ref="A2:N2"/>
    <mergeCell ref="A4:N4"/>
    <mergeCell ref="A8:G8"/>
    <mergeCell ref="I9:N9"/>
    <mergeCell ref="B10:B11"/>
    <mergeCell ref="C10:H10"/>
    <mergeCell ref="I10:N10"/>
  </mergeCells>
  <phoneticPr fontId="2" type="noConversion"/>
  <pageMargins left="0.11811023622047245" right="0.11811023622047245" top="0.19685039370078741" bottom="0.19685039370078741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showGridLines="0" topLeftCell="A32" zoomScale="154" zoomScaleNormal="154" workbookViewId="0">
      <selection activeCell="E27" sqref="E27:F27"/>
    </sheetView>
  </sheetViews>
  <sheetFormatPr defaultRowHeight="16.5"/>
  <cols>
    <col min="1" max="1" width="1.125" customWidth="1"/>
    <col min="2" max="2" width="6.125" customWidth="1"/>
    <col min="3" max="3" width="7.75" customWidth="1"/>
    <col min="4" max="71" width="6.125" customWidth="1"/>
  </cols>
  <sheetData>
    <row r="1" spans="1:20" ht="15.95" customHeight="1">
      <c r="A1" t="s">
        <v>147</v>
      </c>
    </row>
    <row r="2" spans="1:20" s="71" customFormat="1" ht="15.95" customHeight="1">
      <c r="B2" s="406" t="str">
        <f>'품의 양식(회원동반)'!D25</f>
        <v xml:space="preserve"> · [핫딜] SONO WINNERS FESTA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</row>
    <row r="3" spans="1:20" s="71" customFormat="1" ht="15.95" customHeight="1"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</row>
    <row r="4" spans="1:20" s="71" customFormat="1" ht="15.95" customHeight="1">
      <c r="R4" s="73"/>
    </row>
    <row r="5" spans="1:20" s="71" customFormat="1" ht="15.95" customHeight="1">
      <c r="B5" s="69" t="s">
        <v>146</v>
      </c>
      <c r="M5" s="1"/>
    </row>
    <row r="6" spans="1:20" s="71" customFormat="1" ht="15.95" customHeight="1">
      <c r="B6" s="405" t="s">
        <v>144</v>
      </c>
      <c r="C6" s="405"/>
      <c r="D6" s="405"/>
      <c r="E6" s="405" t="s">
        <v>145</v>
      </c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405"/>
    </row>
    <row r="7" spans="1:20" s="71" customFormat="1" ht="15.95" customHeight="1">
      <c r="B7" s="422" t="str">
        <f>'품의 양식(회원동반)'!B26</f>
        <v>사업장</v>
      </c>
      <c r="C7" s="422"/>
      <c r="D7" s="422"/>
      <c r="E7" s="72" t="str">
        <f>'품의 양식(회원동반)'!D26</f>
        <v xml:space="preserve"> · 전사업장</v>
      </c>
      <c r="F7" s="72"/>
      <c r="G7" s="72"/>
      <c r="H7" s="72"/>
      <c r="I7" s="72"/>
      <c r="J7" s="72"/>
      <c r="K7" s="72"/>
      <c r="L7" s="72"/>
      <c r="M7" s="78"/>
      <c r="N7" s="73"/>
      <c r="O7" s="73"/>
      <c r="P7" s="73"/>
      <c r="Q7" s="73"/>
      <c r="R7" s="73"/>
    </row>
    <row r="8" spans="1:20" s="71" customFormat="1" ht="15.95" customHeight="1">
      <c r="B8" s="410" t="str">
        <f>'품의 양식(회원동반)'!B27</f>
        <v>판매채널</v>
      </c>
      <c r="C8" s="410"/>
      <c r="D8" s="410"/>
      <c r="E8" s="21" t="str">
        <f>'품의 양식(회원동반)'!D27</f>
        <v xml:space="preserve"> · 회원, D멤버스, OTA, GOTA 전채널 </v>
      </c>
      <c r="F8" s="21"/>
      <c r="G8" s="21"/>
      <c r="H8" s="21"/>
      <c r="I8" s="21"/>
      <c r="J8" s="21"/>
      <c r="K8" s="21"/>
      <c r="L8" s="21"/>
      <c r="M8" s="1"/>
    </row>
    <row r="9" spans="1:20" s="71" customFormat="1" ht="15.95" customHeight="1">
      <c r="B9" s="410" t="str">
        <f>'품의 양식(회원동반)'!B28</f>
        <v>기간</v>
      </c>
      <c r="C9" s="410"/>
      <c r="D9" s="410"/>
      <c r="E9" s="21" t="str">
        <f>'품의 양식(회원동반)'!D28</f>
        <v xml:space="preserve"> · 26.05.18(수) ~ 26.06.01(월) </v>
      </c>
      <c r="F9" s="21"/>
      <c r="G9" s="21"/>
      <c r="H9" s="21"/>
      <c r="I9" s="21"/>
      <c r="J9" s="21"/>
      <c r="K9" s="21"/>
      <c r="L9" s="21"/>
      <c r="M9" s="1"/>
    </row>
    <row r="10" spans="1:20" s="71" customFormat="1" ht="15.95" customHeight="1">
      <c r="B10" s="410">
        <f>'품의 양식(회원동반)'!B29</f>
        <v>0</v>
      </c>
      <c r="C10" s="410"/>
      <c r="D10" s="410"/>
      <c r="E10" s="21" t="str">
        <f>'품의 양식(회원동반)'!D29</f>
        <v xml:space="preserve"> · 26.06.01(월) ~ 26.07.16(목)</v>
      </c>
      <c r="F10" s="21"/>
      <c r="G10" s="21"/>
      <c r="H10" s="21"/>
      <c r="I10" s="21"/>
      <c r="J10" s="21"/>
      <c r="K10" s="21"/>
      <c r="L10" s="21"/>
      <c r="M10" s="1"/>
    </row>
    <row r="11" spans="1:20" s="71" customFormat="1" ht="15.95" customHeight="1">
      <c r="B11" s="410" t="str">
        <f>'품의 양식(회원동반)'!B30</f>
        <v>상품구성</v>
      </c>
      <c r="C11" s="410"/>
      <c r="D11" s="410"/>
      <c r="E11" s="21" t="str">
        <f>'품의 양식(회원동반)'!D30</f>
        <v xml:space="preserve"> · 객실 + 오션2인 + 키즈컨텐츠</v>
      </c>
      <c r="F11" s="21"/>
      <c r="G11" s="21"/>
      <c r="H11" s="21"/>
      <c r="I11" s="21"/>
      <c r="J11" s="21"/>
      <c r="K11" s="21"/>
      <c r="L11" s="21"/>
      <c r="M11" s="1"/>
    </row>
    <row r="12" spans="1:20" s="71" customFormat="1" ht="15.95" customHeight="1">
      <c r="B12" s="409">
        <f>'품의 양식(회원동반)'!B31</f>
        <v>0</v>
      </c>
      <c r="C12" s="409"/>
      <c r="D12" s="409"/>
      <c r="E12" s="75" t="str">
        <f>'품의 양식(회원동반)'!D31</f>
        <v xml:space="preserve"> · 소노스카이거너스 비치볼 증정 </v>
      </c>
      <c r="F12" s="75"/>
      <c r="G12" s="75"/>
      <c r="H12" s="75"/>
      <c r="I12" s="75"/>
      <c r="J12" s="75"/>
      <c r="K12" s="75"/>
      <c r="L12" s="75"/>
      <c r="M12" s="79"/>
      <c r="N12" s="80"/>
      <c r="O12" s="80"/>
      <c r="P12" s="80"/>
      <c r="Q12" s="80"/>
      <c r="R12" s="80"/>
    </row>
    <row r="13" spans="1:20" ht="15.95" customHeight="1">
      <c r="T13" s="70"/>
    </row>
    <row r="14" spans="1:20" ht="15.95" customHeight="1">
      <c r="B14" s="69" t="s">
        <v>169</v>
      </c>
      <c r="C14" s="71"/>
      <c r="D14" s="71"/>
      <c r="E14" s="71"/>
      <c r="F14" s="71"/>
      <c r="G14" s="71"/>
      <c r="H14" s="71"/>
      <c r="I14" s="71"/>
      <c r="J14" s="71"/>
      <c r="K14" s="71"/>
      <c r="Q14" s="408" t="s">
        <v>162</v>
      </c>
      <c r="R14" s="408"/>
      <c r="T14" s="70"/>
    </row>
    <row r="15" spans="1:20" ht="15.95" customHeight="1">
      <c r="B15" s="405" t="s">
        <v>159</v>
      </c>
      <c r="C15" s="405"/>
      <c r="D15" s="405"/>
      <c r="E15" s="405" t="s">
        <v>173</v>
      </c>
      <c r="F15" s="405"/>
      <c r="G15" s="405" t="s">
        <v>174</v>
      </c>
      <c r="H15" s="405"/>
      <c r="I15" s="405" t="s">
        <v>175</v>
      </c>
      <c r="J15" s="405"/>
      <c r="K15" s="405" t="s">
        <v>176</v>
      </c>
      <c r="L15" s="405"/>
      <c r="M15" s="405" t="s">
        <v>177</v>
      </c>
      <c r="N15" s="405"/>
      <c r="O15" s="405" t="s">
        <v>113</v>
      </c>
      <c r="P15" s="405"/>
      <c r="Q15" s="405"/>
      <c r="R15" s="405"/>
      <c r="T15" s="70"/>
    </row>
    <row r="16" spans="1:20" s="49" customFormat="1" ht="15.95" customHeight="1">
      <c r="B16" s="427" t="s">
        <v>87</v>
      </c>
      <c r="C16" s="427"/>
      <c r="D16" s="428"/>
      <c r="E16" s="417" t="s">
        <v>88</v>
      </c>
      <c r="F16" s="417"/>
      <c r="G16" s="418" t="s">
        <v>89</v>
      </c>
      <c r="H16" s="419"/>
      <c r="I16" s="417" t="s">
        <v>90</v>
      </c>
      <c r="J16" s="417"/>
      <c r="K16" s="417" t="s">
        <v>91</v>
      </c>
      <c r="L16" s="417"/>
      <c r="M16" s="417" t="s">
        <v>92</v>
      </c>
      <c r="N16" s="417"/>
      <c r="O16" s="76"/>
      <c r="P16" s="76"/>
      <c r="Q16" s="76"/>
      <c r="R16" s="76"/>
    </row>
    <row r="17" spans="2:20" s="49" customFormat="1" ht="15.95" customHeight="1">
      <c r="B17" s="425" t="s">
        <v>93</v>
      </c>
      <c r="C17" s="425"/>
      <c r="D17" s="426"/>
      <c r="E17" s="412" t="s">
        <v>94</v>
      </c>
      <c r="F17" s="412"/>
      <c r="G17" s="420"/>
      <c r="H17" s="421"/>
      <c r="I17" s="412" t="s">
        <v>95</v>
      </c>
      <c r="J17" s="412"/>
      <c r="K17" s="412" t="s">
        <v>96</v>
      </c>
      <c r="L17" s="412"/>
      <c r="M17" s="412" t="s">
        <v>97</v>
      </c>
      <c r="N17" s="412"/>
    </row>
    <row r="18" spans="2:20" s="49" customFormat="1" ht="15.95" customHeight="1">
      <c r="B18" s="425" t="s">
        <v>98</v>
      </c>
      <c r="C18" s="425"/>
      <c r="D18" s="426"/>
      <c r="E18" s="412" t="s">
        <v>99</v>
      </c>
      <c r="F18" s="412"/>
      <c r="G18" s="420"/>
      <c r="H18" s="421"/>
      <c r="I18" s="412" t="s">
        <v>100</v>
      </c>
      <c r="J18" s="412"/>
      <c r="K18" s="412" t="s">
        <v>101</v>
      </c>
      <c r="L18" s="412"/>
      <c r="M18" s="412" t="s">
        <v>102</v>
      </c>
      <c r="N18" s="412"/>
    </row>
    <row r="19" spans="2:20" s="49" customFormat="1" ht="15.95" customHeight="1">
      <c r="B19" s="425" t="s">
        <v>103</v>
      </c>
      <c r="C19" s="425"/>
      <c r="D19" s="426"/>
      <c r="E19" s="412" t="s">
        <v>104</v>
      </c>
      <c r="F19" s="412"/>
      <c r="G19" s="413">
        <v>0</v>
      </c>
      <c r="H19" s="414"/>
      <c r="I19" s="412" t="s">
        <v>105</v>
      </c>
      <c r="J19" s="412"/>
      <c r="K19" s="412" t="s">
        <v>106</v>
      </c>
      <c r="L19" s="412"/>
      <c r="M19" s="412" t="s">
        <v>107</v>
      </c>
      <c r="N19" s="412"/>
    </row>
    <row r="20" spans="2:20" s="49" customFormat="1" ht="15.95" customHeight="1">
      <c r="B20" s="423" t="s">
        <v>108</v>
      </c>
      <c r="C20" s="423"/>
      <c r="D20" s="424"/>
      <c r="E20" s="429" t="s">
        <v>109</v>
      </c>
      <c r="F20" s="430"/>
      <c r="G20" s="415"/>
      <c r="H20" s="416"/>
      <c r="I20" s="429" t="s">
        <v>110</v>
      </c>
      <c r="J20" s="430"/>
      <c r="K20" s="429" t="s">
        <v>111</v>
      </c>
      <c r="L20" s="430"/>
      <c r="M20" s="430" t="s">
        <v>112</v>
      </c>
      <c r="N20" s="430"/>
      <c r="O20" s="77"/>
      <c r="P20" s="77"/>
      <c r="Q20" s="77"/>
      <c r="R20" s="77"/>
    </row>
    <row r="21" spans="2:20" ht="15.95" customHeight="1">
      <c r="B21" s="405" t="s">
        <v>160</v>
      </c>
      <c r="C21" s="405"/>
      <c r="D21" s="405"/>
      <c r="E21" s="405" t="s">
        <v>173</v>
      </c>
      <c r="F21" s="405"/>
      <c r="G21" s="405" t="s">
        <v>174</v>
      </c>
      <c r="H21" s="405"/>
      <c r="I21" s="405" t="s">
        <v>175</v>
      </c>
      <c r="J21" s="405"/>
      <c r="K21" s="405" t="s">
        <v>176</v>
      </c>
      <c r="L21" s="405"/>
      <c r="M21" s="405" t="s">
        <v>177</v>
      </c>
      <c r="N21" s="405"/>
      <c r="O21" s="405" t="s">
        <v>113</v>
      </c>
      <c r="P21" s="405"/>
      <c r="Q21" s="405"/>
      <c r="R21" s="405"/>
      <c r="T21" s="70"/>
    </row>
    <row r="22" spans="2:20" s="49" customFormat="1" ht="15.95" customHeight="1">
      <c r="B22" s="427" t="s">
        <v>87</v>
      </c>
      <c r="C22" s="427"/>
      <c r="D22" s="428"/>
      <c r="E22" s="417" t="s">
        <v>88</v>
      </c>
      <c r="F22" s="417"/>
      <c r="G22" s="418" t="s">
        <v>89</v>
      </c>
      <c r="H22" s="419"/>
      <c r="I22" s="417" t="s">
        <v>90</v>
      </c>
      <c r="J22" s="417"/>
      <c r="K22" s="417" t="s">
        <v>91</v>
      </c>
      <c r="L22" s="417"/>
      <c r="M22" s="417" t="s">
        <v>92</v>
      </c>
      <c r="N22" s="417"/>
      <c r="O22" s="76"/>
      <c r="P22" s="76"/>
      <c r="Q22" s="76"/>
      <c r="R22" s="76"/>
    </row>
    <row r="23" spans="2:20" s="49" customFormat="1" ht="15.95" customHeight="1">
      <c r="B23" s="425" t="s">
        <v>93</v>
      </c>
      <c r="C23" s="425"/>
      <c r="D23" s="426"/>
      <c r="E23" s="412" t="s">
        <v>94</v>
      </c>
      <c r="F23" s="412"/>
      <c r="G23" s="420"/>
      <c r="H23" s="421"/>
      <c r="I23" s="412" t="s">
        <v>95</v>
      </c>
      <c r="J23" s="412"/>
      <c r="K23" s="412" t="s">
        <v>96</v>
      </c>
      <c r="L23" s="412"/>
      <c r="M23" s="412" t="s">
        <v>97</v>
      </c>
      <c r="N23" s="412"/>
    </row>
    <row r="24" spans="2:20" s="49" customFormat="1" ht="15.95" customHeight="1">
      <c r="B24" s="425" t="s">
        <v>98</v>
      </c>
      <c r="C24" s="425"/>
      <c r="D24" s="426"/>
      <c r="E24" s="412" t="s">
        <v>99</v>
      </c>
      <c r="F24" s="412"/>
      <c r="G24" s="420"/>
      <c r="H24" s="421"/>
      <c r="I24" s="412" t="s">
        <v>100</v>
      </c>
      <c r="J24" s="412"/>
      <c r="K24" s="412" t="s">
        <v>101</v>
      </c>
      <c r="L24" s="412"/>
      <c r="M24" s="412" t="s">
        <v>102</v>
      </c>
      <c r="N24" s="412"/>
    </row>
    <row r="25" spans="2:20" s="49" customFormat="1" ht="15.95" customHeight="1">
      <c r="B25" s="425" t="s">
        <v>103</v>
      </c>
      <c r="C25" s="425"/>
      <c r="D25" s="426"/>
      <c r="E25" s="412" t="s">
        <v>104</v>
      </c>
      <c r="F25" s="412"/>
      <c r="G25" s="413">
        <v>0</v>
      </c>
      <c r="H25" s="414"/>
      <c r="I25" s="412" t="s">
        <v>105</v>
      </c>
      <c r="J25" s="412"/>
      <c r="K25" s="412" t="s">
        <v>106</v>
      </c>
      <c r="L25" s="412"/>
      <c r="M25" s="412" t="s">
        <v>107</v>
      </c>
      <c r="N25" s="412"/>
    </row>
    <row r="26" spans="2:20" s="49" customFormat="1" ht="15.95" customHeight="1">
      <c r="B26" s="423" t="s">
        <v>108</v>
      </c>
      <c r="C26" s="423"/>
      <c r="D26" s="424"/>
      <c r="E26" s="429" t="s">
        <v>109</v>
      </c>
      <c r="F26" s="430"/>
      <c r="G26" s="415"/>
      <c r="H26" s="416"/>
      <c r="I26" s="429" t="s">
        <v>110</v>
      </c>
      <c r="J26" s="430"/>
      <c r="K26" s="429" t="s">
        <v>111</v>
      </c>
      <c r="L26" s="430"/>
      <c r="M26" s="430" t="s">
        <v>112</v>
      </c>
      <c r="N26" s="430"/>
      <c r="O26" s="77"/>
      <c r="P26" s="77"/>
      <c r="Q26" s="77"/>
      <c r="R26" s="77"/>
    </row>
    <row r="27" spans="2:20" ht="15.95" customHeight="1">
      <c r="B27" s="405" t="s">
        <v>161</v>
      </c>
      <c r="C27" s="405"/>
      <c r="D27" s="405"/>
      <c r="E27" s="405" t="s">
        <v>173</v>
      </c>
      <c r="F27" s="405"/>
      <c r="G27" s="405" t="s">
        <v>174</v>
      </c>
      <c r="H27" s="405"/>
      <c r="I27" s="405" t="s">
        <v>175</v>
      </c>
      <c r="J27" s="405"/>
      <c r="K27" s="405" t="s">
        <v>176</v>
      </c>
      <c r="L27" s="405"/>
      <c r="M27" s="405" t="s">
        <v>177</v>
      </c>
      <c r="N27" s="405"/>
      <c r="O27" s="405" t="s">
        <v>113</v>
      </c>
      <c r="P27" s="405"/>
      <c r="Q27" s="405"/>
      <c r="R27" s="405"/>
      <c r="T27" s="70"/>
    </row>
    <row r="28" spans="2:20" s="49" customFormat="1" ht="15.95" customHeight="1">
      <c r="B28" s="427" t="s">
        <v>87</v>
      </c>
      <c r="C28" s="427"/>
      <c r="D28" s="428"/>
      <c r="E28" s="417" t="s">
        <v>88</v>
      </c>
      <c r="F28" s="417"/>
      <c r="G28" s="418" t="s">
        <v>89</v>
      </c>
      <c r="H28" s="419"/>
      <c r="I28" s="417" t="s">
        <v>90</v>
      </c>
      <c r="J28" s="417"/>
      <c r="K28" s="417" t="s">
        <v>91</v>
      </c>
      <c r="L28" s="417"/>
      <c r="M28" s="417" t="s">
        <v>92</v>
      </c>
      <c r="N28" s="417"/>
      <c r="O28" s="76"/>
      <c r="P28" s="76"/>
      <c r="Q28" s="76"/>
      <c r="R28" s="76"/>
    </row>
    <row r="29" spans="2:20" s="49" customFormat="1" ht="15.95" customHeight="1">
      <c r="B29" s="425" t="s">
        <v>93</v>
      </c>
      <c r="C29" s="425"/>
      <c r="D29" s="426"/>
      <c r="E29" s="412" t="s">
        <v>94</v>
      </c>
      <c r="F29" s="412"/>
      <c r="G29" s="420"/>
      <c r="H29" s="421"/>
      <c r="I29" s="412" t="s">
        <v>95</v>
      </c>
      <c r="J29" s="412"/>
      <c r="K29" s="412" t="s">
        <v>96</v>
      </c>
      <c r="L29" s="412"/>
      <c r="M29" s="412" t="s">
        <v>97</v>
      </c>
      <c r="N29" s="412"/>
    </row>
    <row r="30" spans="2:20" s="49" customFormat="1" ht="15.95" customHeight="1">
      <c r="B30" s="425" t="s">
        <v>98</v>
      </c>
      <c r="C30" s="425"/>
      <c r="D30" s="426"/>
      <c r="E30" s="412" t="s">
        <v>99</v>
      </c>
      <c r="F30" s="412"/>
      <c r="G30" s="420"/>
      <c r="H30" s="421"/>
      <c r="I30" s="412" t="s">
        <v>100</v>
      </c>
      <c r="J30" s="412"/>
      <c r="K30" s="412" t="s">
        <v>101</v>
      </c>
      <c r="L30" s="412"/>
      <c r="M30" s="412" t="s">
        <v>102</v>
      </c>
      <c r="N30" s="412"/>
    </row>
    <row r="31" spans="2:20" s="49" customFormat="1" ht="15.95" customHeight="1">
      <c r="B31" s="425" t="s">
        <v>103</v>
      </c>
      <c r="C31" s="425"/>
      <c r="D31" s="426"/>
      <c r="E31" s="412" t="s">
        <v>104</v>
      </c>
      <c r="F31" s="412"/>
      <c r="G31" s="413">
        <v>0</v>
      </c>
      <c r="H31" s="414"/>
      <c r="I31" s="412" t="s">
        <v>105</v>
      </c>
      <c r="J31" s="412"/>
      <c r="K31" s="412" t="s">
        <v>106</v>
      </c>
      <c r="L31" s="412"/>
      <c r="M31" s="412" t="s">
        <v>107</v>
      </c>
      <c r="N31" s="412"/>
    </row>
    <row r="32" spans="2:20" s="49" customFormat="1" ht="15.95" customHeight="1">
      <c r="B32" s="423" t="s">
        <v>108</v>
      </c>
      <c r="C32" s="423"/>
      <c r="D32" s="424"/>
      <c r="E32" s="429" t="s">
        <v>109</v>
      </c>
      <c r="F32" s="430"/>
      <c r="G32" s="415"/>
      <c r="H32" s="416"/>
      <c r="I32" s="429" t="s">
        <v>110</v>
      </c>
      <c r="J32" s="430"/>
      <c r="K32" s="429" t="s">
        <v>111</v>
      </c>
      <c r="L32" s="430"/>
      <c r="M32" s="430" t="s">
        <v>112</v>
      </c>
      <c r="N32" s="430"/>
      <c r="O32" s="77"/>
      <c r="P32" s="77"/>
      <c r="Q32" s="77"/>
      <c r="R32" s="77"/>
    </row>
    <row r="33" spans="2:20" s="49" customFormat="1" ht="15.95" customHeight="1"/>
    <row r="34" spans="2:20" s="49" customFormat="1" ht="15.95" customHeight="1">
      <c r="B34" s="69" t="s">
        <v>170</v>
      </c>
      <c r="Q34" s="408" t="s">
        <v>162</v>
      </c>
      <c r="R34" s="408"/>
    </row>
    <row r="35" spans="2:20" ht="15.95" customHeight="1">
      <c r="B35" s="405" t="s">
        <v>144</v>
      </c>
      <c r="C35" s="405"/>
      <c r="D35" s="405"/>
      <c r="E35" s="405" t="s">
        <v>165</v>
      </c>
      <c r="F35" s="405"/>
      <c r="G35" s="405" t="s">
        <v>163</v>
      </c>
      <c r="H35" s="405"/>
      <c r="I35" s="405" t="s">
        <v>164</v>
      </c>
      <c r="J35" s="405"/>
      <c r="K35" s="405" t="s">
        <v>166</v>
      </c>
      <c r="L35" s="405"/>
      <c r="M35" s="405" t="s">
        <v>167</v>
      </c>
      <c r="N35" s="405"/>
      <c r="O35" s="405" t="s">
        <v>113</v>
      </c>
      <c r="P35" s="405"/>
      <c r="Q35" s="405"/>
      <c r="R35" s="405"/>
      <c r="T35" s="70"/>
    </row>
    <row r="36" spans="2:20" ht="15.95" customHeight="1">
      <c r="B36" s="427" t="s">
        <v>87</v>
      </c>
      <c r="C36" s="427"/>
      <c r="D36" s="428"/>
      <c r="E36" s="411">
        <f>SUM(G36:N36)</f>
        <v>140</v>
      </c>
      <c r="F36" s="411"/>
      <c r="G36" s="411">
        <v>40</v>
      </c>
      <c r="H36" s="411"/>
      <c r="I36" s="411">
        <v>30</v>
      </c>
      <c r="J36" s="411"/>
      <c r="K36" s="411">
        <v>20</v>
      </c>
      <c r="L36" s="411"/>
      <c r="M36" s="411">
        <v>50</v>
      </c>
      <c r="N36" s="411"/>
      <c r="O36" s="435"/>
      <c r="P36" s="436"/>
      <c r="Q36" s="436"/>
      <c r="R36" s="436"/>
      <c r="T36" s="70"/>
    </row>
    <row r="37" spans="2:20" ht="15.95" customHeight="1">
      <c r="B37" s="425" t="s">
        <v>98</v>
      </c>
      <c r="C37" s="425"/>
      <c r="D37" s="426"/>
      <c r="E37" s="404">
        <f t="shared" ref="E37" si="0">SUM(G37:N37)</f>
        <v>115</v>
      </c>
      <c r="F37" s="404"/>
      <c r="G37" s="404">
        <v>30</v>
      </c>
      <c r="H37" s="404"/>
      <c r="I37" s="404">
        <v>25</v>
      </c>
      <c r="J37" s="404"/>
      <c r="K37" s="404">
        <v>15</v>
      </c>
      <c r="L37" s="404"/>
      <c r="M37" s="404">
        <v>45</v>
      </c>
      <c r="N37" s="404"/>
      <c r="O37" s="433"/>
      <c r="P37" s="434"/>
      <c r="Q37" s="434"/>
      <c r="R37" s="434"/>
      <c r="T37" s="70"/>
    </row>
    <row r="38" spans="2:20" ht="15.95" customHeight="1">
      <c r="B38" s="423" t="s">
        <v>103</v>
      </c>
      <c r="C38" s="423"/>
      <c r="D38" s="424"/>
      <c r="E38" s="403">
        <f>1-E37/E36</f>
        <v>0.1785714285714286</v>
      </c>
      <c r="F38" s="403"/>
      <c r="G38" s="403">
        <f t="shared" ref="G38" si="1">1-G37/G36</f>
        <v>0.25</v>
      </c>
      <c r="H38" s="403"/>
      <c r="I38" s="403">
        <f t="shared" ref="I38" si="2">1-I37/I36</f>
        <v>0.16666666666666663</v>
      </c>
      <c r="J38" s="403"/>
      <c r="K38" s="403">
        <f t="shared" ref="K38" si="3">1-K37/K36</f>
        <v>0.25</v>
      </c>
      <c r="L38" s="403"/>
      <c r="M38" s="403">
        <f t="shared" ref="M38" si="4">1-M37/M36</f>
        <v>9.9999999999999978E-2</v>
      </c>
      <c r="N38" s="403"/>
      <c r="O38" s="431"/>
      <c r="P38" s="432"/>
      <c r="Q38" s="432"/>
      <c r="R38" s="432"/>
      <c r="T38" s="70"/>
    </row>
    <row r="39" spans="2:20" ht="15.95" customHeight="1"/>
    <row r="40" spans="2:20" ht="15.95" customHeight="1">
      <c r="B40" s="69" t="s">
        <v>171</v>
      </c>
      <c r="C40" s="71"/>
      <c r="D40" s="71"/>
      <c r="E40" s="71"/>
      <c r="F40" s="71"/>
      <c r="G40" s="71"/>
      <c r="H40" s="71"/>
      <c r="I40" s="71"/>
      <c r="J40" s="71"/>
      <c r="K40" s="71"/>
      <c r="Q40" s="408" t="s">
        <v>162</v>
      </c>
      <c r="R40" s="408"/>
      <c r="T40" s="70"/>
    </row>
    <row r="41" spans="2:20" ht="15.95" customHeight="1">
      <c r="B41" s="405" t="s">
        <v>159</v>
      </c>
      <c r="C41" s="405"/>
      <c r="D41" s="405"/>
      <c r="E41" s="405" t="s">
        <v>173</v>
      </c>
      <c r="F41" s="405"/>
      <c r="G41" s="405" t="s">
        <v>174</v>
      </c>
      <c r="H41" s="405"/>
      <c r="I41" s="405" t="s">
        <v>175</v>
      </c>
      <c r="J41" s="405"/>
      <c r="K41" s="405" t="s">
        <v>176</v>
      </c>
      <c r="L41" s="405"/>
      <c r="M41" s="405" t="s">
        <v>177</v>
      </c>
      <c r="N41" s="405"/>
      <c r="O41" s="405" t="s">
        <v>113</v>
      </c>
      <c r="P41" s="405"/>
      <c r="Q41" s="405"/>
      <c r="R41" s="405"/>
      <c r="T41" s="70"/>
    </row>
    <row r="42" spans="2:20" s="49" customFormat="1" ht="15.95" customHeight="1">
      <c r="B42" s="427" t="s">
        <v>87</v>
      </c>
      <c r="C42" s="427"/>
      <c r="D42" s="428"/>
      <c r="E42" s="417" t="s">
        <v>88</v>
      </c>
      <c r="F42" s="417"/>
      <c r="G42" s="418" t="s">
        <v>89</v>
      </c>
      <c r="H42" s="419"/>
      <c r="I42" s="417" t="s">
        <v>90</v>
      </c>
      <c r="J42" s="417"/>
      <c r="K42" s="417" t="s">
        <v>91</v>
      </c>
      <c r="L42" s="417"/>
      <c r="M42" s="417" t="s">
        <v>92</v>
      </c>
      <c r="N42" s="417"/>
      <c r="O42" s="76"/>
      <c r="P42" s="76"/>
      <c r="Q42" s="76"/>
      <c r="R42" s="76"/>
    </row>
    <row r="43" spans="2:20" s="49" customFormat="1" ht="15.95" customHeight="1">
      <c r="B43" s="425" t="s">
        <v>93</v>
      </c>
      <c r="C43" s="425"/>
      <c r="D43" s="426"/>
      <c r="E43" s="412" t="s">
        <v>94</v>
      </c>
      <c r="F43" s="412"/>
      <c r="G43" s="420"/>
      <c r="H43" s="421"/>
      <c r="I43" s="412" t="s">
        <v>95</v>
      </c>
      <c r="J43" s="412"/>
      <c r="K43" s="412" t="s">
        <v>96</v>
      </c>
      <c r="L43" s="412"/>
      <c r="M43" s="412" t="s">
        <v>97</v>
      </c>
      <c r="N43" s="412"/>
    </row>
    <row r="44" spans="2:20" s="49" customFormat="1" ht="15.95" customHeight="1">
      <c r="B44" s="425" t="s">
        <v>98</v>
      </c>
      <c r="C44" s="425"/>
      <c r="D44" s="426"/>
      <c r="E44" s="412" t="s">
        <v>99</v>
      </c>
      <c r="F44" s="412"/>
      <c r="G44" s="420"/>
      <c r="H44" s="421"/>
      <c r="I44" s="412" t="s">
        <v>100</v>
      </c>
      <c r="J44" s="412"/>
      <c r="K44" s="412" t="s">
        <v>101</v>
      </c>
      <c r="L44" s="412"/>
      <c r="M44" s="412" t="s">
        <v>102</v>
      </c>
      <c r="N44" s="412"/>
    </row>
    <row r="45" spans="2:20" s="49" customFormat="1" ht="15.95" customHeight="1">
      <c r="B45" s="425" t="s">
        <v>103</v>
      </c>
      <c r="C45" s="425"/>
      <c r="D45" s="426"/>
      <c r="E45" s="412" t="s">
        <v>104</v>
      </c>
      <c r="F45" s="412"/>
      <c r="G45" s="413">
        <v>0</v>
      </c>
      <c r="H45" s="414"/>
      <c r="I45" s="412" t="s">
        <v>105</v>
      </c>
      <c r="J45" s="412"/>
      <c r="K45" s="412" t="s">
        <v>106</v>
      </c>
      <c r="L45" s="412"/>
      <c r="M45" s="412" t="s">
        <v>107</v>
      </c>
      <c r="N45" s="412"/>
    </row>
    <row r="46" spans="2:20" s="49" customFormat="1" ht="15.95" customHeight="1">
      <c r="B46" s="423" t="s">
        <v>108</v>
      </c>
      <c r="C46" s="423"/>
      <c r="D46" s="424"/>
      <c r="E46" s="429" t="s">
        <v>109</v>
      </c>
      <c r="F46" s="430"/>
      <c r="G46" s="415"/>
      <c r="H46" s="416"/>
      <c r="I46" s="429" t="s">
        <v>110</v>
      </c>
      <c r="J46" s="430"/>
      <c r="K46" s="429" t="s">
        <v>111</v>
      </c>
      <c r="L46" s="430"/>
      <c r="M46" s="430" t="s">
        <v>112</v>
      </c>
      <c r="N46" s="430"/>
      <c r="O46" s="77"/>
      <c r="P46" s="77"/>
      <c r="Q46" s="77"/>
      <c r="R46" s="77"/>
    </row>
    <row r="47" spans="2:20" ht="15.95" customHeight="1">
      <c r="B47" s="405" t="s">
        <v>160</v>
      </c>
      <c r="C47" s="405"/>
      <c r="D47" s="405"/>
      <c r="E47" s="405" t="s">
        <v>173</v>
      </c>
      <c r="F47" s="405"/>
      <c r="G47" s="405" t="s">
        <v>174</v>
      </c>
      <c r="H47" s="405"/>
      <c r="I47" s="405" t="s">
        <v>175</v>
      </c>
      <c r="J47" s="405"/>
      <c r="K47" s="405" t="s">
        <v>176</v>
      </c>
      <c r="L47" s="405"/>
      <c r="M47" s="405" t="s">
        <v>177</v>
      </c>
      <c r="N47" s="405"/>
      <c r="O47" s="405" t="s">
        <v>113</v>
      </c>
      <c r="P47" s="405"/>
      <c r="Q47" s="405"/>
      <c r="R47" s="405"/>
      <c r="T47" s="70"/>
    </row>
    <row r="48" spans="2:20" s="49" customFormat="1" ht="15.95" customHeight="1">
      <c r="B48" s="427" t="s">
        <v>87</v>
      </c>
      <c r="C48" s="427"/>
      <c r="D48" s="428"/>
      <c r="E48" s="417" t="s">
        <v>88</v>
      </c>
      <c r="F48" s="417"/>
      <c r="G48" s="418" t="s">
        <v>89</v>
      </c>
      <c r="H48" s="419"/>
      <c r="I48" s="417" t="s">
        <v>90</v>
      </c>
      <c r="J48" s="417"/>
      <c r="K48" s="417" t="s">
        <v>91</v>
      </c>
      <c r="L48" s="417"/>
      <c r="M48" s="417" t="s">
        <v>92</v>
      </c>
      <c r="N48" s="417"/>
      <c r="O48" s="76"/>
      <c r="P48" s="76"/>
      <c r="Q48" s="76"/>
      <c r="R48" s="76"/>
    </row>
    <row r="49" spans="2:20" s="49" customFormat="1" ht="15.95" customHeight="1">
      <c r="B49" s="425" t="s">
        <v>93</v>
      </c>
      <c r="C49" s="425"/>
      <c r="D49" s="426"/>
      <c r="E49" s="412" t="s">
        <v>94</v>
      </c>
      <c r="F49" s="412"/>
      <c r="G49" s="420"/>
      <c r="H49" s="421"/>
      <c r="I49" s="412" t="s">
        <v>95</v>
      </c>
      <c r="J49" s="412"/>
      <c r="K49" s="412" t="s">
        <v>96</v>
      </c>
      <c r="L49" s="412"/>
      <c r="M49" s="412" t="s">
        <v>97</v>
      </c>
      <c r="N49" s="412"/>
    </row>
    <row r="50" spans="2:20" s="49" customFormat="1" ht="15.95" customHeight="1">
      <c r="B50" s="425" t="s">
        <v>98</v>
      </c>
      <c r="C50" s="425"/>
      <c r="D50" s="426"/>
      <c r="E50" s="412" t="s">
        <v>99</v>
      </c>
      <c r="F50" s="412"/>
      <c r="G50" s="420"/>
      <c r="H50" s="421"/>
      <c r="I50" s="412" t="s">
        <v>100</v>
      </c>
      <c r="J50" s="412"/>
      <c r="K50" s="412" t="s">
        <v>101</v>
      </c>
      <c r="L50" s="412"/>
      <c r="M50" s="412" t="s">
        <v>102</v>
      </c>
      <c r="N50" s="412"/>
    </row>
    <row r="51" spans="2:20" s="49" customFormat="1" ht="15.95" customHeight="1">
      <c r="B51" s="425" t="s">
        <v>103</v>
      </c>
      <c r="C51" s="425"/>
      <c r="D51" s="426"/>
      <c r="E51" s="412" t="s">
        <v>104</v>
      </c>
      <c r="F51" s="412"/>
      <c r="G51" s="413">
        <v>0</v>
      </c>
      <c r="H51" s="414"/>
      <c r="I51" s="412" t="s">
        <v>105</v>
      </c>
      <c r="J51" s="412"/>
      <c r="K51" s="412" t="s">
        <v>106</v>
      </c>
      <c r="L51" s="412"/>
      <c r="M51" s="412" t="s">
        <v>107</v>
      </c>
      <c r="N51" s="412"/>
    </row>
    <row r="52" spans="2:20" s="49" customFormat="1" ht="15.95" customHeight="1">
      <c r="B52" s="423" t="s">
        <v>108</v>
      </c>
      <c r="C52" s="423"/>
      <c r="D52" s="424"/>
      <c r="E52" s="429" t="s">
        <v>109</v>
      </c>
      <c r="F52" s="430"/>
      <c r="G52" s="415"/>
      <c r="H52" s="416"/>
      <c r="I52" s="429" t="s">
        <v>110</v>
      </c>
      <c r="J52" s="430"/>
      <c r="K52" s="429" t="s">
        <v>111</v>
      </c>
      <c r="L52" s="430"/>
      <c r="M52" s="430" t="s">
        <v>112</v>
      </c>
      <c r="N52" s="430"/>
      <c r="O52" s="77"/>
      <c r="P52" s="77"/>
      <c r="Q52" s="77"/>
      <c r="R52" s="77"/>
    </row>
    <row r="53" spans="2:20" ht="15.95" customHeight="1">
      <c r="B53" s="405" t="s">
        <v>161</v>
      </c>
      <c r="C53" s="405"/>
      <c r="D53" s="405"/>
      <c r="E53" s="405" t="s">
        <v>173</v>
      </c>
      <c r="F53" s="405"/>
      <c r="G53" s="405" t="s">
        <v>174</v>
      </c>
      <c r="H53" s="405"/>
      <c r="I53" s="405" t="s">
        <v>175</v>
      </c>
      <c r="J53" s="405"/>
      <c r="K53" s="405" t="s">
        <v>176</v>
      </c>
      <c r="L53" s="405"/>
      <c r="M53" s="405" t="s">
        <v>177</v>
      </c>
      <c r="N53" s="405"/>
      <c r="O53" s="405" t="s">
        <v>113</v>
      </c>
      <c r="P53" s="405"/>
      <c r="Q53" s="405"/>
      <c r="R53" s="405"/>
      <c r="T53" s="70"/>
    </row>
    <row r="54" spans="2:20" s="49" customFormat="1" ht="15.95" customHeight="1">
      <c r="B54" s="427" t="s">
        <v>87</v>
      </c>
      <c r="C54" s="427"/>
      <c r="D54" s="428"/>
      <c r="E54" s="417" t="s">
        <v>88</v>
      </c>
      <c r="F54" s="417"/>
      <c r="G54" s="418" t="s">
        <v>89</v>
      </c>
      <c r="H54" s="419"/>
      <c r="I54" s="417" t="s">
        <v>90</v>
      </c>
      <c r="J54" s="417"/>
      <c r="K54" s="417" t="s">
        <v>91</v>
      </c>
      <c r="L54" s="417"/>
      <c r="M54" s="417" t="s">
        <v>92</v>
      </c>
      <c r="N54" s="417"/>
      <c r="O54" s="76"/>
      <c r="P54" s="76"/>
      <c r="Q54" s="76"/>
      <c r="R54" s="76"/>
    </row>
    <row r="55" spans="2:20" s="49" customFormat="1" ht="15.95" customHeight="1">
      <c r="B55" s="425" t="s">
        <v>93</v>
      </c>
      <c r="C55" s="425"/>
      <c r="D55" s="426"/>
      <c r="E55" s="412" t="s">
        <v>94</v>
      </c>
      <c r="F55" s="412"/>
      <c r="G55" s="420"/>
      <c r="H55" s="421"/>
      <c r="I55" s="412" t="s">
        <v>95</v>
      </c>
      <c r="J55" s="412"/>
      <c r="K55" s="412" t="s">
        <v>96</v>
      </c>
      <c r="L55" s="412"/>
      <c r="M55" s="412" t="s">
        <v>97</v>
      </c>
      <c r="N55" s="412"/>
    </row>
    <row r="56" spans="2:20" s="49" customFormat="1" ht="15.95" customHeight="1">
      <c r="B56" s="425" t="s">
        <v>98</v>
      </c>
      <c r="C56" s="425"/>
      <c r="D56" s="426"/>
      <c r="E56" s="412" t="s">
        <v>99</v>
      </c>
      <c r="F56" s="412"/>
      <c r="G56" s="420"/>
      <c r="H56" s="421"/>
      <c r="I56" s="412" t="s">
        <v>100</v>
      </c>
      <c r="J56" s="412"/>
      <c r="K56" s="412" t="s">
        <v>101</v>
      </c>
      <c r="L56" s="412"/>
      <c r="M56" s="412" t="s">
        <v>102</v>
      </c>
      <c r="N56" s="412"/>
    </row>
    <row r="57" spans="2:20" s="49" customFormat="1" ht="15.95" customHeight="1">
      <c r="B57" s="425" t="s">
        <v>103</v>
      </c>
      <c r="C57" s="425"/>
      <c r="D57" s="426"/>
      <c r="E57" s="412" t="s">
        <v>104</v>
      </c>
      <c r="F57" s="412"/>
      <c r="G57" s="413">
        <v>0</v>
      </c>
      <c r="H57" s="414"/>
      <c r="I57" s="412" t="s">
        <v>105</v>
      </c>
      <c r="J57" s="412"/>
      <c r="K57" s="412" t="s">
        <v>106</v>
      </c>
      <c r="L57" s="412"/>
      <c r="M57" s="412" t="s">
        <v>107</v>
      </c>
      <c r="N57" s="412"/>
    </row>
    <row r="58" spans="2:20" s="49" customFormat="1" ht="15.95" customHeight="1">
      <c r="B58" s="423" t="s">
        <v>108</v>
      </c>
      <c r="C58" s="423"/>
      <c r="D58" s="424"/>
      <c r="E58" s="429" t="s">
        <v>109</v>
      </c>
      <c r="F58" s="430"/>
      <c r="G58" s="415"/>
      <c r="H58" s="416"/>
      <c r="I58" s="429" t="s">
        <v>110</v>
      </c>
      <c r="J58" s="430"/>
      <c r="K58" s="429" t="s">
        <v>111</v>
      </c>
      <c r="L58" s="430"/>
      <c r="M58" s="430" t="s">
        <v>112</v>
      </c>
      <c r="N58" s="430"/>
      <c r="O58" s="77"/>
      <c r="P58" s="77"/>
      <c r="Q58" s="77"/>
      <c r="R58" s="77"/>
    </row>
    <row r="59" spans="2:20" s="49" customFormat="1" ht="15.95" customHeight="1"/>
    <row r="60" spans="2:20" ht="15.95" customHeight="1">
      <c r="B60" s="69" t="s">
        <v>168</v>
      </c>
      <c r="Q60" s="408" t="s">
        <v>172</v>
      </c>
      <c r="R60" s="408"/>
    </row>
    <row r="61" spans="2:20" ht="15.95" customHeight="1">
      <c r="B61" s="405" t="s">
        <v>144</v>
      </c>
      <c r="C61" s="405"/>
      <c r="D61" s="405"/>
      <c r="E61" s="405" t="s">
        <v>173</v>
      </c>
      <c r="F61" s="405"/>
      <c r="G61" s="405" t="s">
        <v>174</v>
      </c>
      <c r="H61" s="405"/>
      <c r="I61" s="405" t="s">
        <v>175</v>
      </c>
      <c r="J61" s="405"/>
      <c r="K61" s="405" t="s">
        <v>176</v>
      </c>
      <c r="L61" s="405"/>
      <c r="M61" s="405" t="s">
        <v>177</v>
      </c>
      <c r="N61" s="405"/>
      <c r="O61" s="405" t="s">
        <v>165</v>
      </c>
      <c r="P61" s="405"/>
      <c r="Q61" s="405"/>
      <c r="R61" s="405"/>
    </row>
    <row r="62" spans="2:20" ht="15.95" customHeight="1">
      <c r="B62" s="427" t="s">
        <v>64</v>
      </c>
      <c r="C62" s="427"/>
      <c r="D62" s="428"/>
      <c r="E62" s="439"/>
      <c r="F62" s="440"/>
      <c r="G62" s="439"/>
      <c r="H62" s="440"/>
      <c r="I62" s="439"/>
      <c r="J62" s="440"/>
      <c r="K62" s="439"/>
      <c r="L62" s="440"/>
      <c r="M62" s="439"/>
      <c r="N62" s="440"/>
      <c r="O62" s="439">
        <f>SUM(E62:N62)</f>
        <v>0</v>
      </c>
      <c r="P62" s="445"/>
      <c r="Q62" s="445"/>
      <c r="R62" s="445"/>
    </row>
    <row r="63" spans="2:20" ht="15.95" customHeight="1">
      <c r="B63" s="425" t="s">
        <v>77</v>
      </c>
      <c r="C63" s="425"/>
      <c r="D63" s="426"/>
      <c r="E63" s="441"/>
      <c r="F63" s="442"/>
      <c r="G63" s="441"/>
      <c r="H63" s="442"/>
      <c r="I63" s="441"/>
      <c r="J63" s="442"/>
      <c r="K63" s="441"/>
      <c r="L63" s="442"/>
      <c r="M63" s="441"/>
      <c r="N63" s="442"/>
      <c r="O63" s="441">
        <f t="shared" ref="O63:O64" si="5">SUM(E63:N63)</f>
        <v>0</v>
      </c>
      <c r="P63" s="444"/>
      <c r="Q63" s="444"/>
      <c r="R63" s="444"/>
    </row>
    <row r="64" spans="2:20" ht="15.95" customHeight="1">
      <c r="B64" s="423" t="s">
        <v>165</v>
      </c>
      <c r="C64" s="423"/>
      <c r="D64" s="424"/>
      <c r="E64" s="437">
        <f>SUM(E62:F63)</f>
        <v>0</v>
      </c>
      <c r="F64" s="438"/>
      <c r="G64" s="437">
        <f t="shared" ref="G64" si="6">SUM(G62:H63)</f>
        <v>0</v>
      </c>
      <c r="H64" s="438"/>
      <c r="I64" s="437">
        <f t="shared" ref="I64" si="7">SUM(I62:J63)</f>
        <v>0</v>
      </c>
      <c r="J64" s="438"/>
      <c r="K64" s="437">
        <f t="shared" ref="K64" si="8">SUM(K62:L63)</f>
        <v>0</v>
      </c>
      <c r="L64" s="438"/>
      <c r="M64" s="437">
        <f t="shared" ref="M64" si="9">SUM(M62:N63)</f>
        <v>0</v>
      </c>
      <c r="N64" s="438"/>
      <c r="O64" s="437">
        <f t="shared" si="5"/>
        <v>0</v>
      </c>
      <c r="P64" s="443"/>
      <c r="Q64" s="443"/>
      <c r="R64" s="443"/>
    </row>
    <row r="65" ht="15.95" customHeight="1"/>
    <row r="66" ht="15.95" customHeight="1"/>
    <row r="67" ht="15.95" customHeight="1"/>
  </sheetData>
  <mergeCells count="273">
    <mergeCell ref="Q60:R60"/>
    <mergeCell ref="O64:R64"/>
    <mergeCell ref="O63:R63"/>
    <mergeCell ref="O62:R62"/>
    <mergeCell ref="G64:H64"/>
    <mergeCell ref="G63:H63"/>
    <mergeCell ref="G62:H62"/>
    <mergeCell ref="K63:L63"/>
    <mergeCell ref="M63:N63"/>
    <mergeCell ref="B64:D64"/>
    <mergeCell ref="E64:F64"/>
    <mergeCell ref="I64:J64"/>
    <mergeCell ref="K64:L64"/>
    <mergeCell ref="M64:N64"/>
    <mergeCell ref="O61:R61"/>
    <mergeCell ref="B62:D62"/>
    <mergeCell ref="E62:F62"/>
    <mergeCell ref="I62:J62"/>
    <mergeCell ref="K62:L62"/>
    <mergeCell ref="M62:N62"/>
    <mergeCell ref="B63:D63"/>
    <mergeCell ref="E63:F63"/>
    <mergeCell ref="I63:J63"/>
    <mergeCell ref="M58:N58"/>
    <mergeCell ref="B61:D61"/>
    <mergeCell ref="E61:F61"/>
    <mergeCell ref="G61:H61"/>
    <mergeCell ref="I61:J61"/>
    <mergeCell ref="K61:L61"/>
    <mergeCell ref="M61:N61"/>
    <mergeCell ref="B57:D57"/>
    <mergeCell ref="E57:F57"/>
    <mergeCell ref="G57:H58"/>
    <mergeCell ref="I57:J57"/>
    <mergeCell ref="K57:L57"/>
    <mergeCell ref="M57:N57"/>
    <mergeCell ref="B58:D58"/>
    <mergeCell ref="E58:F58"/>
    <mergeCell ref="I58:J58"/>
    <mergeCell ref="K58:L58"/>
    <mergeCell ref="K55:L55"/>
    <mergeCell ref="M55:N55"/>
    <mergeCell ref="B56:D56"/>
    <mergeCell ref="E56:F56"/>
    <mergeCell ref="I56:J56"/>
    <mergeCell ref="K56:L56"/>
    <mergeCell ref="M56:N56"/>
    <mergeCell ref="O53:R53"/>
    <mergeCell ref="B54:D54"/>
    <mergeCell ref="E54:F54"/>
    <mergeCell ref="G54:H56"/>
    <mergeCell ref="I54:J54"/>
    <mergeCell ref="K54:L54"/>
    <mergeCell ref="M54:N54"/>
    <mergeCell ref="B55:D55"/>
    <mergeCell ref="E55:F55"/>
    <mergeCell ref="I55:J55"/>
    <mergeCell ref="M52:N52"/>
    <mergeCell ref="B53:D53"/>
    <mergeCell ref="E53:F53"/>
    <mergeCell ref="G53:H53"/>
    <mergeCell ref="I53:J53"/>
    <mergeCell ref="K53:L53"/>
    <mergeCell ref="M53:N53"/>
    <mergeCell ref="B51:D51"/>
    <mergeCell ref="E51:F51"/>
    <mergeCell ref="G51:H52"/>
    <mergeCell ref="I51:J51"/>
    <mergeCell ref="K51:L51"/>
    <mergeCell ref="M51:N51"/>
    <mergeCell ref="B52:D52"/>
    <mergeCell ref="E52:F52"/>
    <mergeCell ref="I52:J52"/>
    <mergeCell ref="K52:L52"/>
    <mergeCell ref="K49:L49"/>
    <mergeCell ref="M49:N49"/>
    <mergeCell ref="B50:D50"/>
    <mergeCell ref="E50:F50"/>
    <mergeCell ref="I50:J50"/>
    <mergeCell ref="K50:L50"/>
    <mergeCell ref="M50:N50"/>
    <mergeCell ref="O47:R47"/>
    <mergeCell ref="B48:D48"/>
    <mergeCell ref="E48:F48"/>
    <mergeCell ref="G48:H50"/>
    <mergeCell ref="I48:J48"/>
    <mergeCell ref="K48:L48"/>
    <mergeCell ref="M48:N48"/>
    <mergeCell ref="B49:D49"/>
    <mergeCell ref="E49:F49"/>
    <mergeCell ref="I49:J49"/>
    <mergeCell ref="M46:N46"/>
    <mergeCell ref="B47:D47"/>
    <mergeCell ref="E47:F47"/>
    <mergeCell ref="G47:H47"/>
    <mergeCell ref="I47:J47"/>
    <mergeCell ref="K47:L47"/>
    <mergeCell ref="M47:N47"/>
    <mergeCell ref="B45:D45"/>
    <mergeCell ref="E45:F45"/>
    <mergeCell ref="G45:H46"/>
    <mergeCell ref="I45:J45"/>
    <mergeCell ref="K45:L45"/>
    <mergeCell ref="M45:N45"/>
    <mergeCell ref="B46:D46"/>
    <mergeCell ref="E46:F46"/>
    <mergeCell ref="I46:J46"/>
    <mergeCell ref="K46:L46"/>
    <mergeCell ref="M43:N43"/>
    <mergeCell ref="B44:D44"/>
    <mergeCell ref="E44:F44"/>
    <mergeCell ref="I44:J44"/>
    <mergeCell ref="K44:L44"/>
    <mergeCell ref="M44:N44"/>
    <mergeCell ref="B42:D42"/>
    <mergeCell ref="E42:F42"/>
    <mergeCell ref="G42:H44"/>
    <mergeCell ref="I42:J42"/>
    <mergeCell ref="K42:L42"/>
    <mergeCell ref="M42:N42"/>
    <mergeCell ref="B43:D43"/>
    <mergeCell ref="E43:F43"/>
    <mergeCell ref="I43:J43"/>
    <mergeCell ref="K43:L43"/>
    <mergeCell ref="Q40:R40"/>
    <mergeCell ref="B41:D41"/>
    <mergeCell ref="E41:F41"/>
    <mergeCell ref="G41:H41"/>
    <mergeCell ref="I41:J41"/>
    <mergeCell ref="K41:L41"/>
    <mergeCell ref="M41:N41"/>
    <mergeCell ref="O41:R41"/>
    <mergeCell ref="M32:N32"/>
    <mergeCell ref="B36:D36"/>
    <mergeCell ref="B37:D37"/>
    <mergeCell ref="B38:D38"/>
    <mergeCell ref="O35:R35"/>
    <mergeCell ref="O38:R38"/>
    <mergeCell ref="O37:R37"/>
    <mergeCell ref="O36:R36"/>
    <mergeCell ref="Q34:R34"/>
    <mergeCell ref="K36:L36"/>
    <mergeCell ref="M36:N36"/>
    <mergeCell ref="B35:D35"/>
    <mergeCell ref="E35:F35"/>
    <mergeCell ref="G35:H35"/>
    <mergeCell ref="I35:J35"/>
    <mergeCell ref="K35:L35"/>
    <mergeCell ref="B31:D31"/>
    <mergeCell ref="E31:F31"/>
    <mergeCell ref="G31:H32"/>
    <mergeCell ref="I31:J31"/>
    <mergeCell ref="K31:L31"/>
    <mergeCell ref="M31:N31"/>
    <mergeCell ref="B32:D32"/>
    <mergeCell ref="E32:F32"/>
    <mergeCell ref="I32:J32"/>
    <mergeCell ref="K32:L32"/>
    <mergeCell ref="O27:R27"/>
    <mergeCell ref="B28:D28"/>
    <mergeCell ref="E28:F28"/>
    <mergeCell ref="G28:H30"/>
    <mergeCell ref="I28:J28"/>
    <mergeCell ref="K28:L28"/>
    <mergeCell ref="M28:N28"/>
    <mergeCell ref="B29:D29"/>
    <mergeCell ref="E29:F29"/>
    <mergeCell ref="I29:J29"/>
    <mergeCell ref="B27:D27"/>
    <mergeCell ref="E27:F27"/>
    <mergeCell ref="G27:H27"/>
    <mergeCell ref="I27:J27"/>
    <mergeCell ref="K27:L27"/>
    <mergeCell ref="M27:N27"/>
    <mergeCell ref="K29:L29"/>
    <mergeCell ref="M29:N29"/>
    <mergeCell ref="B30:D30"/>
    <mergeCell ref="E30:F30"/>
    <mergeCell ref="I30:J30"/>
    <mergeCell ref="K30:L30"/>
    <mergeCell ref="M30:N30"/>
    <mergeCell ref="O21:R21"/>
    <mergeCell ref="B22:D22"/>
    <mergeCell ref="E22:F22"/>
    <mergeCell ref="G22:H24"/>
    <mergeCell ref="I22:J22"/>
    <mergeCell ref="K22:L22"/>
    <mergeCell ref="M22:N22"/>
    <mergeCell ref="B21:D21"/>
    <mergeCell ref="E21:F21"/>
    <mergeCell ref="G21:H21"/>
    <mergeCell ref="I21:J21"/>
    <mergeCell ref="K21:L21"/>
    <mergeCell ref="M21:N21"/>
    <mergeCell ref="K24:L24"/>
    <mergeCell ref="M24:N24"/>
    <mergeCell ref="B25:D25"/>
    <mergeCell ref="E25:F25"/>
    <mergeCell ref="I25:J25"/>
    <mergeCell ref="K25:L25"/>
    <mergeCell ref="M25:N25"/>
    <mergeCell ref="G25:H26"/>
    <mergeCell ref="B26:D26"/>
    <mergeCell ref="E26:F26"/>
    <mergeCell ref="B23:D23"/>
    <mergeCell ref="E23:F23"/>
    <mergeCell ref="I23:J23"/>
    <mergeCell ref="K23:L23"/>
    <mergeCell ref="M23:N23"/>
    <mergeCell ref="B24:D24"/>
    <mergeCell ref="E24:F24"/>
    <mergeCell ref="I24:J24"/>
    <mergeCell ref="I26:J26"/>
    <mergeCell ref="K26:L26"/>
    <mergeCell ref="M26:N26"/>
    <mergeCell ref="B8:D8"/>
    <mergeCell ref="B7:D7"/>
    <mergeCell ref="B6:D6"/>
    <mergeCell ref="E6:R6"/>
    <mergeCell ref="B20:D20"/>
    <mergeCell ref="B19:D19"/>
    <mergeCell ref="B18:D18"/>
    <mergeCell ref="B17:D17"/>
    <mergeCell ref="B16:D16"/>
    <mergeCell ref="O15:R15"/>
    <mergeCell ref="B15:D15"/>
    <mergeCell ref="E15:F15"/>
    <mergeCell ref="G15:H15"/>
    <mergeCell ref="I15:J15"/>
    <mergeCell ref="K15:L15"/>
    <mergeCell ref="M15:N15"/>
    <mergeCell ref="M19:N19"/>
    <mergeCell ref="E20:F20"/>
    <mergeCell ref="I20:J20"/>
    <mergeCell ref="K20:L20"/>
    <mergeCell ref="M20:N20"/>
    <mergeCell ref="E18:F18"/>
    <mergeCell ref="I18:J18"/>
    <mergeCell ref="K18:L18"/>
    <mergeCell ref="M35:N35"/>
    <mergeCell ref="B2:R3"/>
    <mergeCell ref="Q14:R14"/>
    <mergeCell ref="B12:D12"/>
    <mergeCell ref="B11:D11"/>
    <mergeCell ref="B10:D10"/>
    <mergeCell ref="B9:D9"/>
    <mergeCell ref="E36:F36"/>
    <mergeCell ref="G36:H36"/>
    <mergeCell ref="I36:J36"/>
    <mergeCell ref="M18:N18"/>
    <mergeCell ref="E19:F19"/>
    <mergeCell ref="G19:H20"/>
    <mergeCell ref="I19:J19"/>
    <mergeCell ref="K19:L19"/>
    <mergeCell ref="I16:J16"/>
    <mergeCell ref="K16:L16"/>
    <mergeCell ref="M16:N16"/>
    <mergeCell ref="E17:F17"/>
    <mergeCell ref="I17:J17"/>
    <mergeCell ref="K17:L17"/>
    <mergeCell ref="M17:N17"/>
    <mergeCell ref="E16:F16"/>
    <mergeCell ref="G16:H18"/>
    <mergeCell ref="E38:F38"/>
    <mergeCell ref="G38:H38"/>
    <mergeCell ref="I38:J38"/>
    <mergeCell ref="K38:L38"/>
    <mergeCell ref="M38:N38"/>
    <mergeCell ref="E37:F37"/>
    <mergeCell ref="G37:H37"/>
    <mergeCell ref="I37:J37"/>
    <mergeCell ref="K37:L37"/>
    <mergeCell ref="M37:N37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showGridLines="0" zoomScaleNormal="100" workbookViewId="0">
      <selection activeCell="F35" sqref="F35"/>
    </sheetView>
  </sheetViews>
  <sheetFormatPr defaultRowHeight="16.5"/>
  <cols>
    <col min="1" max="1" width="1.125" customWidth="1"/>
    <col min="2" max="2" width="6.125" customWidth="1"/>
    <col min="3" max="3" width="7.75" customWidth="1"/>
    <col min="4" max="71" width="6.125" customWidth="1"/>
  </cols>
  <sheetData>
    <row r="1" spans="1:20" ht="15.95" customHeight="1">
      <c r="A1" t="s">
        <v>147</v>
      </c>
    </row>
    <row r="2" spans="1:20" s="71" customFormat="1" ht="15.95" customHeight="1">
      <c r="B2" s="406" t="str">
        <f>'품의 양식(회원동반)'!D25</f>
        <v xml:space="preserve"> · [핫딜] SONO WINNERS FESTA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</row>
    <row r="3" spans="1:20" s="71" customFormat="1" ht="15.95" customHeight="1"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</row>
    <row r="4" spans="1:20" s="71" customFormat="1" ht="15.95" customHeight="1">
      <c r="R4" s="73"/>
    </row>
    <row r="5" spans="1:20" s="71" customFormat="1" ht="15.95" customHeight="1">
      <c r="B5" s="69" t="s">
        <v>146</v>
      </c>
      <c r="M5" s="1"/>
    </row>
    <row r="6" spans="1:20" s="71" customFormat="1" ht="15.95" customHeight="1">
      <c r="B6" s="405" t="s">
        <v>144</v>
      </c>
      <c r="C6" s="405"/>
      <c r="D6" s="405"/>
      <c r="E6" s="405" t="s">
        <v>145</v>
      </c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405"/>
    </row>
    <row r="7" spans="1:20" s="71" customFormat="1" ht="15.95" customHeight="1">
      <c r="B7" s="422" t="str">
        <f>'품의 양식(회원동반)'!B26</f>
        <v>사업장</v>
      </c>
      <c r="C7" s="422"/>
      <c r="D7" s="422"/>
      <c r="E7" s="72" t="str">
        <f>'품의 양식(회원동반)'!D26</f>
        <v xml:space="preserve"> · 전사업장</v>
      </c>
      <c r="F7" s="72"/>
      <c r="G7" s="72"/>
      <c r="H7" s="72"/>
      <c r="I7" s="72"/>
      <c r="J7" s="72"/>
      <c r="K7" s="72"/>
      <c r="L7" s="72"/>
      <c r="M7" s="78"/>
      <c r="N7" s="73"/>
      <c r="O7" s="73"/>
      <c r="P7" s="73"/>
      <c r="Q7" s="73"/>
      <c r="R7" s="73"/>
    </row>
    <row r="8" spans="1:20" s="71" customFormat="1" ht="15.95" customHeight="1">
      <c r="B8" s="410" t="str">
        <f>'품의 양식(회원동반)'!B27</f>
        <v>판매채널</v>
      </c>
      <c r="C8" s="410"/>
      <c r="D8" s="410"/>
      <c r="E8" s="21" t="str">
        <f>'품의 양식(회원동반)'!D27</f>
        <v xml:space="preserve"> · 회원, D멤버스, OTA, GOTA 전채널 </v>
      </c>
      <c r="F8" s="21"/>
      <c r="G8" s="21"/>
      <c r="H8" s="21"/>
      <c r="I8" s="21"/>
      <c r="J8" s="21"/>
      <c r="K8" s="21"/>
      <c r="L8" s="21"/>
      <c r="M8" s="1"/>
    </row>
    <row r="9" spans="1:20" s="71" customFormat="1" ht="15.95" customHeight="1">
      <c r="B9" s="410" t="str">
        <f>'품의 양식(회원동반)'!B28</f>
        <v>기간</v>
      </c>
      <c r="C9" s="410"/>
      <c r="D9" s="410"/>
      <c r="E9" s="21" t="str">
        <f>'품의 양식(회원동반)'!D28</f>
        <v xml:space="preserve"> · 26.05.18(수) ~ 26.06.01(월) </v>
      </c>
      <c r="F9" s="21"/>
      <c r="G9" s="21"/>
      <c r="H9" s="21"/>
      <c r="I9" s="21"/>
      <c r="J9" s="21"/>
      <c r="K9" s="21"/>
      <c r="L9" s="21"/>
      <c r="M9" s="1"/>
    </row>
    <row r="10" spans="1:20" s="71" customFormat="1" ht="15.95" customHeight="1">
      <c r="B10" s="410">
        <f>'품의 양식(회원동반)'!B29</f>
        <v>0</v>
      </c>
      <c r="C10" s="410"/>
      <c r="D10" s="410"/>
      <c r="E10" s="21" t="str">
        <f>'품의 양식(회원동반)'!D29</f>
        <v xml:space="preserve"> · 26.06.01(월) ~ 26.07.16(목)</v>
      </c>
      <c r="F10" s="21"/>
      <c r="G10" s="21"/>
      <c r="H10" s="21"/>
      <c r="I10" s="21"/>
      <c r="J10" s="21"/>
      <c r="K10" s="21"/>
      <c r="L10" s="21"/>
      <c r="M10" s="1"/>
    </row>
    <row r="11" spans="1:20" s="71" customFormat="1" ht="15.95" customHeight="1">
      <c r="B11" s="410" t="str">
        <f>'품의 양식(회원동반)'!B30</f>
        <v>상품구성</v>
      </c>
      <c r="C11" s="410"/>
      <c r="D11" s="410"/>
      <c r="E11" s="21" t="str">
        <f>'품의 양식(회원동반)'!D30</f>
        <v xml:space="preserve"> · 객실 + 오션2인 + 키즈컨텐츠</v>
      </c>
      <c r="F11" s="21"/>
      <c r="G11" s="21"/>
      <c r="H11" s="21"/>
      <c r="I11" s="21"/>
      <c r="J11" s="21"/>
      <c r="K11" s="21"/>
      <c r="L11" s="21"/>
      <c r="M11" s="1"/>
    </row>
    <row r="12" spans="1:20" s="71" customFormat="1" ht="15.95" customHeight="1">
      <c r="B12" s="409">
        <f>'품의 양식(회원동반)'!B31</f>
        <v>0</v>
      </c>
      <c r="C12" s="409"/>
      <c r="D12" s="409"/>
      <c r="E12" s="75" t="str">
        <f>'품의 양식(회원동반)'!D31</f>
        <v xml:space="preserve"> · 소노스카이거너스 비치볼 증정 </v>
      </c>
      <c r="F12" s="75"/>
      <c r="G12" s="75"/>
      <c r="H12" s="75"/>
      <c r="I12" s="75"/>
      <c r="J12" s="75"/>
      <c r="K12" s="75"/>
      <c r="L12" s="75"/>
      <c r="M12" s="79"/>
      <c r="N12" s="80"/>
      <c r="O12" s="80"/>
      <c r="P12" s="80"/>
      <c r="Q12" s="80"/>
      <c r="R12" s="80"/>
    </row>
    <row r="13" spans="1:20" ht="15.95" customHeight="1">
      <c r="T13" s="70"/>
    </row>
    <row r="14" spans="1:20" ht="15.95" customHeight="1">
      <c r="B14" s="69" t="s">
        <v>169</v>
      </c>
      <c r="C14" s="71"/>
      <c r="D14" s="71"/>
      <c r="E14" s="71"/>
      <c r="F14" s="71"/>
      <c r="G14" s="71"/>
      <c r="H14" s="71"/>
      <c r="I14" s="71"/>
      <c r="J14" s="71"/>
      <c r="K14" s="71"/>
      <c r="Q14" s="408" t="s">
        <v>162</v>
      </c>
      <c r="R14" s="408"/>
      <c r="T14" s="70"/>
    </row>
    <row r="15" spans="1:20" ht="15.95" customHeight="1">
      <c r="B15" s="405" t="s">
        <v>144</v>
      </c>
      <c r="C15" s="405"/>
      <c r="D15" s="405"/>
      <c r="E15" s="405" t="s">
        <v>173</v>
      </c>
      <c r="F15" s="405"/>
      <c r="G15" s="405" t="s">
        <v>174</v>
      </c>
      <c r="H15" s="405"/>
      <c r="I15" s="405" t="s">
        <v>175</v>
      </c>
      <c r="J15" s="405"/>
      <c r="K15" s="405" t="s">
        <v>176</v>
      </c>
      <c r="L15" s="405"/>
      <c r="M15" s="405" t="s">
        <v>177</v>
      </c>
      <c r="N15" s="405"/>
      <c r="O15" s="405" t="s">
        <v>113</v>
      </c>
      <c r="P15" s="405"/>
      <c r="Q15" s="405"/>
      <c r="R15" s="405"/>
      <c r="T15" s="70"/>
    </row>
    <row r="16" spans="1:20" s="49" customFormat="1" ht="15.95" customHeight="1">
      <c r="B16" s="427" t="s">
        <v>87</v>
      </c>
      <c r="C16" s="427"/>
      <c r="D16" s="428"/>
      <c r="E16" s="417" t="s">
        <v>88</v>
      </c>
      <c r="F16" s="417"/>
      <c r="G16" s="418" t="s">
        <v>89</v>
      </c>
      <c r="H16" s="419"/>
      <c r="I16" s="417" t="s">
        <v>90</v>
      </c>
      <c r="J16" s="417"/>
      <c r="K16" s="417" t="s">
        <v>91</v>
      </c>
      <c r="L16" s="417"/>
      <c r="M16" s="417" t="s">
        <v>92</v>
      </c>
      <c r="N16" s="417"/>
      <c r="O16" s="76"/>
      <c r="P16" s="76"/>
      <c r="Q16" s="76"/>
      <c r="R16" s="76"/>
    </row>
    <row r="17" spans="2:20" s="49" customFormat="1" ht="15.95" customHeight="1">
      <c r="B17" s="425" t="s">
        <v>93</v>
      </c>
      <c r="C17" s="425"/>
      <c r="D17" s="426"/>
      <c r="E17" s="412" t="s">
        <v>94</v>
      </c>
      <c r="F17" s="412"/>
      <c r="G17" s="420"/>
      <c r="H17" s="421"/>
      <c r="I17" s="412" t="s">
        <v>95</v>
      </c>
      <c r="J17" s="412"/>
      <c r="K17" s="412" t="s">
        <v>96</v>
      </c>
      <c r="L17" s="412"/>
      <c r="M17" s="412" t="s">
        <v>97</v>
      </c>
      <c r="N17" s="412"/>
    </row>
    <row r="18" spans="2:20" s="49" customFormat="1" ht="15.95" customHeight="1">
      <c r="B18" s="425" t="s">
        <v>98</v>
      </c>
      <c r="C18" s="425"/>
      <c r="D18" s="426"/>
      <c r="E18" s="412" t="s">
        <v>99</v>
      </c>
      <c r="F18" s="412"/>
      <c r="G18" s="420"/>
      <c r="H18" s="421"/>
      <c r="I18" s="412" t="s">
        <v>100</v>
      </c>
      <c r="J18" s="412"/>
      <c r="K18" s="412" t="s">
        <v>101</v>
      </c>
      <c r="L18" s="412"/>
      <c r="M18" s="412" t="s">
        <v>102</v>
      </c>
      <c r="N18" s="412"/>
    </row>
    <row r="19" spans="2:20" s="49" customFormat="1" ht="15.95" customHeight="1">
      <c r="B19" s="425" t="s">
        <v>103</v>
      </c>
      <c r="C19" s="425"/>
      <c r="D19" s="426"/>
      <c r="E19" s="412" t="s">
        <v>104</v>
      </c>
      <c r="F19" s="412"/>
      <c r="G19" s="413">
        <v>0</v>
      </c>
      <c r="H19" s="414"/>
      <c r="I19" s="412" t="s">
        <v>105</v>
      </c>
      <c r="J19" s="412"/>
      <c r="K19" s="412" t="s">
        <v>106</v>
      </c>
      <c r="L19" s="412"/>
      <c r="M19" s="412" t="s">
        <v>107</v>
      </c>
      <c r="N19" s="412"/>
    </row>
    <row r="20" spans="2:20" s="49" customFormat="1" ht="15.95" customHeight="1">
      <c r="B20" s="423" t="s">
        <v>108</v>
      </c>
      <c r="C20" s="423"/>
      <c r="D20" s="424"/>
      <c r="E20" s="429" t="s">
        <v>109</v>
      </c>
      <c r="F20" s="430"/>
      <c r="G20" s="415"/>
      <c r="H20" s="416"/>
      <c r="I20" s="429" t="s">
        <v>110</v>
      </c>
      <c r="J20" s="430"/>
      <c r="K20" s="429" t="s">
        <v>111</v>
      </c>
      <c r="L20" s="430"/>
      <c r="M20" s="430" t="s">
        <v>112</v>
      </c>
      <c r="N20" s="430"/>
      <c r="O20" s="77"/>
      <c r="P20" s="77"/>
      <c r="Q20" s="77"/>
      <c r="R20" s="77"/>
    </row>
    <row r="21" spans="2:20" s="49" customFormat="1" ht="15.95" customHeight="1"/>
    <row r="22" spans="2:20" s="49" customFormat="1" ht="15.95" customHeight="1">
      <c r="B22" s="69" t="s">
        <v>170</v>
      </c>
      <c r="Q22" s="408" t="s">
        <v>162</v>
      </c>
      <c r="R22" s="408"/>
    </row>
    <row r="23" spans="2:20" ht="15.95" customHeight="1">
      <c r="B23" s="405" t="s">
        <v>144</v>
      </c>
      <c r="C23" s="405"/>
      <c r="D23" s="405"/>
      <c r="E23" s="405" t="s">
        <v>165</v>
      </c>
      <c r="F23" s="405"/>
      <c r="G23" s="405" t="s">
        <v>163</v>
      </c>
      <c r="H23" s="405"/>
      <c r="I23" s="405" t="s">
        <v>164</v>
      </c>
      <c r="J23" s="405"/>
      <c r="K23" s="405" t="s">
        <v>166</v>
      </c>
      <c r="L23" s="405"/>
      <c r="M23" s="405" t="s">
        <v>167</v>
      </c>
      <c r="N23" s="405"/>
      <c r="O23" s="405" t="s">
        <v>113</v>
      </c>
      <c r="P23" s="405"/>
      <c r="Q23" s="405"/>
      <c r="R23" s="405"/>
      <c r="T23" s="70"/>
    </row>
    <row r="24" spans="2:20" ht="15.95" customHeight="1">
      <c r="B24" s="427" t="s">
        <v>87</v>
      </c>
      <c r="C24" s="427"/>
      <c r="D24" s="428"/>
      <c r="E24" s="411">
        <f>SUM(G24:N24)</f>
        <v>140</v>
      </c>
      <c r="F24" s="411"/>
      <c r="G24" s="411">
        <v>40</v>
      </c>
      <c r="H24" s="411"/>
      <c r="I24" s="411">
        <v>30</v>
      </c>
      <c r="J24" s="411"/>
      <c r="K24" s="411">
        <v>20</v>
      </c>
      <c r="L24" s="411"/>
      <c r="M24" s="411">
        <v>50</v>
      </c>
      <c r="N24" s="411"/>
      <c r="O24" s="435"/>
      <c r="P24" s="436"/>
      <c r="Q24" s="436"/>
      <c r="R24" s="436"/>
      <c r="T24" s="70"/>
    </row>
    <row r="25" spans="2:20" ht="15.95" customHeight="1">
      <c r="B25" s="425" t="s">
        <v>98</v>
      </c>
      <c r="C25" s="425"/>
      <c r="D25" s="426"/>
      <c r="E25" s="404">
        <f t="shared" ref="E25" si="0">SUM(G25:N25)</f>
        <v>115</v>
      </c>
      <c r="F25" s="404"/>
      <c r="G25" s="404">
        <v>30</v>
      </c>
      <c r="H25" s="404"/>
      <c r="I25" s="404">
        <v>25</v>
      </c>
      <c r="J25" s="404"/>
      <c r="K25" s="404">
        <v>15</v>
      </c>
      <c r="L25" s="404"/>
      <c r="M25" s="404">
        <v>45</v>
      </c>
      <c r="N25" s="404"/>
      <c r="O25" s="433"/>
      <c r="P25" s="434"/>
      <c r="Q25" s="434"/>
      <c r="R25" s="434"/>
      <c r="T25" s="70"/>
    </row>
    <row r="26" spans="2:20" ht="15.95" customHeight="1">
      <c r="B26" s="423" t="s">
        <v>103</v>
      </c>
      <c r="C26" s="423"/>
      <c r="D26" s="424"/>
      <c r="E26" s="403">
        <f>1-E25/E24</f>
        <v>0.1785714285714286</v>
      </c>
      <c r="F26" s="403"/>
      <c r="G26" s="403">
        <f t="shared" ref="G26" si="1">1-G25/G24</f>
        <v>0.25</v>
      </c>
      <c r="H26" s="403"/>
      <c r="I26" s="403">
        <f t="shared" ref="I26" si="2">1-I25/I24</f>
        <v>0.16666666666666663</v>
      </c>
      <c r="J26" s="403"/>
      <c r="K26" s="403">
        <f t="shared" ref="K26" si="3">1-K25/K24</f>
        <v>0.25</v>
      </c>
      <c r="L26" s="403"/>
      <c r="M26" s="403">
        <f t="shared" ref="M26" si="4">1-M25/M24</f>
        <v>9.9999999999999978E-2</v>
      </c>
      <c r="N26" s="403"/>
      <c r="O26" s="431"/>
      <c r="P26" s="432"/>
      <c r="Q26" s="432"/>
      <c r="R26" s="432"/>
      <c r="T26" s="70"/>
    </row>
    <row r="27" spans="2:20" ht="15.95" customHeight="1"/>
    <row r="28" spans="2:20" ht="15.95" customHeight="1">
      <c r="B28" s="69" t="s">
        <v>171</v>
      </c>
      <c r="C28" s="71"/>
      <c r="D28" s="71"/>
      <c r="E28" s="71"/>
      <c r="F28" s="71"/>
      <c r="G28" s="71"/>
      <c r="H28" s="71"/>
      <c r="I28" s="71"/>
      <c r="J28" s="71"/>
      <c r="K28" s="71"/>
      <c r="Q28" s="408" t="s">
        <v>162</v>
      </c>
      <c r="R28" s="408"/>
      <c r="T28" s="70"/>
    </row>
    <row r="29" spans="2:20" ht="15.95" customHeight="1">
      <c r="B29" s="405" t="s">
        <v>144</v>
      </c>
      <c r="C29" s="405"/>
      <c r="D29" s="405"/>
      <c r="E29" s="405" t="s">
        <v>173</v>
      </c>
      <c r="F29" s="405"/>
      <c r="G29" s="405" t="s">
        <v>174</v>
      </c>
      <c r="H29" s="405"/>
      <c r="I29" s="405" t="s">
        <v>175</v>
      </c>
      <c r="J29" s="405"/>
      <c r="K29" s="405" t="s">
        <v>176</v>
      </c>
      <c r="L29" s="405"/>
      <c r="M29" s="405" t="s">
        <v>177</v>
      </c>
      <c r="N29" s="405"/>
      <c r="O29" s="405" t="s">
        <v>113</v>
      </c>
      <c r="P29" s="405"/>
      <c r="Q29" s="405"/>
      <c r="R29" s="405"/>
      <c r="T29" s="70"/>
    </row>
    <row r="30" spans="2:20" s="49" customFormat="1" ht="15.95" customHeight="1">
      <c r="B30" s="427" t="s">
        <v>87</v>
      </c>
      <c r="C30" s="427"/>
      <c r="D30" s="428"/>
      <c r="E30" s="417" t="s">
        <v>88</v>
      </c>
      <c r="F30" s="417"/>
      <c r="G30" s="418" t="s">
        <v>89</v>
      </c>
      <c r="H30" s="419"/>
      <c r="I30" s="417" t="s">
        <v>90</v>
      </c>
      <c r="J30" s="417"/>
      <c r="K30" s="417" t="s">
        <v>91</v>
      </c>
      <c r="L30" s="417"/>
      <c r="M30" s="417" t="s">
        <v>92</v>
      </c>
      <c r="N30" s="417"/>
      <c r="O30" s="76"/>
      <c r="P30" s="76"/>
      <c r="Q30" s="76"/>
      <c r="R30" s="76"/>
    </row>
    <row r="31" spans="2:20" s="49" customFormat="1" ht="15.95" customHeight="1">
      <c r="B31" s="425" t="s">
        <v>93</v>
      </c>
      <c r="C31" s="425"/>
      <c r="D31" s="426"/>
      <c r="E31" s="412" t="s">
        <v>94</v>
      </c>
      <c r="F31" s="412"/>
      <c r="G31" s="420"/>
      <c r="H31" s="421"/>
      <c r="I31" s="412" t="s">
        <v>95</v>
      </c>
      <c r="J31" s="412"/>
      <c r="K31" s="412" t="s">
        <v>96</v>
      </c>
      <c r="L31" s="412"/>
      <c r="M31" s="412" t="s">
        <v>97</v>
      </c>
      <c r="N31" s="412"/>
    </row>
    <row r="32" spans="2:20" s="49" customFormat="1" ht="15.95" customHeight="1">
      <c r="B32" s="425" t="s">
        <v>98</v>
      </c>
      <c r="C32" s="425"/>
      <c r="D32" s="426"/>
      <c r="E32" s="412" t="s">
        <v>99</v>
      </c>
      <c r="F32" s="412"/>
      <c r="G32" s="420"/>
      <c r="H32" s="421"/>
      <c r="I32" s="412" t="s">
        <v>100</v>
      </c>
      <c r="J32" s="412"/>
      <c r="K32" s="412" t="s">
        <v>101</v>
      </c>
      <c r="L32" s="412"/>
      <c r="M32" s="412" t="s">
        <v>102</v>
      </c>
      <c r="N32" s="412"/>
    </row>
    <row r="33" spans="2:18" s="49" customFormat="1" ht="15.95" customHeight="1">
      <c r="B33" s="425" t="s">
        <v>103</v>
      </c>
      <c r="C33" s="425"/>
      <c r="D33" s="426"/>
      <c r="E33" s="412" t="s">
        <v>104</v>
      </c>
      <c r="F33" s="412"/>
      <c r="G33" s="413">
        <v>0</v>
      </c>
      <c r="H33" s="414"/>
      <c r="I33" s="412" t="s">
        <v>105</v>
      </c>
      <c r="J33" s="412"/>
      <c r="K33" s="412" t="s">
        <v>106</v>
      </c>
      <c r="L33" s="412"/>
      <c r="M33" s="412" t="s">
        <v>107</v>
      </c>
      <c r="N33" s="412"/>
    </row>
    <row r="34" spans="2:18" s="49" customFormat="1" ht="15.95" customHeight="1">
      <c r="B34" s="423" t="s">
        <v>108</v>
      </c>
      <c r="C34" s="423"/>
      <c r="D34" s="424"/>
      <c r="E34" s="429" t="s">
        <v>109</v>
      </c>
      <c r="F34" s="430"/>
      <c r="G34" s="415"/>
      <c r="H34" s="416"/>
      <c r="I34" s="429" t="s">
        <v>110</v>
      </c>
      <c r="J34" s="430"/>
      <c r="K34" s="429" t="s">
        <v>111</v>
      </c>
      <c r="L34" s="430"/>
      <c r="M34" s="430" t="s">
        <v>112</v>
      </c>
      <c r="N34" s="430"/>
      <c r="O34" s="77"/>
      <c r="P34" s="77"/>
      <c r="Q34" s="77"/>
      <c r="R34" s="77"/>
    </row>
    <row r="35" spans="2:18" s="49" customFormat="1" ht="15.95" customHeight="1"/>
    <row r="36" spans="2:18" ht="15.95" customHeight="1">
      <c r="B36" s="69" t="s">
        <v>168</v>
      </c>
      <c r="Q36" s="408" t="s">
        <v>172</v>
      </c>
      <c r="R36" s="408"/>
    </row>
    <row r="37" spans="2:18" ht="15.95" customHeight="1">
      <c r="B37" s="405" t="s">
        <v>144</v>
      </c>
      <c r="C37" s="405"/>
      <c r="D37" s="405"/>
      <c r="E37" s="405" t="s">
        <v>173</v>
      </c>
      <c r="F37" s="405"/>
      <c r="G37" s="405" t="s">
        <v>174</v>
      </c>
      <c r="H37" s="405"/>
      <c r="I37" s="405" t="s">
        <v>175</v>
      </c>
      <c r="J37" s="405"/>
      <c r="K37" s="405" t="s">
        <v>176</v>
      </c>
      <c r="L37" s="405"/>
      <c r="M37" s="405" t="s">
        <v>177</v>
      </c>
      <c r="N37" s="405"/>
      <c r="O37" s="405" t="s">
        <v>165</v>
      </c>
      <c r="P37" s="405"/>
      <c r="Q37" s="405"/>
      <c r="R37" s="405"/>
    </row>
    <row r="38" spans="2:18" ht="15.95" customHeight="1">
      <c r="B38" s="427" t="s">
        <v>64</v>
      </c>
      <c r="C38" s="427"/>
      <c r="D38" s="428"/>
      <c r="E38" s="439"/>
      <c r="F38" s="440"/>
      <c r="G38" s="439"/>
      <c r="H38" s="440"/>
      <c r="I38" s="439"/>
      <c r="J38" s="440"/>
      <c r="K38" s="439"/>
      <c r="L38" s="440"/>
      <c r="M38" s="439"/>
      <c r="N38" s="440"/>
      <c r="O38" s="439">
        <f>SUM(E38:N38)</f>
        <v>0</v>
      </c>
      <c r="P38" s="445"/>
      <c r="Q38" s="445"/>
      <c r="R38" s="445"/>
    </row>
    <row r="39" spans="2:18" ht="15.95" customHeight="1">
      <c r="B39" s="425" t="s">
        <v>77</v>
      </c>
      <c r="C39" s="425"/>
      <c r="D39" s="426"/>
      <c r="E39" s="441"/>
      <c r="F39" s="442"/>
      <c r="G39" s="441"/>
      <c r="H39" s="442"/>
      <c r="I39" s="441"/>
      <c r="J39" s="442"/>
      <c r="K39" s="441"/>
      <c r="L39" s="442"/>
      <c r="M39" s="441"/>
      <c r="N39" s="442"/>
      <c r="O39" s="441">
        <f t="shared" ref="O39:O40" si="5">SUM(E39:N39)</f>
        <v>0</v>
      </c>
      <c r="P39" s="444"/>
      <c r="Q39" s="444"/>
      <c r="R39" s="444"/>
    </row>
    <row r="40" spans="2:18" ht="15.95" customHeight="1">
      <c r="B40" s="423" t="s">
        <v>165</v>
      </c>
      <c r="C40" s="423"/>
      <c r="D40" s="424"/>
      <c r="E40" s="437">
        <f>SUM(E38:F39)</f>
        <v>0</v>
      </c>
      <c r="F40" s="438"/>
      <c r="G40" s="437">
        <f t="shared" ref="G40" si="6">SUM(G38:H39)</f>
        <v>0</v>
      </c>
      <c r="H40" s="438"/>
      <c r="I40" s="437">
        <f t="shared" ref="I40" si="7">SUM(I38:J39)</f>
        <v>0</v>
      </c>
      <c r="J40" s="438"/>
      <c r="K40" s="437">
        <f t="shared" ref="K40" si="8">SUM(K38:L39)</f>
        <v>0</v>
      </c>
      <c r="L40" s="438"/>
      <c r="M40" s="437">
        <f t="shared" ref="M40" si="9">SUM(M38:N39)</f>
        <v>0</v>
      </c>
      <c r="N40" s="438"/>
      <c r="O40" s="437">
        <f t="shared" si="5"/>
        <v>0</v>
      </c>
      <c r="P40" s="443"/>
      <c r="Q40" s="443"/>
      <c r="R40" s="443"/>
    </row>
    <row r="41" spans="2:18" ht="15.95" customHeight="1"/>
    <row r="42" spans="2:18" ht="15.95" customHeight="1"/>
    <row r="43" spans="2:18" ht="15.95" customHeight="1"/>
    <row r="44" spans="2:18" ht="15.95" customHeight="1"/>
    <row r="45" spans="2:18" ht="15.95" customHeight="1"/>
    <row r="46" spans="2:18" ht="15.95" customHeight="1"/>
    <row r="47" spans="2:18" ht="15.95" customHeight="1"/>
    <row r="48" spans="2:18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</sheetData>
  <mergeCells count="137">
    <mergeCell ref="Q36:R36"/>
    <mergeCell ref="B37:D37"/>
    <mergeCell ref="E37:F37"/>
    <mergeCell ref="G37:H37"/>
    <mergeCell ref="I37:J37"/>
    <mergeCell ref="K37:L37"/>
    <mergeCell ref="M37:N37"/>
    <mergeCell ref="O37:R37"/>
    <mergeCell ref="O40:R40"/>
    <mergeCell ref="B40:D40"/>
    <mergeCell ref="E40:F40"/>
    <mergeCell ref="G40:H40"/>
    <mergeCell ref="I40:J40"/>
    <mergeCell ref="K40:L40"/>
    <mergeCell ref="M40:N40"/>
    <mergeCell ref="O38:R38"/>
    <mergeCell ref="B39:D39"/>
    <mergeCell ref="E39:F39"/>
    <mergeCell ref="G39:H39"/>
    <mergeCell ref="I39:J39"/>
    <mergeCell ref="K39:L39"/>
    <mergeCell ref="M39:N39"/>
    <mergeCell ref="O39:R39"/>
    <mergeCell ref="B38:D38"/>
    <mergeCell ref="E38:F38"/>
    <mergeCell ref="G38:H38"/>
    <mergeCell ref="I38:J38"/>
    <mergeCell ref="K38:L38"/>
    <mergeCell ref="M38:N38"/>
    <mergeCell ref="B33:D33"/>
    <mergeCell ref="E33:F33"/>
    <mergeCell ref="G33:H34"/>
    <mergeCell ref="I33:J33"/>
    <mergeCell ref="K33:L33"/>
    <mergeCell ref="M33:N33"/>
    <mergeCell ref="B34:D34"/>
    <mergeCell ref="E34:F34"/>
    <mergeCell ref="I34:J34"/>
    <mergeCell ref="K34:L34"/>
    <mergeCell ref="M34:N34"/>
    <mergeCell ref="K31:L31"/>
    <mergeCell ref="M31:N31"/>
    <mergeCell ref="B32:D32"/>
    <mergeCell ref="E32:F32"/>
    <mergeCell ref="I32:J32"/>
    <mergeCell ref="K32:L32"/>
    <mergeCell ref="M32:N32"/>
    <mergeCell ref="O29:R29"/>
    <mergeCell ref="B30:D30"/>
    <mergeCell ref="E30:F30"/>
    <mergeCell ref="G30:H32"/>
    <mergeCell ref="I30:J30"/>
    <mergeCell ref="K30:L30"/>
    <mergeCell ref="M30:N30"/>
    <mergeCell ref="B31:D31"/>
    <mergeCell ref="E31:F31"/>
    <mergeCell ref="I31:J31"/>
    <mergeCell ref="B29:D29"/>
    <mergeCell ref="E29:F29"/>
    <mergeCell ref="G29:H29"/>
    <mergeCell ref="I29:J29"/>
    <mergeCell ref="K29:L29"/>
    <mergeCell ref="M29:N29"/>
    <mergeCell ref="Q28:R28"/>
    <mergeCell ref="B26:D26"/>
    <mergeCell ref="E26:F26"/>
    <mergeCell ref="G26:H26"/>
    <mergeCell ref="I26:J26"/>
    <mergeCell ref="K26:L26"/>
    <mergeCell ref="M26:N26"/>
    <mergeCell ref="O24:R24"/>
    <mergeCell ref="B25:D25"/>
    <mergeCell ref="E25:F25"/>
    <mergeCell ref="G25:H25"/>
    <mergeCell ref="I25:J25"/>
    <mergeCell ref="K25:L25"/>
    <mergeCell ref="M25:N25"/>
    <mergeCell ref="O25:R25"/>
    <mergeCell ref="B24:D24"/>
    <mergeCell ref="E24:F24"/>
    <mergeCell ref="G24:H24"/>
    <mergeCell ref="I24:J24"/>
    <mergeCell ref="K24:L24"/>
    <mergeCell ref="M24:N24"/>
    <mergeCell ref="Q22:R22"/>
    <mergeCell ref="B23:D23"/>
    <mergeCell ref="E23:F23"/>
    <mergeCell ref="G23:H23"/>
    <mergeCell ref="I23:J23"/>
    <mergeCell ref="K23:L23"/>
    <mergeCell ref="M23:N23"/>
    <mergeCell ref="O23:R23"/>
    <mergeCell ref="O26:R26"/>
    <mergeCell ref="B19:D19"/>
    <mergeCell ref="E19:F19"/>
    <mergeCell ref="G19:H20"/>
    <mergeCell ref="I19:J19"/>
    <mergeCell ref="K19:L19"/>
    <mergeCell ref="M19:N19"/>
    <mergeCell ref="B20:D20"/>
    <mergeCell ref="E20:F20"/>
    <mergeCell ref="I20:J20"/>
    <mergeCell ref="K20:L20"/>
    <mergeCell ref="M20:N20"/>
    <mergeCell ref="K17:L17"/>
    <mergeCell ref="M17:N17"/>
    <mergeCell ref="B18:D18"/>
    <mergeCell ref="E18:F18"/>
    <mergeCell ref="I18:J18"/>
    <mergeCell ref="K18:L18"/>
    <mergeCell ref="M18:N18"/>
    <mergeCell ref="O15:R15"/>
    <mergeCell ref="B16:D16"/>
    <mergeCell ref="E16:F16"/>
    <mergeCell ref="G16:H18"/>
    <mergeCell ref="I16:J16"/>
    <mergeCell ref="K16:L16"/>
    <mergeCell ref="M16:N16"/>
    <mergeCell ref="B17:D17"/>
    <mergeCell ref="E17:F17"/>
    <mergeCell ref="I17:J17"/>
    <mergeCell ref="B15:D15"/>
    <mergeCell ref="E15:F15"/>
    <mergeCell ref="G15:H15"/>
    <mergeCell ref="I15:J15"/>
    <mergeCell ref="K15:L15"/>
    <mergeCell ref="M15:N15"/>
    <mergeCell ref="B10:D10"/>
    <mergeCell ref="B11:D11"/>
    <mergeCell ref="B12:D12"/>
    <mergeCell ref="Q14:R14"/>
    <mergeCell ref="B2:R3"/>
    <mergeCell ref="B6:D6"/>
    <mergeCell ref="E6:R6"/>
    <mergeCell ref="B7:D7"/>
    <mergeCell ref="B8:D8"/>
    <mergeCell ref="B9:D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Sheet6</vt:lpstr>
      <vt:lpstr>Sheet7</vt:lpstr>
      <vt:lpstr>품의 양식(회원동반) (2)</vt:lpstr>
      <vt:lpstr>품의 양식(회원동반)</vt:lpstr>
      <vt:lpstr>품의 양식(FIT)_3</vt:lpstr>
      <vt:lpstr>품의 양식(FIT)_2</vt:lpstr>
      <vt:lpstr>품의 양식(FIT)</vt:lpstr>
      <vt:lpstr>첨부 내용(회원동반)</vt:lpstr>
      <vt:lpstr>첨부 내용(FIT)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VMAdmin</dc:creator>
  <cp:lastModifiedBy>Chanmin</cp:lastModifiedBy>
  <cp:lastPrinted>2026-05-13T00:33:59Z</cp:lastPrinted>
  <dcterms:created xsi:type="dcterms:W3CDTF">2024-10-23T23:22:58Z</dcterms:created>
  <dcterms:modified xsi:type="dcterms:W3CDTF">2026-06-19T04:55:09Z</dcterms:modified>
</cp:coreProperties>
</file>