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당월(5월)실적" sheetId="1" state="visible" r:id="rId1"/>
    <sheet name="익월(6월)O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vertical="center"/>
    </xf>
    <xf numFmtId="3" fontId="5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/>
    </xf>
    <xf numFmtId="3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주간회의 보고자료 - 당월(2026년 5월) 세그먼트별 실적 현황</t>
        </is>
      </c>
    </row>
    <row r="2">
      <c r="A2" s="2" t="inlineStr">
        <is>
          <t>기준일: 2026-05-13 | 데이터: 온북(27+43) OTB</t>
        </is>
      </c>
    </row>
    <row r="4">
      <c r="A4" s="3" t="inlineStr">
        <is>
          <t>세그먼트</t>
        </is>
      </c>
      <c r="B4" s="3" t="inlineStr">
        <is>
          <t>목표(Budget)</t>
        </is>
      </c>
      <c r="C4" s="3" t="inlineStr">
        <is>
          <t>OTB</t>
        </is>
      </c>
      <c r="D4" s="3" t="inlineStr">
        <is>
          <t>달성률(%)</t>
        </is>
      </c>
      <c r="E4" s="3" t="inlineStr">
        <is>
          <t>전년동기(LY)</t>
        </is>
      </c>
      <c r="F4" s="3" t="inlineStr">
        <is>
          <t>YoY(%)</t>
        </is>
      </c>
    </row>
    <row r="5">
      <c r="A5" s="4" t="inlineStr">
        <is>
          <t>OTA</t>
        </is>
      </c>
      <c r="B5" s="5" t="n">
        <v>33580</v>
      </c>
      <c r="C5" s="5" t="n">
        <v>31164</v>
      </c>
      <c r="D5" s="6">
        <f>IF(B5=0,"",C5/B5)</f>
        <v/>
      </c>
      <c r="E5" s="5" t="n">
        <v>21030</v>
      </c>
      <c r="F5" s="6">
        <f>IF(E5=0,"",(C5-E5)/E5)</f>
        <v/>
      </c>
    </row>
    <row r="6">
      <c r="A6" s="4" t="inlineStr">
        <is>
          <t>G-OTA</t>
        </is>
      </c>
      <c r="B6" s="5" t="n">
        <v>23215</v>
      </c>
      <c r="C6" s="5" t="n">
        <v>20397</v>
      </c>
      <c r="D6" s="6">
        <f>IF(B6=0,"",C6/B6)</f>
        <v/>
      </c>
      <c r="E6" s="5" t="n">
        <v>14396</v>
      </c>
      <c r="F6" s="6">
        <f>IF(E6=0,"",(C6-E6)/E6)</f>
        <v/>
      </c>
    </row>
    <row r="7">
      <c r="A7" s="4" t="inlineStr">
        <is>
          <t>Inbound</t>
        </is>
      </c>
      <c r="B7" s="5" t="n">
        <v>4410</v>
      </c>
      <c r="C7" s="5" t="n">
        <v>4473</v>
      </c>
      <c r="D7" s="6">
        <f>IF(B7=0,"",C7/B7)</f>
        <v/>
      </c>
      <c r="E7" s="5" t="n">
        <v>3487</v>
      </c>
      <c r="F7" s="6">
        <f>IF(E7=0,"",(C7-E7)/E7)</f>
        <v/>
      </c>
    </row>
    <row r="8">
      <c r="A8" s="7" t="inlineStr">
        <is>
          <t xml:space="preserve">  홍콩</t>
        </is>
      </c>
      <c r="B8" s="8" t="n">
        <v>723</v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</row>
    <row r="9">
      <c r="A9" s="7" t="inlineStr">
        <is>
          <t xml:space="preserve">  대만</t>
        </is>
      </c>
      <c r="B9" s="8" t="n">
        <v>2791</v>
      </c>
      <c r="C9" s="9" t="inlineStr">
        <is>
          <t>-</t>
        </is>
      </c>
      <c r="D9" s="9" t="inlineStr">
        <is>
          <t>-</t>
        </is>
      </c>
      <c r="E9" s="9" t="inlineStr">
        <is>
          <t>-</t>
        </is>
      </c>
      <c r="F9" s="9" t="inlineStr">
        <is>
          <t>-</t>
        </is>
      </c>
    </row>
    <row r="10">
      <c r="A10" s="7" t="inlineStr">
        <is>
          <t xml:space="preserve">  중국</t>
        </is>
      </c>
      <c r="B10" s="8" t="n">
        <v>0</v>
      </c>
      <c r="C10" s="9" t="inlineStr">
        <is>
          <t>-</t>
        </is>
      </c>
      <c r="D10" s="9" t="inlineStr">
        <is>
          <t>-</t>
        </is>
      </c>
      <c r="E10" s="9" t="inlineStr">
        <is>
          <t>-</t>
        </is>
      </c>
      <c r="F10" s="9" t="inlineStr">
        <is>
          <t>-</t>
        </is>
      </c>
    </row>
    <row r="11">
      <c r="A11" s="7" t="inlineStr">
        <is>
          <t xml:space="preserve">  베트남</t>
        </is>
      </c>
      <c r="B11" s="8" t="n">
        <v>118</v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</row>
    <row r="12">
      <c r="A12" s="7" t="inlineStr">
        <is>
          <t xml:space="preserve">  기타</t>
        </is>
      </c>
      <c r="B12" s="8" t="n">
        <v>778</v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</row>
    <row r="13">
      <c r="A13" s="10" t="inlineStr">
        <is>
          <t>합계</t>
        </is>
      </c>
      <c r="B13" s="11">
        <f>B5+B6+B7</f>
        <v/>
      </c>
      <c r="C13" s="11">
        <f>C5+C6+C7</f>
        <v/>
      </c>
      <c r="D13" s="12">
        <f>IF(B13=0,"",C13/B13)</f>
        <v/>
      </c>
      <c r="E13" s="11">
        <f>E5+E6+E7</f>
        <v/>
      </c>
      <c r="F13" s="12">
        <f>IF(E13=0,"",(C13-E13)/E13)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주간회의 보고자료 - 익월(2026년 6월) OTB 현황</t>
        </is>
      </c>
    </row>
    <row r="2">
      <c r="A2" s="2" t="inlineStr">
        <is>
          <t>기준일: 2026-05-13 | 데이터: 온북(27+43) OTB</t>
        </is>
      </c>
    </row>
    <row r="4">
      <c r="A4" s="3" t="inlineStr">
        <is>
          <t>세그먼트</t>
        </is>
      </c>
      <c r="B4" s="3" t="inlineStr">
        <is>
          <t>목표(Budget)</t>
        </is>
      </c>
      <c r="C4" s="3" t="inlineStr">
        <is>
          <t>OTB</t>
        </is>
      </c>
      <c r="D4" s="3" t="inlineStr">
        <is>
          <t>달성률(%)</t>
        </is>
      </c>
      <c r="E4" s="3" t="inlineStr">
        <is>
          <t>전년동기(LY)</t>
        </is>
      </c>
      <c r="F4" s="3" t="inlineStr">
        <is>
          <t>YoY(%)</t>
        </is>
      </c>
    </row>
    <row r="5">
      <c r="A5" s="4" t="inlineStr">
        <is>
          <t>OTA</t>
        </is>
      </c>
      <c r="B5" s="5" t="n">
        <v>41050</v>
      </c>
      <c r="C5" s="5" t="n">
        <v>14151</v>
      </c>
      <c r="D5" s="6">
        <f>IF(B5=0,"",C5/B5)</f>
        <v/>
      </c>
      <c r="E5" s="5" t="n">
        <v>13889</v>
      </c>
      <c r="F5" s="6">
        <f>IF(E5=0,"",(C5-E5)/E5)</f>
        <v/>
      </c>
    </row>
    <row r="6">
      <c r="A6" s="4" t="inlineStr">
        <is>
          <t>G-OTA</t>
        </is>
      </c>
      <c r="B6" s="5" t="n">
        <v>27375</v>
      </c>
      <c r="C6" s="5" t="n">
        <v>13090</v>
      </c>
      <c r="D6" s="6">
        <f>IF(B6=0,"",C6/B6)</f>
        <v/>
      </c>
      <c r="E6" s="5" t="n">
        <v>11306</v>
      </c>
      <c r="F6" s="6">
        <f>IF(E6=0,"",(C6-E6)/E6)</f>
        <v/>
      </c>
    </row>
    <row r="7">
      <c r="A7" s="4" t="inlineStr">
        <is>
          <t>Inbound</t>
        </is>
      </c>
      <c r="B7" s="5" t="n">
        <v>4915</v>
      </c>
      <c r="C7" s="5" t="n">
        <v>1897</v>
      </c>
      <c r="D7" s="6">
        <f>IF(B7=0,"",C7/B7)</f>
        <v/>
      </c>
      <c r="E7" s="5" t="n">
        <v>2033</v>
      </c>
      <c r="F7" s="6">
        <f>IF(E7=0,"",(C7-E7)/E7)</f>
        <v/>
      </c>
    </row>
    <row r="8">
      <c r="A8" s="7" t="inlineStr">
        <is>
          <t xml:space="preserve">  홍콩</t>
        </is>
      </c>
      <c r="B8" s="8" t="n">
        <v>579</v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</row>
    <row r="9">
      <c r="A9" s="7" t="inlineStr">
        <is>
          <t xml:space="preserve">  대만</t>
        </is>
      </c>
      <c r="B9" s="8" t="n">
        <v>3636</v>
      </c>
      <c r="C9" s="9" t="inlineStr">
        <is>
          <t>-</t>
        </is>
      </c>
      <c r="D9" s="9" t="inlineStr">
        <is>
          <t>-</t>
        </is>
      </c>
      <c r="E9" s="9" t="inlineStr">
        <is>
          <t>-</t>
        </is>
      </c>
      <c r="F9" s="9" t="inlineStr">
        <is>
          <t>-</t>
        </is>
      </c>
    </row>
    <row r="10">
      <c r="A10" s="7" t="inlineStr">
        <is>
          <t xml:space="preserve">  중국</t>
        </is>
      </c>
      <c r="B10" s="8" t="n">
        <v>0</v>
      </c>
      <c r="C10" s="9" t="inlineStr">
        <is>
          <t>-</t>
        </is>
      </c>
      <c r="D10" s="9" t="inlineStr">
        <is>
          <t>-</t>
        </is>
      </c>
      <c r="E10" s="9" t="inlineStr">
        <is>
          <t>-</t>
        </is>
      </c>
      <c r="F10" s="9" t="inlineStr">
        <is>
          <t>-</t>
        </is>
      </c>
    </row>
    <row r="11">
      <c r="A11" s="7" t="inlineStr">
        <is>
          <t xml:space="preserve">  베트남</t>
        </is>
      </c>
      <c r="B11" s="8" t="n">
        <v>132</v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</row>
    <row r="12">
      <c r="A12" s="7" t="inlineStr">
        <is>
          <t xml:space="preserve">  기타</t>
        </is>
      </c>
      <c r="B12" s="8" t="n">
        <v>568</v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</row>
    <row r="13">
      <c r="A13" s="10" t="inlineStr">
        <is>
          <t>합계</t>
        </is>
      </c>
      <c r="B13" s="11">
        <f>B5+B6+B7</f>
        <v/>
      </c>
      <c r="C13" s="11">
        <f>C5+C6+C7</f>
        <v/>
      </c>
      <c r="D13" s="12">
        <f>IF(B13=0,"",C13/B13)</f>
        <v/>
      </c>
      <c r="E13" s="11">
        <f>E5+E6+E7</f>
        <v/>
      </c>
      <c r="F13" s="12">
        <f>IF(E13=0,"",(C13-E13)/E13)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2026-05-14T08:35:24Z</dcterms:created>
  <dcterms:modified xsi:type="dcterms:W3CDTF">2026-05-14T08:35:24Z</dcterms:modified>
</cp:coreProperties>
</file>